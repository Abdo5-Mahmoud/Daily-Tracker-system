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tock_New" sheetId="2" r:id="rId6"/>
    <sheet state="visible" name="جرد 2026" sheetId="3" r:id="rId7"/>
    <sheet state="visible" name="الورقة13" sheetId="4" r:id="rId8"/>
    <sheet state="visible" name="Orders_New" sheetId="5" r:id="rId9"/>
    <sheet state="visible" name="Sales_New" sheetId="6" r:id="rId10"/>
    <sheet state="visible" name="Journal" sheetId="7" r:id="rId11"/>
    <sheet state="visible" name="Logs_New" sheetId="8" r:id="rId12"/>
    <sheet state="visible" name="SystemStatus" sheetId="9" r:id="rId13"/>
    <sheet state="visible" name="Inventory_Report" sheetId="10" r:id="rId14"/>
    <sheet state="visible" name=" طلبيات" sheetId="11" r:id="rId15"/>
    <sheet state="visible" name="Manufacturing" sheetId="12" r:id="rId16"/>
    <sheet state="visible" name="Manufacturing_Items" sheetId="13" r:id="rId17"/>
  </sheets>
  <definedNames>
    <definedName name="الاسم">Stock_New!$A$1:$A$273</definedName>
    <definedName hidden="1" localSheetId="1" name="_xlnm._FilterDatabase">Stock_New!$A$1:$M$670</definedName>
    <definedName hidden="1" localSheetId="2" name="_xlnm._FilterDatabase">'جرد 2026'!$A$1:$G$992</definedName>
    <definedName hidden="1" localSheetId="4" name="_xlnm._FilterDatabase">Orders_New!$A$1:$J$983</definedName>
    <definedName hidden="1" localSheetId="7" name="_xlnm._FilterDatabase">Logs_New!$A$1:$M$1788</definedName>
    <definedName hidden="1" localSheetId="9" name="_xlnm._FilterDatabase">Inventory_Report!$A$1:$F$1003</definedName>
    <definedName hidden="1" localSheetId="10" name="_xlnm._FilterDatabase">' طلبيات'!$A$872:$H$902</definedName>
  </definedNames>
  <calcPr/>
</workbook>
</file>

<file path=xl/sharedStrings.xml><?xml version="1.0" encoding="utf-8"?>
<sst xmlns="http://schemas.openxmlformats.org/spreadsheetml/2006/main" count="88872" uniqueCount="5430">
  <si>
    <t xml:space="preserve">راس مال </t>
  </si>
  <si>
    <t>راتب</t>
  </si>
  <si>
    <t>ايجار وتامين</t>
  </si>
  <si>
    <t>تاسيس</t>
  </si>
  <si>
    <t>اجمالي قيمة الجر</t>
  </si>
  <si>
    <t>Product Name</t>
  </si>
  <si>
    <t xml:space="preserve"> </t>
  </si>
  <si>
    <t>الناتج</t>
  </si>
  <si>
    <t>Total Qty</t>
  </si>
  <si>
    <t>ItemType</t>
  </si>
  <si>
    <t>Cost</t>
  </si>
  <si>
    <t>Supplier</t>
  </si>
  <si>
    <t>Revenue</t>
  </si>
  <si>
    <t>AvgPurchasePrice</t>
  </si>
  <si>
    <t>Profit Per Unit</t>
  </si>
  <si>
    <t>AvailableQty</t>
  </si>
  <si>
    <t>Total Profit</t>
  </si>
  <si>
    <t>Cost price</t>
  </si>
  <si>
    <t>SuggestedSalePrice</t>
  </si>
  <si>
    <t>Last Sale Date</t>
  </si>
  <si>
    <t>Toal Available</t>
  </si>
  <si>
    <t>LastUpdate</t>
  </si>
  <si>
    <t>Should be</t>
  </si>
  <si>
    <t>TotalPurchasedQty</t>
  </si>
  <si>
    <t>TotalSoldQty</t>
  </si>
  <si>
    <t>TotalPurchaseValue</t>
  </si>
  <si>
    <t>TotalSalesValue</t>
  </si>
  <si>
    <t>LastUsageNote</t>
  </si>
  <si>
    <t>موديل رقم 2052</t>
  </si>
  <si>
    <t>شجرة مانغوليا 80 سم</t>
  </si>
  <si>
    <t>سيلفرات</t>
  </si>
  <si>
    <t>ذكريا</t>
  </si>
  <si>
    <t>موديل رقم 2053</t>
  </si>
  <si>
    <t>موديل رقم 2058</t>
  </si>
  <si>
    <t>شجرة مانغوليا 110 سم</t>
  </si>
  <si>
    <t>موديل رقم 2057</t>
  </si>
  <si>
    <t>شجرة تركيب 12 ورقة</t>
  </si>
  <si>
    <t>موديل رقم 2051</t>
  </si>
  <si>
    <t>شجرة مانغوليا 150 سم</t>
  </si>
  <si>
    <t>موديل رقم 2043</t>
  </si>
  <si>
    <t>بوكيه خزف</t>
  </si>
  <si>
    <t>شجرة بنجامين 80سم</t>
  </si>
  <si>
    <t>موديل رقم 2042</t>
  </si>
  <si>
    <t>فازة خزف وورد احمر صغير</t>
  </si>
  <si>
    <t>موديل رقم 2001</t>
  </si>
  <si>
    <t>فازة خزف  وبوكيه ابيض كبير</t>
  </si>
  <si>
    <t>شجرة بنجامين 110سم</t>
  </si>
  <si>
    <t>موديل رقم 2003</t>
  </si>
  <si>
    <t>مزرعة</t>
  </si>
  <si>
    <t>سيكس ليف 5 جزع 170 سم</t>
  </si>
  <si>
    <t>شجر</t>
  </si>
  <si>
    <t>شركة الفرسان</t>
  </si>
  <si>
    <t>شجرة خروع 80 سم</t>
  </si>
  <si>
    <t>ItemName</t>
  </si>
  <si>
    <t>manufactured</t>
  </si>
  <si>
    <t>شجرة ورق عريض</t>
  </si>
  <si>
    <t>موديل 935</t>
  </si>
  <si>
    <t>Qty</t>
  </si>
  <si>
    <t>PurchasePrice</t>
  </si>
  <si>
    <t>OrderDate</t>
  </si>
  <si>
    <t xml:space="preserve">شجرة ياسمين 80 سم مكثفة </t>
  </si>
  <si>
    <t>Status</t>
  </si>
  <si>
    <t>OrderID</t>
  </si>
  <si>
    <t>EnteredBy</t>
  </si>
  <si>
    <t>Notes</t>
  </si>
  <si>
    <t>موديل 936</t>
  </si>
  <si>
    <t>بوكيه ورد احمر صغير واخضر</t>
  </si>
  <si>
    <t>فازة ازاز كبيره وبوكيه</t>
  </si>
  <si>
    <t>بوكيه</t>
  </si>
  <si>
    <t>شمعدان بلياستر بالفازة</t>
  </si>
  <si>
    <t>مج بشاليموه</t>
  </si>
  <si>
    <t>شجرة ياسمين 110سم</t>
  </si>
  <si>
    <t>done</t>
  </si>
  <si>
    <t>ORD-1765058110612-119</t>
  </si>
  <si>
    <t>اشكال السيرفرات</t>
  </si>
  <si>
    <t>طقم باسكت</t>
  </si>
  <si>
    <t>طقم زجاج ابيض وريش وورد صغير</t>
  </si>
  <si>
    <t>شجرة ياسمين 80سم</t>
  </si>
  <si>
    <t>شجرة موز 6 فرع</t>
  </si>
  <si>
    <t>مبخرة غزالة</t>
  </si>
  <si>
    <t>ORD-1765058110618-468</t>
  </si>
  <si>
    <t>شمعدان نخلة</t>
  </si>
  <si>
    <t>طقم زجاج ابيض وبوكيه اخضر</t>
  </si>
  <si>
    <t>شجرة مشمش فرعين</t>
  </si>
  <si>
    <t>بوكيه بلاستيك وورد احمر</t>
  </si>
  <si>
    <t>شمعدان كريستال</t>
  </si>
  <si>
    <t>ORD-1765058110625-839</t>
  </si>
  <si>
    <t>طقم زجاج ابيض وريش بس</t>
  </si>
  <si>
    <t>بونبونيرة عجلة</t>
  </si>
  <si>
    <t>بوكيه بلاستيك ورد كبير</t>
  </si>
  <si>
    <t>ORD-1765058110631-241</t>
  </si>
  <si>
    <t>بوت وسط فاضي</t>
  </si>
  <si>
    <t>فازة ازاز وبوكيه ورد غالي</t>
  </si>
  <si>
    <t>بوكيه زجاج</t>
  </si>
  <si>
    <t>شجرة ذرة  وسط</t>
  </si>
  <si>
    <t>ORD-1765058110639-611</t>
  </si>
  <si>
    <t>بوكيه بلاستيك  ورد مقفول وورد صغير</t>
  </si>
  <si>
    <t>فازة ازاز وبوكيه ابيض وبيبي فلاور</t>
  </si>
  <si>
    <t>شجرة موز 9 فرع</t>
  </si>
  <si>
    <t>ORD-1765058110644-364</t>
  </si>
  <si>
    <t>شجرة نجمة جلد</t>
  </si>
  <si>
    <t>كريستالة ديكور</t>
  </si>
  <si>
    <t>شجرة اريكا وسط</t>
  </si>
  <si>
    <t>ORD-1765058110663-808</t>
  </si>
  <si>
    <t>فازة خزف وبوكيه ورد مقفول وورد صغير</t>
  </si>
  <si>
    <t>طقم بلورة زجاج</t>
  </si>
  <si>
    <t>شجرة  ورق عريض قماش</t>
  </si>
  <si>
    <t>ORD-1765058110669-489</t>
  </si>
  <si>
    <t>شيالة ازاز 3 خلص</t>
  </si>
  <si>
    <t xml:space="preserve">فازة ازاز وبوكيه </t>
  </si>
  <si>
    <t>سيلفر</t>
  </si>
  <si>
    <t>شجرة جلد تركيب 18 عصفورة</t>
  </si>
  <si>
    <t>بوكيه بلاستيك و ورد بني وصغير</t>
  </si>
  <si>
    <t>ORD-1765058110675-912</t>
  </si>
  <si>
    <t>شجرة موز خمسة جزع 130 سم</t>
  </si>
  <si>
    <t>ORD-1765058110681-293</t>
  </si>
  <si>
    <t>كتاب ديكور</t>
  </si>
  <si>
    <t>نافورة 1934</t>
  </si>
  <si>
    <t>ديكور مكتب</t>
  </si>
  <si>
    <t>سنتر محمد رشدي</t>
  </si>
  <si>
    <t>بوت جامبو طويل</t>
  </si>
  <si>
    <t>فازة خزف كبيره مشمش</t>
  </si>
  <si>
    <t>طقم كاندي غزالة</t>
  </si>
  <si>
    <t>نافورة ديكور 10883</t>
  </si>
  <si>
    <t>تحف</t>
  </si>
  <si>
    <t>محمد رشدي</t>
  </si>
  <si>
    <t>ORD-1765058110687-965</t>
  </si>
  <si>
    <t xml:space="preserve">بوكيه بلاستيك </t>
  </si>
  <si>
    <t>شجرة مشمش 4 فروع</t>
  </si>
  <si>
    <t>نافورة ديكور 10903</t>
  </si>
  <si>
    <t>ORD-1765058110692-472</t>
  </si>
  <si>
    <t>شجرة مانجا 24 ورقة</t>
  </si>
  <si>
    <t>ORD-1765058110698-253</t>
  </si>
  <si>
    <t>بوت كبير عادي</t>
  </si>
  <si>
    <t>بوكيه ازاز صغير</t>
  </si>
  <si>
    <t>شيالة ازاز 4</t>
  </si>
  <si>
    <t>شركة التقوى</t>
  </si>
  <si>
    <t>ORD-1765058110707-739</t>
  </si>
  <si>
    <t>مطبخ</t>
  </si>
  <si>
    <t>طفاية كريستال</t>
  </si>
  <si>
    <t>شجرة اريكا صغيرة</t>
  </si>
  <si>
    <t>ORD-1765058110713-390</t>
  </si>
  <si>
    <t>شجرة موزة جلد 9 ورقة فردي 40×10 اسم</t>
  </si>
  <si>
    <t>بوت هاند ميد كبير</t>
  </si>
  <si>
    <t>اباجورة شكل 0</t>
  </si>
  <si>
    <t>ORD-1765058110718-504</t>
  </si>
  <si>
    <t>بوكيه كريستال شفاف وبوكيه اخضر</t>
  </si>
  <si>
    <t>ORD-1765058110724-540</t>
  </si>
  <si>
    <t>فازة كريستال عسلي</t>
  </si>
  <si>
    <t xml:space="preserve">فازة خزف وورد احمر صغير </t>
  </si>
  <si>
    <t>ORD-1765058110730-205</t>
  </si>
  <si>
    <t>بوت تركي كبير</t>
  </si>
  <si>
    <t>فازة خزف وبوكيه ورد مقفول</t>
  </si>
  <si>
    <t>شمعدان رفيع طويل اسود</t>
  </si>
  <si>
    <t>شركة حسين علي</t>
  </si>
  <si>
    <t>ORD-1765058110737-508</t>
  </si>
  <si>
    <t>بوكيه خزف مقسوم ورد شبه التاج</t>
  </si>
  <si>
    <t>فازة خزف و بوكيه احمر ورق وورد صغير</t>
  </si>
  <si>
    <t>شجرة مانجا 18 ورقة</t>
  </si>
  <si>
    <t>شجرة بلدي 48</t>
  </si>
  <si>
    <t>ORD-1765058110743-574</t>
  </si>
  <si>
    <t>شجرة بامبو</t>
  </si>
  <si>
    <t>طقم زجاج ابيض فاضي</t>
  </si>
  <si>
    <t>زجاج ابيض</t>
  </si>
  <si>
    <t>ORD-1765058110749-731</t>
  </si>
  <si>
    <t>بوت وسط</t>
  </si>
  <si>
    <t>فازة بورسلين كبيرة ابيض مذهب</t>
  </si>
  <si>
    <t>بورسلين</t>
  </si>
  <si>
    <t>طقم دوناتس</t>
  </si>
  <si>
    <t>خزف</t>
  </si>
  <si>
    <t>ORD-1765058110758-650</t>
  </si>
  <si>
    <t>بوكيه فازة بورسلين دهبي وورد شبه التاج</t>
  </si>
  <si>
    <t>مزرعة صغيرة اكليرك</t>
  </si>
  <si>
    <t>قطعة دوناتس</t>
  </si>
  <si>
    <t>بوت طويل مستطيل فاضي</t>
  </si>
  <si>
    <t>شجرة موز صغيرة درجة عالية</t>
  </si>
  <si>
    <t>ORD-1765058110764-606</t>
  </si>
  <si>
    <t>مزرعة بورسلين</t>
  </si>
  <si>
    <t>بوكيه ورد طويل</t>
  </si>
  <si>
    <t>بوت تركي</t>
  </si>
  <si>
    <t>زجاج</t>
  </si>
  <si>
    <t>ORD-1765058110769-292</t>
  </si>
  <si>
    <t>شكل عاج كبير</t>
  </si>
  <si>
    <t>ORD-1765058110788-263</t>
  </si>
  <si>
    <t>بوكيه اخضر</t>
  </si>
  <si>
    <t>ورد لوحده</t>
  </si>
  <si>
    <t>شجرة جاهزة</t>
  </si>
  <si>
    <t>شيالة ازاز 3</t>
  </si>
  <si>
    <t>رجل بوت خشب</t>
  </si>
  <si>
    <t>ORD-1765058110793-854</t>
  </si>
  <si>
    <t>فازة بورسلين برجول كبيرة</t>
  </si>
  <si>
    <t>ORD-1765058110799-949</t>
  </si>
  <si>
    <t xml:space="preserve">شمعدان نخلة </t>
  </si>
  <si>
    <t>جلد تركيب 12</t>
  </si>
  <si>
    <t>بوت بشريطة دهبي</t>
  </si>
  <si>
    <t>ORD-1765058110804-393</t>
  </si>
  <si>
    <t>نافورة ديكور 270 sm</t>
  </si>
  <si>
    <t xml:space="preserve">شمعدان كريستال </t>
  </si>
  <si>
    <t>بولا خزف وريشة</t>
  </si>
  <si>
    <t>ORD-1765058110810-328</t>
  </si>
  <si>
    <t>شجرة  تركيب 18 ورقة موزة</t>
  </si>
  <si>
    <t>نافورة ديكور 3307 sm</t>
  </si>
  <si>
    <t xml:space="preserve">شوكة كبيرة </t>
  </si>
  <si>
    <t>ORD-1765058110816-819</t>
  </si>
  <si>
    <t>بوكيه ريش وورد صغير</t>
  </si>
  <si>
    <t>نافورة ديكور 3309</t>
  </si>
  <si>
    <t>شوكة وسط</t>
  </si>
  <si>
    <t>نافورة ديكور</t>
  </si>
  <si>
    <t>عباد 12 فرع SF-171</t>
  </si>
  <si>
    <t>ORD-1765058110822-671</t>
  </si>
  <si>
    <t>شوكة صغيرة</t>
  </si>
  <si>
    <t>نافورة ديكور 206/1</t>
  </si>
  <si>
    <t>شجرة مشمش خمس فروع</t>
  </si>
  <si>
    <t>ORD-1765058110828-852</t>
  </si>
  <si>
    <t>شمعدان رفيع طويل عادي</t>
  </si>
  <si>
    <t>نافورة ديكور 3307</t>
  </si>
  <si>
    <t>طحالب أبيض فرسان</t>
  </si>
  <si>
    <t>ORD-1765058110834-694</t>
  </si>
  <si>
    <t>نافورة ديكور 3311</t>
  </si>
  <si>
    <t>ORD-1765058110840-835</t>
  </si>
  <si>
    <t>بلدي 12 فرسان</t>
  </si>
  <si>
    <t>بوت صغير هااند ميد و 2 بوكيه</t>
  </si>
  <si>
    <t>نافورة ديكور 3310</t>
  </si>
  <si>
    <t>ORD-1765058110846-535</t>
  </si>
  <si>
    <t>كهربائيات</t>
  </si>
  <si>
    <t>شجر ورق الوان</t>
  </si>
  <si>
    <t>ORD-1765058110851-198</t>
  </si>
  <si>
    <t>افرع طويلة</t>
  </si>
  <si>
    <t>Manufactured via شجرة-ياسمين-110</t>
  </si>
  <si>
    <t>شمعدان جرس</t>
  </si>
  <si>
    <t>شجرة مكثفة</t>
  </si>
  <si>
    <t>ORD-1765058110857-541</t>
  </si>
  <si>
    <t>شجرة موز كبيرة</t>
  </si>
  <si>
    <t>ORD-1765058110862-586</t>
  </si>
  <si>
    <t>طقم دوناتس طويل</t>
  </si>
  <si>
    <t>صبارة بورسلين</t>
  </si>
  <si>
    <t>بلدي 24</t>
  </si>
  <si>
    <t>ORD-1765058110868-633</t>
  </si>
  <si>
    <t>بوتات</t>
  </si>
  <si>
    <t>فواحة</t>
  </si>
  <si>
    <t>ORD-1765058110874-525</t>
  </si>
  <si>
    <t>بوكيه ورد كبير ابيض واخضر</t>
  </si>
  <si>
    <t>بونبونيرة</t>
  </si>
  <si>
    <t>ORD-1765058110880-552</t>
  </si>
  <si>
    <t>شجرة ورق عريض جلد</t>
  </si>
  <si>
    <t>توليب 24 حسين علي</t>
  </si>
  <si>
    <t>فازة بورسلين كبيرة</t>
  </si>
  <si>
    <t>ORD-1765058110886-203</t>
  </si>
  <si>
    <t>بوت بشريطة دهبي فاضيي</t>
  </si>
  <si>
    <t>شمعدان رفيع كريستال</t>
  </si>
  <si>
    <t>شجرة  تركيب 18 ورقة</t>
  </si>
  <si>
    <t>ORD-1765058110892-428</t>
  </si>
  <si>
    <t xml:space="preserve">ريشة دوناتس </t>
  </si>
  <si>
    <t xml:space="preserve">بوت وسط </t>
  </si>
  <si>
    <t>ORD-1765058110898-189</t>
  </si>
  <si>
    <t>بوت صغير</t>
  </si>
  <si>
    <t>مكمل للبوت</t>
  </si>
  <si>
    <t>Manufactured via شجرة-ياسمين</t>
  </si>
  <si>
    <t>ORD-1765058110907-766</t>
  </si>
  <si>
    <t>بوكيه ورد نوعين</t>
  </si>
  <si>
    <t>ستارة خرز</t>
  </si>
  <si>
    <t>شجرة مكثفة ورق</t>
  </si>
  <si>
    <t>ORD-1765058110913-543</t>
  </si>
  <si>
    <t>ORD-1765058110919-273</t>
  </si>
  <si>
    <t>بوكيه بلاستيك و ريش واخضر عرايس:)</t>
  </si>
  <si>
    <t>بوكيه ابيض</t>
  </si>
  <si>
    <t xml:space="preserve">شجرة مانجا 18 ورقة </t>
  </si>
  <si>
    <t>ORD-1765058110925-144</t>
  </si>
  <si>
    <t>علبة مناديل كريستال</t>
  </si>
  <si>
    <t>ORD-1765058110931-876</t>
  </si>
  <si>
    <t>بوكيه بلاسيتك وورد مسك الليل</t>
  </si>
  <si>
    <t>ORD-1765058110936-805</t>
  </si>
  <si>
    <t>طقم كاندي</t>
  </si>
  <si>
    <t>ORD-1765058110942-847</t>
  </si>
  <si>
    <t>شجرة موز صغيرة</t>
  </si>
  <si>
    <t>فازة بورسلين وسط ابيض مذهب</t>
  </si>
  <si>
    <t>ORD-1765058110947-310</t>
  </si>
  <si>
    <t>بوكيه ريش حمام</t>
  </si>
  <si>
    <t>ORD-1765058110952-138</t>
  </si>
  <si>
    <t>ديكور ميكياج 0250</t>
  </si>
  <si>
    <t>ميكاب</t>
  </si>
  <si>
    <t>ORD-1765058110958-203</t>
  </si>
  <si>
    <t>شجرة تركيب 24 ورقة</t>
  </si>
  <si>
    <t>بوكيه بلاستيك  وبوكيه اخضر</t>
  </si>
  <si>
    <t>ORD-1765058110964-554</t>
  </si>
  <si>
    <t>فازة بورسلين برجول صغير</t>
  </si>
  <si>
    <t>فازة</t>
  </si>
  <si>
    <t>مزرعة شلال</t>
  </si>
  <si>
    <t>ORD-1765058110970-330</t>
  </si>
  <si>
    <t>بوكيه قرنفل وبلدي</t>
  </si>
  <si>
    <t>شجرة فانباخيا  صغيرة 12</t>
  </si>
  <si>
    <t>ORD-1765058110976-944</t>
  </si>
  <si>
    <t>ORD-1765058110981-913</t>
  </si>
  <si>
    <t>بوكيه بق السيبع جلد</t>
  </si>
  <si>
    <t>بولا خزف وبوكيه ورد صغير</t>
  </si>
  <si>
    <t>ORD-1765058110987-910</t>
  </si>
  <si>
    <t>ORD-1765058110993-844</t>
  </si>
  <si>
    <t>ورد زهور صغير</t>
  </si>
  <si>
    <t>ديكور معدن 6450/1</t>
  </si>
  <si>
    <t>ORD-1765058111000-529</t>
  </si>
  <si>
    <t>مصلية لوكس- 0511</t>
  </si>
  <si>
    <t>ORD-1765058111008-244</t>
  </si>
  <si>
    <t>مكتبة</t>
  </si>
  <si>
    <t>12 اواس علاء شاكر</t>
  </si>
  <si>
    <t>شجرة مشمش 3 فروع</t>
  </si>
  <si>
    <t>ORD-1765058111015-773</t>
  </si>
  <si>
    <t>فرع زرع</t>
  </si>
  <si>
    <t>بوكيهورد كثيف وفازة بورسلين بقاعدة</t>
  </si>
  <si>
    <t>ORD-1765058111023-649</t>
  </si>
  <si>
    <t>بوت صغير فاضي</t>
  </si>
  <si>
    <t>ORD-1765058111048-486</t>
  </si>
  <si>
    <t>فرع مشمش جديد</t>
  </si>
  <si>
    <t>Used 1 in تفكيك</t>
  </si>
  <si>
    <t xml:space="preserve">طقم دوناتس </t>
  </si>
  <si>
    <t>شجرة مشمش اربع فروع</t>
  </si>
  <si>
    <t>ORD-1765058111076-545</t>
  </si>
  <si>
    <t>مقزمات</t>
  </si>
  <si>
    <t>بوكيه بلاستيك هيش بحر وورد صغير</t>
  </si>
  <si>
    <t>manufacture</t>
  </si>
  <si>
    <t>بوت تركي هاند ميد</t>
  </si>
  <si>
    <t>ORD-1765058111085-156</t>
  </si>
  <si>
    <t>9/30/2025</t>
  </si>
  <si>
    <t>فازة خزف متوسطة</t>
  </si>
  <si>
    <t>ورد توليب بزهور</t>
  </si>
  <si>
    <t>ORD-1765058111094-454</t>
  </si>
  <si>
    <t>فازة خزف غالية</t>
  </si>
  <si>
    <t>شبكة ورق شجر</t>
  </si>
  <si>
    <t>لوح</t>
  </si>
  <si>
    <t>ORD-1765058111103-802</t>
  </si>
  <si>
    <t>بوكيه بلاسيتك وورد احمر صغير</t>
  </si>
  <si>
    <t>مزرعة كثيفة</t>
  </si>
  <si>
    <t>سرير ستارة وورم - 6005</t>
  </si>
  <si>
    <t>ORD-1765058111112-895</t>
  </si>
  <si>
    <t>شكل عاج صغير</t>
  </si>
  <si>
    <t>منظم بلاستيك 89</t>
  </si>
  <si>
    <t>ORD-1765058111119-261</t>
  </si>
  <si>
    <t>بوت بشريطة دهبي حسين علي</t>
  </si>
  <si>
    <t>ORD-1765058111130-262</t>
  </si>
  <si>
    <t>دستة ورق نعناع</t>
  </si>
  <si>
    <t>ورق شجر</t>
  </si>
  <si>
    <t>جلد 54 تركيب احمر</t>
  </si>
  <si>
    <t>ORD-1765058111159-823</t>
  </si>
  <si>
    <t>دستة ورق خروع الوان</t>
  </si>
  <si>
    <t>ORD-1765058111167-891</t>
  </si>
  <si>
    <t>شجرة بنجامين 80سم وكرز</t>
  </si>
  <si>
    <t>فازة بورسلين صغيرابيض مذهب</t>
  </si>
  <si>
    <t>ORD-1765058111176-854</t>
  </si>
  <si>
    <t>بروبلين 14 سم</t>
  </si>
  <si>
    <t xml:space="preserve">شمعدان بلياستر بالفازة </t>
  </si>
  <si>
    <t>سرية وورم- 8021</t>
  </si>
  <si>
    <t>ORD-1765058111184-758</t>
  </si>
  <si>
    <t>كريستالة معلقة</t>
  </si>
  <si>
    <t>شكل صبارة خزف صغيرة</t>
  </si>
  <si>
    <t>عروسة نضارة 6018</t>
  </si>
  <si>
    <t>لعب</t>
  </si>
  <si>
    <t>ORD-1765058111192-418</t>
  </si>
  <si>
    <t>ياسمين جيرمينجامبو</t>
  </si>
  <si>
    <t>ورد بلدي</t>
  </si>
  <si>
    <t>شجرة كريز 36</t>
  </si>
  <si>
    <t>ORD-1765058111200-826</t>
  </si>
  <si>
    <t>مبخرة فحم - 4343</t>
  </si>
  <si>
    <t>ORD-1765058111231-654</t>
  </si>
  <si>
    <t>مباخر</t>
  </si>
  <si>
    <t>خضرة اللوان 18</t>
  </si>
  <si>
    <t>بوكيه  ورد صغير</t>
  </si>
  <si>
    <t>ORD-1765058111236-318</t>
  </si>
  <si>
    <t>نتيجة</t>
  </si>
  <si>
    <t>سرية وورم - 8044</t>
  </si>
  <si>
    <t>ORD-1765058111241-851</t>
  </si>
  <si>
    <t>فازة زجاج كبيرة</t>
  </si>
  <si>
    <t>موزه فردي 120 سم V7 فردي sf-106</t>
  </si>
  <si>
    <t>ORD-1765058111246-128</t>
  </si>
  <si>
    <t>فازة ازاز وبوكيه</t>
  </si>
  <si>
    <t>بوكيه شبه التاج</t>
  </si>
  <si>
    <t>شجرة فانباخيا  صغيرة</t>
  </si>
  <si>
    <t>ORD-1765058111250-668</t>
  </si>
  <si>
    <t>بوكيه فل</t>
  </si>
  <si>
    <t>فازة زجاج 629/21</t>
  </si>
  <si>
    <t>ORD-1765058111255-394</t>
  </si>
  <si>
    <t>بوكيه ابيض كبير مجفف</t>
  </si>
  <si>
    <t>ORD-1765058111260-487</t>
  </si>
  <si>
    <t>افرع هيش</t>
  </si>
  <si>
    <t>ORD-1765058111264-125</t>
  </si>
  <si>
    <t>ديكور بالنور 678/1</t>
  </si>
  <si>
    <t>ORD-1765058111269-634</t>
  </si>
  <si>
    <t>ديكور بالنور 678/2</t>
  </si>
  <si>
    <t>ORD-1765058111273-906</t>
  </si>
  <si>
    <t>شمعدان ديكور ساعة 3B</t>
  </si>
  <si>
    <t>شمعدان</t>
  </si>
  <si>
    <t>بوكيه خزف غالي وورد مجفف</t>
  </si>
  <si>
    <t>ORD-1765058111278-365</t>
  </si>
  <si>
    <t>ريش بورد</t>
  </si>
  <si>
    <t>شجرة صغيرة 3d</t>
  </si>
  <si>
    <t>ORD-1765058111283-661</t>
  </si>
  <si>
    <t xml:space="preserve">بوكيه </t>
  </si>
  <si>
    <t>خضرة حشو 12</t>
  </si>
  <si>
    <t>ORD-1765058111287-361</t>
  </si>
  <si>
    <t>فازة خزف ورد مقفول واتنين صغير</t>
  </si>
  <si>
    <t>ORD-1765058111293-972</t>
  </si>
  <si>
    <t xml:space="preserve">بوكيه بلاستيك  و ورد شبه التاج </t>
  </si>
  <si>
    <t>ORD-1765058111298-263</t>
  </si>
  <si>
    <t>بوكيه بلايستيك و ورد قطيفة صغير وورد صغير</t>
  </si>
  <si>
    <t>ورد بلدي مسحوب</t>
  </si>
  <si>
    <t>ORD-1765058111302-965</t>
  </si>
  <si>
    <t>بوت صغير هاند ميد</t>
  </si>
  <si>
    <t>بوكيه دوار شمس</t>
  </si>
  <si>
    <t>دستة ورق بنجمينا فلفل</t>
  </si>
  <si>
    <t>فازة خزف  ورد روز وبوكيه صغير</t>
  </si>
  <si>
    <t>ORD-1765058111306-727</t>
  </si>
  <si>
    <t>بوكيه فرع اخضر جديد</t>
  </si>
  <si>
    <t>ستارة فواكه</t>
  </si>
  <si>
    <t>ستارة</t>
  </si>
  <si>
    <t>فازة بورسلين</t>
  </si>
  <si>
    <t>ORD-1765058111321-654</t>
  </si>
  <si>
    <t>بوكيه ورد نوعين وفازة بلاستيك</t>
  </si>
  <si>
    <t>سيريا ستارة شخصيات وورم</t>
  </si>
  <si>
    <t>بوكيه جيبس فل</t>
  </si>
  <si>
    <t>ORD-1765058111326-344</t>
  </si>
  <si>
    <t>بوكيه وورد مجفف</t>
  </si>
  <si>
    <t>مقزمة جريبيرة sf-188</t>
  </si>
  <si>
    <t xml:space="preserve">فازة خزف ريش </t>
  </si>
  <si>
    <t>شجرة تركيب 18 ورقة</t>
  </si>
  <si>
    <t>ORD-1765058111330-475</t>
  </si>
  <si>
    <t>مقزمة نخله ثاني sf-160</t>
  </si>
  <si>
    <t>بوكيه  ورد صغير 5 فرع</t>
  </si>
  <si>
    <t>ORD-1765058111335-915</t>
  </si>
  <si>
    <t>فازة فخار مطبق حجارة كبيرة</t>
  </si>
  <si>
    <t>ORD-1765058111340-595</t>
  </si>
  <si>
    <t>فازة خزف ريش</t>
  </si>
  <si>
    <t>شوكة كبيرة</t>
  </si>
  <si>
    <t>ORD-1765058111345-543</t>
  </si>
  <si>
    <t>ورد لوزة نفخ</t>
  </si>
  <si>
    <t>بوكيه بلاستيك وفرعين مشمش</t>
  </si>
  <si>
    <t>بوكيه بلاستيك وورد روز</t>
  </si>
  <si>
    <t>ORD-1765058111349-585</t>
  </si>
  <si>
    <t>دستة مانجوليا</t>
  </si>
  <si>
    <t>عبدالفتاح</t>
  </si>
  <si>
    <t>ORD-1765058111354-993</t>
  </si>
  <si>
    <t>سحبة قرنفل ونجمة</t>
  </si>
  <si>
    <t xml:space="preserve">ريش ازرق </t>
  </si>
  <si>
    <t>بوكيه خزف صغير</t>
  </si>
  <si>
    <t>Used 3 in MTM-002  | Used 3 in MTM-002</t>
  </si>
  <si>
    <t>ORD-1765058111359-935</t>
  </si>
  <si>
    <t>بوكيه ورد كبير وردي</t>
  </si>
  <si>
    <t>ORD-1765058111365-665</t>
  </si>
  <si>
    <t>فازة زجاج 219/4</t>
  </si>
  <si>
    <t>شمعدان ديكور ساعة 1E</t>
  </si>
  <si>
    <t>ORD-1765058111372-901</t>
  </si>
  <si>
    <t>بوكيه بلاستيك واتنين صغيرين</t>
  </si>
  <si>
    <t>دوناتس مستطيل</t>
  </si>
  <si>
    <t>ORD-1765058111377-814</t>
  </si>
  <si>
    <t>فازة زجاج 219/2</t>
  </si>
  <si>
    <t>مزرعة صغيرة اكليرك اصغر</t>
  </si>
  <si>
    <t>ORD-1765058111383-847</t>
  </si>
  <si>
    <t>ورد بلدي احمر</t>
  </si>
  <si>
    <t>ORD-1765058111389-358</t>
  </si>
  <si>
    <t>بوكيه بلاستيك  و ورد شبه التاج</t>
  </si>
  <si>
    <t>طقم شمع</t>
  </si>
  <si>
    <t>ORD-1765058111394-179</t>
  </si>
  <si>
    <t xml:space="preserve">بوكيه بلاستيك وورد روز </t>
  </si>
  <si>
    <t>ORD-1765058111399-739</t>
  </si>
  <si>
    <t>Used 0.4444444444444444 in مزرعة-خزف</t>
  </si>
  <si>
    <t>شجرة اخضر 48</t>
  </si>
  <si>
    <t>بوكيه بلاستيك وورد مقفول</t>
  </si>
  <si>
    <t>ورد يسمين</t>
  </si>
  <si>
    <t>ORD-1765058111404-618</t>
  </si>
  <si>
    <t xml:space="preserve">مزرعة </t>
  </si>
  <si>
    <t>ورد خرشوف لونين</t>
  </si>
  <si>
    <t>ORD-1765058111409-193</t>
  </si>
  <si>
    <t>ORD-1765058111414-458</t>
  </si>
  <si>
    <t>بوكيه جلد</t>
  </si>
  <si>
    <t>ORD-1765058111419-420</t>
  </si>
  <si>
    <t>ورد لوحدة</t>
  </si>
  <si>
    <t>اشكال سيلفرات اقل</t>
  </si>
  <si>
    <t>Manufactured via  تفكيك</t>
  </si>
  <si>
    <t>ORD-1765058111424-533</t>
  </si>
  <si>
    <t>كتب</t>
  </si>
  <si>
    <t>ORD-1765058111429-539</t>
  </si>
  <si>
    <t>لوحة 3 قطع</t>
  </si>
  <si>
    <t>جلد 18 تركيب احمر</t>
  </si>
  <si>
    <t>بوكيه مشمش الفرسان</t>
  </si>
  <si>
    <t>ORD-1765058111449-456</t>
  </si>
  <si>
    <t>علبة مناديل كريستال علاء شاكر</t>
  </si>
  <si>
    <t>كريستال</t>
  </si>
  <si>
    <t>شركة علاء شاكر</t>
  </si>
  <si>
    <t>ORD-1765058111454-949</t>
  </si>
  <si>
    <t>شجرة تركيب 24 ورقة خلص</t>
  </si>
  <si>
    <t>بونبونيرة اكليرك</t>
  </si>
  <si>
    <t>ORD-1765058111459-745</t>
  </si>
  <si>
    <t>توليب</t>
  </si>
  <si>
    <t>ORD-1765058111464-901</t>
  </si>
  <si>
    <t>ORD-1765058111479-438</t>
  </si>
  <si>
    <t xml:space="preserve">ريش  </t>
  </si>
  <si>
    <t>ORD-1765058111495-943</t>
  </si>
  <si>
    <t>بلاستيك</t>
  </si>
  <si>
    <t>ORD-1765058111500-796</t>
  </si>
  <si>
    <t>شمعة 010</t>
  </si>
  <si>
    <t>سربا شريط ليد 8052 (10م)</t>
  </si>
  <si>
    <t>ليد</t>
  </si>
  <si>
    <t>ORD-1765058111505-895</t>
  </si>
  <si>
    <t>لليام 9 فرع</t>
  </si>
  <si>
    <t>ORD-1765058111509-920</t>
  </si>
  <si>
    <t>ORD-1765058111515-357</t>
  </si>
  <si>
    <t/>
  </si>
  <si>
    <t>ORD-1765058111520-932</t>
  </si>
  <si>
    <t>طقم ترمص</t>
  </si>
  <si>
    <t>ORD-1765058111524-169</t>
  </si>
  <si>
    <t xml:space="preserve">بوت صغير هااند ميد و 2 بوكيه </t>
  </si>
  <si>
    <t>جلد 18 تركيب ورقة كبيرة</t>
  </si>
  <si>
    <t>ORD-1765058111529-490</t>
  </si>
  <si>
    <t xml:space="preserve">بوت تركي هاند ميد </t>
  </si>
  <si>
    <t>فازة خزف صغيرة تركي</t>
  </si>
  <si>
    <t>ORD-1765058111533-853</t>
  </si>
  <si>
    <t>مقزم وردة قطيفة</t>
  </si>
  <si>
    <t>ORD-1765058111538-182</t>
  </si>
  <si>
    <t>بوكيه مشمش</t>
  </si>
  <si>
    <t>ORD-1765058111559-881</t>
  </si>
  <si>
    <t>مقزم اربع وردات قطيفة</t>
  </si>
  <si>
    <t>قرنفل جيبسفيل</t>
  </si>
  <si>
    <t>فواحة 168/29</t>
  </si>
  <si>
    <t>ORD-1765058111564-838</t>
  </si>
  <si>
    <t>بوكيه كله</t>
  </si>
  <si>
    <t>بلورة زمبلك 100/20/1</t>
  </si>
  <si>
    <t>ORD-1765058111568-939</t>
  </si>
  <si>
    <t>مقزم تلات فروع قرنفل جيبسفيل</t>
  </si>
  <si>
    <t>manufacrured</t>
  </si>
  <si>
    <t xml:space="preserve">بوكيه ورد كبير </t>
  </si>
  <si>
    <t>ORD-1765058111573-890</t>
  </si>
  <si>
    <t>بلورة زمبلك - 2420</t>
  </si>
  <si>
    <t>مقزم هيدروجين</t>
  </si>
  <si>
    <t>مبخرة كهرباء 002/7</t>
  </si>
  <si>
    <t>فازة فخار مطبق حجارة صغيرة</t>
  </si>
  <si>
    <t>ORD-1765058111590-174</t>
  </si>
  <si>
    <t>دستة مانجوليا الفرسان</t>
  </si>
  <si>
    <t>الفرسان</t>
  </si>
  <si>
    <t xml:space="preserve"> | Used 0.25 in شجر-مانجوليا | Used 0.75 in شجر-مانجوليا | Used 2 in شجرة-مانغوليا-110سم</t>
  </si>
  <si>
    <t>بخور ميسك كيس 5097</t>
  </si>
  <si>
    <t>ORD-1765058111595-257</t>
  </si>
  <si>
    <t xml:space="preserve">نتيجة </t>
  </si>
  <si>
    <t>ORD-1765058111599-551</t>
  </si>
  <si>
    <t>شمع 006/96</t>
  </si>
  <si>
    <t>فواحة 168/5</t>
  </si>
  <si>
    <t>ORD-1765058111616-775</t>
  </si>
  <si>
    <t>ORD-1765058111622-426</t>
  </si>
  <si>
    <t>ORD-1765058111631-532</t>
  </si>
  <si>
    <t>بوكية اربع وردات</t>
  </si>
  <si>
    <t>ORD-1765058111636-570</t>
  </si>
  <si>
    <t>أباجورة USB ناش 358 (عرض خاص)</t>
  </si>
  <si>
    <t>ORD-1765058111641-930</t>
  </si>
  <si>
    <t>بخور فحم بالقطعة 0411/12</t>
  </si>
  <si>
    <t>ORD-1765058111647-558</t>
  </si>
  <si>
    <t>ORD-1765058111652-347</t>
  </si>
  <si>
    <t>مبخرة كهرباء 7057</t>
  </si>
  <si>
    <t>ORD-1765058111656-144</t>
  </si>
  <si>
    <t>مزرعة خزف صغيرة</t>
  </si>
  <si>
    <t>مبخرة كهرباء 6770</t>
  </si>
  <si>
    <t>ORD-1765058111661-110</t>
  </si>
  <si>
    <t>ORD-1765058111666-745</t>
  </si>
  <si>
    <t>أباجورة يو اس بي 77/34/2</t>
  </si>
  <si>
    <t>مزرعة خزف  كبيرة</t>
  </si>
  <si>
    <t>ORD-1765058111671-926</t>
  </si>
  <si>
    <t>ORD-1765058111676-859</t>
  </si>
  <si>
    <t>بوت 2 شريطة دهبي</t>
  </si>
  <si>
    <t>فواحة USB 170/4</t>
  </si>
  <si>
    <t>ORD-1765058111681-859</t>
  </si>
  <si>
    <t>مقشة</t>
  </si>
  <si>
    <t>غزالة خزف</t>
  </si>
  <si>
    <t>شمعة 1011</t>
  </si>
  <si>
    <t>ورد لحدة</t>
  </si>
  <si>
    <t>ORD-1765058111686-142</t>
  </si>
  <si>
    <t>مساحة تراب</t>
  </si>
  <si>
    <t>مقزمة حوض أسود sf-161</t>
  </si>
  <si>
    <t>شمعة 012/96</t>
  </si>
  <si>
    <t>ORD-1765058111691-413</t>
  </si>
  <si>
    <t>ORD-1765058111696-668</t>
  </si>
  <si>
    <t>شمعة جبل 403/181</t>
  </si>
  <si>
    <t>احمد اشرف جاليري</t>
  </si>
  <si>
    <t>طقم شمع مضيء 263/1</t>
  </si>
  <si>
    <t>ORD-1765058111702-354</t>
  </si>
  <si>
    <t>شمع</t>
  </si>
  <si>
    <t>شمعة 1003</t>
  </si>
  <si>
    <t>شركة الهضبة</t>
  </si>
  <si>
    <t>ORD-1765058111706-403</t>
  </si>
  <si>
    <t>برواز ورد دهبي ثلاثي</t>
  </si>
  <si>
    <t>ورد ديكور لوكس 0068</t>
  </si>
  <si>
    <t>ORD-1765058111711-235</t>
  </si>
  <si>
    <t>زياتة</t>
  </si>
  <si>
    <t>ORD-1765058111717-238</t>
  </si>
  <si>
    <t>سربا شريط ليد 8053 (5م)</t>
  </si>
  <si>
    <t>بيبي فلاور هيش ابيض</t>
  </si>
  <si>
    <t>ورد ديكور محمد رشدي</t>
  </si>
  <si>
    <t>ORD-1765058111722-687</t>
  </si>
  <si>
    <t>ORD-1765058111726-680</t>
  </si>
  <si>
    <t>مقزمة أوركيد فردي sf-158</t>
  </si>
  <si>
    <t>تابلوه رباعي 6042</t>
  </si>
  <si>
    <t>تابلوه ديكور</t>
  </si>
  <si>
    <t>مروحة يد 339/3</t>
  </si>
  <si>
    <t>ORD-1765058111731-185</t>
  </si>
  <si>
    <t>شجر صناعي</t>
  </si>
  <si>
    <t>مقزمة أوركيد ثلاثي f-156</t>
  </si>
  <si>
    <t>Manufactured via MTM-002</t>
  </si>
  <si>
    <t>مروحة يد 339/2</t>
  </si>
  <si>
    <t>فواحة 168/7</t>
  </si>
  <si>
    <t>ORD-1765058111741-646</t>
  </si>
  <si>
    <t>هزاز أعصاب - 101/105</t>
  </si>
  <si>
    <t>ORD-1765058111746-909</t>
  </si>
  <si>
    <t>ORD-1765058111751-957</t>
  </si>
  <si>
    <t>مقزمة سيليكون جزع ليف sf-162</t>
  </si>
  <si>
    <t>بوكيه فل منفوش</t>
  </si>
  <si>
    <t>علبة مناديل كريستال خلص</t>
  </si>
  <si>
    <t>ORD-1765058111756-699</t>
  </si>
  <si>
    <t>برج إيفل 15CM</t>
  </si>
  <si>
    <t>ORD-1765058111761-645</t>
  </si>
  <si>
    <t>لوحة كبيرة</t>
  </si>
  <si>
    <t>ديكور بالنور 68305</t>
  </si>
  <si>
    <t>ORD-1765058111765-522</t>
  </si>
  <si>
    <t>تابلوه ثلاثي كبير 6041</t>
  </si>
  <si>
    <t>ORD-1765058111771-631</t>
  </si>
  <si>
    <t>ديكور معدن 6656/1</t>
  </si>
  <si>
    <t>بوكية احمر قطيفة</t>
  </si>
  <si>
    <t>شركة البطل</t>
  </si>
  <si>
    <t>ORD-1765058111777-440</t>
  </si>
  <si>
    <t>مقزمة قنفذ</t>
  </si>
  <si>
    <t>Manufactured via بوكيه-احمر-قطيفة</t>
  </si>
  <si>
    <t>ورد فلاور شبه الفل</t>
  </si>
  <si>
    <t>ورد مجفف مصري 561</t>
  </si>
  <si>
    <t>ORD-1765058111782-197</t>
  </si>
  <si>
    <t>مبخرة كهرباء - 002/7</t>
  </si>
  <si>
    <t>ORD-1765058111787-204</t>
  </si>
  <si>
    <t>مزرعة بورسلين جديد حسين علي</t>
  </si>
  <si>
    <t>ديكور بللور 68255</t>
  </si>
  <si>
    <t>هزاز أعصاب - 502/36</t>
  </si>
  <si>
    <t>ORD-1765058111793-294</t>
  </si>
  <si>
    <t>كرة كريستال 1294</t>
  </si>
  <si>
    <t>ديكور معدن 344/4</t>
  </si>
  <si>
    <t>مقزمة بورسلين ابيض</t>
  </si>
  <si>
    <t>ORD-1765058111797-995</t>
  </si>
  <si>
    <t>ديكور معدن 344/5</t>
  </si>
  <si>
    <t>توليب سيليكون</t>
  </si>
  <si>
    <t>ORD-1765058111802-991</t>
  </si>
  <si>
    <t>ديكور معدن 344/3</t>
  </si>
  <si>
    <t>ORD-1765058111820-255</t>
  </si>
  <si>
    <t>كريستالة معلقة هلال</t>
  </si>
  <si>
    <t>ديكور معدن 671</t>
  </si>
  <si>
    <t>ORD-1765058111825-845</t>
  </si>
  <si>
    <t>مزرعة صغيرة جاهزة</t>
  </si>
  <si>
    <t>ديكور معدن 672</t>
  </si>
  <si>
    <t>ORD-1765058111831-712</t>
  </si>
  <si>
    <t>سيلفر غزالة</t>
  </si>
  <si>
    <t>كوب زجاج (عرض خاص) 529/2</t>
  </si>
  <si>
    <t>مبخرة كهرباء 7053/2</t>
  </si>
  <si>
    <t>ORD-1765058111843-334</t>
  </si>
  <si>
    <t>طفاية كريستال ازاز</t>
  </si>
  <si>
    <t>تابلوه ثلاثي كبير - 6041</t>
  </si>
  <si>
    <t>ORD-1765058111849-979</t>
  </si>
  <si>
    <t>سيلفرعصفورة</t>
  </si>
  <si>
    <t>اباجورة شكل 0 خلص</t>
  </si>
  <si>
    <t>ORD-1765058111854-608</t>
  </si>
  <si>
    <t>ورد ديكور 16/25209</t>
  </si>
  <si>
    <t>ORD-1765058111872-535</t>
  </si>
  <si>
    <t>مبخرة فحم 4424</t>
  </si>
  <si>
    <t>ORD-1765058111891-442</t>
  </si>
  <si>
    <t>هاند ميد كونكريت</t>
  </si>
  <si>
    <t>ORD-1765058111911-772</t>
  </si>
  <si>
    <t>مبخرة فحم 43/3</t>
  </si>
  <si>
    <t>ORD-1765058111929-731</t>
  </si>
  <si>
    <t>مبخرة فحم - 2870</t>
  </si>
  <si>
    <t>مربع هاند ميد</t>
  </si>
  <si>
    <t>ديكور معدن 218</t>
  </si>
  <si>
    <t>ORD-1765058111935-441</t>
  </si>
  <si>
    <t>بوت صغير مقزمات حسين علي</t>
  </si>
  <si>
    <t>بوكيه بلاستيك</t>
  </si>
  <si>
    <t>ORD-1765058111945-319</t>
  </si>
  <si>
    <t>شنطة هدايا S</t>
  </si>
  <si>
    <t>ياسمين صغير</t>
  </si>
  <si>
    <t>فانوس كريستال بللور 423/2</t>
  </si>
  <si>
    <t>ORD-1765058111963-478</t>
  </si>
  <si>
    <t>بوت مستطيل بكسر رخام</t>
  </si>
  <si>
    <t>ORD-1765058111968-559</t>
  </si>
  <si>
    <t>فانوس بطيخة ميتالك 255/20</t>
  </si>
  <si>
    <t>بوكيه فرح 193/1</t>
  </si>
  <si>
    <t>بوكيه جاهز</t>
  </si>
  <si>
    <t>ORD-1765058111973-423</t>
  </si>
  <si>
    <t>مبخرة فحم 1939</t>
  </si>
  <si>
    <t>فانوس رباعي ذهبي 033118</t>
  </si>
  <si>
    <t>مبخرة فحم 3710</t>
  </si>
  <si>
    <t>ORD-1765058111978-838</t>
  </si>
  <si>
    <t>فانوس الرايق 26/36</t>
  </si>
  <si>
    <t>مبخرة كهرباء 1942</t>
  </si>
  <si>
    <t>اباجورة USB تاتش 734/26</t>
  </si>
  <si>
    <t>ORD-1765058111984-478</t>
  </si>
  <si>
    <t>فانوس لمبة جاز 26/25</t>
  </si>
  <si>
    <t>ORD-1765058111989-173</t>
  </si>
  <si>
    <t>ديكور بالنور68144</t>
  </si>
  <si>
    <t>فانوس المسجد النبوي 26/20</t>
  </si>
  <si>
    <t>ORD-1765058111996-192</t>
  </si>
  <si>
    <t>24 وردة علاء شاكر</t>
  </si>
  <si>
    <t>لفظ جلالة كبير</t>
  </si>
  <si>
    <t>ORD-1765058112001-547</t>
  </si>
  <si>
    <t>مقزم قرنفل</t>
  </si>
  <si>
    <t>مبخرة كهرباء 6924</t>
  </si>
  <si>
    <t>ORD-1765058112006-809</t>
  </si>
  <si>
    <t>بوكيه وردة قطيفة</t>
  </si>
  <si>
    <t xml:space="preserve">شيالة ازاز 3 </t>
  </si>
  <si>
    <t>مبخرة 6011</t>
  </si>
  <si>
    <t>ORD-1765058112012-186</t>
  </si>
  <si>
    <t>ORD-1765058112017-909</t>
  </si>
  <si>
    <t>فانوس بلاستيك بطيخة 255/51</t>
  </si>
  <si>
    <t>ORD-1765058112022-769</t>
  </si>
  <si>
    <t>مبخرة كهرباء 7319</t>
  </si>
  <si>
    <t>ORD-1765058112027-882</t>
  </si>
  <si>
    <t>أباجورة USB تاتش - 359</t>
  </si>
  <si>
    <t>كيس ورد مجفف</t>
  </si>
  <si>
    <t>ORD-1765058112033-916</t>
  </si>
  <si>
    <t>مبخرة كهرباء 7091</t>
  </si>
  <si>
    <t>آلة حاسبة 656/120 (عرض)</t>
  </si>
  <si>
    <t>ORD-1765058112054-678</t>
  </si>
  <si>
    <t>خوص هاند ميد</t>
  </si>
  <si>
    <t>ديكور معدن 254/1B</t>
  </si>
  <si>
    <t>ديكور معدن</t>
  </si>
  <si>
    <t>ORD-1765058112058-986</t>
  </si>
  <si>
    <t>ORD-1765058112063-884</t>
  </si>
  <si>
    <t>ديكور معدن 254/1A</t>
  </si>
  <si>
    <t>مبخرة كهرباء 6902</t>
  </si>
  <si>
    <t>كونكريت كبير</t>
  </si>
  <si>
    <t>ORD-1765058112068-746</t>
  </si>
  <si>
    <t>بوكيه كلة صغير</t>
  </si>
  <si>
    <t>ORD-1765058112072-615</t>
  </si>
  <si>
    <t>بوكيه ورد ابيض كبير</t>
  </si>
  <si>
    <t>مبخرة كهرباء - 7091</t>
  </si>
  <si>
    <t>مبخرة - 6155</t>
  </si>
  <si>
    <t>ORD-1765058112077-250</t>
  </si>
  <si>
    <t>بوكيه زهرة الياسمين</t>
  </si>
  <si>
    <t>كونكريت صغير</t>
  </si>
  <si>
    <t>ORD-1765058112082-287</t>
  </si>
  <si>
    <t>مبخرة فحم 3788</t>
  </si>
  <si>
    <t>ORD-1765058112101-853</t>
  </si>
  <si>
    <t>مبخرة كهرباء - 6770</t>
  </si>
  <si>
    <t>ORD-1765058112105-666</t>
  </si>
  <si>
    <t>مبخرة فحم 8891</t>
  </si>
  <si>
    <t>ديكور معدن 187</t>
  </si>
  <si>
    <t>ورد بلدي 10 وردة جديد</t>
  </si>
  <si>
    <t>ORD-1765058112123-439</t>
  </si>
  <si>
    <t xml:space="preserve"> | Used 0.1 in وردة-بلدي | Used 0.4 in تصنيع-بوكيه-ميكس | Used 0.7142857142857142 in مقزم-بلدي-قطيفة</t>
  </si>
  <si>
    <t>ORD-1765058112146-837</t>
  </si>
  <si>
    <t>شمع 3009/1</t>
  </si>
  <si>
    <t>مبخرة فحم 2556</t>
  </si>
  <si>
    <t>ORD-1765058112153-441</t>
  </si>
  <si>
    <t>مج مربع بشالموه</t>
  </si>
  <si>
    <t>شجرة  تركيب 24 ورقة</t>
  </si>
  <si>
    <t>شمع 35</t>
  </si>
  <si>
    <t>محمود</t>
  </si>
  <si>
    <t>ORD-1765058112159-703</t>
  </si>
  <si>
    <t>ريش</t>
  </si>
  <si>
    <t>بلورة رمضان رميلة (عرض)</t>
  </si>
  <si>
    <t>ORD-1765058112182-954</t>
  </si>
  <si>
    <t>بوكية قرنفل</t>
  </si>
  <si>
    <t>ORD-1765058112205-385</t>
  </si>
  <si>
    <t>شمعة 4125</t>
  </si>
  <si>
    <t>ORD-1765058112212-711</t>
  </si>
  <si>
    <t>ORD-1765058112218-197</t>
  </si>
  <si>
    <t>ديكور معدن 2022/4E</t>
  </si>
  <si>
    <t>ORD-1765058112225-162</t>
  </si>
  <si>
    <t>ديكور معدن 2022/079B</t>
  </si>
  <si>
    <t>فواحة  091/3</t>
  </si>
  <si>
    <t>ORD-1765058112233-880</t>
  </si>
  <si>
    <t>ديكور معدن 2022/079D</t>
  </si>
  <si>
    <t>ORD-1765058112240-202</t>
  </si>
  <si>
    <t>فازة خزف صغيرة</t>
  </si>
  <si>
    <t>بلدي فرسان 24</t>
  </si>
  <si>
    <t>ورد لوحد</t>
  </si>
  <si>
    <t>ORD-1765058112248-777</t>
  </si>
  <si>
    <t>كيس فوم ورد صغير</t>
  </si>
  <si>
    <t>ORD-1765058112256-716</t>
  </si>
  <si>
    <t>ORD-1765058112282-611</t>
  </si>
  <si>
    <t>تقيلة زجاج 615/17</t>
  </si>
  <si>
    <t>ديكور معدن 2022/079E</t>
  </si>
  <si>
    <t>ORD-1765058112309-638</t>
  </si>
  <si>
    <t>تقيلة زجاج 615/3</t>
  </si>
  <si>
    <t>ديكور معدن 2022/079C</t>
  </si>
  <si>
    <t>ORD-1765058112345-434</t>
  </si>
  <si>
    <t>دوناتس ثنائي</t>
  </si>
  <si>
    <t>invalid</t>
  </si>
  <si>
    <t>ورد خرشوف احمر</t>
  </si>
  <si>
    <t>فانوس ديكور ميتالك 255/121</t>
  </si>
  <si>
    <t>شمعدان رفيع طويل اسود علاء شاكر</t>
  </si>
  <si>
    <t>ORD-1765058112353-347</t>
  </si>
  <si>
    <t>كرة كريستال 917/4</t>
  </si>
  <si>
    <t>علبة مناديل اكليرك</t>
  </si>
  <si>
    <t>ORD-1765058112358-889</t>
  </si>
  <si>
    <t>مبخرة فحم 3770/1</t>
  </si>
  <si>
    <t>ORD-1765058112364-214</t>
  </si>
  <si>
    <t>علبة مناديل فيونكة</t>
  </si>
  <si>
    <t>فانوس أنتيك 755/1136</t>
  </si>
  <si>
    <t>بوكيه ورد كبير</t>
  </si>
  <si>
    <t>ساعة رملية 601/3</t>
  </si>
  <si>
    <t>ORD-1765058112371-221</t>
  </si>
  <si>
    <t>فواحة 168/9</t>
  </si>
  <si>
    <t>ORD-1765058112377-505</t>
  </si>
  <si>
    <t>هدايا بالنور استيشن - 14816</t>
  </si>
  <si>
    <t>بخور ميسوس كيس</t>
  </si>
  <si>
    <t>هدايا بالنور استيشن - 13785</t>
  </si>
  <si>
    <t>بخور انسام 5 ساعات</t>
  </si>
  <si>
    <t>ديكور معدن 254/2E</t>
  </si>
  <si>
    <t>ORD-1765058112384-857</t>
  </si>
  <si>
    <t>كرة كريستال 378/2</t>
  </si>
  <si>
    <t>بلدي قطيفة 7 فرع</t>
  </si>
  <si>
    <t>نتيجة ريشة</t>
  </si>
  <si>
    <t>فانوس بلاستيك قدس 255/153</t>
  </si>
  <si>
    <t>ORD-1765058112389-972</t>
  </si>
  <si>
    <t>ORD-1765058112395-436</t>
  </si>
  <si>
    <t>ORD-1765058112400-643</t>
  </si>
  <si>
    <t>ريش دوناتس</t>
  </si>
  <si>
    <t>ديكور معدن - 6656/2</t>
  </si>
  <si>
    <t>ORD-1765058112405-983</t>
  </si>
  <si>
    <t>فانوس أنتيك ذهبي 665</t>
  </si>
  <si>
    <t>ديكور معدن - 178/60</t>
  </si>
  <si>
    <t>طقم دوناتس خ</t>
  </si>
  <si>
    <t>ORD-1765058112411-152</t>
  </si>
  <si>
    <t>ORD-1765058112417-201</t>
  </si>
  <si>
    <t>ديكور معدن - 218</t>
  </si>
  <si>
    <t>ORD-1765058112423-595</t>
  </si>
  <si>
    <t>ORD-1765058112429-584</t>
  </si>
  <si>
    <t>دستة ورق بنجمينا ابيض</t>
  </si>
  <si>
    <t>ORD-1765058112436-113</t>
  </si>
  <si>
    <t xml:space="preserve"> | Used 0.7142857142857143 in بوكيه-احمر-قطيفة | Used 0.14285714285714285 in بوكيه-احمر-قطيفة |   | Used 1 in مقزم-احمر-قطيفة</t>
  </si>
  <si>
    <t>ساعة حائط 3239</t>
  </si>
  <si>
    <t>ساعة</t>
  </si>
  <si>
    <t>هدايا بالنور استيشن - 14925</t>
  </si>
  <si>
    <t>ORD-1765058112442-614</t>
  </si>
  <si>
    <t>بروبلين 10 سم</t>
  </si>
  <si>
    <t>ORD-1765058112448-227</t>
  </si>
  <si>
    <t>شمعدان رفيع طويل دهبي علاء شاكر</t>
  </si>
  <si>
    <t>ORD-1765732612939-577</t>
  </si>
  <si>
    <t>مبخرة كهرباء 6894</t>
  </si>
  <si>
    <t>ORD-1765732612945-715</t>
  </si>
  <si>
    <t>بخور</t>
  </si>
  <si>
    <t>ريش مكثف</t>
  </si>
  <si>
    <t>ORD-1765732612950-997</t>
  </si>
  <si>
    <t>فازة زجاج 629/20</t>
  </si>
  <si>
    <t>فازة زجاج</t>
  </si>
  <si>
    <t>دابل فيس 12م</t>
  </si>
  <si>
    <t>ORD-1765732612957-166</t>
  </si>
  <si>
    <t>ORD-1765732612962-276</t>
  </si>
  <si>
    <t>ORD-1765732612967-483</t>
  </si>
  <si>
    <t>هزاز أعصاب - 6005</t>
  </si>
  <si>
    <t>ساعة 325/1</t>
  </si>
  <si>
    <t>ORD-1765732612972-200</t>
  </si>
  <si>
    <t>نتيجة مربعة</t>
  </si>
  <si>
    <t>فواحة 168/10 (عرض خاص)</t>
  </si>
  <si>
    <t>ORD-1765732612977-733</t>
  </si>
  <si>
    <t>فواحة USB 170/3</t>
  </si>
  <si>
    <t>بوت صغير مقزمات</t>
  </si>
  <si>
    <t>ORD-1765732612983-527</t>
  </si>
  <si>
    <t>فواحة 168/4</t>
  </si>
  <si>
    <t>ORD-1765732612989-165</t>
  </si>
  <si>
    <t>شمع ببطارية - 960/2</t>
  </si>
  <si>
    <t>ORD-1765732612995-643</t>
  </si>
  <si>
    <t>مقزم شجر</t>
  </si>
  <si>
    <t>ORD-1765732613001-697</t>
  </si>
  <si>
    <t>ORD-1765732613007-353</t>
  </si>
  <si>
    <t>علبة بخور المدينة</t>
  </si>
  <si>
    <t>ORD-1765732613014-758</t>
  </si>
  <si>
    <t>مقزم وردة حمرا قطيفة</t>
  </si>
  <si>
    <t>ORD-1765732613020-903</t>
  </si>
  <si>
    <t>خضره 24 كلا</t>
  </si>
  <si>
    <t>ORD-1765732613030-455</t>
  </si>
  <si>
    <t>ORD-1765732613036-818</t>
  </si>
  <si>
    <t>مبخرة فحم 2470</t>
  </si>
  <si>
    <t>ORD-1765732613042-652</t>
  </si>
  <si>
    <t>ORD-1765732613048-539</t>
  </si>
  <si>
    <t>كوباية ميكاب كريستال</t>
  </si>
  <si>
    <t>مبخرة فحم 3207</t>
  </si>
  <si>
    <t>ORD-1765732613055-323</t>
  </si>
  <si>
    <t>مبخرة فحم 3564</t>
  </si>
  <si>
    <t>ORD-1765732613062-969</t>
  </si>
  <si>
    <t>كرستال صغير</t>
  </si>
  <si>
    <t>ORD-1765732613069-144</t>
  </si>
  <si>
    <t>ORD-1765732613074-526</t>
  </si>
  <si>
    <t>حجر ريموت</t>
  </si>
  <si>
    <t>ORD-1765732613081-944</t>
  </si>
  <si>
    <t>ORD-1765732613090-652</t>
  </si>
  <si>
    <t>شنطة هدايا لوكس m - 789/20</t>
  </si>
  <si>
    <t>مبخرة فحم 4333</t>
  </si>
  <si>
    <t>ORD-1765732613094-631</t>
  </si>
  <si>
    <t>ورد بلدي 10 وردة</t>
  </si>
  <si>
    <t>ORD-1765732613099-940</t>
  </si>
  <si>
    <t>ORD-1765732613104-919</t>
  </si>
  <si>
    <t>ديكور معدن - 678</t>
  </si>
  <si>
    <t>ORD-1765732613110-686</t>
  </si>
  <si>
    <t>توليب 24 الفرسان</t>
  </si>
  <si>
    <t>ORD-1765732613116-952</t>
  </si>
  <si>
    <t>مبخرة كهرباء 6656 (عرض خاص)</t>
  </si>
  <si>
    <t>بلورة حجر - 570/36</t>
  </si>
  <si>
    <t>ORD-1765732613121-611</t>
  </si>
  <si>
    <t>ORD-1765732613126-243</t>
  </si>
  <si>
    <t>هدايا بالنور 14926</t>
  </si>
  <si>
    <t>ORD-1765732613131-507</t>
  </si>
  <si>
    <t>ريشة دوناتس</t>
  </si>
  <si>
    <t>ORD-1765732613136-260</t>
  </si>
  <si>
    <t>شجرة مانغوليا 110 سم خلص</t>
  </si>
  <si>
    <t>ORD-1765732613141-282</t>
  </si>
  <si>
    <t>رف سداسي</t>
  </si>
  <si>
    <t>سلة زجاج 615/12</t>
  </si>
  <si>
    <t>12/15/2025</t>
  </si>
  <si>
    <t>ORD-1765732613147-702</t>
  </si>
  <si>
    <t>بروبلين 5سم</t>
  </si>
  <si>
    <t>ORD-1765732613153-449</t>
  </si>
  <si>
    <t>عباادة بيبي فلاور</t>
  </si>
  <si>
    <t>ORD-1765732613158-102</t>
  </si>
  <si>
    <t>ORD-1765732613164-962</t>
  </si>
  <si>
    <t>ORD-1765732613169-676</t>
  </si>
  <si>
    <t>ORD-1765732613174-652</t>
  </si>
  <si>
    <t>ساعة حائط 3201</t>
  </si>
  <si>
    <t>تصنيع</t>
  </si>
  <si>
    <t>نتيجة دبدوب</t>
  </si>
  <si>
    <t>ORD-1765736779120-612</t>
  </si>
  <si>
    <t>ORD-1765901896044-592</t>
  </si>
  <si>
    <t>توليب 24</t>
  </si>
  <si>
    <t>ORD-1765901896054-771</t>
  </si>
  <si>
    <t>كريستال ديكور زجاجة واحدة</t>
  </si>
  <si>
    <t>ORD-1765901896063-324</t>
  </si>
  <si>
    <t>ORD-1765901896075-882</t>
  </si>
  <si>
    <t>ديكور معدن 677</t>
  </si>
  <si>
    <t>ORD-1765901896085-836</t>
  </si>
  <si>
    <t>كرة كريستال 1294 خ</t>
  </si>
  <si>
    <t>جزع 80 سم</t>
  </si>
  <si>
    <t>جزوع</t>
  </si>
  <si>
    <t>ORD-1765901896095-211</t>
  </si>
  <si>
    <t>جزع 110 سم</t>
  </si>
  <si>
    <t>برواز ثلاثي شعبي</t>
  </si>
  <si>
    <t>ORD-1765901896105-492</t>
  </si>
  <si>
    <t>جزوع 1.5 متر</t>
  </si>
  <si>
    <t>قصرية 20سم</t>
  </si>
  <si>
    <t>ORD-1765901896114-449</t>
  </si>
  <si>
    <t>قصرية 16سم</t>
  </si>
  <si>
    <t>دابل فيس 18م</t>
  </si>
  <si>
    <t>ORD-1765901896125-178</t>
  </si>
  <si>
    <t>ORD-1765901896137-646</t>
  </si>
  <si>
    <t>دابل فيس 24م</t>
  </si>
  <si>
    <t>ORD-1765901896147-404</t>
  </si>
  <si>
    <t>مقزم بيبي فلاور صغير</t>
  </si>
  <si>
    <t>ديكور معدن - 190/60</t>
  </si>
  <si>
    <t>ORD-1766421980075-394</t>
  </si>
  <si>
    <t>مجسم</t>
  </si>
  <si>
    <t>ORD-1766421980084-417</t>
  </si>
  <si>
    <t>ياسمين سوبر جامبو</t>
  </si>
  <si>
    <t>ORD-1766421980092-195</t>
  </si>
  <si>
    <t>ORD-1766421980099-530</t>
  </si>
  <si>
    <t>ORD-1766421980113-889</t>
  </si>
  <si>
    <t>ساعة رميلة 92172</t>
  </si>
  <si>
    <t>ORD-1766421980126-992</t>
  </si>
  <si>
    <t>ORD-1766421980137-656</t>
  </si>
  <si>
    <t>تقيلة زجاج 615/19</t>
  </si>
  <si>
    <t>ORD-1766421980152-169</t>
  </si>
  <si>
    <t>بونبونيرة عجلة كبيرة</t>
  </si>
  <si>
    <t>ORD-1766421980170-873</t>
  </si>
  <si>
    <t>فانوس رمضان بلاستيك 3037/120</t>
  </si>
  <si>
    <t>ORD-1766421980192-509</t>
  </si>
  <si>
    <t>ORD-1766421980204-493</t>
  </si>
  <si>
    <t>برواز ثلاثي شعبي لك</t>
  </si>
  <si>
    <t>ORD-1766421980215-965</t>
  </si>
  <si>
    <t>خضره 24 كلة</t>
  </si>
  <si>
    <t>مقزم بيبي فلاور</t>
  </si>
  <si>
    <t>ORD-1766421980226-511</t>
  </si>
  <si>
    <t>قمر 18</t>
  </si>
  <si>
    <t>ORD-1766421980241-306</t>
  </si>
  <si>
    <t>فانوس ايكيا دوار 26/28</t>
  </si>
  <si>
    <t>ORD-1766421980252-371</t>
  </si>
  <si>
    <t>ORD-1766421980271-683</t>
  </si>
  <si>
    <t>فانوس فورچية إسلامي 26/38</t>
  </si>
  <si>
    <t>تابلوه ثلاثي صغير 0701</t>
  </si>
  <si>
    <t>ORD-1766421980292-755</t>
  </si>
  <si>
    <t>عروسة 6681</t>
  </si>
  <si>
    <t>دبدوب</t>
  </si>
  <si>
    <t>فازة زجاج 219/6</t>
  </si>
  <si>
    <t>ORD-1766421980305-121</t>
  </si>
  <si>
    <t>فرو 6703</t>
  </si>
  <si>
    <t>بوة 6256</t>
  </si>
  <si>
    <t>ORD-1766421980314-982</t>
  </si>
  <si>
    <t>بلوتو 5414</t>
  </si>
  <si>
    <t>ORD-1766421980326-943</t>
  </si>
  <si>
    <t>مسدس صابون ستيتش 156</t>
  </si>
  <si>
    <t>فازة بورسلين بقاعدة</t>
  </si>
  <si>
    <t>ORD-1766421980351-994</t>
  </si>
  <si>
    <t>كلة بيبي 24</t>
  </si>
  <si>
    <t>ORD-1766421980387-353</t>
  </si>
  <si>
    <t>XO وسط 1121</t>
  </si>
  <si>
    <t>برواز ثلاثي دهبي صغير</t>
  </si>
  <si>
    <t>بلدي لوزة 12</t>
  </si>
  <si>
    <t>ORD-1766421980399-857</t>
  </si>
  <si>
    <t>برواز فردي</t>
  </si>
  <si>
    <t>ORD-1766421980412-449</t>
  </si>
  <si>
    <t>شنطة هدايا 575/8</t>
  </si>
  <si>
    <t>شنط</t>
  </si>
  <si>
    <t>ORD-1766421980421-870</t>
  </si>
  <si>
    <t>برواز ثلاثي وسط</t>
  </si>
  <si>
    <t>ساعة حائط 3400</t>
  </si>
  <si>
    <t>ORD-1766860352028-259</t>
  </si>
  <si>
    <t>ORD-1766860352038-306</t>
  </si>
  <si>
    <t>قصرية 25سم</t>
  </si>
  <si>
    <t>ORD-1766860352045-821</t>
  </si>
  <si>
    <t>ORD-1766860352058-444</t>
  </si>
  <si>
    <t>ORD-1766860352069-206</t>
  </si>
  <si>
    <t>سحببة ورد نجمة</t>
  </si>
  <si>
    <t>ORD-1766860352077-481</t>
  </si>
  <si>
    <t>دوناتس ثلاثي حسين علي</t>
  </si>
  <si>
    <t>ORD-1766860352085-294</t>
  </si>
  <si>
    <t>ORD-1766860352093-325</t>
  </si>
  <si>
    <t>ORD-1766860352124-467</t>
  </si>
  <si>
    <t>رمل و كسر رخام</t>
  </si>
  <si>
    <t>بوكيه هيدروجين</t>
  </si>
  <si>
    <t>ORD-1766860352135-143</t>
  </si>
  <si>
    <t>ORD-1766860352144-690</t>
  </si>
  <si>
    <t>سلايم كيتي 2186/15</t>
  </si>
  <si>
    <t>ORD-1766860352151-318</t>
  </si>
  <si>
    <t>ORD-1766860352167-645</t>
  </si>
  <si>
    <t>ORD-1766860352177-638</t>
  </si>
  <si>
    <t>ORD-1766860352187-462</t>
  </si>
  <si>
    <t>شنطة هدايا بصمة 3MIN</t>
  </si>
  <si>
    <t>ORD-1766860352198-884</t>
  </si>
  <si>
    <t>مسدس صابون</t>
  </si>
  <si>
    <t>ORD-1766860352211-302</t>
  </si>
  <si>
    <t>العاب</t>
  </si>
  <si>
    <t>ORD-1766860352223-451</t>
  </si>
  <si>
    <t>اسبايدر مان 5396</t>
  </si>
  <si>
    <t>ORD-1766860352233-217</t>
  </si>
  <si>
    <t>سلة ديكور</t>
  </si>
  <si>
    <t>ORD-1766860352244-490</t>
  </si>
  <si>
    <t>بوكيه اربع وردات قطيفة</t>
  </si>
  <si>
    <t>شنطة هدايا صغير عادي</t>
  </si>
  <si>
    <t>ORD-1766860352255-242</t>
  </si>
  <si>
    <t>مروحة</t>
  </si>
  <si>
    <t>ORD-1766860352272-476</t>
  </si>
  <si>
    <t>ORD-1766860352282-142</t>
  </si>
  <si>
    <t>عربة خشب ديكور 6Y</t>
  </si>
  <si>
    <t>خشب</t>
  </si>
  <si>
    <t>ORD-1766860352293-354</t>
  </si>
  <si>
    <t>بوت بشريطة دهبي فاضيي خلص</t>
  </si>
  <si>
    <t>ORD-1767553993477-600</t>
  </si>
  <si>
    <t>ORD-1767553993484-710</t>
  </si>
  <si>
    <t>مجفف</t>
  </si>
  <si>
    <t>ORD-1767553993490-643</t>
  </si>
  <si>
    <t>برواز ثلاثي شعبي ك</t>
  </si>
  <si>
    <t>ORD-1767553993498-134</t>
  </si>
  <si>
    <t>ORD-1767553993503-184</t>
  </si>
  <si>
    <t>خضره اشابيه 7 فرع</t>
  </si>
  <si>
    <t>شمع بطارية 960/2</t>
  </si>
  <si>
    <t>ORD-1767553993509-537</t>
  </si>
  <si>
    <t>مزرعة ابيض مذهب</t>
  </si>
  <si>
    <t>ديكور بالنور 60/8</t>
  </si>
  <si>
    <t>ORD-1767553993515-771</t>
  </si>
  <si>
    <t>المهندس</t>
  </si>
  <si>
    <t>ORD-1767553993522-535</t>
  </si>
  <si>
    <t>Used 1 in مقزم_خضرا _الوان</t>
  </si>
  <si>
    <t>حجر قلم جاز (عرض خاص) - 459/3</t>
  </si>
  <si>
    <t>ORD-1767553993529-609</t>
  </si>
  <si>
    <t>ORD-1767553993537-591</t>
  </si>
  <si>
    <t>خضرة 18 فرسان الوان 95</t>
  </si>
  <si>
    <t>شركة الفرسان للاستيراد والتصدير</t>
  </si>
  <si>
    <t>ORD-1767553993545-502</t>
  </si>
  <si>
    <t>لليام 9 فرع علاء شاكر</t>
  </si>
  <si>
    <t>ORD-1768663694142-288</t>
  </si>
  <si>
    <t>سلة زجاج 615/22</t>
  </si>
  <si>
    <t xml:space="preserve">بوت صغير </t>
  </si>
  <si>
    <t>24/50/2026</t>
  </si>
  <si>
    <t>ORD-1768663694149-382</t>
  </si>
  <si>
    <t>بوكيه جيبس فيل</t>
  </si>
  <si>
    <t>ديكور</t>
  </si>
  <si>
    <t>ORD-1768663694157-671</t>
  </si>
  <si>
    <t>ORD-1768663694167-869</t>
  </si>
  <si>
    <t>ORD-1768674762485-621</t>
  </si>
  <si>
    <t>ORD-1768674762545-838</t>
  </si>
  <si>
    <t>عربية كروم صوت + نور 630</t>
  </si>
  <si>
    <t>ORD-1768674762563-946</t>
  </si>
  <si>
    <t>ORD-1768674762582-822</t>
  </si>
  <si>
    <t>ORD-1768674762601-286</t>
  </si>
  <si>
    <t>ORD-1768674762617-263</t>
  </si>
  <si>
    <t>خضرا حشو</t>
  </si>
  <si>
    <t>صبارة معدن</t>
  </si>
  <si>
    <t>كريستالة نافورة *5</t>
  </si>
  <si>
    <t>ORD-1768674762634-448</t>
  </si>
  <si>
    <t>ORD-1768992904156-306</t>
  </si>
  <si>
    <t>ORD-1768992904193-233</t>
  </si>
  <si>
    <t>ورد ديكور 15/25209</t>
  </si>
  <si>
    <t>نحف</t>
  </si>
  <si>
    <t>ORD-1769446937696-920</t>
  </si>
  <si>
    <t>حجر ساعة</t>
  </si>
  <si>
    <t>ORD-1769446937712-615</t>
  </si>
  <si>
    <t>ورد ديكور</t>
  </si>
  <si>
    <t xml:space="preserve">بوكيه هيدروجين </t>
  </si>
  <si>
    <t>ORD-1769446937728-965</t>
  </si>
  <si>
    <t>ORD-1770313280986-491</t>
  </si>
  <si>
    <t>ORD-1770313281024-204</t>
  </si>
  <si>
    <t>ديكور زجاج</t>
  </si>
  <si>
    <t>ORD-1770313281039-441</t>
  </si>
  <si>
    <t>بخور انسام ساعتين ونص</t>
  </si>
  <si>
    <t>قرنفل</t>
  </si>
  <si>
    <t>ORD-1770313281052-202</t>
  </si>
  <si>
    <t>جلد 18 تركيب ورقة صغيرة</t>
  </si>
  <si>
    <t>تابلوه دائري</t>
  </si>
  <si>
    <t>ORD-1770483855265-143</t>
  </si>
  <si>
    <t>ORD-1770483855374-332</t>
  </si>
  <si>
    <t>ORD-1770483855402-106</t>
  </si>
  <si>
    <t>كرستال</t>
  </si>
  <si>
    <t>ORD-1770483855435-228</t>
  </si>
  <si>
    <t>ورد ديكور 11/25209</t>
  </si>
  <si>
    <t>ORD-1770483855454-381</t>
  </si>
  <si>
    <t>ORD-1770483855468-313</t>
  </si>
  <si>
    <t>ورد ديكور 13/25209</t>
  </si>
  <si>
    <t>ORD-1770483855484-830</t>
  </si>
  <si>
    <t>ORD-1770483855502-945</t>
  </si>
  <si>
    <t>Initial Mfg شجرة_بنجامين_110سم</t>
  </si>
  <si>
    <t>ORD-1770483855520-649</t>
  </si>
  <si>
    <t>تقيلة زجاج 615/1</t>
  </si>
  <si>
    <t>ORD-1770483855539-755</t>
  </si>
  <si>
    <t>ORD-1770483855554-527</t>
  </si>
  <si>
    <t>ORD-1770483855570-243</t>
  </si>
  <si>
    <t>قرنفل 2 لون</t>
  </si>
  <si>
    <t>ORD-1770483855584-281</t>
  </si>
  <si>
    <t>ORD-1770483855599-404</t>
  </si>
  <si>
    <t>تقيلة مكتب 418/1</t>
  </si>
  <si>
    <t>ORD-1770483855613-657</t>
  </si>
  <si>
    <t>مبخرة - 3207</t>
  </si>
  <si>
    <t>دابل فيس 14م</t>
  </si>
  <si>
    <t>ORD-1770483855632-222</t>
  </si>
  <si>
    <t>مبخرة شعر - 2016</t>
  </si>
  <si>
    <t>خضرة اللوان 18 خلص</t>
  </si>
  <si>
    <t>ORD-1770483855664-233</t>
  </si>
  <si>
    <t>دلاية صلي على النبي 336/09</t>
  </si>
  <si>
    <t>Used 1 in تصنيع-مزرعة | Used 0.5 in تصنيع-مزرعة</t>
  </si>
  <si>
    <t>ORD-1770483855703-283</t>
  </si>
  <si>
    <t>ORD-1770483855735-154</t>
  </si>
  <si>
    <t>ميدالية استيتش 020/400 (عرض خاص)</t>
  </si>
  <si>
    <t>ORD-1770483855759-242</t>
  </si>
  <si>
    <t>تقيلة زجاج 615/17 خ</t>
  </si>
  <si>
    <t>ORD-1770483855786-735</t>
  </si>
  <si>
    <t>ميدالية لابوبو 028 (عرض خاص)</t>
  </si>
  <si>
    <t>ORD-1770483855804-261</t>
  </si>
  <si>
    <t>ورد  ياسمين اعشاب لوكس</t>
  </si>
  <si>
    <t>ORD-1770483855823-799</t>
  </si>
  <si>
    <t>ORD-1770483855845-831</t>
  </si>
  <si>
    <t>Manufactured via شجرة-بنجام</t>
  </si>
  <si>
    <t>ORD-1771095398852-990</t>
  </si>
  <si>
    <t>ORD-1771095398865-436</t>
  </si>
  <si>
    <t>ORD-1771095398874-160</t>
  </si>
  <si>
    <t>مدفع ورق 40 سم</t>
  </si>
  <si>
    <t>Manufactured via تصنيع-بوكيه-ميكس</t>
  </si>
  <si>
    <t>ORD-1771095398883-194</t>
  </si>
  <si>
    <t>ORD-1771095398898-548</t>
  </si>
  <si>
    <t>ORD-1771095398907-510</t>
  </si>
  <si>
    <t>شجرة  تركيب 18 ورقة عبدالفتاح</t>
  </si>
  <si>
    <t>مكعب روبيك ك 551</t>
  </si>
  <si>
    <t>ORD-1771095398915-207</t>
  </si>
  <si>
    <t>ORD-1771095398922-580</t>
  </si>
  <si>
    <t>بولة خزف صغيرة</t>
  </si>
  <si>
    <t>مقزم مشمش</t>
  </si>
  <si>
    <t>نيشان دارتس 482/1</t>
  </si>
  <si>
    <t>ORD-1771095398928-707</t>
  </si>
  <si>
    <t>دوناتس ثلاثي</t>
  </si>
  <si>
    <t>جزع 80 سم ثلاثي</t>
  </si>
  <si>
    <t>ياسمين خماسي جامبو</t>
  </si>
  <si>
    <t>مقزم قرنفل صغير</t>
  </si>
  <si>
    <t>مقزم خضرة الوان</t>
  </si>
  <si>
    <t>ORD-1771095398936-910</t>
  </si>
  <si>
    <t>Manufactured via شجرة-مانغوليا-110سم</t>
  </si>
  <si>
    <t>توليب 9 فرع</t>
  </si>
  <si>
    <t>كرة كريستال 378/6</t>
  </si>
  <si>
    <t>كيس تلفون 075/1</t>
  </si>
  <si>
    <t>ORD-1771095398943-398</t>
  </si>
  <si>
    <t>براز ثلاثي شعبي</t>
  </si>
  <si>
    <t>براويز</t>
  </si>
  <si>
    <t>ORD-1771095398952-231</t>
  </si>
  <si>
    <t>بندق 5 فرع زهرة sf-86</t>
  </si>
  <si>
    <t>تقيلة زجاج 615/2</t>
  </si>
  <si>
    <t>دستة ورق بنجمينا</t>
  </si>
  <si>
    <t>طقم عربيات 6ق 575/1</t>
  </si>
  <si>
    <t>ORD-1771095398959-143</t>
  </si>
  <si>
    <t>ORD-1771095398964-389</t>
  </si>
  <si>
    <t>بكر تسعير 400PC</t>
  </si>
  <si>
    <t>للمعرض</t>
  </si>
  <si>
    <t>ORD-1771095398975-673</t>
  </si>
  <si>
    <t>ORD-1771095398987-867</t>
  </si>
  <si>
    <t>باكو ظرف طيارة طويل</t>
  </si>
  <si>
    <t>ORD-1771095398997-820</t>
  </si>
  <si>
    <t>ORD-1771095399008-128</t>
  </si>
  <si>
    <t>ORD-1771095399017-319</t>
  </si>
  <si>
    <t>ORD-1771095399025-839</t>
  </si>
  <si>
    <t>ORD-1771095399033-885</t>
  </si>
  <si>
    <t>شندلة هدايا لوكس - 789/20</t>
  </si>
  <si>
    <t>ORD-1771095399043-635</t>
  </si>
  <si>
    <t xml:space="preserve"> | Used 1 in ريش-بورد | Used 1 in ريش-بورد</t>
  </si>
  <si>
    <t>ORD-1771095399063-998</t>
  </si>
  <si>
    <t>ORD-1771095399072-796</t>
  </si>
  <si>
    <t>شجرة مانغوليا 110 سم جزع ثلاثي</t>
  </si>
  <si>
    <t>ORD-1771095399079-612</t>
  </si>
  <si>
    <t xml:space="preserve"> | Used 3 in شجرة-ياسمين | </t>
  </si>
  <si>
    <t>ORD-1771095399085-931</t>
  </si>
  <si>
    <t>ORD-1771095399094-292</t>
  </si>
  <si>
    <t>ORD-1771095399107-106</t>
  </si>
  <si>
    <t>ORD-1771095399115-526</t>
  </si>
  <si>
    <t>حجر</t>
  </si>
  <si>
    <t>ORD-1771095399123-957</t>
  </si>
  <si>
    <t>بيبي فلاور علاء شاكر</t>
  </si>
  <si>
    <t>ORD-1771095399130-667</t>
  </si>
  <si>
    <t>ORD-1771095399136-712</t>
  </si>
  <si>
    <t>بازل شكل 2 ق 100 – 069/1</t>
  </si>
  <si>
    <t>ORD-1771095399142-849</t>
  </si>
  <si>
    <t>بروبلين 5سم عبدالله</t>
  </si>
  <si>
    <t>ديكور معدني 178/60</t>
  </si>
  <si>
    <t>ORD-1771269459017-867</t>
  </si>
  <si>
    <t>ORD-1771269459029-229</t>
  </si>
  <si>
    <t>سمكة متحركة + نور 158/13</t>
  </si>
  <si>
    <t>لعبة إضاءة</t>
  </si>
  <si>
    <t>ORD-1771269459037-695</t>
  </si>
  <si>
    <t>حجارة</t>
  </si>
  <si>
    <t>ORD-1771626318026-930</t>
  </si>
  <si>
    <t>صبارة شوكة كبيرة 25209/4</t>
  </si>
  <si>
    <t>برواز ثلاثي شعبي ك خلص</t>
  </si>
  <si>
    <t>ORD-1771626318033-383</t>
  </si>
  <si>
    <t>صبارة شوكة وسط 25209/9</t>
  </si>
  <si>
    <t>ORD-1771626318039-215</t>
  </si>
  <si>
    <t>ORD-1771626318044-937</t>
  </si>
  <si>
    <t>صبارة شوكة صغيرة d/120</t>
  </si>
  <si>
    <t>لزق</t>
  </si>
  <si>
    <t>ORD-1771626318049-306</t>
  </si>
  <si>
    <t>شجرة فلفل 110سم</t>
  </si>
  <si>
    <t>ORD-1771626318054-237</t>
  </si>
  <si>
    <t>كارت اكسيفون 32168/11</t>
  </si>
  <si>
    <t>لعبة كارت</t>
  </si>
  <si>
    <t>ORD-1771626318062-111</t>
  </si>
  <si>
    <t>ORD-1772657405436-530</t>
  </si>
  <si>
    <t>ORD-1772657405442-335</t>
  </si>
  <si>
    <t>ORD-1772657405448-704</t>
  </si>
  <si>
    <t>ORD-1772657405455-637</t>
  </si>
  <si>
    <t>ORD-1772657405461-625</t>
  </si>
  <si>
    <t>ORD-1772657405467-945</t>
  </si>
  <si>
    <t xml:space="preserve"> | Used 0.4444444444444444 in بوكيه-احمر-قطيفة | Used 0.4444444444444444 in تصنيع-بوكيه-ميكس</t>
  </si>
  <si>
    <t>ORD-1772657405475-485</t>
  </si>
  <si>
    <t>مزرعة بورسلين بورسلين</t>
  </si>
  <si>
    <t>ORD-1772657405482-883</t>
  </si>
  <si>
    <t>ORD-1772657405489-429</t>
  </si>
  <si>
    <t>فازة زجاج 219/3</t>
  </si>
  <si>
    <t>ORD-1772657405495-696</t>
  </si>
  <si>
    <t>ORD-1772657405501-497</t>
  </si>
  <si>
    <t>Used 6 in تصنيع-شجر-ياسمين | Used 8 in شجرة-ياسمين-110 | Used 10 in شجرة-ياسمين-80سم</t>
  </si>
  <si>
    <t>ORD-1772657405507-942</t>
  </si>
  <si>
    <t>Manufactured via تفكيك</t>
  </si>
  <si>
    <t>بولة خزف كبيرة</t>
  </si>
  <si>
    <t>ORD-1772657405512-660</t>
  </si>
  <si>
    <t>قصرية مقزمات 8سم</t>
  </si>
  <si>
    <t>بوكيه جيبس فل اببض</t>
  </si>
  <si>
    <t>جزع 110 سم ثلاثي</t>
  </si>
  <si>
    <t>ORD-1772657405520-133</t>
  </si>
  <si>
    <t>ORD-1772657405526-916</t>
  </si>
  <si>
    <t>ORD-1772657405531-762</t>
  </si>
  <si>
    <t>بيبليد 727/231</t>
  </si>
  <si>
    <t>لعبة</t>
  </si>
  <si>
    <t>ORD-1772657405536-476</t>
  </si>
  <si>
    <t>ORD-1772657405541-227</t>
  </si>
  <si>
    <t>كارت بندقية 158/5</t>
  </si>
  <si>
    <t>ORD-1772657405547-221</t>
  </si>
  <si>
    <t>ORD-1772657405555-635</t>
  </si>
  <si>
    <t>ورد صناعي 636</t>
  </si>
  <si>
    <t>ORD-1772657405561-621</t>
  </si>
  <si>
    <t>Manufactured via شجر-مانجوليا</t>
  </si>
  <si>
    <t>ORD-1772657405566-813</t>
  </si>
  <si>
    <t>ORD-1772657405571-766</t>
  </si>
  <si>
    <t>ORD-1772657405576-138</t>
  </si>
  <si>
    <t>ORD-1772657405581-349</t>
  </si>
  <si>
    <t>ORD-1772657405587-876</t>
  </si>
  <si>
    <t>بازل شكل 2 ق 75 – 069/2</t>
  </si>
  <si>
    <t>ORD-1772657405593-857</t>
  </si>
  <si>
    <t>استاند عربيات معدن 957/016</t>
  </si>
  <si>
    <t>عربيات معدن</t>
  </si>
  <si>
    <t>ORD-1772657405615-301</t>
  </si>
  <si>
    <t>سبورة معدن 2535 ع 72</t>
  </si>
  <si>
    <t>ORD-1772657405622-512</t>
  </si>
  <si>
    <t xml:space="preserve"> | Used 1 in مقزم-شجر | Used 1 in مقزم-شجر | Used 2 in مقزم-شجر | Used 1 in مقزم-شجر</t>
  </si>
  <si>
    <t>ORD-1772657405628-490</t>
  </si>
  <si>
    <t xml:space="preserve">دستة ورق بنجمينا </t>
  </si>
  <si>
    <t>ORD-1772657405634-147</t>
  </si>
  <si>
    <t>Used 1 in شجرة_بنجامين_110سم</t>
  </si>
  <si>
    <t>ORD-1772657405639-365</t>
  </si>
  <si>
    <t>بازل شكل 2 ق 60 – 069/3</t>
  </si>
  <si>
    <t>بنجمينا اللوان</t>
  </si>
  <si>
    <t>ORD-1772657405645-490</t>
  </si>
  <si>
    <t>ORD-1772657405651-303</t>
  </si>
  <si>
    <t>بنجمينا أبيض</t>
  </si>
  <si>
    <t>ORD-1772657405657-613</t>
  </si>
  <si>
    <t>بنجمينا أخضر ساده</t>
  </si>
  <si>
    <t>Used 0.5 in تصنيع-مقزم-شجر</t>
  </si>
  <si>
    <t>ORD-1772657405667-456</t>
  </si>
  <si>
    <t>ORD-1772657405674-717</t>
  </si>
  <si>
    <t>خضرة حشو 18</t>
  </si>
  <si>
    <t>ORD-1772657405681-797</t>
  </si>
  <si>
    <t>ORD-1772657405690-690</t>
  </si>
  <si>
    <t>شجرة نعناع 80 سم</t>
  </si>
  <si>
    <t>ORD-1772657405696-835</t>
  </si>
  <si>
    <t>شجرة ورق فلفل 80 سم</t>
  </si>
  <si>
    <t>ORD-1772657405702-454</t>
  </si>
  <si>
    <t>شجرة نعناع 110 سم</t>
  </si>
  <si>
    <t>طقم عربيات</t>
  </si>
  <si>
    <t>ORD-1772657405708-702</t>
  </si>
  <si>
    <t>ORD-1772657405713-267</t>
  </si>
  <si>
    <t>ORD-1772657405718-993</t>
  </si>
  <si>
    <t>شجرة خروع 110 سم</t>
  </si>
  <si>
    <t>ORD-1772657405724-402</t>
  </si>
  <si>
    <t>ORD-1772657405730-519</t>
  </si>
  <si>
    <t>ORD-1772657405737-345</t>
  </si>
  <si>
    <t xml:space="preserve">  </t>
  </si>
  <si>
    <t>ORD-1772657405744-553</t>
  </si>
  <si>
    <t>ORD-1772657405751-333</t>
  </si>
  <si>
    <t>ORD-1772657405758-322</t>
  </si>
  <si>
    <t>دبدوب 6135</t>
  </si>
  <si>
    <t>ORD-1773525728606-696</t>
  </si>
  <si>
    <t>بوكية قرنفل كبير</t>
  </si>
  <si>
    <t>ORD-1773525728614-154</t>
  </si>
  <si>
    <t>ORD-1773525728620-796</t>
  </si>
  <si>
    <t>ORD-1773525728646-333</t>
  </si>
  <si>
    <t>سلندر 10سم في 8 سم اكليرك</t>
  </si>
  <si>
    <t>ORD-1773525728652-337</t>
  </si>
  <si>
    <t>Manufactured via مزرعة-خزف</t>
  </si>
  <si>
    <t>ORD-1773525728660-820</t>
  </si>
  <si>
    <t>ORD-1773525728687-275</t>
  </si>
  <si>
    <t>ORD-1773525728719-713</t>
  </si>
  <si>
    <t>ORD-1773525728750-746</t>
  </si>
  <si>
    <t>ORD-1773525728783-946</t>
  </si>
  <si>
    <t>ORD-1773525728794-132</t>
  </si>
  <si>
    <t>ORD-1773525728829-139</t>
  </si>
  <si>
    <t>حصان 5309</t>
  </si>
  <si>
    <t>ORD-1773525728864-209</t>
  </si>
  <si>
    <t>ORD-1773525728896-384</t>
  </si>
  <si>
    <t>ORD-1773525728905-746</t>
  </si>
  <si>
    <t>ORD-1773525728916-134</t>
  </si>
  <si>
    <t>ORD-1774465379155-339</t>
  </si>
  <si>
    <t>ORD-1774465379166-402</t>
  </si>
  <si>
    <t>ORD-1774465379175-295</t>
  </si>
  <si>
    <t>ORD-1774465379184-449</t>
  </si>
  <si>
    <t>ORD-1774465379221-606</t>
  </si>
  <si>
    <t>ORD-1774465379232-989</t>
  </si>
  <si>
    <t>ORD-1774465379246-154</t>
  </si>
  <si>
    <t>ORD-1774465379256-895</t>
  </si>
  <si>
    <t xml:space="preserve"> | Used Sat Dec 30 1899 04:48:00 GMT+0205 (توقيت شرق أوروبا الرسمي) in بوكيه-احمر-قطيفة</t>
  </si>
  <si>
    <t>ORD-1774465379266-239</t>
  </si>
  <si>
    <t>فخار مطبق</t>
  </si>
  <si>
    <t>ORD-1774465379273-705</t>
  </si>
  <si>
    <t>شلال جهنمية الوان</t>
  </si>
  <si>
    <t>ORD-1774465379281-588</t>
  </si>
  <si>
    <t>مقزمة أوركيد فردي sf-158 خلص</t>
  </si>
  <si>
    <t>ORD-1774465379290-408</t>
  </si>
  <si>
    <t>ORD-1774465379296-403</t>
  </si>
  <si>
    <t>دلاية</t>
  </si>
  <si>
    <t>ORD-1774465379304-110</t>
  </si>
  <si>
    <t>ORD-1774465379314-674</t>
  </si>
  <si>
    <t>ORD-1774465379325-615</t>
  </si>
  <si>
    <t>ORD-1774465379346-444</t>
  </si>
  <si>
    <t>ORD-1774465379356-659</t>
  </si>
  <si>
    <t>ORD-1774465379367-628</t>
  </si>
  <si>
    <t>ORD-1774465379382-411</t>
  </si>
  <si>
    <t>ORD-1774465379391-999</t>
  </si>
  <si>
    <t>ORD-1774465379399-349</t>
  </si>
  <si>
    <t>ORD-1774465379409-420</t>
  </si>
  <si>
    <t>ORD-1774465379425-575</t>
  </si>
  <si>
    <t>ORD-1774465379438-882</t>
  </si>
  <si>
    <t>Used 9 in مقزم-مشمش</t>
  </si>
  <si>
    <t>ORD-1774465379448-592</t>
  </si>
  <si>
    <t>ORD-1774465379483-432</t>
  </si>
  <si>
    <t>طرطور ميلاد صغير</t>
  </si>
  <si>
    <t>ORD-1774465379491-742</t>
  </si>
  <si>
    <t>طرطور ديزني 1238/6</t>
  </si>
  <si>
    <t>ORD-1774465379500-482</t>
  </si>
  <si>
    <t>ORD-1774465379507-933</t>
  </si>
  <si>
    <t>منفاخ بالون فسفوري</t>
  </si>
  <si>
    <t>اكسسوار/لعبة</t>
  </si>
  <si>
    <t>ORD-1774465379520-110</t>
  </si>
  <si>
    <t>ديكور نافورة</t>
  </si>
  <si>
    <t>ORD-1774465379530-311</t>
  </si>
  <si>
    <t>بالون استيك 50 ق</t>
  </si>
  <si>
    <t>ORD-1774465379541-112</t>
  </si>
  <si>
    <t>ورد صناعي</t>
  </si>
  <si>
    <t>بالون مطبوع هابي 1507/12</t>
  </si>
  <si>
    <t>ORD-1774465379552-552</t>
  </si>
  <si>
    <t>بالون لون واحد 993/1</t>
  </si>
  <si>
    <t>ORD-1774465379562-480</t>
  </si>
  <si>
    <t>ماسك ماريو 194/12</t>
  </si>
  <si>
    <t>بوت صغير خلص</t>
  </si>
  <si>
    <t>ORD-1774465379571-255</t>
  </si>
  <si>
    <t xml:space="preserve"> | Used 1 in بوكيه-احمر-قطيفة | Used 2 in تصنيع-بوكيه-ميكس</t>
  </si>
  <si>
    <t>ماسك سيباديرمان 194/10</t>
  </si>
  <si>
    <t>Used 1 in MTM-002 | Used 3 in MTM-002 | Used 3 in MTM-002 | Used 3 in MTM-002 | Used 3 in MTM-002 | Used 9 in MTM-002 | Used 8 in شجرة-بنجام | Used 8 in شجرة-بنجام | Used 1 in شجرة-ياسمين  | Used 2 in تصنيع-شجر-ياسمين</t>
  </si>
  <si>
    <t>ORD-1774465379580-688</t>
  </si>
  <si>
    <t>ماسك الجوكر 194/5</t>
  </si>
  <si>
    <t xml:space="preserve"> | Used 2 in ورد-مجفف</t>
  </si>
  <si>
    <t>ORD-1774465379590-549</t>
  </si>
  <si>
    <t>جليتر بورنيطة 010444/53</t>
  </si>
  <si>
    <t>ORD-1774465379600-824</t>
  </si>
  <si>
    <t>دستة بلاستيك ماسك</t>
  </si>
  <si>
    <t>ORD-1774465379612-788</t>
  </si>
  <si>
    <t>Used 1 in مقزم-بيبي-فلاور  | Used 0.5714285714285714 in تصنيع-مقزم-بيبي-فلاور</t>
  </si>
  <si>
    <t>ORD-1774465379631-624</t>
  </si>
  <si>
    <t>ORD-1774465379647-855</t>
  </si>
  <si>
    <t>ORD-1774465379660-104</t>
  </si>
  <si>
    <t>ORD-1774465379672-258</t>
  </si>
  <si>
    <t>ORD-1774465379690-918</t>
  </si>
  <si>
    <t>ORD-1774465379707-250</t>
  </si>
  <si>
    <t>ORD-1774465379728-675</t>
  </si>
  <si>
    <t>ORD-1774465379743-332</t>
  </si>
  <si>
    <t>ORD-1774465379759-784</t>
  </si>
  <si>
    <t xml:space="preserve">ورد لوحدة </t>
  </si>
  <si>
    <t>ORD-1774465379800-214</t>
  </si>
  <si>
    <t>ORD-1774465379817-496</t>
  </si>
  <si>
    <t>نافورة ديكور 270</t>
  </si>
  <si>
    <t>ORD-1774465379833-641</t>
  </si>
  <si>
    <t>ORD-1774465379845-918</t>
  </si>
  <si>
    <t>ORD-1774465379854-110</t>
  </si>
  <si>
    <t>ORD-1774465379866-425</t>
  </si>
  <si>
    <t>ORD-1774465379876-455</t>
  </si>
  <si>
    <t>ORD-1774465379889-297</t>
  </si>
  <si>
    <t>ORD-1774465379901-449</t>
  </si>
  <si>
    <t>ORD-1774465379916-292</t>
  </si>
  <si>
    <t>ORD-1774465379930-701</t>
  </si>
  <si>
    <t xml:space="preserve">مقزمات </t>
  </si>
  <si>
    <t xml:space="preserve">شركة حسين علي </t>
  </si>
  <si>
    <t>Used 1 in MTM-002 | Used 1 in MTM-002 | Used 1 in MTM-002 | Used 1 in MTM-002</t>
  </si>
  <si>
    <t>ORD-1774465379944-218</t>
  </si>
  <si>
    <t>قرنفل 2</t>
  </si>
  <si>
    <t>ORD-1774465379956-269</t>
  </si>
  <si>
    <t>Used 5 in مقزم-قرنفل</t>
  </si>
  <si>
    <t>ORD-1774465379967-216</t>
  </si>
  <si>
    <t>ORD-1774465379978-611</t>
  </si>
  <si>
    <t>Manufactured via مقزم-احمر-قطيفة</t>
  </si>
  <si>
    <t>بوكية قرنفل خ</t>
  </si>
  <si>
    <t>ORD-1774465379987-542</t>
  </si>
  <si>
    <t xml:space="preserve"> | Used 1 in mini-k | Used 1 in mini-k | Used 1 in مقزم-قرنفل | Used 0.5714285714285714 in تصنيع-بوكيه-ميكس</t>
  </si>
  <si>
    <t>ORD-1774465380008-681</t>
  </si>
  <si>
    <t xml:space="preserve">جلد تركيب 12 </t>
  </si>
  <si>
    <t>ORD-1774465380021-968</t>
  </si>
  <si>
    <t>ORD-1774465380031-792</t>
  </si>
  <si>
    <t>ORD-1774465380044-853</t>
  </si>
  <si>
    <t>ORD-1774465380052-672</t>
  </si>
  <si>
    <t>بوكيه ورد روز</t>
  </si>
  <si>
    <t>ORD-1774465380059-502</t>
  </si>
  <si>
    <t>ORD-1774465380068-114</t>
  </si>
  <si>
    <t>ORD-1774465380076-435</t>
  </si>
  <si>
    <t>ريش حمام</t>
  </si>
  <si>
    <t>ORD-1774538121225-402</t>
  </si>
  <si>
    <t>Manufactured via تصنيع-مزرعة</t>
  </si>
  <si>
    <t>ORD-1777145294413-425</t>
  </si>
  <si>
    <t>ORD-1777145294423-493</t>
  </si>
  <si>
    <t>ORD-1777145294432-990</t>
  </si>
  <si>
    <t>ORD-1777145294441-240</t>
  </si>
  <si>
    <t>Manufactured via مقزم-شجر</t>
  </si>
  <si>
    <t>بوكيه وردة كبيرة روز</t>
  </si>
  <si>
    <t>ORD-1777145294451-630</t>
  </si>
  <si>
    <t>فروع كبيرة سيليكون</t>
  </si>
  <si>
    <t>ORD-1777145294459-591</t>
  </si>
  <si>
    <t>ORD-1777145294465-268</t>
  </si>
  <si>
    <t>بوكيه ورد قطيفة صغير</t>
  </si>
  <si>
    <t>ORD-1777145294491-812</t>
  </si>
  <si>
    <t>ORD-1777145294499-490</t>
  </si>
  <si>
    <t>ORD-1777145294524-804</t>
  </si>
  <si>
    <t>Used 1 in MTM-002 | Used 1 in MTM-002 | Used 1 in MTM-002 | Used 1 in MTM-002 | Used 1 in شجرة-ياسمين  |   | Used 3 in شجرة-بنجام | Used 1 in شجر-مانجوليا | Used 3 in شجر-مانجوليا | Used 1 in شجرة-ياسمين  | Used 2 in تصنيع-شجر-ياسمين | Used 4 in شجرة-ياسمين-80سم</t>
  </si>
  <si>
    <t>ORD-1777145294533-474</t>
  </si>
  <si>
    <t>Manufactured via mini-k</t>
  </si>
  <si>
    <t>ORD-1777145294554-544</t>
  </si>
  <si>
    <t>ORD-1777145294576-676</t>
  </si>
  <si>
    <t>ORD-1777145294588-533</t>
  </si>
  <si>
    <t>ORD-1777145294612-434</t>
  </si>
  <si>
    <t>لعبة/ديكور</t>
  </si>
  <si>
    <t>ORD-1777145294620-640</t>
  </si>
  <si>
    <t>ProductName</t>
  </si>
  <si>
    <t>ORD-1777145294627-436</t>
  </si>
  <si>
    <t>SuggestedPrice</t>
  </si>
  <si>
    <t>ORD-1777145294633-350</t>
  </si>
  <si>
    <t>ActualUnitPrice</t>
  </si>
  <si>
    <t>Discount</t>
  </si>
  <si>
    <t>TotalSale</t>
  </si>
  <si>
    <t>SaleDate</t>
  </si>
  <si>
    <t>SaleID</t>
  </si>
  <si>
    <t>اسم العميل</t>
  </si>
  <si>
    <t>ORD-1777145294640-816</t>
  </si>
  <si>
    <t>الباقي</t>
  </si>
  <si>
    <t>تم دفع</t>
  </si>
  <si>
    <t>التكلفة</t>
  </si>
  <si>
    <t>ORD-1777145294647-622</t>
  </si>
  <si>
    <t>بوت مقزمات</t>
  </si>
  <si>
    <t>ORD-1777145294654-745</t>
  </si>
  <si>
    <t>Manufactured via مقزم-بيبي-فلاور</t>
  </si>
  <si>
    <t>ORD-1777145294662-555</t>
  </si>
  <si>
    <t>ORD-1777145294669-412</t>
  </si>
  <si>
    <t>ORD-1777145294676-620</t>
  </si>
  <si>
    <t>ORD-1777145294682-801</t>
  </si>
  <si>
    <t>SAL-1765059347259-242</t>
  </si>
  <si>
    <t xml:space="preserve">عم خالد </t>
  </si>
  <si>
    <t>ORD-1777145294691-735</t>
  </si>
  <si>
    <t>ORD-1777145294698-195</t>
  </si>
  <si>
    <t>ORD-1777145294705-650</t>
  </si>
  <si>
    <t>SAL-1765059347287-676</t>
  </si>
  <si>
    <t>ORD-1777145294727-962</t>
  </si>
  <si>
    <t>ORD-1777145294735-884</t>
  </si>
  <si>
    <t>ريش دوناتس خلص</t>
  </si>
  <si>
    <t>ORD-1777145294761-835</t>
  </si>
  <si>
    <t>ORD-1777145294785-283</t>
  </si>
  <si>
    <t>مقزم ورد</t>
  </si>
  <si>
    <t>SAL-1765059347322-954</t>
  </si>
  <si>
    <t>ORD-1777145294810-470</t>
  </si>
  <si>
    <t>Manufactured via وردة-بلدي</t>
  </si>
  <si>
    <t>ORD-1777145294817-806</t>
  </si>
  <si>
    <t>ريشة دوناتس خلص</t>
  </si>
  <si>
    <t>ORD-1777145294824-313</t>
  </si>
  <si>
    <t>ORD-1777145294832-562</t>
  </si>
  <si>
    <t>SAL-1765059347355-448</t>
  </si>
  <si>
    <t>ORD-1777145294839-555</t>
  </si>
  <si>
    <t>ORD-1777145294847-662</t>
  </si>
  <si>
    <t>ORD-1777145294854-155</t>
  </si>
  <si>
    <t>ORD-1779360916890-783</t>
  </si>
  <si>
    <t>SAL-1765059347379-326</t>
  </si>
  <si>
    <t>ORD-1779360916900-173</t>
  </si>
  <si>
    <t>ORD-1779360916909-888</t>
  </si>
  <si>
    <t>Used 15 in مزرعة-خزف</t>
  </si>
  <si>
    <t>ORD-1779360916919-209</t>
  </si>
  <si>
    <t>ORD-1779360916927-739</t>
  </si>
  <si>
    <t>SAL-1765059347412-273</t>
  </si>
  <si>
    <t>ORD-1779360916935-454</t>
  </si>
  <si>
    <t>بوكيه جيبس فل ابض</t>
  </si>
  <si>
    <t>ORD-1779360916944-446</t>
  </si>
  <si>
    <t>ORD-1779360916951-510</t>
  </si>
  <si>
    <t>Initial Mfg مقزم-مشمش</t>
  </si>
  <si>
    <t>ORD-1779360916958-111</t>
  </si>
  <si>
    <t xml:space="preserve"> | Used 3 in mini-k | Used 3 in mini-k | Used 4 in مقزم-قرنفل | Used 3 in مقزم-شجر | Used 2 in مقزم-بيبي-فلاور | Used 5 in مقزم-بلدي-قطيفة</t>
  </si>
  <si>
    <t>فرع زرع خ</t>
  </si>
  <si>
    <t>ORD-1779360916965-315</t>
  </si>
  <si>
    <t>SAL-1765059347444-973</t>
  </si>
  <si>
    <t>ORD-1779360916973-298</t>
  </si>
  <si>
    <t>بخور ميسك كيس 5097 خلص</t>
  </si>
  <si>
    <t>ORD-1779360916982-467</t>
  </si>
  <si>
    <t>SAL-1765059347473-514</t>
  </si>
  <si>
    <t>ORD-1779360916988-639</t>
  </si>
  <si>
    <t>Manufactured via تصنيع-مقزم-بيبي-فلاور</t>
  </si>
  <si>
    <t>ORD-1779360916995-789</t>
  </si>
  <si>
    <t>SAL-1765059347499-157</t>
  </si>
  <si>
    <t>عم سعد</t>
  </si>
  <si>
    <t>ORD-1779360917002-949</t>
  </si>
  <si>
    <t>ORD-1779360917010-467</t>
  </si>
  <si>
    <t>ORD-1779360917019-224</t>
  </si>
  <si>
    <t>SAL-1765059347533-739</t>
  </si>
  <si>
    <t>بالون جامبو 507/1</t>
  </si>
  <si>
    <t>بالون</t>
  </si>
  <si>
    <t>ORD-1779360917028-192</t>
  </si>
  <si>
    <t>بالون 100ق لون واحد</t>
  </si>
  <si>
    <t>ORD-1779360917041-447</t>
  </si>
  <si>
    <t>SAL-1765059347558-695</t>
  </si>
  <si>
    <t>ORD-1779360917051-855</t>
  </si>
  <si>
    <t>Used 2 in مزرعة-خزف</t>
  </si>
  <si>
    <t>ORD-1779360917067-726</t>
  </si>
  <si>
    <t>ORD-1779360917077-800</t>
  </si>
  <si>
    <t>ورد ديكور 120/80</t>
  </si>
  <si>
    <t>ORD-1779360917087-520</t>
  </si>
  <si>
    <t>SAL-1765059347584-687</t>
  </si>
  <si>
    <t>ورد ديكور 25209/4</t>
  </si>
  <si>
    <t>ORD-1779360917098-475</t>
  </si>
  <si>
    <t>Manufactured via مقزم-قرنفل</t>
  </si>
  <si>
    <t>بوت صغير مقزمات 0</t>
  </si>
  <si>
    <t>ورد ديكور 25209/1</t>
  </si>
  <si>
    <t>ORD-1779360917106-474</t>
  </si>
  <si>
    <t>Used 7 in مقزم-احمر-قطيفة ||  used 2 in مقزم-بيبي-فلاور | Used 6 in تصنيع-مزرعة | Used 3 in تصنيع-مزرعة</t>
  </si>
  <si>
    <t>ورد ديكور 25209/6</t>
  </si>
  <si>
    <t>ORD-1779360917115-975</t>
  </si>
  <si>
    <t>ورد ديكور 905/48</t>
  </si>
  <si>
    <t>قصريات</t>
  </si>
  <si>
    <t>SAL-1765059347616-473</t>
  </si>
  <si>
    <t>ORD-1779360917125-303</t>
  </si>
  <si>
    <t>ورد ديكور 822</t>
  </si>
  <si>
    <t>ORD-1779360917133-491</t>
  </si>
  <si>
    <t>ورد ديكور 25209/9</t>
  </si>
  <si>
    <t>ORD-1779360917144-470</t>
  </si>
  <si>
    <t>Initial Mfg مقزم_خضرا _الوان</t>
  </si>
  <si>
    <t>ORD-1779360917153-640</t>
  </si>
  <si>
    <t>SAL-1765059347643-179</t>
  </si>
  <si>
    <t>محمد حامد التمساح</t>
  </si>
  <si>
    <t>ORD-1779360917162-242</t>
  </si>
  <si>
    <t>ورد ديكور 25209/5</t>
  </si>
  <si>
    <t>Initial Mfg مقزم-قرنفل</t>
  </si>
  <si>
    <t>ORD-1779360917173-385</t>
  </si>
  <si>
    <t>ورد ديكور 25209/15</t>
  </si>
  <si>
    <t>ORD-1779360917183-512</t>
  </si>
  <si>
    <t>ورد ديكور 25209/3</t>
  </si>
  <si>
    <t>SAL-1765059347675-928</t>
  </si>
  <si>
    <t>ORD-1779360917193-246</t>
  </si>
  <si>
    <t>ورد ديكور 25209/38</t>
  </si>
  <si>
    <t>ORD-1779360917203-188</t>
  </si>
  <si>
    <t>ورد ديكور 25209/8</t>
  </si>
  <si>
    <t>ORD-1779360917212-861</t>
  </si>
  <si>
    <t>ورد ديكور 25209/14</t>
  </si>
  <si>
    <t>SAL-1765059347709-743</t>
  </si>
  <si>
    <t>ORD-1779360917222-342</t>
  </si>
  <si>
    <t>ورد ديكور 25209/10</t>
  </si>
  <si>
    <t>ORD-1779360917232-441</t>
  </si>
  <si>
    <t>Manufactured via ريش-بورد</t>
  </si>
  <si>
    <t>ورد ديكور 25209/7</t>
  </si>
  <si>
    <t>ORD-1779360917242-721</t>
  </si>
  <si>
    <t>ورد ديكور 25209/11</t>
  </si>
  <si>
    <t>ORD-1779360917250-105</t>
  </si>
  <si>
    <t>ورد مجفف</t>
  </si>
  <si>
    <t>SAL-1765059347739-667</t>
  </si>
  <si>
    <t>ورد ديكور 601/80</t>
  </si>
  <si>
    <t>ORD-1779360917257-986</t>
  </si>
  <si>
    <t>Manufactured via ورد-مجفف</t>
  </si>
  <si>
    <t>ورد ديكور 25209/16</t>
  </si>
  <si>
    <t>ORD-1779360917266-399</t>
  </si>
  <si>
    <t>ORD-1779360917275-977</t>
  </si>
  <si>
    <t>insufficient</t>
  </si>
  <si>
    <t>ORD-1779360917283-252</t>
  </si>
  <si>
    <t>Used 6 in تصنيع-مقزم-شجر</t>
  </si>
  <si>
    <t>ORD-1779360917291-179</t>
  </si>
  <si>
    <t>ORD-1779360917298-429</t>
  </si>
  <si>
    <t>SAL-1765059347778-898</t>
  </si>
  <si>
    <t>ORD-1779360917312-693</t>
  </si>
  <si>
    <t>Used 2 in MTM-002 | Used 2 in MTM-002 | Used 2 in MTM-002 | Used 2 in MTM-002 | Used 3 in MTM-002 | Used 9 in MTM-002 | Used 3 in شجرة-بنجام | Used 3 in شجرة-بنجام | Used 2 in شجرة-بنجام | Used 8 in شجرة-بنجام | Used 8 in شجرة-بنجام | Used 1 in شجر-مانجوليا | Used 2 in شجر-مانجوليا | Used 1 in شجرة-ياسمين</t>
  </si>
  <si>
    <t>ORD-1779360917320-963</t>
  </si>
  <si>
    <t>Used 5 in تصنيع-مقزم-بيبي-فلاور</t>
  </si>
  <si>
    <t>ORD-1779360917330-769</t>
  </si>
  <si>
    <t>ORD-1779360917341-778</t>
  </si>
  <si>
    <t>SAL-1765059347812-969</t>
  </si>
  <si>
    <t>زبون</t>
  </si>
  <si>
    <t>شمع ببطارية - 960/2 خ</t>
  </si>
  <si>
    <t>ORD-1779360917350-508</t>
  </si>
  <si>
    <t>ORD-1779616203395-395</t>
  </si>
  <si>
    <t>SAL-1765059347851-686</t>
  </si>
  <si>
    <t>ORD-1779618697043-449</t>
  </si>
  <si>
    <t>ORD-1779618697067-805</t>
  </si>
  <si>
    <t>ORD-1779618697089-321</t>
  </si>
  <si>
    <t>ORD-1779618697113-645</t>
  </si>
  <si>
    <t>SAL-1765059762383-965</t>
  </si>
  <si>
    <t>ORD-1779618697121-952</t>
  </si>
  <si>
    <t>Used 18 in مقزم_خضرا _الوان</t>
  </si>
  <si>
    <t>ORD-1779618697132-425</t>
  </si>
  <si>
    <t>شمعدان رفيع طويل دهبي</t>
  </si>
  <si>
    <t>ORD-1779618697139-516</t>
  </si>
  <si>
    <t>SAL-1765059347894-950</t>
  </si>
  <si>
    <t>ORD-1779618697147-204</t>
  </si>
  <si>
    <t>ORD-1779618697154-779</t>
  </si>
  <si>
    <t>ORD-1779618697160-431</t>
  </si>
  <si>
    <t>SAL-1765059347922-722</t>
  </si>
  <si>
    <t>فاطمة اخت ايمان</t>
  </si>
  <si>
    <t>ORD-1779618697168-472</t>
  </si>
  <si>
    <t>ORD-1779618697176-165</t>
  </si>
  <si>
    <t>ORD-1779618697183-970</t>
  </si>
  <si>
    <t>SAL-1765059347947-317</t>
  </si>
  <si>
    <t>ORD-1779618697192-429</t>
  </si>
  <si>
    <t>ORD-1779618697202-945</t>
  </si>
  <si>
    <t>ORD-1779618697209-489</t>
  </si>
  <si>
    <t>SAL-1765059347975-219</t>
  </si>
  <si>
    <t>ORD-1779618697216-980</t>
  </si>
  <si>
    <t>ORD-1779618697223-505</t>
  </si>
  <si>
    <t>SAL-1765059348003-390</t>
  </si>
  <si>
    <t>ORD-1779618697230-256</t>
  </si>
  <si>
    <t>ORD-1779618697237-551</t>
  </si>
  <si>
    <t>ORD-1779618697243-692</t>
  </si>
  <si>
    <t>SAL-1765059348029-887</t>
  </si>
  <si>
    <t>زبونة</t>
  </si>
  <si>
    <t>ORD-1779618697249-709</t>
  </si>
  <si>
    <t>ORD-1779618697255-504</t>
  </si>
  <si>
    <t>ORD-1779618697261-510</t>
  </si>
  <si>
    <t>SAL-1765059348052-580</t>
  </si>
  <si>
    <t>عروسة</t>
  </si>
  <si>
    <t>ORD-1779618697269-881</t>
  </si>
  <si>
    <t>ORD-1779618697276-414</t>
  </si>
  <si>
    <t>ORD-1779618697283-884</t>
  </si>
  <si>
    <t>SAL-1765059348075-275</t>
  </si>
  <si>
    <t>ORD-1779618697289-874</t>
  </si>
  <si>
    <t>ORD-1779618697296-216</t>
  </si>
  <si>
    <t>ORD-1779618697305-223</t>
  </si>
  <si>
    <t>SAL-1765059348114-585</t>
  </si>
  <si>
    <t>SAL-1765059348159-447</t>
  </si>
  <si>
    <t>SAL-1765059348203-782</t>
  </si>
  <si>
    <t>حسين مبروك التمساح</t>
  </si>
  <si>
    <t>SAL-1765059348228-749</t>
  </si>
  <si>
    <t>Date</t>
  </si>
  <si>
    <t>EntryID</t>
  </si>
  <si>
    <t>AccountDebit</t>
  </si>
  <si>
    <t>AccountCredit</t>
  </si>
  <si>
    <t>Amount</t>
  </si>
  <si>
    <t>Note</t>
  </si>
  <si>
    <t>COGS</t>
  </si>
  <si>
    <t>Inventory</t>
  </si>
  <si>
    <t>COGS for بوت تركي</t>
  </si>
  <si>
    <t>Cash/AR</t>
  </si>
  <si>
    <t>Sales</t>
  </si>
  <si>
    <t>Revenue for بوت تركي</t>
  </si>
  <si>
    <t>COGS for شجرة تركيب 12 ورقة</t>
  </si>
  <si>
    <t>SAL-1765059348263-237</t>
  </si>
  <si>
    <t>Revenue for شجرة تركيب 12 ورقة</t>
  </si>
  <si>
    <t>COGS for بوكيه خزف</t>
  </si>
  <si>
    <t>Revenue for بوكيه خزف</t>
  </si>
  <si>
    <t>COGS for فازة خزف وورد احمر صغير</t>
  </si>
  <si>
    <t>Revenue for فازة خزف وورد احمر صغير</t>
  </si>
  <si>
    <t>COGS for فازة خزف  وبوكيه ابيض كبير</t>
  </si>
  <si>
    <t>Revenue for فازة خزف  وبوكيه ابيض كبير</t>
  </si>
  <si>
    <t>SAL-1765059348297-296</t>
  </si>
  <si>
    <t>COGS for مزرعة</t>
  </si>
  <si>
    <t>Revenue for مزرعة</t>
  </si>
  <si>
    <t>COGS for شجرة ورق عريض</t>
  </si>
  <si>
    <t>Revenue for شجرة ورق عريض</t>
  </si>
  <si>
    <t>COGS for بوكيه ورد احمر صغير واخضر</t>
  </si>
  <si>
    <t>Revenue for بوكيه ورد احمر صغير واخضر</t>
  </si>
  <si>
    <t>COGS for مج بشاليموه</t>
  </si>
  <si>
    <t>SAL-1765059348328-134</t>
  </si>
  <si>
    <t>Revenue for مج بشاليموه</t>
  </si>
  <si>
    <t>COGS for اشكال السيرفرات</t>
  </si>
  <si>
    <t>Revenue for اشكال السيرفرات</t>
  </si>
  <si>
    <t>SAL-1765059348355-372</t>
  </si>
  <si>
    <t>COGS for مبخرة غزالة</t>
  </si>
  <si>
    <t>Revenue for مبخرة غزالة</t>
  </si>
  <si>
    <t>SAL-1765059348389-775</t>
  </si>
  <si>
    <t>COGS for بوكيه بلاستيك وورد احمر</t>
  </si>
  <si>
    <t>Revenue for بوكيه بلاستيك وورد احمر</t>
  </si>
  <si>
    <t>COGS for بوكيه بلاستيك ورد كبير</t>
  </si>
  <si>
    <t>Revenue for بوكيه بلاستيك ورد كبير</t>
  </si>
  <si>
    <t>COGS for بوكيه بلاستيك  ورد مقفول وورد صغير</t>
  </si>
  <si>
    <t>Revenue for بوكيه بلاستيك  ورد مقفول وورد صغير</t>
  </si>
  <si>
    <t>COGS for كريستالة ديكور</t>
  </si>
  <si>
    <t>SAL-1765059348422-749</t>
  </si>
  <si>
    <t>Revenue for كريستالة ديكور</t>
  </si>
  <si>
    <t>SAL-1765059348470-354</t>
  </si>
  <si>
    <t>COGS for بوكيه بلاستيك و ورد بني وصغير</t>
  </si>
  <si>
    <t>Revenue for بوكيه بلاستيك و ورد بني وصغير</t>
  </si>
  <si>
    <t>SAL-1765059348536-944</t>
  </si>
  <si>
    <t>COGS for كتاب ديكور</t>
  </si>
  <si>
    <t>Revenue for كتاب ديكور</t>
  </si>
  <si>
    <t>COGS for طقم كاندي غزالة</t>
  </si>
  <si>
    <t>Revenue for طقم كاندي غزالة</t>
  </si>
  <si>
    <t>SAL-1765059348583-559</t>
  </si>
  <si>
    <t>شيماء اخت ايمان</t>
  </si>
  <si>
    <t>COGS for طقم باسكت</t>
  </si>
  <si>
    <t>Revenue for طقم باسكت</t>
  </si>
  <si>
    <t>COGS for شمعدان كريستال</t>
  </si>
  <si>
    <t>Revenue for شمعدان كريستال</t>
  </si>
  <si>
    <t>COGS for طفاية كريستال</t>
  </si>
  <si>
    <t>Revenue for طفاية كريستال</t>
  </si>
  <si>
    <t>SAL-1765059348613-436</t>
  </si>
  <si>
    <t>COGS for اباجورة شكل 0</t>
  </si>
  <si>
    <t>Revenue for اباجورة شكل 0</t>
  </si>
  <si>
    <t>COGS for فازة كريستال عسلي</t>
  </si>
  <si>
    <t>Revenue for فازة كريستال عسلي</t>
  </si>
  <si>
    <t>COGS for شمعدان رفيع طويل اسود</t>
  </si>
  <si>
    <t>Revenue for شمعدان رفيع طويل اسود</t>
  </si>
  <si>
    <t>COGS for فازة خزف و بوكيه احمر ورق وورد صغير</t>
  </si>
  <si>
    <t>SAL-1765059348644-104</t>
  </si>
  <si>
    <t>Revenue for فازة خزف و بوكيه احمر ورق وورد صغير</t>
  </si>
  <si>
    <t>COGS for بوكيه خزف مقسوم ورد شبه التاج</t>
  </si>
  <si>
    <t>Revenue for بوكيه خزف مقسوم ورد شبه التاج</t>
  </si>
  <si>
    <t>COGS for مزرعة صغيرة اكليرك</t>
  </si>
  <si>
    <t>Revenue for مزرعة صغيرة اكليرك</t>
  </si>
  <si>
    <t>SAL-1765059348673-597</t>
  </si>
  <si>
    <t>SAL-1765059348709-199</t>
  </si>
  <si>
    <t>COGS for بوكيه ورد طويل</t>
  </si>
  <si>
    <t>Revenue for بوكيه ورد طويل</t>
  </si>
  <si>
    <t>COGS for بوت كبير عادي</t>
  </si>
  <si>
    <t>Revenue for بوت كبير عادي</t>
  </si>
  <si>
    <t>SAL-1765059348746-491</t>
  </si>
  <si>
    <t>COGS for رجل بوت خشب</t>
  </si>
  <si>
    <t>Revenue for رجل بوت خشب</t>
  </si>
  <si>
    <t>SAL-1765059348777-924</t>
  </si>
  <si>
    <t>SAL-1765059348809-656</t>
  </si>
  <si>
    <t>SAL-1765059348850-489</t>
  </si>
  <si>
    <t>COGS for بوت بشريطة دهبي</t>
  </si>
  <si>
    <t>Revenue for بوت بشريطة دهبي</t>
  </si>
  <si>
    <t>SAL-1765059348922-773</t>
  </si>
  <si>
    <t>COGS for بولا خزف وريشة</t>
  </si>
  <si>
    <t>Revenue for بولا خزف وريشة</t>
  </si>
  <si>
    <t>SAL-1765059349018-149</t>
  </si>
  <si>
    <t>SAL-1765059349066-375</t>
  </si>
  <si>
    <t>COGS for بوكيه ريش وورد صغير</t>
  </si>
  <si>
    <t>Revenue for بوكيه ريش وورد صغير</t>
  </si>
  <si>
    <t>SAL-1765059349111-105</t>
  </si>
  <si>
    <t>SAL-1765059349159-109</t>
  </si>
  <si>
    <t>SAL-1765059349226-783</t>
  </si>
  <si>
    <t>COGS for شجرة مشمش خمس فروع</t>
  </si>
  <si>
    <t>Revenue for شجرة مشمش خمس فروع</t>
  </si>
  <si>
    <t>SAL-1765059349269-768</t>
  </si>
  <si>
    <t>COGS for شجرة اريكا وسط</t>
  </si>
  <si>
    <t>Revenue for شجرة اريكا وسط</t>
  </si>
  <si>
    <t>SAL-1765059349341-529</t>
  </si>
  <si>
    <t>COGS for بوت صغير هااند ميد و 2 بوكيه</t>
  </si>
  <si>
    <t>Revenue for بوت صغير هااند ميد و 2 بوكيه</t>
  </si>
  <si>
    <t>SAL-1765059349390-343</t>
  </si>
  <si>
    <t>COGS for شجر ورق الوان</t>
  </si>
  <si>
    <t>Revenue for شجر ورق الوان</t>
  </si>
  <si>
    <t>SAL-1765059349440-492</t>
  </si>
  <si>
    <t>COGS for شجرة مكثفة</t>
  </si>
  <si>
    <t>Revenue for شجرة مكثفة</t>
  </si>
  <si>
    <t>SAL-1765059349480-506</t>
  </si>
  <si>
    <t>SAL-1765059349519-256</t>
  </si>
  <si>
    <t>COGS for طقم دوناتس طويل</t>
  </si>
  <si>
    <t>Revenue for طقم دوناتس طويل</t>
  </si>
  <si>
    <t>SAL-1765059349575-580</t>
  </si>
  <si>
    <t>COGS for بوكيه ورد كبير ابيض واخضر</t>
  </si>
  <si>
    <t>Revenue for بوكيه ورد كبير ابيض واخضر</t>
  </si>
  <si>
    <t>SAL-1765059349640-905</t>
  </si>
  <si>
    <t>COGS for شجرة ورق عريض جلد</t>
  </si>
  <si>
    <t>Revenue for شجرة ورق عريض جلد</t>
  </si>
  <si>
    <t>SAL-1765059349703-639</t>
  </si>
  <si>
    <t>SAL-1765059349763-131</t>
  </si>
  <si>
    <t>COGS for بوت صغير</t>
  </si>
  <si>
    <t>Revenue for بوت صغير</t>
  </si>
  <si>
    <t>SAL-1765059349793-626</t>
  </si>
  <si>
    <t>SAL-1765059349825-503</t>
  </si>
  <si>
    <t>بونة</t>
  </si>
  <si>
    <t>SAL-1765059349858-877</t>
  </si>
  <si>
    <t>COGS for ستارة خرز</t>
  </si>
  <si>
    <t>Revenue for ستارة خرز</t>
  </si>
  <si>
    <t>SAL-1765059349899-623</t>
  </si>
  <si>
    <t>COGS for بونبونيرة عجلة</t>
  </si>
  <si>
    <t>Revenue for بونبونيرة عجلة</t>
  </si>
  <si>
    <t>SAL-1765059349940-237</t>
  </si>
  <si>
    <t>COGS for علبة مناديل كريستال</t>
  </si>
  <si>
    <t>حجز  محمود محمد مصطفى</t>
  </si>
  <si>
    <t>Revenue for علبة مناديل كريستال</t>
  </si>
  <si>
    <t>SAL-1765059349977-884</t>
  </si>
  <si>
    <t>SAL-1765059350014-634</t>
  </si>
  <si>
    <t>SAL-1765059350051-624</t>
  </si>
  <si>
    <t>COGS for بوكيه بلاستيك و ريش واخضر عرايس:)</t>
  </si>
  <si>
    <t>Revenue for بوكيه بلاستيك و ريش واخضر عرايس:)</t>
  </si>
  <si>
    <t>SAL-1765059350083-902</t>
  </si>
  <si>
    <t>SAL-1765059350126-193</t>
  </si>
  <si>
    <t>COGS for شجرة موز صغيرة</t>
  </si>
  <si>
    <t>Revenue for شجرة موز صغيرة</t>
  </si>
  <si>
    <t>SAL-1765059350171-777</t>
  </si>
  <si>
    <t>COGS for شجرة موز كبيرة</t>
  </si>
  <si>
    <t>Revenue for شجرة موز كبيرة</t>
  </si>
  <si>
    <t>SAL-1765059350249-756</t>
  </si>
  <si>
    <t>COGS for بوت وسط</t>
  </si>
  <si>
    <t>Revenue for بوت وسط</t>
  </si>
  <si>
    <t>SAL-1765059350312-368</t>
  </si>
  <si>
    <t>SAL-1765059350365-872</t>
  </si>
  <si>
    <t>SAL-1765059350421-937</t>
  </si>
  <si>
    <t>COGS for مزرعة شلال</t>
  </si>
  <si>
    <t>Revenue for مزرعة شلال</t>
  </si>
  <si>
    <t>SAL-1765059350454-829</t>
  </si>
  <si>
    <t>COGS for بوكيه فازة بورسلين دهبي وورد شبه التاج</t>
  </si>
  <si>
    <t>Revenue for بوكيه فازة بورسلين دهبي وورد شبه التاج</t>
  </si>
  <si>
    <t>SAL-1765059350496-678</t>
  </si>
  <si>
    <t>SAL-1765059350527-655</t>
  </si>
  <si>
    <t>SAL-1765059350548-724</t>
  </si>
  <si>
    <t>SAL-1765059350582-786</t>
  </si>
  <si>
    <t>SAL-1765059350605-252</t>
  </si>
  <si>
    <t>SAL-1765059350642-118</t>
  </si>
  <si>
    <t>SAL-1765059350659-867</t>
  </si>
  <si>
    <t>COGS for بولا خزف وبوكيه ورد صغير</t>
  </si>
  <si>
    <t>Revenue for بولا خزف وبوكيه ورد صغير</t>
  </si>
  <si>
    <t>SAL-1765059350684-993</t>
  </si>
  <si>
    <t>COGS for صبارة بورسلين</t>
  </si>
  <si>
    <t>Revenue for صبارة بورسلين</t>
  </si>
  <si>
    <t>SAL-1765059350717-504</t>
  </si>
  <si>
    <t>COGS for مكتبة</t>
  </si>
  <si>
    <t>Revenue for مكتبة</t>
  </si>
  <si>
    <t>SAL-1765059350741-325</t>
  </si>
  <si>
    <t>COGS for فرع زرع</t>
  </si>
  <si>
    <t>Revenue for فرع زرع</t>
  </si>
  <si>
    <t>SAL-1765059350763-157</t>
  </si>
  <si>
    <t>COGS for فرع مشمش جديد</t>
  </si>
  <si>
    <t>Revenue for فرع مشمش جديد</t>
  </si>
  <si>
    <t>SAL-1765059350814-965</t>
  </si>
  <si>
    <t>SAL-1765059350845-437</t>
  </si>
  <si>
    <t>SAL-1765059350871-868</t>
  </si>
  <si>
    <t>COGS for بوكيه بلاستيك هيش بحر وورد صغير</t>
  </si>
  <si>
    <t>Revenue for بوكيه بلاستيك هيش بحر وورد صغير</t>
  </si>
  <si>
    <t>SAL-1765059350912-309</t>
  </si>
  <si>
    <t>COGS for شجرة جاهزة</t>
  </si>
  <si>
    <t>Revenue for شجرة جاهزة</t>
  </si>
  <si>
    <t>SAL-1765059350941-312</t>
  </si>
  <si>
    <t>SAL-1765059350963-351</t>
  </si>
  <si>
    <t>COGS for بوكيه بلاسيتك وورد احمر صغير</t>
  </si>
  <si>
    <t>Revenue for بوكيه بلاسيتك وورد احمر صغير</t>
  </si>
  <si>
    <t>SAL-1765059350986-657</t>
  </si>
  <si>
    <t>SAL-1765059351010-554</t>
  </si>
  <si>
    <t>SAL-1765059351040-803</t>
  </si>
  <si>
    <t>COGS for فازة خزف وبوكيه ورد مقفول وورد صغير</t>
  </si>
  <si>
    <t>Revenue for فازة خزف وبوكيه ورد مقفول وورد صغير</t>
  </si>
  <si>
    <t>SAL-1765059351063-684</t>
  </si>
  <si>
    <t>COGS for شجرة مشمش 4 فروع</t>
  </si>
  <si>
    <t>Revenue for شجرة مشمش 4 فروع</t>
  </si>
  <si>
    <t>SAL-1765059351087-195</t>
  </si>
  <si>
    <t>SAL-1765059351108-527</t>
  </si>
  <si>
    <t>SAL-1765059351134-810</t>
  </si>
  <si>
    <t>SAL-1765059351158-442</t>
  </si>
  <si>
    <t>COGS for شجرة مانجا 18 ورقة</t>
  </si>
  <si>
    <t>Revenue for شجرة مانجا 18 ورقة</t>
  </si>
  <si>
    <t>SAL-1765059351185-683</t>
  </si>
  <si>
    <t>SAL-1765059351216-742</t>
  </si>
  <si>
    <t>COGS for شمعدان رفيع طويل عادي</t>
  </si>
  <si>
    <t>Revenue for شمعدان رفيع طويل عادي</t>
  </si>
  <si>
    <t>SAL-1765059351246-449</t>
  </si>
  <si>
    <t>COGS for كريستالة معلقة</t>
  </si>
  <si>
    <t>Revenue for كريستالة معلقة</t>
  </si>
  <si>
    <t>SAL-1765059351282-668</t>
  </si>
  <si>
    <t>SAL-1765059351311-245</t>
  </si>
  <si>
    <t>SAL-1765059351345-737</t>
  </si>
  <si>
    <t>SAL-1765059351372-180</t>
  </si>
  <si>
    <t>COGS for ورد بلدي</t>
  </si>
  <si>
    <t>Revenue for ورد بلدي</t>
  </si>
  <si>
    <t>SAL-1765059351394-294</t>
  </si>
  <si>
    <t>COGS for ورد زهور صغير</t>
  </si>
  <si>
    <t>SAL-1765059762406-441</t>
  </si>
  <si>
    <t>Revenue for ورد زهور صغير</t>
  </si>
  <si>
    <t>SAL-1765059351422-820</t>
  </si>
  <si>
    <t>SAL-1765059351442-959</t>
  </si>
  <si>
    <t>SAL-1765059351474-645</t>
  </si>
  <si>
    <t>SAL-1765059351501-124</t>
  </si>
  <si>
    <t>COGS for نتيجة</t>
  </si>
  <si>
    <t>Revenue for نتيجة</t>
  </si>
  <si>
    <t>SAL-1765059351533-856</t>
  </si>
  <si>
    <t>COGS for فازة خزف متوسطة</t>
  </si>
  <si>
    <t>Revenue for فازة خزف متوسطة</t>
  </si>
  <si>
    <t>SAL-1765059351558-710</t>
  </si>
  <si>
    <t>SAL-1765059351588-912</t>
  </si>
  <si>
    <t>COGS for بوت تركي هاند ميد</t>
  </si>
  <si>
    <t>Revenue for بوت تركي هاند ميد</t>
  </si>
  <si>
    <t>SAL-1765059351618-734</t>
  </si>
  <si>
    <t>SAL-1765059351648-508</t>
  </si>
  <si>
    <t>COGS for بوكيه ابيض كبير مجفف</t>
  </si>
  <si>
    <t>Revenue for بوكيه ابيض كبير مجفف</t>
  </si>
  <si>
    <t>SAL-1765059351668-162</t>
  </si>
  <si>
    <t>COGS for بوكيه فل</t>
  </si>
  <si>
    <t>Revenue for بوكيه فل</t>
  </si>
  <si>
    <t>SAL-1765059351699-749</t>
  </si>
  <si>
    <t>COGS for فازة بورسلين كبيرة</t>
  </si>
  <si>
    <t>Revenue for فازة بورسلين كبيرة</t>
  </si>
  <si>
    <t>SAL-1765059351747-379</t>
  </si>
  <si>
    <t>SAL-1765059351831-912</t>
  </si>
  <si>
    <t>SAL-1765059351893-901</t>
  </si>
  <si>
    <t>SAL-1765059351941-982</t>
  </si>
  <si>
    <t>COGS for قطعة دوناتس</t>
  </si>
  <si>
    <t>Revenue for قطعة دوناتس</t>
  </si>
  <si>
    <t>SAL-1765059351974-264</t>
  </si>
  <si>
    <t>COGS for شجرة صغيرة 3d</t>
  </si>
  <si>
    <t>Revenue for شجرة صغيرة 3d</t>
  </si>
  <si>
    <t>SAL-1765059352005-344</t>
  </si>
  <si>
    <t>COGS for شجرة تركيب 24 ورقة</t>
  </si>
  <si>
    <t>Revenue for شجرة تركيب 24 ورقة</t>
  </si>
  <si>
    <t>SAL-1765059352035-149</t>
  </si>
  <si>
    <t>SAL-1765059352067-891</t>
  </si>
  <si>
    <t>SAL-1765059352091-297</t>
  </si>
  <si>
    <t>SAL-1765059352119-147</t>
  </si>
  <si>
    <t>SAL-1765059352140-406</t>
  </si>
  <si>
    <t>COGS for طقم دوناتس</t>
  </si>
  <si>
    <t>Revenue for طقم دوناتس</t>
  </si>
  <si>
    <t>SAL-1765059352156-973</t>
  </si>
  <si>
    <t>COGS for بوت صغير هاند ميد</t>
  </si>
  <si>
    <t>Revenue for بوت صغير هاند ميد</t>
  </si>
  <si>
    <t>SAL-1765059352177-809</t>
  </si>
  <si>
    <t>COGS for بوكيه فرع اخضر جديد</t>
  </si>
  <si>
    <t>Revenue for بوكيه فرع اخضر جديد</t>
  </si>
  <si>
    <t>SAL-1765059352208-221</t>
  </si>
  <si>
    <t>SAL-1765059352231-642</t>
  </si>
  <si>
    <t>SAL-1765059352255-577</t>
  </si>
  <si>
    <t>COGS for بوكيه جيبس فل</t>
  </si>
  <si>
    <t>Revenue for بوكيه جيبس فل</t>
  </si>
  <si>
    <t>SAL-1765059352275-901</t>
  </si>
  <si>
    <t>SAL-1765059352302-501</t>
  </si>
  <si>
    <t>SAL-1765059352329-147</t>
  </si>
  <si>
    <t>COGS for شمعدان نخلة</t>
  </si>
  <si>
    <t>Revenue for شمعدان نخلة</t>
  </si>
  <si>
    <t>SAL-1765059352358-604</t>
  </si>
  <si>
    <t>SAL-1765059352376-170</t>
  </si>
  <si>
    <t>COGS for فازة خزف ريش</t>
  </si>
  <si>
    <t>Revenue for فازة خزف ريش</t>
  </si>
  <si>
    <t>SAL-1765059352400-271</t>
  </si>
  <si>
    <t>SAL-1765059352426-431</t>
  </si>
  <si>
    <t>COGS for بوكيه بلاستيك وورد روز</t>
  </si>
  <si>
    <t>Revenue for بوكيه بلاستيك وورد روز</t>
  </si>
  <si>
    <t>SAL-1765059352449-548</t>
  </si>
  <si>
    <t>SAL-1765059352469-706</t>
  </si>
  <si>
    <t>SAL-1765059352493-863</t>
  </si>
  <si>
    <t>SAL-1765059352524-754</t>
  </si>
  <si>
    <t>COGS for شيالة ازاز 3</t>
  </si>
  <si>
    <t>Revenue for شيالة ازاز 3</t>
  </si>
  <si>
    <t>SAL-1765059352543-497</t>
  </si>
  <si>
    <t>COGS for دوناتس مستطيل</t>
  </si>
  <si>
    <t>Revenue for دوناتس مستطيل</t>
  </si>
  <si>
    <t>SAL-1765059352562-165</t>
  </si>
  <si>
    <t>SAL-1765059352582-630</t>
  </si>
  <si>
    <t>SAL-1765059352616-594</t>
  </si>
  <si>
    <t>SAL-1765059352642-652</t>
  </si>
  <si>
    <t>COGS for مزرعة صغيرة اكليرك اصغر</t>
  </si>
  <si>
    <t>Revenue for مزرعة صغيرة اكليرك اصغر</t>
  </si>
  <si>
    <t>SAL-1765059352668-604</t>
  </si>
  <si>
    <t>COGS for ورد بلدي احمر</t>
  </si>
  <si>
    <t>Revenue for ورد بلدي احمر</t>
  </si>
  <si>
    <t>SAL-1765059352690-170</t>
  </si>
  <si>
    <t>SAL-1765059352711-959</t>
  </si>
  <si>
    <t>SAL-1765059352733-198</t>
  </si>
  <si>
    <t>SAL-1765059352761-922</t>
  </si>
  <si>
    <t>SAL-1765059352783-262</t>
  </si>
  <si>
    <t>COGS for طقم شمع</t>
  </si>
  <si>
    <t>Revenue for طقم شمع</t>
  </si>
  <si>
    <t>SAL-1765059352817-963</t>
  </si>
  <si>
    <t>SAL-1765059352843-684</t>
  </si>
  <si>
    <t>SAL-1765059352865-204</t>
  </si>
  <si>
    <t>SAL-1765059352896-944</t>
  </si>
  <si>
    <t>COGS for ورد يسمين</t>
  </si>
  <si>
    <t>Revenue for ورد يسمين</t>
  </si>
  <si>
    <t>SAL-1765059352924-323</t>
  </si>
  <si>
    <t>SAL-1765059352953-617</t>
  </si>
  <si>
    <t>SAL-1765059352973-408</t>
  </si>
  <si>
    <t>COGS for ورد خرشوف لونين</t>
  </si>
  <si>
    <t>Revenue for ورد خرشوف لونين</t>
  </si>
  <si>
    <t>SAL-1765059352993-655</t>
  </si>
  <si>
    <t>SAL-1765059353023-397</t>
  </si>
  <si>
    <t>COGS for بوكيه جلد</t>
  </si>
  <si>
    <t>Revenue for بوكيه جلد</t>
  </si>
  <si>
    <t>SAL-1765059353051-749</t>
  </si>
  <si>
    <t>SAL-1765059353073-177</t>
  </si>
  <si>
    <t>COGS for شجرة فانباخيا  صغيرة</t>
  </si>
  <si>
    <t>Revenue for شجرة فانباخيا  صغيرة</t>
  </si>
  <si>
    <t>SAL-1765059353094-346</t>
  </si>
  <si>
    <t>SAL-1765059353119-781</t>
  </si>
  <si>
    <t>COGS for لوحة 3 قطع</t>
  </si>
  <si>
    <t>Revenue for لوحة 3 قطع</t>
  </si>
  <si>
    <t>SAL-1765059353142-906</t>
  </si>
  <si>
    <t>COGS for فازة خزف ورد مقفول واتنين صغير</t>
  </si>
  <si>
    <t>Revenue for فازة خزف ورد مقفول واتنين صغير</t>
  </si>
  <si>
    <t>SAL-1765059353166-208</t>
  </si>
  <si>
    <t>COGS for بونبونيرة اكليرك</t>
  </si>
  <si>
    <t>Revenue for بونبونيرة اكليرك</t>
  </si>
  <si>
    <t>SAL-1765059353189-125</t>
  </si>
  <si>
    <t>SAL-1765059353210-625</t>
  </si>
  <si>
    <t>COGS for شجرة  تركيب 18 ورقة</t>
  </si>
  <si>
    <t>Revenue for شجرة  تركيب 18 ورقة</t>
  </si>
  <si>
    <t>SAL-1765059353237-114</t>
  </si>
  <si>
    <t>SAL-1765059353259-224</t>
  </si>
  <si>
    <t>COGS for توليب</t>
  </si>
  <si>
    <t>Revenue for توليب</t>
  </si>
  <si>
    <t>SAL-1765059353292-173</t>
  </si>
  <si>
    <t>COGS for فازة بورسلين</t>
  </si>
  <si>
    <t>Revenue for فازة بورسلين</t>
  </si>
  <si>
    <t>SAL-1765059353321-569</t>
  </si>
  <si>
    <t>SAL-1765059353354-906</t>
  </si>
  <si>
    <t>SAL-1765059353383-213</t>
  </si>
  <si>
    <t>SAL-1765059353411-688</t>
  </si>
  <si>
    <t>SAL-1765059353449-794</t>
  </si>
  <si>
    <t>SAL-1765059762427-337</t>
  </si>
  <si>
    <t>SAL-1765059353480-250</t>
  </si>
  <si>
    <t>COGS for طقم ترمص</t>
  </si>
  <si>
    <t>Revenue for طقم ترمص</t>
  </si>
  <si>
    <t>SAL-1765059353530-413</t>
  </si>
  <si>
    <t>SAL-1765059353554-509</t>
  </si>
  <si>
    <t>SAL-1765059353574-324</t>
  </si>
  <si>
    <t>SAL-1765059353596-548</t>
  </si>
  <si>
    <t>SAL-1765059353618-553</t>
  </si>
  <si>
    <t>SAL-1765059353645-743</t>
  </si>
  <si>
    <t>SAL-1765059353664-739</t>
  </si>
  <si>
    <t>SAL-1765059353684-370</t>
  </si>
  <si>
    <t>COGS for شوكة وسط</t>
  </si>
  <si>
    <t>Revenue for شوكة وسط</t>
  </si>
  <si>
    <t>SAL-1765059353714-583</t>
  </si>
  <si>
    <t>SAL-1765059353734-418</t>
  </si>
  <si>
    <t>COGS for فازة خزف صغيرة تركي</t>
  </si>
  <si>
    <t>Revenue for فازة خزف صغيرة تركي</t>
  </si>
  <si>
    <t>SAL-1765059353753-748</t>
  </si>
  <si>
    <t>SAL-1765059353784-295</t>
  </si>
  <si>
    <t>SAL-1765059353806-688</t>
  </si>
  <si>
    <t>SAL-1765059353828-610</t>
  </si>
  <si>
    <t>SAL-1765059353852-537</t>
  </si>
  <si>
    <t>SAL-1765059353873-643</t>
  </si>
  <si>
    <t>SAL-1765059353897-646</t>
  </si>
  <si>
    <t>SAL-1765059353920-311</t>
  </si>
  <si>
    <t>COGS for بوكيه مشمش</t>
  </si>
  <si>
    <t>Revenue for بوكيه مشمش</t>
  </si>
  <si>
    <t>SAL-1765059353951-479</t>
  </si>
  <si>
    <t>SAL-1765059353971-173</t>
  </si>
  <si>
    <t>SAL-1765059353995-723</t>
  </si>
  <si>
    <t>SAL-1765059354031-566</t>
  </si>
  <si>
    <t>SAL-1765059354055-592</t>
  </si>
  <si>
    <t>SAL-1765059354089-342</t>
  </si>
  <si>
    <t>SAL-1765059354138-969</t>
  </si>
  <si>
    <t>SAL-1765059354168-796</t>
  </si>
  <si>
    <t>COGS for شجرة  ورق عريض قماش</t>
  </si>
  <si>
    <t>Revenue for شجرة  ورق عريض قماش</t>
  </si>
  <si>
    <t>SAL-1765059762453-418</t>
  </si>
  <si>
    <t>SAL-1765059762505-643</t>
  </si>
  <si>
    <t>COGS for ريش</t>
  </si>
  <si>
    <t>Revenue for ريش</t>
  </si>
  <si>
    <t>SAL-1765196863750-560</t>
  </si>
  <si>
    <t>SAL-1765196863771-281</t>
  </si>
  <si>
    <t>SAL-1765196863799-908</t>
  </si>
  <si>
    <t>COGS for قرنفل جيبسفيل</t>
  </si>
  <si>
    <t>Revenue for قرنفل جيبسفيل</t>
  </si>
  <si>
    <t>SAL-1765218802944-254</t>
  </si>
  <si>
    <t>SAL-1765218802962-218</t>
  </si>
  <si>
    <t>COGS for شجرة مشمش 3 فروع</t>
  </si>
  <si>
    <t>Revenue for شجرة مشمش 3 فروع</t>
  </si>
  <si>
    <t>SAL-1765218802979-711</t>
  </si>
  <si>
    <t>SAL-1765218803001-543</t>
  </si>
  <si>
    <t>SAL-1765218803015-995</t>
  </si>
  <si>
    <t>SAL-1765219103002-376</t>
  </si>
  <si>
    <t>SAL-1765219103024-681</t>
  </si>
  <si>
    <t>SAL-1765283296703-836</t>
  </si>
  <si>
    <t>COGS for ريش ازرق</t>
  </si>
  <si>
    <t>Revenue for ريش ازرق</t>
  </si>
  <si>
    <t>SAL-1765283296817-135</t>
  </si>
  <si>
    <t>COGS for شجرة مشمش فرعين</t>
  </si>
  <si>
    <t>Revenue for شجرة مشمش فرعين</t>
  </si>
  <si>
    <t>SAL-1765736193515-371</t>
  </si>
  <si>
    <t>COGS for ورد بلدي 10 وردة جديد</t>
  </si>
  <si>
    <t>Revenue for ورد بلدي 10 وردة جديد</t>
  </si>
  <si>
    <t>SAL-1765736193534-653</t>
  </si>
  <si>
    <t>COGS for بروبلين 10 سم</t>
  </si>
  <si>
    <t>Revenue for بروبلين 10 سم</t>
  </si>
  <si>
    <t>SAL-1765736904933-545</t>
  </si>
  <si>
    <t>COGS for مبخرة كهرباء 002/7</t>
  </si>
  <si>
    <t>Revenue for مبخرة كهرباء 002/7</t>
  </si>
  <si>
    <t>SAL-1765736904950-754</t>
  </si>
  <si>
    <t>SAL-1765736904968-399</t>
  </si>
  <si>
    <t>SAL-1765736904984-551</t>
  </si>
  <si>
    <t>SAL-1765736905000-306</t>
  </si>
  <si>
    <t>SAL-1765736905016-531</t>
  </si>
  <si>
    <t>SAL-1765736905032-243</t>
  </si>
  <si>
    <t>COGS for بخور ميسك كيس 5097</t>
  </si>
  <si>
    <t>Revenue for بخور ميسك كيس 5097</t>
  </si>
  <si>
    <t>SAL-1765736905046-948</t>
  </si>
  <si>
    <t>COGS for شمع 006/96</t>
  </si>
  <si>
    <t>Revenue for شمع 006/96</t>
  </si>
  <si>
    <t>SAL-1765736905065-323</t>
  </si>
  <si>
    <t>SAL-1765736905082-838</t>
  </si>
  <si>
    <t>SAL-1765736905110-654</t>
  </si>
  <si>
    <t>COGS for شوكة صغيرة</t>
  </si>
  <si>
    <t>Revenue for شوكة صغيرة</t>
  </si>
  <si>
    <t>SAL-1765736905136-964</t>
  </si>
  <si>
    <t>COGS for أباجورة USB ناش 358 (عرض خاص)</t>
  </si>
  <si>
    <t>Revenue for أباجورة USB ناش 358 (عرض خاص)</t>
  </si>
  <si>
    <t>SAL-1765736976265-754</t>
  </si>
  <si>
    <t>COGS for بوكية اربع وردات</t>
  </si>
  <si>
    <t>Revenue for بوكية اربع وردات</t>
  </si>
  <si>
    <t>SAL-1765809928159-512</t>
  </si>
  <si>
    <t>COGS for بخور فحم بالقطعة 0411/12</t>
  </si>
  <si>
    <t>Revenue for بخور فحم بالقطعة 0411/12</t>
  </si>
  <si>
    <t>SAL-1765809928192-665</t>
  </si>
  <si>
    <t>SAL-1765823568973-689</t>
  </si>
  <si>
    <t>COGS for مبخرة كهرباء 7057</t>
  </si>
  <si>
    <t>Revenue for مبخرة كهرباء 7057</t>
  </si>
  <si>
    <t>SAL-1765823569000-500</t>
  </si>
  <si>
    <t>SAL-1765823569032-333</t>
  </si>
  <si>
    <t>SAL-1765823569061-452</t>
  </si>
  <si>
    <t>SAL-1765823569086-868</t>
  </si>
  <si>
    <t>SAL-1765996440786-445</t>
  </si>
  <si>
    <t>SAL-1765996440815-367</t>
  </si>
  <si>
    <t>SAL-1765996440848-557</t>
  </si>
  <si>
    <t>SAL-1765996440876-852</t>
  </si>
  <si>
    <t>SAL-1765996440904-685</t>
  </si>
  <si>
    <t>SAL-1765996440925-109</t>
  </si>
  <si>
    <t>SAL-1765996440948-266</t>
  </si>
  <si>
    <t>SAL-1765996440971-652</t>
  </si>
  <si>
    <t>SAL-1766085074527-824</t>
  </si>
  <si>
    <t>SAL-1766085125887-709</t>
  </si>
  <si>
    <t>SAL-1766087890599-409</t>
  </si>
  <si>
    <t>COGS for مبخرة كهرباء 6770</t>
  </si>
  <si>
    <t>Revenue for مبخرة كهرباء 6770</t>
  </si>
  <si>
    <t>SAL-1766087890628-759</t>
  </si>
  <si>
    <t>COGS for أباجورة يو اس بي 77/34/2</t>
  </si>
  <si>
    <t>Revenue for أباجورة يو اس بي 77/34/2</t>
  </si>
  <si>
    <t>SAL-1766087890659-715</t>
  </si>
  <si>
    <t>SAL-1766261669017-766</t>
  </si>
  <si>
    <t>COGS for بوكيه بلايستيك و ورد قطيفة صغير وورد صغير</t>
  </si>
  <si>
    <t>Revenue for بوكيه بلايستيك و ورد قطيفة صغير وورد صغير</t>
  </si>
  <si>
    <t>SAL-1766261669045-909</t>
  </si>
  <si>
    <t>COGS for بوكيه  ورد صغير</t>
  </si>
  <si>
    <t>Revenue for بوكيه  ورد صغير</t>
  </si>
  <si>
    <t>SAL-1766261669068-375</t>
  </si>
  <si>
    <t>SAL-1766261669094-112</t>
  </si>
  <si>
    <t>SAL-1766261669124-719</t>
  </si>
  <si>
    <t>SAL-1766422091485-225</t>
  </si>
  <si>
    <t>COGS for شمعة 1011</t>
  </si>
  <si>
    <t>Revenue for شمعة 1011</t>
  </si>
  <si>
    <t>SAL-1766422091502-727</t>
  </si>
  <si>
    <t>SAL-1766422091516-780</t>
  </si>
  <si>
    <t>COGS for شمعة 012/96</t>
  </si>
  <si>
    <t>Revenue for شمعة 012/96</t>
  </si>
  <si>
    <t>SAL-1766511048768-879</t>
  </si>
  <si>
    <t>SAL-1766511048799-503</t>
  </si>
  <si>
    <t>COGS for شمعة جبل 403/181</t>
  </si>
  <si>
    <t>Revenue for شمعة جبل 403/181</t>
  </si>
  <si>
    <t>SAL-1766511048823-174</t>
  </si>
  <si>
    <t>SAL-1766654083505-114</t>
  </si>
  <si>
    <t>COGS for شمعة 1003</t>
  </si>
  <si>
    <t>Revenue for شمعة 1003</t>
  </si>
  <si>
    <t>SAL-1766654083535-358</t>
  </si>
  <si>
    <t>SAL-1766654083555-895</t>
  </si>
  <si>
    <t>SAL-1766654083576-930</t>
  </si>
  <si>
    <t>SAL-1766654083597-842</t>
  </si>
  <si>
    <t>SAL-1766686185529-314</t>
  </si>
  <si>
    <t>COGS for ورد ديكور لوكس 0068</t>
  </si>
  <si>
    <t>Revenue for ورد ديكور لوكس 0068</t>
  </si>
  <si>
    <t>SAL-1767039075414-439</t>
  </si>
  <si>
    <t>COGS for سربا شريط ليد 8053 (5م)</t>
  </si>
  <si>
    <t>Revenue for سربا شريط ليد 8053 (5م)</t>
  </si>
  <si>
    <t>SAL-1767039075443-636</t>
  </si>
  <si>
    <t>COGS for سربا شريط ليد 8052 (10م)</t>
  </si>
  <si>
    <t>Revenue for سربا شريط ليد 8052 (10م)</t>
  </si>
  <si>
    <t>SAL-1767039075467-752</t>
  </si>
  <si>
    <t>COGS for مروحة يد 339/3</t>
  </si>
  <si>
    <t>Revenue for مروحة يد 339/3</t>
  </si>
  <si>
    <t>SAL-1767039075489-562</t>
  </si>
  <si>
    <t>COGS for مروحة يد 339/2</t>
  </si>
  <si>
    <t>Revenue for مروحة يد 339/2</t>
  </si>
  <si>
    <t>SAL-1767039075511-414</t>
  </si>
  <si>
    <t>SAL-1767104079615-687</t>
  </si>
  <si>
    <t>COGS for برج إيفل 15CM</t>
  </si>
  <si>
    <t>Revenue for برج إيفل 15CM</t>
  </si>
  <si>
    <t>SAL-1767104079637-995</t>
  </si>
  <si>
    <t>COGS for ديكور بالنور 68305</t>
  </si>
  <si>
    <t>Revenue for ديكور بالنور 68305</t>
  </si>
  <si>
    <t>SAL-1767104079657-577</t>
  </si>
  <si>
    <t>TimeStamp</t>
  </si>
  <si>
    <t>SAL-1767104079679-571</t>
  </si>
  <si>
    <t>العمود 2</t>
  </si>
  <si>
    <t>SAL-1767104079699-633</t>
  </si>
  <si>
    <t>FinalUnitPrice</t>
  </si>
  <si>
    <t>Profit</t>
  </si>
  <si>
    <t>RefRow</t>
  </si>
  <si>
    <t>Message</t>
  </si>
  <si>
    <t>User</t>
  </si>
  <si>
    <t>SAL-1767104079717-986</t>
  </si>
  <si>
    <t>Manufacturing-Output</t>
  </si>
  <si>
    <t>SAL-1767104079737-839</t>
  </si>
  <si>
    <t>مقزم-شجر</t>
  </si>
  <si>
    <t>Product manufactured</t>
  </si>
  <si>
    <t>COGS for ديكور معدن 6656/1</t>
  </si>
  <si>
    <t>abdofwzy9@gmail.com</t>
  </si>
  <si>
    <t>Revenue for ديكور معدن 6656/1</t>
  </si>
  <si>
    <t>SAL-1767104229847-354</t>
  </si>
  <si>
    <t>COGS for بوكيه بلاسيتك وورد مسك الليل</t>
  </si>
  <si>
    <t>Manufacturing-Input</t>
  </si>
  <si>
    <t>Revenue for بوكيه بلاسيتك وورد مسك الليل</t>
  </si>
  <si>
    <t>SAL-1767120273044-507</t>
  </si>
  <si>
    <t>Used in manufacturing</t>
  </si>
  <si>
    <t>SAL-1767284065981-170</t>
  </si>
  <si>
    <t>SAL-1767284066030-568</t>
  </si>
  <si>
    <t>COGS for ديكور بللور 68255</t>
  </si>
  <si>
    <t>Revenue for ديكور بللور 68255</t>
  </si>
  <si>
    <t>SAL-1767284066072-496</t>
  </si>
  <si>
    <t>COGS for كرة كريستال 1294</t>
  </si>
  <si>
    <t>Revenue for كرة كريستال 1294</t>
  </si>
  <si>
    <t>Mfg-In</t>
  </si>
  <si>
    <t>SAL-1767290758523-131</t>
  </si>
  <si>
    <t>COGS for شمعة 010</t>
  </si>
  <si>
    <t>مقزم_خضرا _الوان</t>
  </si>
  <si>
    <t>Used</t>
  </si>
  <si>
    <t>Revenue for شمعة 010</t>
  </si>
  <si>
    <t>SAL-1767290758588-368</t>
  </si>
  <si>
    <t>بوكيه صغير</t>
  </si>
  <si>
    <t>SAL-1767290758607-888</t>
  </si>
  <si>
    <t>SAL-1767290758623-282</t>
  </si>
  <si>
    <t>SAL-1767290758644-734</t>
  </si>
  <si>
    <t>SAL-1767290758661-785</t>
  </si>
  <si>
    <t>SAL-1767290758677-442</t>
  </si>
  <si>
    <t>SAL-1767290758694-960</t>
  </si>
  <si>
    <t>شجرة_بنجامين_110سم</t>
  </si>
  <si>
    <t>SAL-1767290758724-670</t>
  </si>
  <si>
    <t>SAL-1767290853835-593</t>
  </si>
  <si>
    <t>Purchase</t>
  </si>
  <si>
    <t>SAL-1767299907740-326</t>
  </si>
  <si>
    <t>Added 2 to stock (orderId:ORD-1773525728614-154)</t>
  </si>
  <si>
    <t>SAL-1767554067332-213</t>
  </si>
  <si>
    <t>COGS for ورد مجفف مصري 561</t>
  </si>
  <si>
    <t>Added 2 to stock (orderId:ORD-1773525728606-696)</t>
  </si>
  <si>
    <t>Revenue for ورد مجفف مصري 561</t>
  </si>
  <si>
    <t>SAL-1767554067363-575</t>
  </si>
  <si>
    <t>Added 3 to stock (orderId:)</t>
  </si>
  <si>
    <t>SAL-1767554067389-706</t>
  </si>
  <si>
    <t>مقزم-قرنفل</t>
  </si>
  <si>
    <t>SAL-1767554067417-550</t>
  </si>
  <si>
    <t>SAL-1767554067444-119</t>
  </si>
  <si>
    <t>COGS for توليب سيليكون</t>
  </si>
  <si>
    <t>Revenue for توليب سيليكون</t>
  </si>
  <si>
    <t>SAL-1768502002318-612</t>
  </si>
  <si>
    <t>COGS for ياسمين جيرمينجامبو</t>
  </si>
  <si>
    <t>Revenue for ياسمين جيرمينجامبو</t>
  </si>
  <si>
    <t>SAL-1768502002352-538</t>
  </si>
  <si>
    <t>SAL-1768502002375-663</t>
  </si>
  <si>
    <t>Sale</t>
  </si>
  <si>
    <t>SAL-1768502002402-251</t>
  </si>
  <si>
    <t>Sold (saleId:SAL-1780167096171-913)</t>
  </si>
  <si>
    <t>SAL-1768502002424-361</t>
  </si>
  <si>
    <t>COGS for مزرعة صغيرة جاهزة</t>
  </si>
  <si>
    <t>مقزم-احمر-قطيفة</t>
  </si>
  <si>
    <t>Revenue for مزرعة صغيرة جاهزة</t>
  </si>
  <si>
    <t>SAL-1768502002447-741</t>
  </si>
  <si>
    <t>COGS for مبخرة كهرباء 7053/2</t>
  </si>
  <si>
    <t>Revenue for مبخرة كهرباء 7053/2</t>
  </si>
  <si>
    <t>SAL-1768502002469-308</t>
  </si>
  <si>
    <t>COGS for شجرة ذرة  وسط</t>
  </si>
  <si>
    <t>Revenue for شجرة ذرة  وسط</t>
  </si>
  <si>
    <t>SAL-1768502002493-539</t>
  </si>
  <si>
    <t>COGS for بوت 2 شريطة دهبي</t>
  </si>
  <si>
    <t>Revenue for بوت 2 شريطة دهبي</t>
  </si>
  <si>
    <t>SAL-1768502002532-440</t>
  </si>
  <si>
    <t>COGS for مبخرة فحم 4424</t>
  </si>
  <si>
    <t>Revenue for مبخرة فحم 4424</t>
  </si>
  <si>
    <t>SAL-1768502002563-939</t>
  </si>
  <si>
    <t>SAL-1768502002591-638</t>
  </si>
  <si>
    <t>COGS for شجرة مانغوليا 80 سم</t>
  </si>
  <si>
    <t>Revenue for شجرة مانغوليا 80 سم</t>
  </si>
  <si>
    <t>SAL-1768502002623-707</t>
  </si>
  <si>
    <t>SAL-1768502002657-898</t>
  </si>
  <si>
    <t>Sold (saleId:SAL-1780167096148-284)</t>
  </si>
  <si>
    <t>SAL-1768502002688-409</t>
  </si>
  <si>
    <t>شجرة-ياسمين</t>
  </si>
  <si>
    <t>SAL-1768502002726-257</t>
  </si>
  <si>
    <t>SAL-1768502002764-840</t>
  </si>
  <si>
    <t>SAL-1768502002801-677</t>
  </si>
  <si>
    <t>COGS for ديكور معدن 218</t>
  </si>
  <si>
    <t>Revenue for ديكور معدن 218</t>
  </si>
  <si>
    <t>SAL-1768502002826-984</t>
  </si>
  <si>
    <t>SAL-1768502002848-298</t>
  </si>
  <si>
    <t>Sold (saleId:SAL-1780167096123-816)</t>
  </si>
  <si>
    <t>SAL-1768502002869-676</t>
  </si>
  <si>
    <t>COGS for بوكيه ورد نوعين</t>
  </si>
  <si>
    <t>Revenue for بوكيه ورد نوعين</t>
  </si>
  <si>
    <t>Sold (saleId:SAL-1780167096100-996)</t>
  </si>
  <si>
    <t>SAL-1768502002889-483</t>
  </si>
  <si>
    <t>Added 12 to stock (orderId:ORD-1771626318054-237)</t>
  </si>
  <si>
    <t>SAL-1768838940601-283</t>
  </si>
  <si>
    <t>COGS for شجرة مانغوليا 110 سم</t>
  </si>
  <si>
    <t>Added 12 to stock (orderId:ORD-1771626318049-306)</t>
  </si>
  <si>
    <t>Revenue for شجرة مانغوليا 110 سم</t>
  </si>
  <si>
    <t>SAL-1768838940634-498</t>
  </si>
  <si>
    <t>Added 12 to stock (orderId:ORD-1771626318044-937)</t>
  </si>
  <si>
    <t>SAL-1768838940664-492</t>
  </si>
  <si>
    <t>COGS for شنطة هدايا S</t>
  </si>
  <si>
    <t>Added 24 to stock (orderId:ORD-1771626318039-215)</t>
  </si>
  <si>
    <t>Revenue for شنطة هدايا S</t>
  </si>
  <si>
    <t>SAL-1768839972674-783</t>
  </si>
  <si>
    <t>COGS for فانوس كريستال بللور 423/2</t>
  </si>
  <si>
    <t>Added 24 to stock (orderId:ORD-1771626318033-383)</t>
  </si>
  <si>
    <t>Revenue for فانوس كريستال بللور 423/2</t>
  </si>
  <si>
    <t>SAL-1768840444404-669</t>
  </si>
  <si>
    <t>COGS for فانوس بطيخة ميتالك 255/20</t>
  </si>
  <si>
    <t>Revenue for فانوس بطيخة ميتالك 255/20</t>
  </si>
  <si>
    <t>Added 40 to stock (orderId:ORD-1771626318026-930)</t>
  </si>
  <si>
    <t>SAL-1768840444427-242</t>
  </si>
  <si>
    <t>COGS for فانوس رباعي ذهبي 033118</t>
  </si>
  <si>
    <t>Revenue for فانوس رباعي ذهبي 033118</t>
  </si>
  <si>
    <t>SAL-1768840444449-682</t>
  </si>
  <si>
    <t>Added 40 to stock (orderId:)</t>
  </si>
  <si>
    <t>COGS for فانوس الرايق 26/36</t>
  </si>
  <si>
    <t>Revenue for فانوس الرايق 26/36</t>
  </si>
  <si>
    <t>SAL-1768840444488-641</t>
  </si>
  <si>
    <t>COGS for فانوس لمبة جاز 26/25</t>
  </si>
  <si>
    <t>Revenue for فانوس لمبة جاز 26/25</t>
  </si>
  <si>
    <t>SAL-1768840444515-858</t>
  </si>
  <si>
    <t>COGS for فانوس المسجد النبوي 26/20</t>
  </si>
  <si>
    <t>Revenue for فانوس المسجد النبوي 26/20</t>
  </si>
  <si>
    <t>SAL-1768937388044-397</t>
  </si>
  <si>
    <t>COGS for مقزم قرنفل</t>
  </si>
  <si>
    <t>Revenue for مقزم قرنفل</t>
  </si>
  <si>
    <t>SAL-1768937388070-286</t>
  </si>
  <si>
    <t>Sold (saleId:SAL-1780167096062-770)</t>
  </si>
  <si>
    <t>COGS for بوكيه وردة قطيفة</t>
  </si>
  <si>
    <t>Revenue for بوكيه وردة قطيفة</t>
  </si>
  <si>
    <t>SAL-1769014457575-800</t>
  </si>
  <si>
    <t>Sold (saleId:SAL-1780167096024-241)</t>
  </si>
  <si>
    <t>SAL-1769014457608-857</t>
  </si>
  <si>
    <t>Sold (saleId:SAL-1780167095988-611)</t>
  </si>
  <si>
    <t>SAL-1769014457644-491</t>
  </si>
  <si>
    <t>Sold (saleId:SAL-1780167095949-602)</t>
  </si>
  <si>
    <t>SAL-1769021224564-959</t>
  </si>
  <si>
    <t>Sold (saleId:SAL-1780167095912-461)</t>
  </si>
  <si>
    <t>COGS for فانوس بلاستيك بطيخة 255/51</t>
  </si>
  <si>
    <t>Revenue for فانوس بلاستيك بطيخة 255/51</t>
  </si>
  <si>
    <t>SAL-1769024709079-779</t>
  </si>
  <si>
    <t>Sold (saleId:SAL-1780167095878-806)</t>
  </si>
  <si>
    <t>SAL-1769024709105-807</t>
  </si>
  <si>
    <t>Sold (saleId:SAL-1780167095835-176)</t>
  </si>
  <si>
    <t>SAL-1769024709135-453</t>
  </si>
  <si>
    <t>Sold (saleId:SAL-1780166130792-557)</t>
  </si>
  <si>
    <t>COGS for شجرة بنجامين 80سم</t>
  </si>
  <si>
    <t>Revenue for شجرة بنجامين 80سم</t>
  </si>
  <si>
    <t>SAL-1769024709159-260</t>
  </si>
  <si>
    <t>Sold (saleId:SAL-1780166130772-785)</t>
  </si>
  <si>
    <t>Added 5 to stock (orderId:)</t>
  </si>
  <si>
    <t>SAL-1769100741709-531</t>
  </si>
  <si>
    <t>SAL-1769358536875-342</t>
  </si>
  <si>
    <t>Sold (saleId:SAL-1780166130752-605)</t>
  </si>
  <si>
    <t>SAL-1769359847202-329</t>
  </si>
  <si>
    <t>Sold (saleId:SAL-1780166130727-591)</t>
  </si>
  <si>
    <t>SAL-1769359847257-677</t>
  </si>
  <si>
    <t>Sold (saleId:SAL-1780166130693-842)</t>
  </si>
  <si>
    <t>SAL-1769359847315-941</t>
  </si>
  <si>
    <t>COGS for كيس ورد مجفف</t>
  </si>
  <si>
    <t>Revenue for كيس ورد مجفف</t>
  </si>
  <si>
    <t>SAL-1769364980287-291</t>
  </si>
  <si>
    <t>Sold (saleId:SAL-1780166130656-471)</t>
  </si>
  <si>
    <t>SAL-1769364980373-760</t>
  </si>
  <si>
    <t>Sold (saleId:SAL-1780166130634-293)</t>
  </si>
  <si>
    <t>SAL-1769364980452-188</t>
  </si>
  <si>
    <t>COGS for خوص هاند ميد</t>
  </si>
  <si>
    <t>Sold (saleId:SAL-1780166130603-256)</t>
  </si>
  <si>
    <t>Revenue for خوص هاند ميد</t>
  </si>
  <si>
    <t>SAL-1769364980524-199</t>
  </si>
  <si>
    <t>COGS for مربع هاند ميد</t>
  </si>
  <si>
    <t>Revenue for مربع هاند ميد</t>
  </si>
  <si>
    <t>SAL-1769364980601-265</t>
  </si>
  <si>
    <t>Added 12 to stock (orderId:ORD-1770313281039-441)</t>
  </si>
  <si>
    <t>SAL-1769367549901-746</t>
  </si>
  <si>
    <t>Added 24 to stock (orderId:ORD-1770313281024-204)</t>
  </si>
  <si>
    <t>SAL-1769367549963-266</t>
  </si>
  <si>
    <t>COGS for كونكريت كبير</t>
  </si>
  <si>
    <t>Added 12 to stock (orderId:ORD-1770313280986-491)</t>
  </si>
  <si>
    <t>Revenue for كونكريت كبير</t>
  </si>
  <si>
    <t>SAL-1769367550033-646</t>
  </si>
  <si>
    <t>SAL-1769373397167-128</t>
  </si>
  <si>
    <t>COGS for شجرة مانغوليا 150 سم</t>
  </si>
  <si>
    <t>Sold (saleId:SAL-1780166130551-171)</t>
  </si>
  <si>
    <t>Revenue for شجرة مانغوليا 150 سم</t>
  </si>
  <si>
    <t>SAL-1769667950763-865</t>
  </si>
  <si>
    <t>Sold (saleId:SAL-1780166130516-454)</t>
  </si>
  <si>
    <t>SAL-1769806266901-766</t>
  </si>
  <si>
    <t>تصنيع-مقزم-شجر</t>
  </si>
  <si>
    <t>SAL-1769806266970-175</t>
  </si>
  <si>
    <t>تم التعديل ودفع زيادة 30ج لبوكيه جلد</t>
  </si>
  <si>
    <t>SAL-1769806267061-870</t>
  </si>
  <si>
    <t>COGS for كونكريت صغير</t>
  </si>
  <si>
    <t>Revenue for كونكريت صغير</t>
  </si>
  <si>
    <t>SAL-1769806267182-493</t>
  </si>
  <si>
    <t>COGS for شجرة ياسمين 80سم</t>
  </si>
  <si>
    <t>Revenue for شجرة ياسمين 80سم</t>
  </si>
  <si>
    <t>SAL-1769806267257-617</t>
  </si>
  <si>
    <t>تصنيع-مزرعة</t>
  </si>
  <si>
    <t>SAL-1769806267336-783</t>
  </si>
  <si>
    <t>COGS for مزرعة بورسلين</t>
  </si>
  <si>
    <t>Revenue for مزرعة بورسلين</t>
  </si>
  <si>
    <t>Sold (saleId:SAL-1780166130479-183)</t>
  </si>
  <si>
    <t>SAL-1769806267411-253</t>
  </si>
  <si>
    <t>COGS for ديكور معدن 187</t>
  </si>
  <si>
    <t>Revenue for ديكور معدن 187</t>
  </si>
  <si>
    <t>SAL-1769806267494-847</t>
  </si>
  <si>
    <t>Sold (saleId:SAL-1780166130443-421)</t>
  </si>
  <si>
    <t>COGS for فازة ازاز وبوكيه</t>
  </si>
  <si>
    <t>Revenue for فازة ازاز وبوكيه</t>
  </si>
  <si>
    <t>SAL-1769806267577-264</t>
  </si>
  <si>
    <t>Sold (saleId:SAL-1780166130409-570)</t>
  </si>
  <si>
    <t>COGS for بوكيه كلة صغير</t>
  </si>
  <si>
    <t>Revenue for بوكيه كلة صغير</t>
  </si>
  <si>
    <t>SAL-1769806267681-511</t>
  </si>
  <si>
    <t>Sold (saleId:SAL-1780166130372-878)</t>
  </si>
  <si>
    <t>SAL-1769806267781-150</t>
  </si>
  <si>
    <t>Sold (saleId:SAL-1780166130338-682)</t>
  </si>
  <si>
    <t>SAL-1769806267869-312</t>
  </si>
  <si>
    <t>Sold (saleId:SAL-1780166130304-713)</t>
  </si>
  <si>
    <t>SAL-1769806267967-629</t>
  </si>
  <si>
    <t>Sold (saleId:SAL-1780166130284-588)</t>
  </si>
  <si>
    <t>SAL-1769806268065-128</t>
  </si>
  <si>
    <t>SAL-1769806518459-858</t>
  </si>
  <si>
    <t>Sold (saleId:SAL-1780166130259-308)</t>
  </si>
  <si>
    <t>SAL-1769873630070-347</t>
  </si>
  <si>
    <t>Sold (saleId:SAL-1780166130236-887)</t>
  </si>
  <si>
    <t>SAL-1769873630129-469</t>
  </si>
  <si>
    <t>Sold (saleId:SAL-1780166130209-872)</t>
  </si>
  <si>
    <t>SAL-1769884283081-730</t>
  </si>
  <si>
    <t>Sold (saleId:SAL-1780166130175-866)</t>
  </si>
  <si>
    <t>SAL-1769886717578-976</t>
  </si>
  <si>
    <t>Sold (saleId:SAL-1780166130148-172)</t>
  </si>
  <si>
    <t>SAL-1770137827285-710</t>
  </si>
  <si>
    <t>Sold (saleId:SAL-1780166130122-757)</t>
  </si>
  <si>
    <t>SAL-1770137827364-910</t>
  </si>
  <si>
    <t>COGS for بوكية قرنفل</t>
  </si>
  <si>
    <t>Sold (saleId:SAL-1780166130098-896)</t>
  </si>
  <si>
    <t>Revenue for بوكية قرنفل</t>
  </si>
  <si>
    <t>SAL-1770137827423-345</t>
  </si>
  <si>
    <t>Sold (saleId:SAL-1780166130074-924)</t>
  </si>
  <si>
    <t>SAL-1770137827483-740</t>
  </si>
  <si>
    <t>Sold (saleId:SAL-1780166130054-660)</t>
  </si>
  <si>
    <t>SAL-1770217341462-960</t>
  </si>
  <si>
    <t>Sold (saleId:SAL-1780166130025-622)</t>
  </si>
  <si>
    <t>SAL-1770217341527-247</t>
  </si>
  <si>
    <t>SAL-1770217341622-407</t>
  </si>
  <si>
    <t>ريش-بورد</t>
  </si>
  <si>
    <t>SAL-1770221182647-975</t>
  </si>
  <si>
    <t>SAL-1770221182710-884</t>
  </si>
  <si>
    <t>Sold (saleId:SAL-1780166129997-747)</t>
  </si>
  <si>
    <t>SAL-1770223749536-600</t>
  </si>
  <si>
    <t>COGS for شبكة ورق شجر</t>
  </si>
  <si>
    <t>Sold (saleId:SAL-1780166129973-217)</t>
  </si>
  <si>
    <t>Revenue for شبكة ورق شجر</t>
  </si>
  <si>
    <t>SAL-1770229335665-307</t>
  </si>
  <si>
    <t>Sold (saleId:SAL-1780166129953-583)</t>
  </si>
  <si>
    <t>SAL-1770229335720-507</t>
  </si>
  <si>
    <t>Sold (saleId:SAL-1780166129932-975)</t>
  </si>
  <si>
    <t>SAL-1770229335761-493</t>
  </si>
  <si>
    <t>Sold (saleId:SAL-1780166129905-860)</t>
  </si>
  <si>
    <t>SAL-1770229335800-182</t>
  </si>
  <si>
    <t>Sold (saleId:SAL-1780166129877-474)</t>
  </si>
  <si>
    <t>SAL-1770229335831-966</t>
  </si>
  <si>
    <t>COGS for بوكيه ابيض</t>
  </si>
  <si>
    <t>Revenue for بوكيه ابيض</t>
  </si>
  <si>
    <t>Sold (saleId:SAL-1780166129856-652)</t>
  </si>
  <si>
    <t>SAL-1770229335864-625</t>
  </si>
  <si>
    <t>SAL-1770312881022-726</t>
  </si>
  <si>
    <t>Sold (saleId:SAL-1780166129834-601)</t>
  </si>
  <si>
    <t>COGS for فواحة  091/3</t>
  </si>
  <si>
    <t>Revenue for فواحة  091/3</t>
  </si>
  <si>
    <t>SAL-1770312881083-707</t>
  </si>
  <si>
    <t>Sold (saleId:SAL-1780166129812-645)</t>
  </si>
  <si>
    <t>SAL-1770312881137-740</t>
  </si>
  <si>
    <t>Sold (saleId:SAL-1780166129790-918)</t>
  </si>
  <si>
    <t>SAL-1770312963245-569</t>
  </si>
  <si>
    <t>COGS for مج مربع بشالموه</t>
  </si>
  <si>
    <t>Sold (saleId:SAL-1780166129765-279)</t>
  </si>
  <si>
    <t>Revenue for مج مربع بشالموه</t>
  </si>
  <si>
    <t>SAL-1770318180753-458</t>
  </si>
  <si>
    <t>COGS for بوكيه وورد مجفف</t>
  </si>
  <si>
    <t>Revenue for بوكيه وورد مجفف</t>
  </si>
  <si>
    <t>SAL-1770318180785-668</t>
  </si>
  <si>
    <t>SAL-1770318180820-522</t>
  </si>
  <si>
    <t>SAL-1770318180852-910</t>
  </si>
  <si>
    <t>SAL-1770318180886-187</t>
  </si>
  <si>
    <t>COGS for سيريا ستارة شخصيات وورم</t>
  </si>
  <si>
    <t>Revenue for سيريا ستارة شخصيات وورم</t>
  </si>
  <si>
    <t>SAL-1770322190246-581</t>
  </si>
  <si>
    <t>Updated existing stock</t>
  </si>
  <si>
    <t>SAL-1770839813060-497</t>
  </si>
  <si>
    <t>SAL-1770839813170-434</t>
  </si>
  <si>
    <t>SAL-1770839813229-914</t>
  </si>
  <si>
    <t>SAL-1770839813277-809</t>
  </si>
  <si>
    <t>SAL-1770839813320-612</t>
  </si>
  <si>
    <t>SAL-1770839813387-509</t>
  </si>
  <si>
    <t>SAL-1770839813439-439</t>
  </si>
  <si>
    <t>SAL-1770839813742-137</t>
  </si>
  <si>
    <t>COGS for تقيلة زجاج 615/17</t>
  </si>
  <si>
    <t>Revenue for تقيلة زجاج 615/17</t>
  </si>
  <si>
    <t>SAL-1770839813838-198</t>
  </si>
  <si>
    <t>COGS for تقيلة زجاج 615/3</t>
  </si>
  <si>
    <t>مقزم-بيبي-فلاور</t>
  </si>
  <si>
    <t>Revenue for تقيلة زجاج 615/3</t>
  </si>
  <si>
    <t>SAL-1770839814144-230</t>
  </si>
  <si>
    <t>SAL-1770839814251-692</t>
  </si>
  <si>
    <t>SAL-1770839814356-878</t>
  </si>
  <si>
    <t>COGS for بلدي 12 فرسان</t>
  </si>
  <si>
    <t>Revenue for بلدي 12 فرسان</t>
  </si>
  <si>
    <t>SAL-1770839814646-175</t>
  </si>
  <si>
    <t>SAL-1770839814830-458</t>
  </si>
  <si>
    <t>COGS for فانوس ديكور ميتالك 255/121</t>
  </si>
  <si>
    <t>Revenue for فانوس ديكور ميتالك 255/121</t>
  </si>
  <si>
    <t>ورد-مجفف</t>
  </si>
  <si>
    <t>SAL-1770839814936-845</t>
  </si>
  <si>
    <t>no_stock</t>
  </si>
  <si>
    <t>SAL-1770839815014-690</t>
  </si>
  <si>
    <t>SAL-1771004088305-306</t>
  </si>
  <si>
    <t>COGS for كرة كريستال 917/4</t>
  </si>
  <si>
    <t>Revenue for كرة كريستال 917/4</t>
  </si>
  <si>
    <t>SAL-1771004088337-987</t>
  </si>
  <si>
    <t>Sold (saleId:SAL-1780166129741-100)</t>
  </si>
  <si>
    <t>SAL-1771004088362-646</t>
  </si>
  <si>
    <t>Sold (saleId:SAL-1780166129708-662)</t>
  </si>
  <si>
    <t>SAL-1771004088384-292</t>
  </si>
  <si>
    <t>SAL-1771004088405-463</t>
  </si>
  <si>
    <t>COGS for مبخرة فحم 3770/1</t>
  </si>
  <si>
    <t>Sold (saleId:SAL-1780166129670-367)</t>
  </si>
  <si>
    <t>Revenue for مبخرة فحم 3770/1</t>
  </si>
  <si>
    <t>SAL-1771004088422-182</t>
  </si>
  <si>
    <t>Sold (saleId:SAL-1780166129646-145)</t>
  </si>
  <si>
    <t>SAL-1771004088441-217</t>
  </si>
  <si>
    <t>شجرة-بنجام</t>
  </si>
  <si>
    <t>SAL-1771004088460-368</t>
  </si>
  <si>
    <t>SAL-1771004088480-125</t>
  </si>
  <si>
    <t>COGS for فانوس أنتيك 755/1136</t>
  </si>
  <si>
    <t>Revenue for فانوس أنتيك 755/1136</t>
  </si>
  <si>
    <t>SAL-1771004088497-245</t>
  </si>
  <si>
    <t>COGS for بلورة زمبلك 100/20/1</t>
  </si>
  <si>
    <t>Revenue for بلورة زمبلك 100/20/1</t>
  </si>
  <si>
    <t>SAL-1771004088516-597</t>
  </si>
  <si>
    <t>SAL-1771004088535-293</t>
  </si>
  <si>
    <t>COGS for مبخرة كهرباء 7091</t>
  </si>
  <si>
    <t>Revenue for مبخرة كهرباء 7091</t>
  </si>
  <si>
    <t>SAL-1771004088562-945</t>
  </si>
  <si>
    <t>SAL-1771004088584-211</t>
  </si>
  <si>
    <t>SAL-1771004088608-976</t>
  </si>
  <si>
    <t>COGS for بخور ميسوس كيس</t>
  </si>
  <si>
    <t>Sold (saleId:SAL-1780166129622-648)</t>
  </si>
  <si>
    <t>Revenue for بخور ميسوس كيس</t>
  </si>
  <si>
    <t>SAL-1771004088629-892</t>
  </si>
  <si>
    <t>Sold (saleId:SAL-1780166129603-229)</t>
  </si>
  <si>
    <t>SAL-1771011609144-635</t>
  </si>
  <si>
    <t>Sold (saleId:SAL-1780166129583-280)</t>
  </si>
  <si>
    <t>SAL-1771011609172-102</t>
  </si>
  <si>
    <t>Sold (saleId:SAL-1780166129563-517)</t>
  </si>
  <si>
    <t>SAL-1771011609206-160</t>
  </si>
  <si>
    <t>SAL-1771011609237-482</t>
  </si>
  <si>
    <t>SAL-1771011974181-973</t>
  </si>
  <si>
    <t>SAL-1771272221460-660</t>
  </si>
  <si>
    <t>COGS for بخور انسام 5 ساعات</t>
  </si>
  <si>
    <t>Revenue for بخور انسام 5 ساعات</t>
  </si>
  <si>
    <t>SAL-1771272221480-452</t>
  </si>
  <si>
    <t>بنجامين 110سم</t>
  </si>
  <si>
    <t>SAL-1771272221505-485</t>
  </si>
  <si>
    <t>SAL-1771272221526-526</t>
  </si>
  <si>
    <t>SAL-1771272221549-150</t>
  </si>
  <si>
    <t>COGS for تابلوه ثلاثي كبير - 6041</t>
  </si>
  <si>
    <t>Revenue for تابلوه ثلاثي كبير - 6041</t>
  </si>
  <si>
    <t>SAL-1771272607302-351</t>
  </si>
  <si>
    <t>COGS for فانوس بلاستيك قدس 255/153</t>
  </si>
  <si>
    <t>Revenue for فانوس بلاستيك قدس 255/153</t>
  </si>
  <si>
    <t>SAL-1771357856345-282</t>
  </si>
  <si>
    <t>SAL-1771526727094-867</t>
  </si>
  <si>
    <t>بنجامين 80سم</t>
  </si>
  <si>
    <t>SAL-1771526727130-636</t>
  </si>
  <si>
    <t>COGS for ريش دوناتس</t>
  </si>
  <si>
    <t>Revenue for ريش دوناتس</t>
  </si>
  <si>
    <t>SAL-1771526727158-422</t>
  </si>
  <si>
    <t>COGS for فانوس أنتيك ذهبي 665</t>
  </si>
  <si>
    <t>Revenue for فانوس أنتيك ذهبي 665</t>
  </si>
  <si>
    <t>SAL-1771526727192-470</t>
  </si>
  <si>
    <t>COGS for هدايا بالنور استيشن - 13785</t>
  </si>
  <si>
    <t>Revenue for هدايا بالنور استيشن - 13785</t>
  </si>
  <si>
    <t>SAL-1771526727227-267</t>
  </si>
  <si>
    <t>COGS for ديكور معدن - 218</t>
  </si>
  <si>
    <t>Revenue for ديكور معدن - 218</t>
  </si>
  <si>
    <t>SAL-1771526727259-747</t>
  </si>
  <si>
    <t>COGS for ديكور معدن - 178/60</t>
  </si>
  <si>
    <t>Revenue for ديكور معدن - 178/60</t>
  </si>
  <si>
    <t>SAL-1771526727298-881</t>
  </si>
  <si>
    <t>SAL-1771526727340-502</t>
  </si>
  <si>
    <t>SAL-1771526727374-864</t>
  </si>
  <si>
    <t>SAL-1771526727409-394</t>
  </si>
  <si>
    <t>COGS for هدايا بالنور استيشن - 14925</t>
  </si>
  <si>
    <t>Revenue for هدايا بالنور استيشن - 14925</t>
  </si>
  <si>
    <t>SAL-1771526727443-204</t>
  </si>
  <si>
    <t>SAL-1771533498630-639</t>
  </si>
  <si>
    <t>وردة-بلدي</t>
  </si>
  <si>
    <t>SAL-1771533498649-555</t>
  </si>
  <si>
    <t>COGS for فازة خزف غالية</t>
  </si>
  <si>
    <t>Revenue for فازة خزف غالية</t>
  </si>
  <si>
    <t>SAL-1771533498667-512</t>
  </si>
  <si>
    <t>COGS for لليام 9 فرع</t>
  </si>
  <si>
    <t>Revenue for لليام 9 فرع</t>
  </si>
  <si>
    <t>Sold (saleId:SAL-1780166129546-855)</t>
  </si>
  <si>
    <t>SAL-1771533498690-918</t>
  </si>
  <si>
    <t>COGS for ريش مكثف</t>
  </si>
  <si>
    <t>Revenue for ريش مكثف</t>
  </si>
  <si>
    <t>SAL-1771533498707-748</t>
  </si>
  <si>
    <t>Sold (saleId:SAL-1780166129526-735)</t>
  </si>
  <si>
    <t>SAL-1771533498724-779</t>
  </si>
  <si>
    <t>بوكيه-احمر-قطيفة</t>
  </si>
  <si>
    <t>SAL-1771626342993-896</t>
  </si>
  <si>
    <t>SAL-1771626343009-221</t>
  </si>
  <si>
    <t>COGS for دابل فيس 12م</t>
  </si>
  <si>
    <t>Revenue for دابل فيس 12م</t>
  </si>
  <si>
    <t>SAL-1771713174935-110</t>
  </si>
  <si>
    <t>SAL-1771713376676-398</t>
  </si>
  <si>
    <t>SAL-1771796514231-791</t>
  </si>
  <si>
    <t>SAL-1771796514258-280</t>
  </si>
  <si>
    <t>SAL-1771796514280-504</t>
  </si>
  <si>
    <t>COGS for هزاز أعصاب - 6005</t>
  </si>
  <si>
    <t>Revenue for هزاز أعصاب - 6005</t>
  </si>
  <si>
    <t>SAL-1771796531073-122</t>
  </si>
  <si>
    <t>COGS for طقم كاندي</t>
  </si>
  <si>
    <t>Added 2 to stock (orderId:ORD-1772657405587-876)</t>
  </si>
  <si>
    <t>Revenue for طقم كاندي</t>
  </si>
  <si>
    <t>SAL-1771964110373-694</t>
  </si>
  <si>
    <t>Added 2 to stock (orderId:ORD-1772657405581-349)</t>
  </si>
  <si>
    <t>SAL-1771964155125-462</t>
  </si>
  <si>
    <t>SAL-1772120813720-858</t>
  </si>
  <si>
    <t>Added 2 to stock (orderId:ORD-1772657405576-138)</t>
  </si>
  <si>
    <t>SAL-1772120813734-682</t>
  </si>
  <si>
    <t>COGS for نتيجة مربعة</t>
  </si>
  <si>
    <t>Added 2 to stock (orderId:ORD-1772657405571-766)</t>
  </si>
  <si>
    <t>Revenue for نتيجة مربعة</t>
  </si>
  <si>
    <t>SAL-1772120813750-579</t>
  </si>
  <si>
    <t>Added 2 to stock (orderId:ORD-1772657405566-813)</t>
  </si>
  <si>
    <t>SAL-1772120813765-582</t>
  </si>
  <si>
    <t>COGS for بوت صغير مقزمات</t>
  </si>
  <si>
    <t>Added 2 to stock (orderId:ORD-1772657405561-621)</t>
  </si>
  <si>
    <t>Revenue for بوت صغير مقزمات</t>
  </si>
  <si>
    <t>SAL-1772310718719-123</t>
  </si>
  <si>
    <t>Added 2 to stock (orderId:ORD-1772657405555-635)</t>
  </si>
  <si>
    <t>COGS for شمع ببطارية - 960/2</t>
  </si>
  <si>
    <t>Revenue for شمع ببطارية - 960/2</t>
  </si>
  <si>
    <t>SAL-1772310718746-575</t>
  </si>
  <si>
    <t>Added 2 to stock (orderId:ORD-1772657405547-221)</t>
  </si>
  <si>
    <t>SAL-1772310718774-699</t>
  </si>
  <si>
    <t>Sold (saleId:SAL-1780166129505-873)</t>
  </si>
  <si>
    <t>SAL-1772310718810-347</t>
  </si>
  <si>
    <t>COGS for مقزم شجر</t>
  </si>
  <si>
    <t>Sold (saleId:SAL-1780166129470-301)</t>
  </si>
  <si>
    <t>Revenue for مقزم شجر</t>
  </si>
  <si>
    <t>SAL-1772310718836-381</t>
  </si>
  <si>
    <t>Sold (saleId:SAL-1780166129441-761)</t>
  </si>
  <si>
    <t>SAL-1772310718860-649</t>
  </si>
  <si>
    <t>COGS for علبة بخور المدينة</t>
  </si>
  <si>
    <t>Revenue for علبة بخور المدينة</t>
  </si>
  <si>
    <t>Sold (saleId:SAL-1780166129418-166)</t>
  </si>
  <si>
    <t>SAL-1772311992369-221</t>
  </si>
  <si>
    <t>SAL-1772403066248-360</t>
  </si>
  <si>
    <t>Sold (saleId:SAL-1780166129389-978)</t>
  </si>
  <si>
    <t>SAL-1772403066299-845</t>
  </si>
  <si>
    <t>Sold (saleId:SAL-1780166129361-706)</t>
  </si>
  <si>
    <t>SAL-1772403066394-769</t>
  </si>
  <si>
    <t>Sold (saleId:SAL-1780166129333-354)</t>
  </si>
  <si>
    <t>SAL-1772403066440-931</t>
  </si>
  <si>
    <t>Sold (saleId:SAL-1780166129300-874)</t>
  </si>
  <si>
    <t>SAL-1772403066480-218</t>
  </si>
  <si>
    <t>COGS for مقزم وردة حمرا قطيفة</t>
  </si>
  <si>
    <t>Sold (saleId:SAL-1780166129276-265)</t>
  </si>
  <si>
    <t>Revenue for مقزم وردة حمرا قطيفة</t>
  </si>
  <si>
    <t>SAL-1772403066521-863</t>
  </si>
  <si>
    <t>Sold (saleId:SAL-1780166129254-430)</t>
  </si>
  <si>
    <t>SAL-1772403066558-844</t>
  </si>
  <si>
    <t>Sold (saleId:SAL-1780166129220-344)</t>
  </si>
  <si>
    <t>SAL-1772403066665-512</t>
  </si>
  <si>
    <t>Sold (saleId:SAL-1780166129198-459)</t>
  </si>
  <si>
    <t>SAL-1772403066743-370</t>
  </si>
  <si>
    <t>Sold (saleId:SAL-1780166129175-210)</t>
  </si>
  <si>
    <t>SAL-1772403066789-325</t>
  </si>
  <si>
    <t>COGS for زياتة</t>
  </si>
  <si>
    <t>Revenue for زياتة</t>
  </si>
  <si>
    <t>SAL-1772403168298-766</t>
  </si>
  <si>
    <t>Sold (saleId:SAL-1780166129147-997)</t>
  </si>
  <si>
    <t>COGS for خضره 24 كلا</t>
  </si>
  <si>
    <t>Revenue for خضره 24 كلا</t>
  </si>
  <si>
    <t>SAL-1772657647477-379</t>
  </si>
  <si>
    <t>Sold (saleId:SAL-1780166129116-792)</t>
  </si>
  <si>
    <t>Sold (saleId:SAL-1780166129085-140)</t>
  </si>
  <si>
    <t>SAL-1772657647492-592</t>
  </si>
  <si>
    <t>COGS for كوباية ميكاب كريستال</t>
  </si>
  <si>
    <t>Revenue for كوباية ميكاب كريستال</t>
  </si>
  <si>
    <t>SAL-1772657647506-937</t>
  </si>
  <si>
    <t>Sold (saleId:SAL-1780166129056-403)</t>
  </si>
  <si>
    <t>SAL-1772657647523-638</t>
  </si>
  <si>
    <t>Sold (saleId:SAL-1780166129025-575)</t>
  </si>
  <si>
    <t>COGS for علبة مناديل اكليرك</t>
  </si>
  <si>
    <t>Revenue for علبة مناديل اكليرك</t>
  </si>
  <si>
    <t>SAL-1772657647540-662</t>
  </si>
  <si>
    <t>Sold (saleId:SAL-1780166129008-663)</t>
  </si>
  <si>
    <t>SAL-1772657647559-103</t>
  </si>
  <si>
    <t>Sold (saleId:SAL-1780166128988-886)</t>
  </si>
  <si>
    <t>SAL-1772657647582-322</t>
  </si>
  <si>
    <t>COGS for حجر ريموت</t>
  </si>
  <si>
    <t>Sold (saleId:SAL-1780166128955-454)</t>
  </si>
  <si>
    <t>Revenue for حجر ريموت</t>
  </si>
  <si>
    <t>SAL-1772657647602-864</t>
  </si>
  <si>
    <t>COGS for شنطة هدايا لوكس m - 789/20</t>
  </si>
  <si>
    <t>Sold (saleId:SAL-1780166128930-904)</t>
  </si>
  <si>
    <t>Revenue for شنطة هدايا لوكس m - 789/20</t>
  </si>
  <si>
    <t>SAL-1772657754758-349</t>
  </si>
  <si>
    <t>COGS for ديكور بالنور68144</t>
  </si>
  <si>
    <t>Sold (saleId:SAL-1780166128906-250)</t>
  </si>
  <si>
    <t>Revenue for ديكور بالنور68144</t>
  </si>
  <si>
    <t>SAL-1772657825356-793</t>
  </si>
  <si>
    <t>Sold (saleId:SAL-1780166128887-478)</t>
  </si>
  <si>
    <t>SAL-1772910122586-820</t>
  </si>
  <si>
    <t>COGS for ورد بلدي 10 وردة</t>
  </si>
  <si>
    <t>Sold (saleId:SAL-1780166128865-388)</t>
  </si>
  <si>
    <t>Revenue for ورد بلدي 10 وردة</t>
  </si>
  <si>
    <t>SAL-1772910122601-389</t>
  </si>
  <si>
    <t>Sold (saleId:SAL-1780166128846-376)</t>
  </si>
  <si>
    <t>SAL-1772910122617-413</t>
  </si>
  <si>
    <t>Sold (saleId:SAL-1780166128827-924)</t>
  </si>
  <si>
    <t>SAL-1772910122634-501</t>
  </si>
  <si>
    <t>Added 1 to stock (orderId:ORD-1767553993537-591)</t>
  </si>
  <si>
    <t>SAL-1772910122651-294</t>
  </si>
  <si>
    <t>COGS for ديكور معدن - 678</t>
  </si>
  <si>
    <t>Revenue for ديكور معدن - 678</t>
  </si>
  <si>
    <t>Added 2 to stock (orderId:ORD-1767553993529-609)</t>
  </si>
  <si>
    <t>SAL-1772910122669-465</t>
  </si>
  <si>
    <t>COGS for ديكور معدن 2022/4E</t>
  </si>
  <si>
    <t>Revenue for ديكور معدن 2022/4E</t>
  </si>
  <si>
    <t>Added 3 to stock (orderId:ORD-1767553993522-535)</t>
  </si>
  <si>
    <t>SAL-1772910122688-964</t>
  </si>
  <si>
    <t>SAL-1772910122710-708</t>
  </si>
  <si>
    <t>Added 50 to stock (orderId:ORD-1767553993515-771)</t>
  </si>
  <si>
    <t>SAL-1772910122729-398</t>
  </si>
  <si>
    <t>Added 5 to stock (orderId:ORD-1767553993509-537)</t>
  </si>
  <si>
    <t>SAL-1772910214019-940</t>
  </si>
  <si>
    <t>Added 12 to stock (orderId:ORD-1767553993503-184)</t>
  </si>
  <si>
    <t>SAL-1772910214055-881</t>
  </si>
  <si>
    <t>Added 10 to stock (orderId:ORD-1767553993498-134)</t>
  </si>
  <si>
    <t>SAL-1772910214082-869</t>
  </si>
  <si>
    <t>Added 6 to stock (orderId:ORD-1767553993490-643)</t>
  </si>
  <si>
    <t>SAL-1772999666775-651</t>
  </si>
  <si>
    <t>Added 2 to stock (orderId:ORD-1767553993484-710)</t>
  </si>
  <si>
    <t>SAL-1772999666801-932</t>
  </si>
  <si>
    <t>COGS for ورد توليب بزهور</t>
  </si>
  <si>
    <t>Revenue for ورد توليب بزهور</t>
  </si>
  <si>
    <t>Added 4 to stock (orderId:ORD-1767553993477-600)</t>
  </si>
  <si>
    <t>SAL-1772999666833-241</t>
  </si>
  <si>
    <t>Added 12 to stock (orderId:)</t>
  </si>
  <si>
    <t>SAL-1772999666863-565</t>
  </si>
  <si>
    <t>SAL-1772999666890-499</t>
  </si>
  <si>
    <t>SAL-1772999666915-679</t>
  </si>
  <si>
    <t>تفكيك</t>
  </si>
  <si>
    <t>SAL-1772999666936-439</t>
  </si>
  <si>
    <t>SAL-1772999666961-681</t>
  </si>
  <si>
    <t>تصنيع-شجر-ياسمين</t>
  </si>
  <si>
    <t>SAL-1772999666980-502</t>
  </si>
  <si>
    <t>COGS for هاند ميد كونكريت</t>
  </si>
  <si>
    <t>Revenue for هاند ميد كونكريت</t>
  </si>
  <si>
    <t>SAL-1772999667006-821</t>
  </si>
  <si>
    <t>COGS for ريشة دوناتس</t>
  </si>
  <si>
    <t>Revenue for ريشة دوناتس</t>
  </si>
  <si>
    <t>SAL-1772999667037-180</t>
  </si>
  <si>
    <t>SAL-1772999667103-358</t>
  </si>
  <si>
    <t>SAL-1772999667140-823</t>
  </si>
  <si>
    <t>COGS for رف سداسي</t>
  </si>
  <si>
    <t>Revenue for رف سداسي</t>
  </si>
  <si>
    <t>SAL-1772999667172-270</t>
  </si>
  <si>
    <t>COGS for بروبلين 5سم</t>
  </si>
  <si>
    <t>Revenue for بروبلين 5سم</t>
  </si>
  <si>
    <t>SAL-1772999667208-100</t>
  </si>
  <si>
    <t>COGS for عباادة بيبي فلاور</t>
  </si>
  <si>
    <t>Revenue for عباادة بيبي فلاور</t>
  </si>
  <si>
    <t>SAL-1772999667251-453</t>
  </si>
  <si>
    <t>COGS for اباجورة USB تاتش 734/26</t>
  </si>
  <si>
    <t>Revenue for اباجورة USB تاتش 734/26</t>
  </si>
  <si>
    <t>SAL-1773156846248-729</t>
  </si>
  <si>
    <t>COGS for مزرعة كثيفة</t>
  </si>
  <si>
    <t>Sold (saleId:SAL-1780166128801-290)</t>
  </si>
  <si>
    <t>Revenue for مزرعة كثيفة</t>
  </si>
  <si>
    <t>SAL-1773156846288-398</t>
  </si>
  <si>
    <t>Sold (saleId:SAL-1780166128781-975)</t>
  </si>
  <si>
    <t>SAL-1773156846324-514</t>
  </si>
  <si>
    <t>Sold (saleId:SAL-1780166128759-331)</t>
  </si>
  <si>
    <t>SAL-1773156846356-506</t>
  </si>
  <si>
    <t>SAL-1773156846393-347</t>
  </si>
  <si>
    <t>Sold (saleId:SAL-1780166128736-559)</t>
  </si>
  <si>
    <t>COGS for موديل رقم 2057</t>
  </si>
  <si>
    <t>Revenue for موديل رقم 2057</t>
  </si>
  <si>
    <t>SAL-1773156846424-221</t>
  </si>
  <si>
    <t>Sold (saleId:SAL-1780166128717-838)</t>
  </si>
  <si>
    <t>SAL-1773156846454-470</t>
  </si>
  <si>
    <t>Sold (saleId:SAL-1780166128672-828)</t>
  </si>
  <si>
    <t>SAL-1773156846494-352</t>
  </si>
  <si>
    <t>Sold (saleId:SAL-1780166128635-236)</t>
  </si>
  <si>
    <t>COGS for ديكور معدن 344/5</t>
  </si>
  <si>
    <t>Revenue for ديكور معدن 344/5</t>
  </si>
  <si>
    <t>SAL-1773156846529-825</t>
  </si>
  <si>
    <t>Sold (saleId:SAL-1780166128594-904)</t>
  </si>
  <si>
    <t>SAL-1773156846564-696</t>
  </si>
  <si>
    <t>COGS for توليب 24</t>
  </si>
  <si>
    <t>Sold (saleId:SAL-1780166128562-325)</t>
  </si>
  <si>
    <t>Revenue for توليب 24</t>
  </si>
  <si>
    <t>SAL-1773156846605-312</t>
  </si>
  <si>
    <t>Sold (saleId:SAL-1780166128529-253)</t>
  </si>
  <si>
    <t>SAL-1773156846640-252</t>
  </si>
  <si>
    <t>COGS for منظم بلاستيك 89</t>
  </si>
  <si>
    <t>Sold (saleId:SAL-1780166128494-365)</t>
  </si>
  <si>
    <t>Revenue for منظم بلاستيك 89</t>
  </si>
  <si>
    <t>SAL-1773156846682-314</t>
  </si>
  <si>
    <t>Sold (saleId:SAL-1780162908690-202)</t>
  </si>
  <si>
    <t>SAL-1773156846720-581</t>
  </si>
  <si>
    <t>شجرة-مانغوليا-110سم</t>
  </si>
  <si>
    <t>SAL-1773156846758-217</t>
  </si>
  <si>
    <t>SAL-1773156846801-329</t>
  </si>
  <si>
    <t>SAL-1773156846844-865</t>
  </si>
  <si>
    <t>SAL-1773156846892-387</t>
  </si>
  <si>
    <t>COGS for شجرة بلدي 48</t>
  </si>
  <si>
    <t>Revenue for شجرة بلدي 48</t>
  </si>
  <si>
    <t>SAL-1773156846939-476</t>
  </si>
  <si>
    <t>COGS for بوت وسط فاضي</t>
  </si>
  <si>
    <t>Added 1 to stock (orderId:ORD-1766860352085-294)</t>
  </si>
  <si>
    <t>Revenue for بوت وسط فاضي</t>
  </si>
  <si>
    <t>SAL-1773156846992-296</t>
  </si>
  <si>
    <t>COGS for قصرية 20سم</t>
  </si>
  <si>
    <t>Added 1 to stock (orderId:ORD-1766860352077-481)</t>
  </si>
  <si>
    <t>Revenue for قصرية 20سم</t>
  </si>
  <si>
    <t>SAL-1773171913743-582</t>
  </si>
  <si>
    <t>Added 1 to stock (orderId:ORD-1766860352069-206)</t>
  </si>
  <si>
    <t>SAL-1773171913792-489</t>
  </si>
  <si>
    <t>COGS for بوت صغير فاضي</t>
  </si>
  <si>
    <t>Added 2 to stock (orderId:ORD-1766860352058-444)</t>
  </si>
  <si>
    <t>Revenue for بوت صغير فاضي</t>
  </si>
  <si>
    <t>SAL-1773171913831-566</t>
  </si>
  <si>
    <t>SAL-1773171913857-665</t>
  </si>
  <si>
    <t>Added 1 to stock (orderId:ORD-1766860352045-821)</t>
  </si>
  <si>
    <t>SAL-1773171913893-199</t>
  </si>
  <si>
    <t>COGS for مقزم بيبي فلاور صغير</t>
  </si>
  <si>
    <t>Added 1 to stock (orderId:ORD-1766860352038-306)</t>
  </si>
  <si>
    <t>Revenue for مقزم بيبي فلاور صغير</t>
  </si>
  <si>
    <t>Added 1 to stock (orderId:ORD-1766860352028-259)</t>
  </si>
  <si>
    <t>SAL-1773171913930-957</t>
  </si>
  <si>
    <t>SAL-1773171913969-893</t>
  </si>
  <si>
    <t>شجرة-ياسمين-80سم</t>
  </si>
  <si>
    <t>SAL-1773171914018-964</t>
  </si>
  <si>
    <t>SAL-1773520100108-642</t>
  </si>
  <si>
    <t>COGS for مقزمة أوركيد فردي sf-158</t>
  </si>
  <si>
    <t>Revenue for مقزمة أوركيد فردي sf-158</t>
  </si>
  <si>
    <t>SAL-1773520100133-924</t>
  </si>
  <si>
    <t>SAL-1773520100161-112</t>
  </si>
  <si>
    <t>SAL-1773520100193-869</t>
  </si>
  <si>
    <t>Sold (saleId:SAL-1780162908668-638)</t>
  </si>
  <si>
    <t>SAL-1774472573668-671</t>
  </si>
  <si>
    <t>SAL-1773520100224-129</t>
  </si>
  <si>
    <t>Sold (saleId:SAL-1780162908648-456)</t>
  </si>
  <si>
    <t>SAL-1773520100254-390</t>
  </si>
  <si>
    <t>Sold (saleId:SAL-1780162908624-246)</t>
  </si>
  <si>
    <t>SAL-1773520100283-747</t>
  </si>
  <si>
    <t>Sold (saleId:SAL-1780162908607-227)</t>
  </si>
  <si>
    <t>SAL-1773520100317-648</t>
  </si>
  <si>
    <t>SAL-1773520100343-515</t>
  </si>
  <si>
    <t>Sold (saleId:SAL-1780162908592-248)</t>
  </si>
  <si>
    <t>SAL-1773520100372-569</t>
  </si>
  <si>
    <t>Sold (saleId:SAL-1780162908578-660)</t>
  </si>
  <si>
    <t>SAL-1773520100405-372</t>
  </si>
  <si>
    <t>Sold (saleId:SAL-1780162908563-977)</t>
  </si>
  <si>
    <t>SAL-1773520100435-403</t>
  </si>
  <si>
    <t>Sold (saleId:SAL-1780162908547-998)</t>
  </si>
  <si>
    <t>SAL-1773520100472-244</t>
  </si>
  <si>
    <t>Added 16 to stock (orderId:ORD-1766421980314-982)</t>
  </si>
  <si>
    <t>SAL-1773520100506-628</t>
  </si>
  <si>
    <t>Added 24 to stock (orderId:ORD-1766421980305-121)</t>
  </si>
  <si>
    <t>COGS for ياسمين سوبر جامبو</t>
  </si>
  <si>
    <t>Revenue for ياسمين سوبر جامبو</t>
  </si>
  <si>
    <t>SAL-1773520100540-599</t>
  </si>
  <si>
    <t>Added 12 to stock (orderId:ORD-1766421980292-755)</t>
  </si>
  <si>
    <t>SAL-1773520100574-915</t>
  </si>
  <si>
    <t>Added 1 to stock (orderId:ORD-1766421980271-683)</t>
  </si>
  <si>
    <t>SAL-1773520100607-926</t>
  </si>
  <si>
    <t>Added 2 to stock (orderId:ORD-1766421980252-371)</t>
  </si>
  <si>
    <t>SAL-1773520100641-585</t>
  </si>
  <si>
    <t>Added 3 to stock (orderId:ORD-1766421980241-306)</t>
  </si>
  <si>
    <t>SAL-1773520100687-920</t>
  </si>
  <si>
    <t>حجز عم خالد</t>
  </si>
  <si>
    <t>Added 1 to stock (orderId:ORD-1766421980226-511)</t>
  </si>
  <si>
    <t>SAL-1773520100716-459</t>
  </si>
  <si>
    <t>Added 3 to stock (orderId:ORD-1766421980215-965)</t>
  </si>
  <si>
    <t>SAL-1773520100744-607</t>
  </si>
  <si>
    <t>SAL-1773520100771-823</t>
  </si>
  <si>
    <t>Added 2 to stock (orderId:ORD-1766421980204-493)</t>
  </si>
  <si>
    <t>COGS for بلورة زمبلك - 2420</t>
  </si>
  <si>
    <t>Revenue for بلورة زمبلك - 2420</t>
  </si>
  <si>
    <t>SAL-1773520100796-910</t>
  </si>
  <si>
    <t>Added 6 to stock (orderId:ORD-1766421980192-509)</t>
  </si>
  <si>
    <t>COGS for ساعة رميلة 92172</t>
  </si>
  <si>
    <t>Revenue for ساعة رميلة 92172</t>
  </si>
  <si>
    <t>SAL-1774472573801-539</t>
  </si>
  <si>
    <t>SAL-1773520100822-726</t>
  </si>
  <si>
    <t>COGS for تقيلة زجاج 615/19</t>
  </si>
  <si>
    <t>Added 2 to stock (orderId:ORD-1766421980170-873)</t>
  </si>
  <si>
    <t>Revenue for تقيلة زجاج 615/19</t>
  </si>
  <si>
    <t>SAL-1773520100845-114</t>
  </si>
  <si>
    <t>Added 1 to stock (orderId:ORD-1766421980152-169)</t>
  </si>
  <si>
    <t>SAL-1773520100869-731</t>
  </si>
  <si>
    <t>COGS for بلدي 24</t>
  </si>
  <si>
    <t>Added 2 to stock (orderId:ORD-1766421980137-656)</t>
  </si>
  <si>
    <t>Revenue for بلدي 24</t>
  </si>
  <si>
    <t>SAL-1773520100895-814</t>
  </si>
  <si>
    <t>Added 3 to stock (orderId:ORD-1766421980126-992)</t>
  </si>
  <si>
    <t>SAL-1773520100922-536</t>
  </si>
  <si>
    <t>SAL-1773520100945-664</t>
  </si>
  <si>
    <t>Added 2 to stock (orderId:ORD-1766421980113-889)</t>
  </si>
  <si>
    <t>SAL-1773520100965-914</t>
  </si>
  <si>
    <t>Added 3 to stock (orderId:ORD-1766421980099-530)</t>
  </si>
  <si>
    <t>SAL-1773520100989-361</t>
  </si>
  <si>
    <t>Added 3 to stock (orderId:ORD-1766421980092-195)</t>
  </si>
  <si>
    <t>Added 3 to stock (orderId:ORD-1766421980084-417)</t>
  </si>
  <si>
    <t>SAL-1773520101019-987</t>
  </si>
  <si>
    <t>COGS for ديكور معدن 344/4</t>
  </si>
  <si>
    <t>Revenue for ديكور معدن 344/4</t>
  </si>
  <si>
    <t>SAL-1773520101042-110</t>
  </si>
  <si>
    <t>Added 6 to stock (orderId:ORD-1766421980075-394)</t>
  </si>
  <si>
    <t>Added 4 to stock (orderId:)</t>
  </si>
  <si>
    <t>SAL-1773520101066-267</t>
  </si>
  <si>
    <t>SAL-1773520101090-595</t>
  </si>
  <si>
    <t>Sold (saleId:SAL-1780162908530-706)</t>
  </si>
  <si>
    <t>SAL-1773520101120-619</t>
  </si>
  <si>
    <t>Sold (saleId:SAL-1780162908514-218)</t>
  </si>
  <si>
    <t>SAL-1773520101150-421</t>
  </si>
  <si>
    <t>Sold (saleId:SAL-1780162908483-898)</t>
  </si>
  <si>
    <t>SAL-1773520101184-882</t>
  </si>
  <si>
    <t>مقزم-مشمش</t>
  </si>
  <si>
    <t>SAL-1773520101216-999</t>
  </si>
  <si>
    <t>Manufacturing-Product</t>
  </si>
  <si>
    <t>SAL-1773520101244-822</t>
  </si>
  <si>
    <t>MTM-002</t>
  </si>
  <si>
    <t>Product manufactured via MTM-002</t>
  </si>
  <si>
    <t>Manufacturing-Material</t>
  </si>
  <si>
    <t>SAL-1773520101272-360</t>
  </si>
  <si>
    <t>Used in manufacturing MTM-002</t>
  </si>
  <si>
    <t>SAL-1773520101300-189</t>
  </si>
  <si>
    <t>SAL-1773520101334-154</t>
  </si>
  <si>
    <t>COGS for برواز ثلاثي شعبي لك</t>
  </si>
  <si>
    <t>Revenue for برواز ثلاثي شعبي لك</t>
  </si>
  <si>
    <t>SAL-1773520101360-549</t>
  </si>
  <si>
    <t>SAL-1773520101385-203</t>
  </si>
  <si>
    <t>SAL-1773520101408-986</t>
  </si>
  <si>
    <t>Produced via MTM-002</t>
  </si>
  <si>
    <t>SAL-1773520101433-605</t>
  </si>
  <si>
    <t>COGS for مقزم بيبي فلاور</t>
  </si>
  <si>
    <t>Revenue for مقزم بيبي فلاور</t>
  </si>
  <si>
    <t>SAL-1773520101458-429</t>
  </si>
  <si>
    <t>حجز احمد جمال ذكريا</t>
  </si>
  <si>
    <t>SAL-1773520101487-577</t>
  </si>
  <si>
    <t>من اصل 900</t>
  </si>
  <si>
    <t>SAL-1773520101509-791</t>
  </si>
  <si>
    <t>SAL-1773520101531-731</t>
  </si>
  <si>
    <t>SAL-1773520101557-744</t>
  </si>
  <si>
    <t>COGS for ديكور معدن 671</t>
  </si>
  <si>
    <t>Revenue for ديكور معدن 671</t>
  </si>
  <si>
    <t>SAL-1773520101582-263</t>
  </si>
  <si>
    <t>SAL-1773520101611-987</t>
  </si>
  <si>
    <t>SAL-1773520101635-729</t>
  </si>
  <si>
    <t>SAL-1773520101657-523</t>
  </si>
  <si>
    <t>SAL-1773520101683-876</t>
  </si>
  <si>
    <t>COGS for بروبلين 14 سم</t>
  </si>
  <si>
    <t>Revenue for بروبلين 14 سم</t>
  </si>
  <si>
    <t>SAL-1773520101711-907</t>
  </si>
  <si>
    <t>SAL-1773520101739-555</t>
  </si>
  <si>
    <t>COGS for فازة زجاج 219/6</t>
  </si>
  <si>
    <t>Revenue for فازة زجاج 219/6</t>
  </si>
  <si>
    <t>SAL-1773520101774-602</t>
  </si>
  <si>
    <t>SAL-1773520101801-368</t>
  </si>
  <si>
    <t>SAL-1773520101824-379</t>
  </si>
  <si>
    <t>SAL-1773520101849-221</t>
  </si>
  <si>
    <t>SAL-1773520101873-175</t>
  </si>
  <si>
    <t>COGS for ديكور معدن 2022/079D</t>
  </si>
  <si>
    <t>Revenue for ديكور معدن 2022/079D</t>
  </si>
  <si>
    <t>SAL-1773520101904-837</t>
  </si>
  <si>
    <t>SAL-1773520101934-913</t>
  </si>
  <si>
    <t>COGS for فازة بورسلين بقاعدة</t>
  </si>
  <si>
    <t>Revenue for فازة بورسلين بقاعدة</t>
  </si>
  <si>
    <t>SAL-1773520101965-793</t>
  </si>
  <si>
    <t>SAL-1773520101995-886</t>
  </si>
  <si>
    <t>SAL-1773520102025-453</t>
  </si>
  <si>
    <t>COGS for XO وسط 1121</t>
  </si>
  <si>
    <t>Revenue for XO وسط 1121</t>
  </si>
  <si>
    <t>SAL-1773520102062-252</t>
  </si>
  <si>
    <t>COGS for ساعة 325/1</t>
  </si>
  <si>
    <t>Revenue for ساعة 325/1</t>
  </si>
  <si>
    <t>SAL-1773520102092-111</t>
  </si>
  <si>
    <t>COGS for ساعة حائط 3201</t>
  </si>
  <si>
    <t>Revenue for ساعة حائط 3201</t>
  </si>
  <si>
    <t>SAL-1773520102122-685</t>
  </si>
  <si>
    <t>COGS for ستارة فواكه</t>
  </si>
  <si>
    <t>Revenue for ستارة فواكه</t>
  </si>
  <si>
    <t>SAL-1773520102163-747</t>
  </si>
  <si>
    <t>SAL-1773520102187-634</t>
  </si>
  <si>
    <t>SAL-1773520102209-541</t>
  </si>
  <si>
    <t>SAL-1773520102232-308</t>
  </si>
  <si>
    <t>SAL-1773520102255-242</t>
  </si>
  <si>
    <t>SAL-1773520102279-972</t>
  </si>
  <si>
    <t>SAL-1773520102301-845</t>
  </si>
  <si>
    <t>SAL-1773520102325-627</t>
  </si>
  <si>
    <t>SAL-1773520102348-357</t>
  </si>
  <si>
    <t>COGS for قصرية 25سم</t>
  </si>
  <si>
    <t>Revenue for قصرية 25سم</t>
  </si>
  <si>
    <t>SAL-1773520102378-561</t>
  </si>
  <si>
    <t>COGS for شجرة موز 9 فرع</t>
  </si>
  <si>
    <t>Revenue for شجرة موز 9 فرع</t>
  </si>
  <si>
    <t>SAL-1773520102403-138</t>
  </si>
  <si>
    <t>SAL-1773520102427-349</t>
  </si>
  <si>
    <t>SAL-1773520102450-122</t>
  </si>
  <si>
    <t>SAL-1773520102481-509</t>
  </si>
  <si>
    <t>SAL-1773520102504-263</t>
  </si>
  <si>
    <t>SAL-1773520102528-512</t>
  </si>
  <si>
    <t>COGS for سحببة ورد نجمة</t>
  </si>
  <si>
    <t>Revenue for سحببة ورد نجمة</t>
  </si>
  <si>
    <t>SAL-1773525748704-975</t>
  </si>
  <si>
    <t>SAL-1773525748737-841</t>
  </si>
  <si>
    <t>SAL-1773525748769-856</t>
  </si>
  <si>
    <t>SAL-1773525748802-240</t>
  </si>
  <si>
    <t>SAL-1773525859851-112</t>
  </si>
  <si>
    <t>COGS for توليب 24 حسين علي</t>
  </si>
  <si>
    <t>Revenue for توليب 24 حسين علي</t>
  </si>
  <si>
    <t>SAL-1774468991158-702</t>
  </si>
  <si>
    <t>COGS for شجرة ياسمين 110سم</t>
  </si>
  <si>
    <t>Revenue for شجرة ياسمين 110سم</t>
  </si>
  <si>
    <t>SAL-1774468991182-339</t>
  </si>
  <si>
    <t>COGS for بوت بشريطة دهبي فاضيي</t>
  </si>
  <si>
    <t>Revenue for بوت بشريطة دهبي فاضيي</t>
  </si>
  <si>
    <t>SAL-1774468991209-381</t>
  </si>
  <si>
    <t>COGS for بوكيه هيدروجين</t>
  </si>
  <si>
    <t>Revenue for بوكيه هيدروجين</t>
  </si>
  <si>
    <t>SAL-1774468991241-456</t>
  </si>
  <si>
    <t>SAL-1774468991266-963</t>
  </si>
  <si>
    <t>SAL-1774468991289-521</t>
  </si>
  <si>
    <t>COGS for سلايم كيتي 2186/15</t>
  </si>
  <si>
    <t>Revenue for سلايم كيتي 2186/15</t>
  </si>
  <si>
    <t>SAL-1774468991321-134</t>
  </si>
  <si>
    <t>COGS for مزرعة خزف  كبيرة</t>
  </si>
  <si>
    <t>Revenue for مزرعة خزف  كبيرة</t>
  </si>
  <si>
    <t>SAL-1774468991351-646</t>
  </si>
  <si>
    <t>COGS for مزرعة خزف صغيرة</t>
  </si>
  <si>
    <t>Revenue for مزرعة خزف صغيرة</t>
  </si>
  <si>
    <t>SAL-1774468991374-229</t>
  </si>
  <si>
    <t>COGS for مبخرة كهرباء 6924</t>
  </si>
  <si>
    <t>Revenue for مبخرة كهرباء 6924</t>
  </si>
  <si>
    <t>SAL-1774468991406-287</t>
  </si>
  <si>
    <t>COGS for فازة خزف صغيرة</t>
  </si>
  <si>
    <t>Revenue for فازة خزف صغيرة</t>
  </si>
  <si>
    <t>SAL-1774468991440-794</t>
  </si>
  <si>
    <t>SAL-1774468991473-827</t>
  </si>
  <si>
    <t>SAL-1774468991508-168</t>
  </si>
  <si>
    <t>SAL-1774468991541-377</t>
  </si>
  <si>
    <t>SAL-1774468991576-860</t>
  </si>
  <si>
    <t>SAL-1774472574058-324</t>
  </si>
  <si>
    <t>SAL-1774468991607-220</t>
  </si>
  <si>
    <t>SAL-1774468991640-157</t>
  </si>
  <si>
    <t>COGS for دابل فيس 18م</t>
  </si>
  <si>
    <t>Revenue for دابل فيس 18م</t>
  </si>
  <si>
    <t>SAL-1774468991683-376</t>
  </si>
  <si>
    <t>SAL-1774468991709-795</t>
  </si>
  <si>
    <t>SAL-1774468991734-546</t>
  </si>
  <si>
    <t>SAL-1774468991756-988</t>
  </si>
  <si>
    <t>SAL-1774468991773-394</t>
  </si>
  <si>
    <t>SAL-1774468991794-872</t>
  </si>
  <si>
    <t>SAL-1774469269789-780</t>
  </si>
  <si>
    <t>SAL-1774469269819-635</t>
  </si>
  <si>
    <t>SAL-1774469269843-752</t>
  </si>
  <si>
    <t>COGS for بوكيه اربع وردات قطيفة</t>
  </si>
  <si>
    <t>Revenue for بوكيه اربع وردات قطيفة</t>
  </si>
  <si>
    <t>SAL-1774472574285-713</t>
  </si>
  <si>
    <t>SAL-1774472574331-784</t>
  </si>
  <si>
    <t>SAL-1774472574369-176</t>
  </si>
  <si>
    <t>SAL-1774472574422-124</t>
  </si>
  <si>
    <t>SAL-1774472574464-437</t>
  </si>
  <si>
    <t>SAL-1774472574492-637</t>
  </si>
  <si>
    <t>COGS for بلدي قطيفة 7 فرع</t>
  </si>
  <si>
    <t>Revenue for بلدي قطيفة 7 فرع</t>
  </si>
  <si>
    <t>SAL-1774472574521-696</t>
  </si>
  <si>
    <t>SAL-1774472574558-195</t>
  </si>
  <si>
    <t>SAL-1774472574586-178</t>
  </si>
  <si>
    <t>SAL-1774472574638-737</t>
  </si>
  <si>
    <t>SAL-1774472574675-492</t>
  </si>
  <si>
    <t>SAL-1774472574724-953</t>
  </si>
  <si>
    <t>COGS for طحالب أبيض فرسان</t>
  </si>
  <si>
    <t>Revenue for طحالب أبيض فرسان</t>
  </si>
  <si>
    <t>SAL-1774472574894-401</t>
  </si>
  <si>
    <t>SAL-1774472574945-590</t>
  </si>
  <si>
    <t>SAL-1774472574983-633</t>
  </si>
  <si>
    <t>SAL-1774472575080-165</t>
  </si>
  <si>
    <t>SAL-1774472575164-495</t>
  </si>
  <si>
    <t>SAL-1774472575207-495</t>
  </si>
  <si>
    <t>SAL-1774472575261-792</t>
  </si>
  <si>
    <t>SAL-1774472575290-100</t>
  </si>
  <si>
    <t>SAL-1774472575312-804</t>
  </si>
  <si>
    <t>COGS for ديكور معدن 344/3</t>
  </si>
  <si>
    <t>Revenue for ديكور معدن 344/3</t>
  </si>
  <si>
    <t>SAL-1774472575340-313</t>
  </si>
  <si>
    <t>SAL-1774472575362-832</t>
  </si>
  <si>
    <t>SAL-1774472575384-562</t>
  </si>
  <si>
    <t>SAL-1774472575413-139</t>
  </si>
  <si>
    <t>SAL-1774472575437-124</t>
  </si>
  <si>
    <t>SAL-1774472575463-979</t>
  </si>
  <si>
    <t>SAL-1774472575490-606</t>
  </si>
  <si>
    <t>SAL-1774472575538-398</t>
  </si>
  <si>
    <t>SAL-1774472575563-672</t>
  </si>
  <si>
    <t>SAL-1774472575593-304</t>
  </si>
  <si>
    <t>SAL-1774472575621-189</t>
  </si>
  <si>
    <t>SAL-1774472575648-892</t>
  </si>
  <si>
    <t>SAL-1774472575674-941</t>
  </si>
  <si>
    <t>SAL-1774472575738-382</t>
  </si>
  <si>
    <t>SAL-1774472575819-910</t>
  </si>
  <si>
    <t>SAL-1774472575856-459</t>
  </si>
  <si>
    <t>COGS for ديكور بالنور 678/2</t>
  </si>
  <si>
    <t>Revenue for ديكور بالنور 678/2</t>
  </si>
  <si>
    <t>SAL-1774472575893-334</t>
  </si>
  <si>
    <t>SAL-1774472575933-288</t>
  </si>
  <si>
    <t>MTM-001</t>
  </si>
  <si>
    <t>Product manufactured via MTM-001</t>
  </si>
  <si>
    <t>SAL-1774472575980-545</t>
  </si>
  <si>
    <t>Used in manufacturing MTM-001</t>
  </si>
  <si>
    <t>SAL-1774472576007-635</t>
  </si>
  <si>
    <t>SAL-1774472576043-881</t>
  </si>
  <si>
    <t>SAL-1774472576078-583</t>
  </si>
  <si>
    <t>SAL-1774472576120-649</t>
  </si>
  <si>
    <t>SAL-1774472576145-503</t>
  </si>
  <si>
    <t>SAL-1774472576196-888</t>
  </si>
  <si>
    <t>COGS for مزرعة ابيض مذهب</t>
  </si>
  <si>
    <t>Revenue for مزرعة ابيض مذهب</t>
  </si>
  <si>
    <t>SAL-1774472576237-282</t>
  </si>
  <si>
    <t>COGS for طقم شمع مضيء 263/1</t>
  </si>
  <si>
    <t>شجرة مانغوليا 120 سم</t>
  </si>
  <si>
    <t>Revenue for طقم شمع مضيء 263/1</t>
  </si>
  <si>
    <t>SAL-1774472576278-712</t>
  </si>
  <si>
    <t>MFG-001</t>
  </si>
  <si>
    <t>Product manufactured via MFG-001</t>
  </si>
  <si>
    <t>COGS for حجر قلم جاز (عرض خاص) - 459/3</t>
  </si>
  <si>
    <t>جزع A</t>
  </si>
  <si>
    <t>Revenue for حجر قلم جاز (عرض خاص) - 459/3</t>
  </si>
  <si>
    <t>SAL-1774472576315-938</t>
  </si>
  <si>
    <t>Used in manufacturing MFG-001</t>
  </si>
  <si>
    <t>دستة A</t>
  </si>
  <si>
    <t>SAL-1774472576349-465</t>
  </si>
  <si>
    <t>Mfg-Out</t>
  </si>
  <si>
    <t>SAL-1774472576399-149</t>
  </si>
  <si>
    <t>Produced</t>
  </si>
  <si>
    <t>SAL-1774472576468-818</t>
  </si>
  <si>
    <t>Added 1 to stock (orderId:ORD-1777145294459-591)</t>
  </si>
  <si>
    <t>COGS for مبخرة فحم 2470</t>
  </si>
  <si>
    <t>Revenue for مبخرة فحم 2470</t>
  </si>
  <si>
    <t>SAL-1774472576537-425</t>
  </si>
  <si>
    <t>Added 1 to stock (orderId:ORD-1777145294451-630)</t>
  </si>
  <si>
    <t>SAL-1774472576577-754</t>
  </si>
  <si>
    <t>COGS for بوكيه قرنفل وبلدي</t>
  </si>
  <si>
    <t>Added 1 to stock (orderId:ORD-1777145294441-240)</t>
  </si>
  <si>
    <t>Revenue for بوكيه قرنفل وبلدي</t>
  </si>
  <si>
    <t>SAL-1774472576612-151</t>
  </si>
  <si>
    <t>Added 2 to stock (orderId:ORD-1777145294432-990)</t>
  </si>
  <si>
    <t>SAL-1774472576655-337</t>
  </si>
  <si>
    <t>COGS for شجرة اخضر 48</t>
  </si>
  <si>
    <t>Added 2 to stock (orderId:ORD-1777145294423-493)</t>
  </si>
  <si>
    <t>Revenue for شجرة اخضر 48</t>
  </si>
  <si>
    <t>SAL-1774472576679-951</t>
  </si>
  <si>
    <t>Added 3 to stock (orderId:ORD-1777145294413-425)</t>
  </si>
  <si>
    <t>SAL-1774472576702-866</t>
  </si>
  <si>
    <t>SAL-1774472576738-232</t>
  </si>
  <si>
    <t>Added 6 to stock (orderId:)</t>
  </si>
  <si>
    <t>SAL-1774472576769-820</t>
  </si>
  <si>
    <t>Sold (saleId:SAL-1780162908463-903)</t>
  </si>
  <si>
    <t>SAL-1774472576795-466</t>
  </si>
  <si>
    <t>Sold (saleId:SAL-1780162908438-376)</t>
  </si>
  <si>
    <t>SAL-1774472576828-436</t>
  </si>
  <si>
    <t>Sold (saleId:SAL-1780162908414-335)</t>
  </si>
  <si>
    <t>SAL-1774472576869-716</t>
  </si>
  <si>
    <t>SAL-1774472738784-160</t>
  </si>
  <si>
    <t>Sold (saleId:SAL-1780162908369-275)</t>
  </si>
  <si>
    <t>SAL-1774476071620-906</t>
  </si>
  <si>
    <t>Sold (saleId:SAL-1778257634884-389)</t>
  </si>
  <si>
    <t>SAL-1774476072305-408</t>
  </si>
  <si>
    <t>Sold (saleId:SAL-1778257634872-497)</t>
  </si>
  <si>
    <t>SAL-1774476073110-187</t>
  </si>
  <si>
    <t>Sold (saleId:SAL-1778257634858-819)</t>
  </si>
  <si>
    <t>SAL-1774476074016-733</t>
  </si>
  <si>
    <t>Added 6 to stock (orderId:ORD-1765901896137-646)</t>
  </si>
  <si>
    <t>SAL-1774476074724-985</t>
  </si>
  <si>
    <t>Added 50 to stock (orderId:ORD-1765901896125-178)</t>
  </si>
  <si>
    <t>SAL-1774476075612-369</t>
  </si>
  <si>
    <t>Added 50 to stock (orderId:ORD-1765901896114-449)</t>
  </si>
  <si>
    <t>SAL-1774476076426-328</t>
  </si>
  <si>
    <t>Added 50 to stock (orderId:ORD-1765901896105-492)</t>
  </si>
  <si>
    <t>SAL-1774476077111-579</t>
  </si>
  <si>
    <t>COGS for مسدس صابون</t>
  </si>
  <si>
    <t>Revenue for مسدس صابون</t>
  </si>
  <si>
    <t>Added 50 to stock (orderId:ORD-1765901896095-211)</t>
  </si>
  <si>
    <t>SAL-1774476077817-323</t>
  </si>
  <si>
    <t>SAL-1774476078808-638</t>
  </si>
  <si>
    <t>Added 50 to stock (orderId:ORD-1765901896085-836)</t>
  </si>
  <si>
    <t>SAL-1774476079622-900</t>
  </si>
  <si>
    <t>COGS for شجرة نجمة جلد</t>
  </si>
  <si>
    <t>Added 100 to stock (orderId:ORD-1765901896075-882)</t>
  </si>
  <si>
    <t>Revenue for شجرة نجمة جلد</t>
  </si>
  <si>
    <t>SAL-1774476080516-528</t>
  </si>
  <si>
    <t>COGS for نافورة ديكور 10883</t>
  </si>
  <si>
    <t>Added 2 to stock (orderId:ORD-1765901896063-324)</t>
  </si>
  <si>
    <t>Revenue for نافورة ديكور 10883</t>
  </si>
  <si>
    <t>SAL-1774476081229-893</t>
  </si>
  <si>
    <t>COGS for فازة بورسلين برجول كبيرة</t>
  </si>
  <si>
    <t>Added 4 to stock (orderId:ORD-1765901896054-771)</t>
  </si>
  <si>
    <t>Revenue for فازة بورسلين برجول كبيرة</t>
  </si>
  <si>
    <t>SAL-1774476082020-588</t>
  </si>
  <si>
    <t>Added 6 to stock (orderId:ORD-1765901896044-592)</t>
  </si>
  <si>
    <t>SAL-1774476082908-830</t>
  </si>
  <si>
    <t>Added 48 to stock (orderId:)</t>
  </si>
  <si>
    <t>SAL-1774476083830-650</t>
  </si>
  <si>
    <t>SAL-1774476084808-737</t>
  </si>
  <si>
    <t>Sold (saleId:SAL-1778257634847-902)</t>
  </si>
  <si>
    <t>COGS for صبارة معدن</t>
  </si>
  <si>
    <t>Revenue for صبارة معدن</t>
  </si>
  <si>
    <t>SAL-1774476085619-980</t>
  </si>
  <si>
    <t>Sold (saleId:SAL-1778257634833-851)</t>
  </si>
  <si>
    <t>SAL-1774476086411-394</t>
  </si>
  <si>
    <t>Sold (saleId:SAL-1778257634822-289)</t>
  </si>
  <si>
    <t>SAL-1774476086914-518</t>
  </si>
  <si>
    <t>Sold (saleId:SAL-1778257634811-527)</t>
  </si>
  <si>
    <t>SAL-1774476087513-677</t>
  </si>
  <si>
    <t>Sold (saleId:SAL-1778257634797-760)</t>
  </si>
  <si>
    <t>SAL-1774476352064-371</t>
  </si>
  <si>
    <t>COGS for مبخرة فحم 3710</t>
  </si>
  <si>
    <t>Sold (saleId:SAL-1778257634771-711)</t>
  </si>
  <si>
    <t>Revenue for مبخرة فحم 3710</t>
  </si>
  <si>
    <t>SAL-1774485882510-804</t>
  </si>
  <si>
    <t>Sold (saleId:SAL-1778257634749-235)</t>
  </si>
  <si>
    <t>SAL-1774485882536-589</t>
  </si>
  <si>
    <t>Sold (saleId:SAL-1778257634719-116)</t>
  </si>
  <si>
    <t>SAL-1774485882559-339</t>
  </si>
  <si>
    <t>Sold (saleId:SAL-1778257634701-108)</t>
  </si>
  <si>
    <t>SAL-1774485882585-433</t>
  </si>
  <si>
    <t>Sold (saleId:SAL-1778255908113-510)</t>
  </si>
  <si>
    <t>SAL-1774485882607-666</t>
  </si>
  <si>
    <t>Sold (saleId:SAL-1778255908090-326)</t>
  </si>
  <si>
    <t>SAL-1774485882631-185</t>
  </si>
  <si>
    <t>Sold (saleId:SAL-1778255908069-195)</t>
  </si>
  <si>
    <t>SAL-1774485882655-576</t>
  </si>
  <si>
    <t>Sold (saleId:SAL-1778255908049-191)</t>
  </si>
  <si>
    <t>SAL-1774485882680-204</t>
  </si>
  <si>
    <t>SAL-1774485882705-496</t>
  </si>
  <si>
    <t>Sold (saleId:SAL-1778255908016-458)</t>
  </si>
  <si>
    <t>SAL-1774485882728-722</t>
  </si>
  <si>
    <t>Sold (saleId:SAL-1778255907982-488)</t>
  </si>
  <si>
    <t>SAL-1774485882750-654</t>
  </si>
  <si>
    <t>Sold (saleId:SAL-1778255907948-248)</t>
  </si>
  <si>
    <t>SAL-1774485882770-969</t>
  </si>
  <si>
    <t>Sold (saleId:SAL-1778255907924-487)</t>
  </si>
  <si>
    <t>SAL-1774485882803-272</t>
  </si>
  <si>
    <t>Sold (saleId:SAL-1778255907896-542)</t>
  </si>
  <si>
    <t>SAL-1774485882830-985</t>
  </si>
  <si>
    <t>Sold (saleId:SAL-1778255907874-828)</t>
  </si>
  <si>
    <t>SAL-1774485882863-890</t>
  </si>
  <si>
    <t>COGS for برواز ثلاثي شعبي ك</t>
  </si>
  <si>
    <t>Sold (saleId:SAL-1778255907852-871)</t>
  </si>
  <si>
    <t>Revenue for برواز ثلاثي شعبي ك</t>
  </si>
  <si>
    <t>SAL-1774485882895-708</t>
  </si>
  <si>
    <t>SAL-1774485882924-431</t>
  </si>
  <si>
    <t>Sold (saleId:SAL-1778255907832-645)</t>
  </si>
  <si>
    <t>SAL-1774485882954-802</t>
  </si>
  <si>
    <t>Sold (saleId:SAL-1778255907805-720)</t>
  </si>
  <si>
    <t>SAL-1774485882989-844</t>
  </si>
  <si>
    <t>Added 1 to stock (orderId:ORD-1765732613169-676)</t>
  </si>
  <si>
    <t>SAL-1774485883015-659</t>
  </si>
  <si>
    <t>SAL-1774485883041-896</t>
  </si>
  <si>
    <t>Added 36 to stock (orderId:ORD-1765732613164-962)</t>
  </si>
  <si>
    <t>SAL-1774485883068-863</t>
  </si>
  <si>
    <t>Added 1 to stock (orderId:ORD-1765732613158-102)</t>
  </si>
  <si>
    <t>COGS for شجرة بنجامين 110سم</t>
  </si>
  <si>
    <t>Revenue for شجرة بنجامين 110سم</t>
  </si>
  <si>
    <t>SAL-1774485883089-292</t>
  </si>
  <si>
    <t>Added 1 to stock (orderId:ORD-1765732613153-449)</t>
  </si>
  <si>
    <t>SAL-1774485883114-427</t>
  </si>
  <si>
    <t>Added 1 to stock (orderId:ORD-1765732613147-702)</t>
  </si>
  <si>
    <t>SAL-1774485883136-739</t>
  </si>
  <si>
    <t>Added 1 to stock (orderId:ORD-1765732613141-282)</t>
  </si>
  <si>
    <t>SAL-1774485883159-821</t>
  </si>
  <si>
    <t>Added 1 to stock (orderId:ORD-1765732613136-260)</t>
  </si>
  <si>
    <t>SAL-1774485883183-816</t>
  </si>
  <si>
    <t>Added 1 to stock (orderId:ORD-1765732613131-507)</t>
  </si>
  <si>
    <t>SAL-1774485883204-590</t>
  </si>
  <si>
    <t>Added 1 to stock (orderId:ORD-1765732613126-243)</t>
  </si>
  <si>
    <t>تم دفع 1385</t>
  </si>
  <si>
    <t>SAL-1774485883227-120</t>
  </si>
  <si>
    <t>Added 1 to stock (orderId:ORD-1765732613121-611)</t>
  </si>
  <si>
    <t>SAL-1774485883249-416</t>
  </si>
  <si>
    <t>Added 1 to stock (orderId:ORD-1765732613116-952)</t>
  </si>
  <si>
    <t>SAL-1774485883276-393</t>
  </si>
  <si>
    <t>Added 2 to stock (orderId:ORD-1765732613110-686)</t>
  </si>
  <si>
    <t>SAL-1774485883298-918</t>
  </si>
  <si>
    <t>SAL-1774485883321-677</t>
  </si>
  <si>
    <t>Added 1 to stock (orderId:ORD-1765732613104-919)</t>
  </si>
  <si>
    <t>SAL-1774485883343-401</t>
  </si>
  <si>
    <t>Added 1 to stock (orderId:ORD-1765732613099-940)</t>
  </si>
  <si>
    <t>SAL-1774485883365-605</t>
  </si>
  <si>
    <t>Added 1 to stock (orderId:ORD-1765732613094-631)</t>
  </si>
  <si>
    <t>SAL-1774485883391-118</t>
  </si>
  <si>
    <t>Added 1 to stock (orderId:ORD-1765732613090-652)</t>
  </si>
  <si>
    <t>SAL-1774485883421-166</t>
  </si>
  <si>
    <t>SAL-1774485883446-979</t>
  </si>
  <si>
    <t>Added 1 to stock (orderId:ORD-1765732613081-944)</t>
  </si>
  <si>
    <t>SAL-1774485883472-896</t>
  </si>
  <si>
    <t>Added 1 to stock (orderId:ORD-1765732613074-526)</t>
  </si>
  <si>
    <t>SAL-1774485883499-355</t>
  </si>
  <si>
    <t>Added 1 to stock (orderId:ORD-1765732613069-144)</t>
  </si>
  <si>
    <t>SAL-1774485883521-135</t>
  </si>
  <si>
    <t>COGS for ساعة حائط 3239</t>
  </si>
  <si>
    <t>Added 1 to stock (orderId:ORD-1765732613062-969)</t>
  </si>
  <si>
    <t>Revenue for ساعة حائط 3239</t>
  </si>
  <si>
    <t>SAL-1774485883549-642</t>
  </si>
  <si>
    <t>Added 1 to stock (orderId:ORD-1765732613055-323)</t>
  </si>
  <si>
    <t>SAL-1774485883570-468</t>
  </si>
  <si>
    <t>Added 1 to stock (orderId:ORD-1765732613048-539)</t>
  </si>
  <si>
    <t>SAL-1774485883592-437</t>
  </si>
  <si>
    <t>COGS for فازة زجاج 629/20</t>
  </si>
  <si>
    <t>Revenue for فازة زجاج 629/20</t>
  </si>
  <si>
    <t>Added 1 to stock (orderId:ORD-1765732613042-652)</t>
  </si>
  <si>
    <t>SAL-1774485883617-445</t>
  </si>
  <si>
    <t>Added 1 to stock (orderId:ORD-1765732613036-818)</t>
  </si>
  <si>
    <t>SAL-1774485883643-762</t>
  </si>
  <si>
    <t>Added 1 to stock (orderId:ORD-1765732613030-455)</t>
  </si>
  <si>
    <t>SAL-1774485883689-736</t>
  </si>
  <si>
    <t>COGS for ديكور معدن 672</t>
  </si>
  <si>
    <t>Revenue for ديكور معدن 672</t>
  </si>
  <si>
    <t>SAL-1774485883728-805</t>
  </si>
  <si>
    <t>Added 1 to stock (orderId:ORD-1765732613020-903)</t>
  </si>
  <si>
    <t>SAL-1774485883762-574</t>
  </si>
  <si>
    <t>Added 1 to stock (orderId:ORD-1765732613014-758)</t>
  </si>
  <si>
    <t>SAL-1774485883796-309</t>
  </si>
  <si>
    <t>Added 1 to stock (orderId:ORD-1765732613007-353)</t>
  </si>
  <si>
    <t>SAL-1774485883828-824</t>
  </si>
  <si>
    <t>Added 1 to stock (orderId:ORD-1765732613001-697)</t>
  </si>
  <si>
    <t>SAL-1774485883857-215</t>
  </si>
  <si>
    <t>Added 1 to stock (orderId:ORD-1765732612995-643)</t>
  </si>
  <si>
    <t>SAL-1774485883893-130</t>
  </si>
  <si>
    <t>Added 1 to stock (orderId:ORD-1765732612989-165)</t>
  </si>
  <si>
    <t>SAL-1774485883923-921</t>
  </si>
  <si>
    <t>SAL-1774485883949-871</t>
  </si>
  <si>
    <t>Added 1 to stock (orderId:ORD-1765732612983-527)</t>
  </si>
  <si>
    <t>SAL-1774485883984-375</t>
  </si>
  <si>
    <t>Added 1 to stock (orderId:ORD-1765732612977-733)</t>
  </si>
  <si>
    <t>SAL-1774485884009-750</t>
  </si>
  <si>
    <t>Added 1 to stock (orderId:ORD-1765732612972-200)</t>
  </si>
  <si>
    <t>SAL-1774485884044-555</t>
  </si>
  <si>
    <t>Added 1 to stock (orderId:ORD-1765732612967-483)</t>
  </si>
  <si>
    <t>SAL-1774485884068-577</t>
  </si>
  <si>
    <t>Added 18 to stock (orderId:ORD-1765732612962-276)</t>
  </si>
  <si>
    <t>SAL-1774485884095-945</t>
  </si>
  <si>
    <t>محمد عبدالرازق</t>
  </si>
  <si>
    <t>Added 1 to stock (orderId:ORD-1765732612957-166)</t>
  </si>
  <si>
    <t>تم دفع 200ج لحجز بوت واتنين بوكيه ورد</t>
  </si>
  <si>
    <t>SAL-1774485884123-273</t>
  </si>
  <si>
    <t>Added 6 to stock (orderId:ORD-1765732612950-997)</t>
  </si>
  <si>
    <t>SAL-1774485884171-789</t>
  </si>
  <si>
    <t>Added 3 to stock (orderId:ORD-1765732612945-715)</t>
  </si>
  <si>
    <t>SAL-1774485884222-574</t>
  </si>
  <si>
    <t>Added 2 to stock (orderId:ORD-1765732612939-577)</t>
  </si>
  <si>
    <t>SAL-1774485884267-768</t>
  </si>
  <si>
    <t>SAL-1774485884330-767</t>
  </si>
  <si>
    <t>Added 14 to stock (orderId:)</t>
  </si>
  <si>
    <t>SAL-1774485884372-190</t>
  </si>
  <si>
    <t>Sold (saleId:SAL-1778255907779-260)</t>
  </si>
  <si>
    <t>SAL-1774485884417-254</t>
  </si>
  <si>
    <t>Sold (saleId:SAL-1778255907749-218)</t>
  </si>
  <si>
    <t>SAL-1774485884460-517</t>
  </si>
  <si>
    <t>Sold (saleId:SAL-1778255907723-227)</t>
  </si>
  <si>
    <t>SAL-1774485884517-674</t>
  </si>
  <si>
    <t>Sold (saleId:SAL-1778255907631-674)</t>
  </si>
  <si>
    <t>SAL-1774485884565-689</t>
  </si>
  <si>
    <t>Sold (saleId:SAL-1778255907589-926)</t>
  </si>
  <si>
    <t>SAL-1774485884624-777</t>
  </si>
  <si>
    <t>Sold (saleId:SAL-1778255907534-655)</t>
  </si>
  <si>
    <t>SAL-1774485884679-281</t>
  </si>
  <si>
    <t>عبدالله</t>
  </si>
  <si>
    <t>تم الشراء من عيلة</t>
  </si>
  <si>
    <t>تم دفع 200ج مقابل بوت جاهز ب 2 بوكيه ورد</t>
  </si>
  <si>
    <t>SAL-1774485884724-382</t>
  </si>
  <si>
    <t>SAL-1774485884753-573</t>
  </si>
  <si>
    <t>SAL-1774485884781-485</t>
  </si>
  <si>
    <t>Sold (saleId:SAL-1778145083343-377)</t>
  </si>
  <si>
    <t>SAL-1774485884808-467</t>
  </si>
  <si>
    <t>SAL-1774485884839-293</t>
  </si>
  <si>
    <t>Sold (saleId:SAL-1778145083317-394)</t>
  </si>
  <si>
    <t>SAL-1774485884861-380</t>
  </si>
  <si>
    <t>Sold (saleId:SAL-1778145083297-304)</t>
  </si>
  <si>
    <t>SAL-1774485884886-813</t>
  </si>
  <si>
    <t>Sold (saleId:SAL-1778145083277-562)</t>
  </si>
  <si>
    <t>SAL-1774485884920-517</t>
  </si>
  <si>
    <t>Sold (saleId:SAL-1778144318816-724)</t>
  </si>
  <si>
    <t>SAL-1774485884945-177</t>
  </si>
  <si>
    <t>Sold (saleId:SAL-1778144318788-544)</t>
  </si>
  <si>
    <t>SAL-1774485884967-556</t>
  </si>
  <si>
    <t>SAL-1774485884989-861</t>
  </si>
  <si>
    <t>Sold (saleId:SAL-1778144318763-453)</t>
  </si>
  <si>
    <t>COGS for ديكور معدن 677</t>
  </si>
  <si>
    <t>Revenue for ديكور معدن 677</t>
  </si>
  <si>
    <t>SAL-1774485885028-815</t>
  </si>
  <si>
    <t>Sold (saleId:SAL-1778144318744-920)</t>
  </si>
  <si>
    <t>COGS for قرنفل</t>
  </si>
  <si>
    <t>Revenue for قرنفل</t>
  </si>
  <si>
    <t>SAL-1774485885064-710</t>
  </si>
  <si>
    <t>Sold (saleId:SAL-1778144318723-775)</t>
  </si>
  <si>
    <t>SAL-1774485885092-623</t>
  </si>
  <si>
    <t>Sold (saleId:SAL-1778144318691-341)</t>
  </si>
  <si>
    <t>SAL-1774485885124-789</t>
  </si>
  <si>
    <t>SAL-1774485885151-859</t>
  </si>
  <si>
    <t>Sold (saleId:SAL-1778144318672-516)</t>
  </si>
  <si>
    <t>COGS for خضره 24 كلة</t>
  </si>
  <si>
    <t>Revenue for خضره 24 كلة</t>
  </si>
  <si>
    <t>SAL-1774485885176-664</t>
  </si>
  <si>
    <t>Sold (saleId:SAL-1778144318653-639)</t>
  </si>
  <si>
    <t>SAL-1774485885203-907</t>
  </si>
  <si>
    <t>Sold (saleId:SAL-1778144318635-540)</t>
  </si>
  <si>
    <t>COGS for عربة خشب ديكور 6Y</t>
  </si>
  <si>
    <t>Revenue for عربة خشب ديكور 6Y</t>
  </si>
  <si>
    <t>Sold (saleId:SAL-1778144318594-842)</t>
  </si>
  <si>
    <t>SAL-1774485885227-710</t>
  </si>
  <si>
    <t>SAL-1774485885253-184</t>
  </si>
  <si>
    <t>Sold (saleId:SAL-1778144318559-449)</t>
  </si>
  <si>
    <t>COGS for شكل صبارة خزف صغيرة</t>
  </si>
  <si>
    <t>Revenue for شكل صبارة خزف صغيرة</t>
  </si>
  <si>
    <t>SAL-1774486068436-419</t>
  </si>
  <si>
    <t>Sold (saleId:SAL-1778144318531-304)</t>
  </si>
  <si>
    <t>SAL-1774486068694-185</t>
  </si>
  <si>
    <t>Sold (saleId:SAL-1777640650440-123)</t>
  </si>
  <si>
    <t>SAL-1774486068894-220</t>
  </si>
  <si>
    <t>Sold (saleId:SAL-1777580543827-278)</t>
  </si>
  <si>
    <t>SAL-1774486069189-128</t>
  </si>
  <si>
    <t>Sold (saleId:SAL-1777580543807-670)</t>
  </si>
  <si>
    <t>SAL-1774486114336-535</t>
  </si>
  <si>
    <t>Sold (saleId:SAL-1777580543786-237)</t>
  </si>
  <si>
    <t>SAL-1774486114361-717</t>
  </si>
  <si>
    <t>Sold (saleId:SAL-1777580543770-503)</t>
  </si>
  <si>
    <t>SAL-1774486114399-416</t>
  </si>
  <si>
    <t>Sold (saleId:SAL-1777580543751-115)</t>
  </si>
  <si>
    <t>SAL-1774486648644-524</t>
  </si>
  <si>
    <t>SAL-1774486648701-174</t>
  </si>
  <si>
    <t>Sold (saleId:SAL-1777580543734-557)</t>
  </si>
  <si>
    <t>SAL-1774486648736-455</t>
  </si>
  <si>
    <t>Sold (saleId:SAL-1777580543714-743)</t>
  </si>
  <si>
    <t>SAL-1774486648795-398</t>
  </si>
  <si>
    <t>Sold (saleId:SAL-1777580543694-670)</t>
  </si>
  <si>
    <t>SAL-1774486648847-444</t>
  </si>
  <si>
    <t>Sold (saleId:SAL-1777580543674-965)</t>
  </si>
  <si>
    <t>SAL-1774486648944-246</t>
  </si>
  <si>
    <t>Sold (saleId:SAL-1777580543652-372)</t>
  </si>
  <si>
    <t>SAL-1774486649033-357</t>
  </si>
  <si>
    <t>Sold (saleId:SAL-1777580543632-161)</t>
  </si>
  <si>
    <t>SAL-1774486649089-472</t>
  </si>
  <si>
    <t>Sold (saleId:SAL-1777580543612-277)</t>
  </si>
  <si>
    <t>SAL-1774486649125-730</t>
  </si>
  <si>
    <t>Sold (saleId:SAL-1777580543593-899)</t>
  </si>
  <si>
    <t>SAL-1774486649150-375</t>
  </si>
  <si>
    <t>Sold (saleId:SAL-1777580543566-925)</t>
  </si>
  <si>
    <t>SAL-1774486936141-913</t>
  </si>
  <si>
    <t>Sold (saleId:SAL-1777580543546-588)</t>
  </si>
  <si>
    <t>SAL-1774486936166-162</t>
  </si>
  <si>
    <t>Sold (saleId:SAL-1777580543524-219)</t>
  </si>
  <si>
    <t>SAL-1774486986350-114</t>
  </si>
  <si>
    <t>Sold (saleId:SAL-1777580543508-249)</t>
  </si>
  <si>
    <t>SAL-1774487065097-901</t>
  </si>
  <si>
    <t>Sold (saleId:SAL-1777580543491-542)</t>
  </si>
  <si>
    <t>SAL-1774487065123-431</t>
  </si>
  <si>
    <t>ماما</t>
  </si>
  <si>
    <t>Sold (saleId:SAL-1777580543475-687)</t>
  </si>
  <si>
    <t>SAL-1774487126694-751</t>
  </si>
  <si>
    <t>SAL-1774487192259-989</t>
  </si>
  <si>
    <t>Sold (saleId:SAL-1777580543459-422)</t>
  </si>
  <si>
    <t>SAL-1774488440902-321</t>
  </si>
  <si>
    <t>Sold (saleId:SAL-1777580543438-980)</t>
  </si>
  <si>
    <t>SAL-1774488440927-480</t>
  </si>
  <si>
    <t>Sold (saleId:SAL-1777580543423-313)</t>
  </si>
  <si>
    <t>SAL-1774488440949-962</t>
  </si>
  <si>
    <t>Sold (saleId:SAL-1777580543406-603)</t>
  </si>
  <si>
    <t>SAL-1774488440973-718</t>
  </si>
  <si>
    <t>COGS for فواحة 168/9</t>
  </si>
  <si>
    <t>Sold (saleId:SAL-1777580543388-684)</t>
  </si>
  <si>
    <t>Revenue for فواحة 168/9</t>
  </si>
  <si>
    <t>SAL-1774488440998-500</t>
  </si>
  <si>
    <t>COGS for فواحة USB 170/3</t>
  </si>
  <si>
    <t>Sold (saleId:SAL-1777580543371-559)</t>
  </si>
  <si>
    <t>Revenue for فواحة USB 170/3</t>
  </si>
  <si>
    <t>SAL-1774488441028-708</t>
  </si>
  <si>
    <t>Sold (saleId:SAL-1777580543352-937)</t>
  </si>
  <si>
    <t>SAL-1774488441050-417</t>
  </si>
  <si>
    <t>Sold (saleId:SAL-1777580543327-960)</t>
  </si>
  <si>
    <t>SAL-1774488441077-787</t>
  </si>
  <si>
    <t>Sold (saleId:SAL-1777580543312-614)</t>
  </si>
  <si>
    <t>SAL-1774488441102-733</t>
  </si>
  <si>
    <t>Sold (saleId:SAL-1777580543295-506)</t>
  </si>
  <si>
    <t>SAL-1774488441124-185</t>
  </si>
  <si>
    <t>Sold (saleId:SAL-1777580543277-338)</t>
  </si>
  <si>
    <t>SAL-1774488441146-917</t>
  </si>
  <si>
    <t>SAL-1774488441175-337</t>
  </si>
  <si>
    <t>Sold (saleId:SAL-1777580543253-358)</t>
  </si>
  <si>
    <t>COGS for تقيلة زجاج 615/1</t>
  </si>
  <si>
    <t>Revenue for تقيلة زجاج 615/1</t>
  </si>
  <si>
    <t>SAL-1774488441203-263</t>
  </si>
  <si>
    <t>Sold (saleId:SAL-1777580543231-852)</t>
  </si>
  <si>
    <t>SAL-1774488441231-281</t>
  </si>
  <si>
    <t>Sold (saleId:SAL-1777580543207-605)</t>
  </si>
  <si>
    <t>COGS for سيلفر غزالة</t>
  </si>
  <si>
    <t>Revenue for سيلفر غزالة</t>
  </si>
  <si>
    <t>SAL-1774488441258-452</t>
  </si>
  <si>
    <t>Sold (saleId:SAL-1777580543185-719)</t>
  </si>
  <si>
    <t>12/17/2025</t>
  </si>
  <si>
    <t>SAL-1774488441291-987</t>
  </si>
  <si>
    <t>Sold (saleId:SAL-1777580543165-230)</t>
  </si>
  <si>
    <t>SAL-1774488441326-549</t>
  </si>
  <si>
    <t>Sold (saleId:SAL-1777580543144-535)</t>
  </si>
  <si>
    <t>SAL-1774488441357-478</t>
  </si>
  <si>
    <t>Sold (saleId:SAL-1777580543120-425)</t>
  </si>
  <si>
    <t>SAL-1774488441398-832</t>
  </si>
  <si>
    <t>Sold (saleId:SAL-1777580543100-587)</t>
  </si>
  <si>
    <t>SAL-1774488441420-532</t>
  </si>
  <si>
    <t>Sold (saleId:SAL-1777580543079-433)</t>
  </si>
  <si>
    <t>SAL-1774488441445-479</t>
  </si>
  <si>
    <t>Sold (saleId:SAL-1777580543059-583)</t>
  </si>
  <si>
    <t>SAL-1774488441467-650</t>
  </si>
  <si>
    <t>Sold (saleId:SAL-1777580543038-821)</t>
  </si>
  <si>
    <t>SAL-1774488441488-602</t>
  </si>
  <si>
    <t>Sold (saleId:SAL-1777580543022-837)</t>
  </si>
  <si>
    <t>SAL-1774488441508-282</t>
  </si>
  <si>
    <t>Sold (saleId:SAL-1777580542951-785)</t>
  </si>
  <si>
    <t>SAL-1774488441526-818</t>
  </si>
  <si>
    <t>SAL-1774488441544-370</t>
  </si>
  <si>
    <t>Sold (saleId:SAL-1777580542934-712)</t>
  </si>
  <si>
    <t>SAL-1774488441562-473</t>
  </si>
  <si>
    <t>Sold (saleId:SAL-1777580542917-200)</t>
  </si>
  <si>
    <t>SAL-1774488441591-292</t>
  </si>
  <si>
    <t>Sold (saleId:SAL-1777580542900-425)</t>
  </si>
  <si>
    <t>SAL-1774488441616-180</t>
  </si>
  <si>
    <t>Sold (saleId:SAL-1777580542885-840)</t>
  </si>
  <si>
    <t>SAL-1774488441640-635</t>
  </si>
  <si>
    <t>Sold (saleId:SAL-1777580542870-101)</t>
  </si>
  <si>
    <t>SAL-1774488441665-960</t>
  </si>
  <si>
    <t>COGS for مبخرة فحم 2556</t>
  </si>
  <si>
    <t>Sold (saleId:SAL-1777580542841-224)</t>
  </si>
  <si>
    <t>Revenue for مبخرة فحم 2556</t>
  </si>
  <si>
    <t>SAL-1774488441691-566</t>
  </si>
  <si>
    <t>Sold (saleId:SAL-1777580542811-475)</t>
  </si>
  <si>
    <t>SAL-1774488441730-854</t>
  </si>
  <si>
    <t>COGS for خضرة اللوان 18</t>
  </si>
  <si>
    <t>Sold (saleId:SAL-1777580542783-796)</t>
  </si>
  <si>
    <t>Revenue for خضرة اللوان 18</t>
  </si>
  <si>
    <t>SAL-1774488441756-866</t>
  </si>
  <si>
    <t>COGS for دابل فيس 14م</t>
  </si>
  <si>
    <t>Sold (saleId:SAL-1777580542757-515)</t>
  </si>
  <si>
    <t>Revenue for دابل فيس 14م</t>
  </si>
  <si>
    <t>SAL-1774488441788-309</t>
  </si>
  <si>
    <t>COGS for خضرة حشو 12</t>
  </si>
  <si>
    <t>Sold (saleId:SAL-1777580542737-547)</t>
  </si>
  <si>
    <t>Revenue for خضرة حشو 12</t>
  </si>
  <si>
    <t>SAL-1774488550398-145</t>
  </si>
  <si>
    <t>Sold (saleId:SAL-1777580542713-519)</t>
  </si>
  <si>
    <t>SAL-1774488550413-391</t>
  </si>
  <si>
    <t>Sold (saleId:SAL-1777574966468-279)</t>
  </si>
  <si>
    <t>SAL-1774488904506-968</t>
  </si>
  <si>
    <t>Sold (saleId:SAL-1777574966434-601)</t>
  </si>
  <si>
    <t>SAL-1774488904551-196</t>
  </si>
  <si>
    <t>Sold (saleId:SAL-1777574966401-199)</t>
  </si>
  <si>
    <t>SAL-1774488958795-176</t>
  </si>
  <si>
    <t>SAL-1774527030671-207</t>
  </si>
  <si>
    <t>Sold (saleId:SAL-1777574753805-687)</t>
  </si>
  <si>
    <t>SAL-1774527030707-453</t>
  </si>
  <si>
    <t>SAL-1766084993936-397</t>
  </si>
  <si>
    <t>مقزم-بلدي-قطيفة</t>
  </si>
  <si>
    <t>SAL-1774527030752-315</t>
  </si>
  <si>
    <t>SAL-1774527030788-935</t>
  </si>
  <si>
    <t>SAL-1774527030851-154</t>
  </si>
  <si>
    <t>Sold (saleId:SAL-1777574753755-352)</t>
  </si>
  <si>
    <t>SAL-1766084993961-139</t>
  </si>
  <si>
    <t>SAL-1774527030914-555</t>
  </si>
  <si>
    <t>Sold (saleId:SAL-1777574753696-318)</t>
  </si>
  <si>
    <t>SAL-1774527030945-112</t>
  </si>
  <si>
    <t>Sold (saleId:SAL-1777574536436-172)</t>
  </si>
  <si>
    <t>SAL-1774527031009-780</t>
  </si>
  <si>
    <t>Sold (saleId:SAL-1777574536395-448)</t>
  </si>
  <si>
    <t>SAL-1774527031061-171</t>
  </si>
  <si>
    <t>SAL-1774527031140-194</t>
  </si>
  <si>
    <t>Sold (saleId:SAL-1777574536359-699)</t>
  </si>
  <si>
    <t>SAL-1766084993990-725</t>
  </si>
  <si>
    <t>SAL-1774527031223-662</t>
  </si>
  <si>
    <t>Sold (saleId:SAL-1777574536319-787)</t>
  </si>
  <si>
    <t>COGS for دلاية صلي على النبي 336/09</t>
  </si>
  <si>
    <t>Revenue for دلاية صلي على النبي 336/09</t>
  </si>
  <si>
    <t>SAL-1774527031277-240</t>
  </si>
  <si>
    <t>Sold (saleId:SAL-1777574536285-674)</t>
  </si>
  <si>
    <t>SAL-1774527031338-832</t>
  </si>
  <si>
    <t>Sold (saleId:SAL-1777574536258-886)</t>
  </si>
  <si>
    <t>SAL-1774527031394-239</t>
  </si>
  <si>
    <t>COGS for شجرة جلد تركيب 18 عصفورة</t>
  </si>
  <si>
    <t>Sold (saleId:SAL-1777574536225-366)</t>
  </si>
  <si>
    <t>Revenue for شجرة جلد تركيب 18 عصفورة</t>
  </si>
  <si>
    <t>SAL-1774527031451-663</t>
  </si>
  <si>
    <t>COGS for مسدس صابون ستيتش 156</t>
  </si>
  <si>
    <t>Sold (saleId:SAL-1777574241725-657)</t>
  </si>
  <si>
    <t>Revenue for مسدس صابون ستيتش 156</t>
  </si>
  <si>
    <t>SAL-1774527031491-704</t>
  </si>
  <si>
    <t>Sold (saleId:SAL-1777574241660-435)</t>
  </si>
  <si>
    <t>SAL-1774527031530-513</t>
  </si>
  <si>
    <t>Sold (saleId:SAL-1777574241627-738)</t>
  </si>
  <si>
    <t>SAL-1774527031567-870</t>
  </si>
  <si>
    <t>Sold (saleId:SAL-1777574241594-508)</t>
  </si>
  <si>
    <t>SAL-1774527031661-948</t>
  </si>
  <si>
    <t>SAL-1774527031717-658</t>
  </si>
  <si>
    <t>Sold (saleId:SAL-1777574241556-105)</t>
  </si>
  <si>
    <t>SAL-1774527031775-386</t>
  </si>
  <si>
    <t>Sold (saleId:SAL-1777574241530-373)</t>
  </si>
  <si>
    <t>SAL-1774527031826-619</t>
  </si>
  <si>
    <t>Sold (saleId:SAL-1777574241503-745)</t>
  </si>
  <si>
    <t>SAL-1774527031880-554</t>
  </si>
  <si>
    <t>Sold (saleId:SAL-1777574241461-865)</t>
  </si>
  <si>
    <t>SAL-1774527031946-304</t>
  </si>
  <si>
    <t>Sold (saleId:SAL-1777574241430-785)</t>
  </si>
  <si>
    <t>SAL-1774527031994-618</t>
  </si>
  <si>
    <t>Sold (saleId:SAL-1777574241371-929)</t>
  </si>
  <si>
    <t>SAL-1774527032072-124</t>
  </si>
  <si>
    <t>Sold (saleId:SAL-1777574241329-801)</t>
  </si>
  <si>
    <t>SAL-1774527032142-453</t>
  </si>
  <si>
    <t>Sold (saleId:SAL-1777574241287-847)</t>
  </si>
  <si>
    <t>SAL-1774527032186-542</t>
  </si>
  <si>
    <t>SAL-1774527032229-794</t>
  </si>
  <si>
    <t>Sold (saleId:SAL-1777574241242-894)</t>
  </si>
  <si>
    <t>SAL-1774527032263-886</t>
  </si>
  <si>
    <t>Sold (saleId:SAL-1777574241201-732)</t>
  </si>
  <si>
    <t>SAL-1774527032310-646</t>
  </si>
  <si>
    <t>Sold (saleId:SAL-1777574241149-904)</t>
  </si>
  <si>
    <t>حجز باسم محمود احمد</t>
  </si>
  <si>
    <t>SAL-1774527032354-607</t>
  </si>
  <si>
    <t>Sold (saleId:SAL-1777572189597-287)</t>
  </si>
  <si>
    <t>SAL-1774527032397-211</t>
  </si>
  <si>
    <t>COGS for مقزمة أوركيد ثلاثي f-156</t>
  </si>
  <si>
    <t>Sold (saleId:SAL-1777572189532-598)</t>
  </si>
  <si>
    <t>Revenue for مقزمة أوركيد ثلاثي f-156</t>
  </si>
  <si>
    <t>SAL-1774527032460-326</t>
  </si>
  <si>
    <t>SAL-1774527032535-292</t>
  </si>
  <si>
    <t>Sold (saleId:SAL-1777572189486-427)</t>
  </si>
  <si>
    <t>SAL-1774527032596-194</t>
  </si>
  <si>
    <t>Sold (saleId:SAL-1777572189391-571)</t>
  </si>
  <si>
    <t>Sold (saleId:SAL-1777572189299-864)</t>
  </si>
  <si>
    <t>SAL-1774527141146-520</t>
  </si>
  <si>
    <t>SAL-1774527141164-171</t>
  </si>
  <si>
    <t>Sold (saleId:SAL-1777572189226-811)</t>
  </si>
  <si>
    <t>SAL-1774527141181-662</t>
  </si>
  <si>
    <t>Sold (saleId:SAL-1777572189178-742)</t>
  </si>
  <si>
    <t>SAL-1774527141200-382</t>
  </si>
  <si>
    <t>Sold (saleId:SAL-1777572189084-396)</t>
  </si>
  <si>
    <t>SAL-1774527141217-363</t>
  </si>
  <si>
    <t>Sold (saleId:SAL-1777572188996-777)</t>
  </si>
  <si>
    <t>SAL-1774527853274-449</t>
  </si>
  <si>
    <t>COGS for كوب زجاج (عرض خاص) 529/2</t>
  </si>
  <si>
    <t>Sold (saleId:SAL-1777571977985-325)</t>
  </si>
  <si>
    <t>Revenue for كوب زجاج (عرض خاص) 529/2</t>
  </si>
  <si>
    <t>SAL-1774527853291-877</t>
  </si>
  <si>
    <t>Sold (saleId:SAL-1777571922622-956)</t>
  </si>
  <si>
    <t>SAL-1774527853309-738</t>
  </si>
  <si>
    <t>Sold (saleId:SAL-1777571922595-750)</t>
  </si>
  <si>
    <t>SAL-1774527853326-443</t>
  </si>
  <si>
    <t>Sold (saleId:SAL-1777571922570-331)</t>
  </si>
  <si>
    <t>SAL-1774527853344-780</t>
  </si>
  <si>
    <t>Sold (saleId:SAL-1777571922546-955)</t>
  </si>
  <si>
    <t>SAL-1774527853361-630</t>
  </si>
  <si>
    <t>SAL-1774527853380-891</t>
  </si>
  <si>
    <t>Sold (saleId:SAL-1777571922520-249)</t>
  </si>
  <si>
    <t>COGS for بلورة حجر - 570/36</t>
  </si>
  <si>
    <t>Revenue for بلورة حجر - 570/36</t>
  </si>
  <si>
    <t>SAL-1774527853410-916</t>
  </si>
  <si>
    <t>عم خالد</t>
  </si>
  <si>
    <t>Sold (saleId:SAL-1777571922493-342)</t>
  </si>
  <si>
    <t>SAL-1774527853431-332</t>
  </si>
  <si>
    <t>COGS for حجر ساعة</t>
  </si>
  <si>
    <t>Sold (saleId:SAL-1777571678536-262)</t>
  </si>
  <si>
    <t>Revenue for حجر ساعة</t>
  </si>
  <si>
    <t>SAL-1774527853451-781</t>
  </si>
  <si>
    <t>Sold (saleId:SAL-1777571678518-347)</t>
  </si>
  <si>
    <t>SAL-1774527853468-424</t>
  </si>
  <si>
    <t>Sold (saleId:SAL-1777571653093-592)</t>
  </si>
  <si>
    <t>SAL-1774527853499-672</t>
  </si>
  <si>
    <t>COGS for مدفع ورق 40 سم</t>
  </si>
  <si>
    <t>Revenue for مدفع ورق 40 سم</t>
  </si>
  <si>
    <t>Sold (saleId:SAL-1777571590076-439)</t>
  </si>
  <si>
    <t>SAL-1774527853530-244</t>
  </si>
  <si>
    <t>SAL-1774527853559-727</t>
  </si>
  <si>
    <t>Sold (saleId:SAL-1777571590024-866)</t>
  </si>
  <si>
    <t>COGS for ساعة حائط 3400</t>
  </si>
  <si>
    <t>Revenue for ساعة حائط 3400</t>
  </si>
  <si>
    <t>SAL-1774527853583-168</t>
  </si>
  <si>
    <t>Sold (saleId:SAL-1777571589982-612)</t>
  </si>
  <si>
    <t>SAL-1774527853612-910</t>
  </si>
  <si>
    <t>Sold (saleId:SAL-1777571589943-141)</t>
  </si>
  <si>
    <t>SAL-1774527853641-570</t>
  </si>
  <si>
    <t>Sold (saleId:SAL-1777571589895-125)</t>
  </si>
  <si>
    <t>SAL-1777571589589-753</t>
  </si>
  <si>
    <t>Sold (saleId:SAL-1777571589861-510)</t>
  </si>
  <si>
    <t>SAL-1777571589618-596</t>
  </si>
  <si>
    <t>Sold (saleId:SAL-1777571589829-853)</t>
  </si>
  <si>
    <t>SAL-1777571589652-125</t>
  </si>
  <si>
    <t>Sold (saleId:SAL-1777571589792-554)</t>
  </si>
  <si>
    <t>SAL-1777571589681-291</t>
  </si>
  <si>
    <t>Sold (saleId:SAL-1777571589766-798)</t>
  </si>
  <si>
    <t>SAL-1777571589713-252</t>
  </si>
  <si>
    <t>COGS for مكعب روبيك ك 551</t>
  </si>
  <si>
    <t>Revenue for مكعب روبيك ك 551</t>
  </si>
  <si>
    <t>SAL-1777571589740-676</t>
  </si>
  <si>
    <t>Sold (saleId:SAL-1777571589740-676)</t>
  </si>
  <si>
    <t>COGS for بولة خزف صغيرة</t>
  </si>
  <si>
    <t>Revenue for بولة خزف صغيرة</t>
  </si>
  <si>
    <t>SAL-1777571589766-798</t>
  </si>
  <si>
    <t>Sold (saleId:SAL-1777571589713-252)</t>
  </si>
  <si>
    <t>SAL-1777571589792-554</t>
  </si>
  <si>
    <t>Sold (saleId:SAL-1777571589681-291)</t>
  </si>
  <si>
    <t>12/23/2025</t>
  </si>
  <si>
    <t>SAL-1777571589829-853</t>
  </si>
  <si>
    <t>COGS for مقزم مشمش</t>
  </si>
  <si>
    <t>Sold (saleId:SAL-1777571589652-125)</t>
  </si>
  <si>
    <t>Revenue for مقزم مشمش</t>
  </si>
  <si>
    <t>SAL-1777571589861-510</t>
  </si>
  <si>
    <t>COGS for عربية كروم صوت + نور 630</t>
  </si>
  <si>
    <t>Sold (saleId:SAL-1777571589618-596)</t>
  </si>
  <si>
    <t>Revenue for عربية كروم صوت + نور 630</t>
  </si>
  <si>
    <t>SAL-1777571589895-125</t>
  </si>
  <si>
    <t>COGS for نيشان دارتس 482/1</t>
  </si>
  <si>
    <t>Sold (saleId:SAL-1777571589589-753)</t>
  </si>
  <si>
    <t>Revenue for نيشان دارتس 482/1</t>
  </si>
  <si>
    <t>SAL-1777571589943-141</t>
  </si>
  <si>
    <t>COGS for نافورة ديكور 270 sm</t>
  </si>
  <si>
    <t>Sold (saleId:SAL-1774527853641-570)</t>
  </si>
  <si>
    <t>Revenue for نافورة ديكور 270 sm</t>
  </si>
  <si>
    <t>SAL-1777571589982-612</t>
  </si>
  <si>
    <t>Sold (saleId:SAL-1774527853612-910)</t>
  </si>
  <si>
    <t>SAL-1777571590024-866</t>
  </si>
  <si>
    <t>Sold (saleId:SAL-1774527853583-168)</t>
  </si>
  <si>
    <t>SAL-1777571590076-439</t>
  </si>
  <si>
    <t>Sold (saleId:SAL-1774527853559-727)</t>
  </si>
  <si>
    <t>SAL-1777571653093-592</t>
  </si>
  <si>
    <t>Sold (saleId:SAL-1774527853530-244)</t>
  </si>
  <si>
    <t>SAL-1777571678518-347</t>
  </si>
  <si>
    <t>COGS for مبخرة فحم 3788</t>
  </si>
  <si>
    <t>Sold (saleId:SAL-1774527853499-672)</t>
  </si>
  <si>
    <t>Revenue for مبخرة فحم 3788</t>
  </si>
  <si>
    <t>SAL-1777571678536-262</t>
  </si>
  <si>
    <t>Sold (saleId:SAL-1774527853468-424)</t>
  </si>
  <si>
    <t>SAL-1777571922493-342</t>
  </si>
  <si>
    <t>Sold (saleId:SAL-1774527853451-781)</t>
  </si>
  <si>
    <t>SAL-1777571922520-249</t>
  </si>
  <si>
    <t>تصنيع-بوكيه-ميكس</t>
  </si>
  <si>
    <t>SAL-1777571922546-955</t>
  </si>
  <si>
    <t>SAL-1777571922570-331</t>
  </si>
  <si>
    <t>SAL-1777571922595-750</t>
  </si>
  <si>
    <t>SAL-1777571922622-956</t>
  </si>
  <si>
    <t>SAL-1777571977985-325</t>
  </si>
  <si>
    <t>SAL-1777572188996-777</t>
  </si>
  <si>
    <t>Sold (saleId:SAL-1774527853431-332)</t>
  </si>
  <si>
    <t>SAL-1777572189084-396</t>
  </si>
  <si>
    <t>Sold (saleId:SAL-1774527853410-916)</t>
  </si>
  <si>
    <t>SAL-1777572189178-742</t>
  </si>
  <si>
    <t>Sold (saleId:SAL-1774527853380-891)</t>
  </si>
  <si>
    <t>SAL-1777572189226-811</t>
  </si>
  <si>
    <t>مزرعة-خزف</t>
  </si>
  <si>
    <t>SAL-1777572189299-864</t>
  </si>
  <si>
    <t>SAL-1777572189391-571</t>
  </si>
  <si>
    <t>SAL-1777572189486-427</t>
  </si>
  <si>
    <t>SAL-1777572189532-598</t>
  </si>
  <si>
    <t>Sold (saleId:SAL-1774527853361-630)</t>
  </si>
  <si>
    <t>SAL-1777572189597-287</t>
  </si>
  <si>
    <t>Sold (saleId:SAL-1774527853344-780)</t>
  </si>
  <si>
    <t>SAL-1777574241149-904</t>
  </si>
  <si>
    <t>Sold (saleId:SAL-1774527853326-443)</t>
  </si>
  <si>
    <t>SAL-1777574241201-732</t>
  </si>
  <si>
    <t>Sold (saleId:SAL-1774527853309-738)</t>
  </si>
  <si>
    <t>SAL-1777574241242-894</t>
  </si>
  <si>
    <t>Sold (saleId:SAL-1774527853291-877)</t>
  </si>
  <si>
    <t>SAL-1777574241287-847</t>
  </si>
  <si>
    <t>Sold (saleId:SAL-1774527853274-449)</t>
  </si>
  <si>
    <t>SAL-1777574241329-801</t>
  </si>
  <si>
    <t>Sold (saleId:SAL-1774527141217-363)</t>
  </si>
  <si>
    <t>SAL-1777574241371-929</t>
  </si>
  <si>
    <t>Sold (saleId:SAL-1774527141200-382)</t>
  </si>
  <si>
    <t>SAL-1777574241430-785</t>
  </si>
  <si>
    <t>SAL-1777574241461-865</t>
  </si>
  <si>
    <t>Sold (saleId:SAL-1774527141181-662)</t>
  </si>
  <si>
    <t>SAL-1777574241503-745</t>
  </si>
  <si>
    <t>Sold (saleId:SAL-1774527141164-171)</t>
  </si>
  <si>
    <t>SAL-1777574241530-373</t>
  </si>
  <si>
    <t>Sold (saleId:SAL-1774527141146-520)</t>
  </si>
  <si>
    <t>SAL-1777574241556-105</t>
  </si>
  <si>
    <t>Sold (saleId:SAL-1774527032596-194)</t>
  </si>
  <si>
    <t>SAL-1777574241594-508</t>
  </si>
  <si>
    <t>Sold (saleId:SAL-1774527032535-292)</t>
  </si>
  <si>
    <t>SAL-1777574241627-738</t>
  </si>
  <si>
    <t>Sold (saleId:SAL-1774527032460-326)</t>
  </si>
  <si>
    <t>SAL-1777574241660-435</t>
  </si>
  <si>
    <t>Sold (saleId:SAL-1774527032397-211)</t>
  </si>
  <si>
    <t>SAL-1777574241725-657</t>
  </si>
  <si>
    <t>Sold (saleId:SAL-1774527032354-607)</t>
  </si>
  <si>
    <t>SAL-1777574536225-366</t>
  </si>
  <si>
    <t>Sold (saleId:SAL-1774527032310-646)</t>
  </si>
  <si>
    <t>SAL-1777574536258-886</t>
  </si>
  <si>
    <t>Sold (saleId:SAL-1774527032263-886)</t>
  </si>
  <si>
    <t>SAL-1777574536285-674</t>
  </si>
  <si>
    <t>12/28/2025</t>
  </si>
  <si>
    <t>SAL-1777574536319-787</t>
  </si>
  <si>
    <t>Sold (saleId:SAL-1774527032229-794)</t>
  </si>
  <si>
    <t>SAL-1777574536359-699</t>
  </si>
  <si>
    <t>Sold (saleId:SAL-1774527032186-542)</t>
  </si>
  <si>
    <t>SAL-1777574536395-448</t>
  </si>
  <si>
    <t>Sold (saleId:SAL-1774527032142-453)</t>
  </si>
  <si>
    <t>COGS for بلدي فرسان 24</t>
  </si>
  <si>
    <t>Revenue for بلدي فرسان 24</t>
  </si>
  <si>
    <t>SAL-1777574536436-172</t>
  </si>
  <si>
    <t>Sold (saleId:SAL-1774527032072-124)</t>
  </si>
  <si>
    <t>SAL-1777574753696-318</t>
  </si>
  <si>
    <t>Sold (saleId:SAL-1774527031994-618)</t>
  </si>
  <si>
    <t>تم دفع 200</t>
  </si>
  <si>
    <t>SAL-1777574753755-352</t>
  </si>
  <si>
    <t>SAL-1777574753805-687</t>
  </si>
  <si>
    <t>SAL-1777574966401-199</t>
  </si>
  <si>
    <t>SAL-1777574966434-601</t>
  </si>
  <si>
    <t>SAL-1777574966468-279</t>
  </si>
  <si>
    <t>COGS for بوكيه مشمش الفرسان</t>
  </si>
  <si>
    <t>Revenue for بوكيه مشمش الفرسان</t>
  </si>
  <si>
    <t>SAL-1777580542713-519</t>
  </si>
  <si>
    <t>SAL-1777580542737-547</t>
  </si>
  <si>
    <t>SAL-1780167095835-176</t>
  </si>
  <si>
    <t>SAL-1777580542757-515</t>
  </si>
  <si>
    <t>SAL-1777580542783-796</t>
  </si>
  <si>
    <t>SAL-1777580542811-475</t>
  </si>
  <si>
    <t>SAL-1777580542841-224</t>
  </si>
  <si>
    <t>SAL-1777580542870-101</t>
  </si>
  <si>
    <t>شجرة-ياسمين-110</t>
  </si>
  <si>
    <t>SAL-1777580542885-840</t>
  </si>
  <si>
    <t>SAL-1777580542900-425</t>
  </si>
  <si>
    <t>SAL-1777580542917-200</t>
  </si>
  <si>
    <t>SAL-1777580542934-712</t>
  </si>
  <si>
    <t>SAL-1777580542951-785</t>
  </si>
  <si>
    <t>SAL-1777580543022-837</t>
  </si>
  <si>
    <t>SAL-1777580543038-821</t>
  </si>
  <si>
    <t>SAL-1777580543059-583</t>
  </si>
  <si>
    <t>SAL-1777580543079-433</t>
  </si>
  <si>
    <t>SAL-1777580543100-587</t>
  </si>
  <si>
    <t>Added 12 to stock (orderId:ORD-1774465379175-295)</t>
  </si>
  <si>
    <t>SAL-1777580543120-425</t>
  </si>
  <si>
    <t>SAL-1777580543144-535</t>
  </si>
  <si>
    <t>Added 10 to stock (orderId:ORD-1774465379166-402)</t>
  </si>
  <si>
    <t>SAL-1777580543165-230</t>
  </si>
  <si>
    <t>Added 12 to stock (orderId:ORD-1774465379155-339)</t>
  </si>
  <si>
    <t>SAL-1777580543185-719</t>
  </si>
  <si>
    <t>COGS for مبخرة فحم 3207</t>
  </si>
  <si>
    <t>Added 50 to stock (orderId:)</t>
  </si>
  <si>
    <t>Revenue for مبخرة فحم 3207</t>
  </si>
  <si>
    <t>SAL-1777580543207-605</t>
  </si>
  <si>
    <t>Sold (saleId:SAL-1774527031946-304)</t>
  </si>
  <si>
    <t>SAL-1777580543231-852</t>
  </si>
  <si>
    <t>SAL-1777580543253-358</t>
  </si>
  <si>
    <t>Sold (saleId:SAL-1774527031880-554)</t>
  </si>
  <si>
    <t>COGS for شنطة هدايا صغير عادي</t>
  </si>
  <si>
    <t>Sold (saleId:SAL-1774527031826-619)</t>
  </si>
  <si>
    <t>Revenue for شنطة هدايا صغير عادي</t>
  </si>
  <si>
    <t>SAL-1777580543277-338</t>
  </si>
  <si>
    <t>COGS for فواحة USB 170/4</t>
  </si>
  <si>
    <t>Sold (saleId:SAL-1774527031775-386)</t>
  </si>
  <si>
    <t>Revenue for فواحة USB 170/4</t>
  </si>
  <si>
    <t>SAL-1777580543295-506</t>
  </si>
  <si>
    <t>Sold (saleId:SAL-1774527031717-658)</t>
  </si>
  <si>
    <t>SAL-1777580543312-614</t>
  </si>
  <si>
    <t>COGS for برواز ورد دهبي ثلاثي</t>
  </si>
  <si>
    <t>Revenue for برواز ورد دهبي ثلاثي</t>
  </si>
  <si>
    <t>Sold (saleId:SAL-1774527031661-948)</t>
  </si>
  <si>
    <t>SAL-1777580543327-960</t>
  </si>
  <si>
    <t>SAL-1777580543352-937</t>
  </si>
  <si>
    <t>Sold (saleId:SAL-1774527031567-870)</t>
  </si>
  <si>
    <t>SAL-1777580543371-559</t>
  </si>
  <si>
    <t>Sold (saleId:SAL-1774527031530-513)</t>
  </si>
  <si>
    <t>SAL-1777580543388-684</t>
  </si>
  <si>
    <t>Sold (saleId:SAL-1774527031491-704)</t>
  </si>
  <si>
    <t>SAL-1777580543406-603</t>
  </si>
  <si>
    <t>Sold (saleId:SAL-1774527031451-663)</t>
  </si>
  <si>
    <t>SAL-1777580543423-313</t>
  </si>
  <si>
    <t>Sold (saleId:SAL-1774527031394-239)</t>
  </si>
  <si>
    <t>SAL-1777580543438-980</t>
  </si>
  <si>
    <t>Sold (saleId:SAL-1774527031338-832)</t>
  </si>
  <si>
    <t>SAL-1777580543459-422</t>
  </si>
  <si>
    <t>COGS for ورد بلدي مسحوب</t>
  </si>
  <si>
    <t>Sold (saleId:SAL-1774527031277-240)</t>
  </si>
  <si>
    <t>Revenue for ورد بلدي مسحوب</t>
  </si>
  <si>
    <t>SAL-1777580543475-687</t>
  </si>
  <si>
    <t>Sold (saleId:SAL-1774527031223-662)</t>
  </si>
  <si>
    <t>SAL-1777580543491-542</t>
  </si>
  <si>
    <t>Sold (saleId:SAL-1774527031140-194)</t>
  </si>
  <si>
    <t>SAL-1777580543508-249</t>
  </si>
  <si>
    <t>COGS for دوناتس ثلاثي</t>
  </si>
  <si>
    <t>Sold (saleId:SAL-1774527031061-171)</t>
  </si>
  <si>
    <t>Revenue for دوناتس ثلاثي</t>
  </si>
  <si>
    <t>SAL-1777580543524-219</t>
  </si>
  <si>
    <t>Sold (saleId:SAL-1774527031009-780)</t>
  </si>
  <si>
    <t>SAL-1777580543546-588</t>
  </si>
  <si>
    <t>Sold (saleId:SAL-1774527030945-112)</t>
  </si>
  <si>
    <t>SAL-1777580543566-925</t>
  </si>
  <si>
    <t>Sold (saleId:SAL-1774527030914-555)</t>
  </si>
  <si>
    <t>SAL-1777580543593-899</t>
  </si>
  <si>
    <t>Sold (saleId:SAL-1774527030851-154)</t>
  </si>
  <si>
    <t>SAL-1777580543612-277</t>
  </si>
  <si>
    <t>Sold (saleId:SAL-1774527030788-935)</t>
  </si>
  <si>
    <t>SAL-1777580543632-161</t>
  </si>
  <si>
    <t>SAL-1777580543652-372</t>
  </si>
  <si>
    <t>Sold (saleId:SAL-1774527030752-315)</t>
  </si>
  <si>
    <t>SAL-1777580543674-965</t>
  </si>
  <si>
    <t>Sold (saleId:SAL-1774527030707-453)</t>
  </si>
  <si>
    <t>SAL-1777580543694-670</t>
  </si>
  <si>
    <t>Added 18 to stock (orderId:)</t>
  </si>
  <si>
    <t>SAL-1777580543714-743</t>
  </si>
  <si>
    <t>Added 18 to stock (orderId:ORD-1768663694142-288)</t>
  </si>
  <si>
    <t>SAL-1777580543734-557</t>
  </si>
  <si>
    <t>Added 2 to stock (orderId:ORD-1768663694149-382)</t>
  </si>
  <si>
    <t>SAL-1777580543751-115</t>
  </si>
  <si>
    <t>Added 12 to stock (orderId:ORD-1768663694157-671)</t>
  </si>
  <si>
    <t>SAL-1777580543770-503</t>
  </si>
  <si>
    <t>SAL-1777580543786-237</t>
  </si>
  <si>
    <t xml:space="preserve">محمود محمد مصطفى </t>
  </si>
  <si>
    <t>SAL-1777580543807-670</t>
  </si>
  <si>
    <t>ماتريال B</t>
  </si>
  <si>
    <t>تيست</t>
  </si>
  <si>
    <t>SAL-1777580543827-278</t>
  </si>
  <si>
    <t>mini-k</t>
  </si>
  <si>
    <t>جزع a</t>
  </si>
  <si>
    <t>SAL-1777640650440-123</t>
  </si>
  <si>
    <t>مقزم تيست</t>
  </si>
  <si>
    <t>SAL-1778144318531-304</t>
  </si>
  <si>
    <t>SAL-1778144318559-449</t>
  </si>
  <si>
    <t>SAL-1778144318594-842</t>
  </si>
  <si>
    <t>SAL-1778144318635-540</t>
  </si>
  <si>
    <t>SAL-1778144318653-639</t>
  </si>
  <si>
    <t>SAL-1778144318672-516</t>
  </si>
  <si>
    <t>SAL-1778144318691-341</t>
  </si>
  <si>
    <t>Process</t>
  </si>
  <si>
    <t>Count</t>
  </si>
  <si>
    <t>Orders</t>
  </si>
  <si>
    <t>Processed orders into stock</t>
  </si>
  <si>
    <t>Processed sales</t>
  </si>
  <si>
    <t>SAL-1778144318723-775</t>
  </si>
  <si>
    <t>Warnings: Not enough stock for بوكيه بلاستيك  ورد مقفول وورد صغير. Required: 1, Available: 0 (sale row: 18) | Not enough stock for فازة خزف وورد احمر صغير. Required: 2, Available: 0 (sale row: 19) | Not enough stock for بوكيه خزف مقسوم ورد شبه التاج. Required: 1, Available: 0 (sale row: 79) | Not enough stock for بوكيه ورد احمر صغير واخضر. Required: 1, Available: 0 (sale row: 108) | Not enough stock for بوكيه بلاستيك و ريش واخضر عرايس:). Required: 1, Available: 0 (sale row: 109)</t>
  </si>
  <si>
    <t>SAL-1778144318744-920</t>
  </si>
  <si>
    <t>COGS for جزع 80 سم ثلاثي</t>
  </si>
  <si>
    <t>Revenue for جزع 80 سم ثلاثي</t>
  </si>
  <si>
    <t>SAL-1778144318763-453</t>
  </si>
  <si>
    <t>COGS for ياسمين خماسي جامبو</t>
  </si>
  <si>
    <t>Warnings: Not enough stock for فازة خزف وورد احمر صغير. Required: 2, Available: 0 (sale row: 19) | No stock entry for شجرة ورق عريض قماش |  |  (sale row: 23) | No stock entry for شجرة تركيب 18 ورقة |  |  (sale row: 68) | Not enough stock for بوكيه خزف مقسوم ورد شبه التاج. Required: 1, Available: 0 (sale row: 79) | No stock entry for شجرة تركيب 18 ورقة |  |  (sale row: 89)</t>
  </si>
  <si>
    <t>Revenue for ياسمين خماسي جامبو</t>
  </si>
  <si>
    <t>SAL-1778144318788-544</t>
  </si>
  <si>
    <t>COGS for بوت بشريطة دهبي حسين علي</t>
  </si>
  <si>
    <t>Revenue for بوت بشريطة دهبي حسين علي</t>
  </si>
  <si>
    <t>مقزم تيست اكثف</t>
  </si>
  <si>
    <t>SAL-1778144318816-724</t>
  </si>
  <si>
    <t>SAL-1778145083277-562</t>
  </si>
  <si>
    <t>Warnings: Not enough stock for فازة خزف وورد احمر صغير. Required: 2, Available: 0 (sale row: 19) | Not enough stock for بوكيه خزف مقسوم ورد شبه التاج. Required: 1, Available: 0 (sale row: 79) | Not enough stock for بوكيه ورد احمر صغير واخضر. Required: 1, Available: 0 (sale row: 108) | Not enough stock for بوكيه بلاستيك و ريش واخضر عرايس:). Required: 1, Available: 0 (sale row: 109) | Not enough stock for كريستالة ديكور. Required: 2, Available: 0 (sale row: 148)</t>
  </si>
  <si>
    <t>SAL-1778145083297-304</t>
  </si>
  <si>
    <t>COGS for دوناتس ثلاثي حسين علي</t>
  </si>
  <si>
    <t>Revenue for دوناتس ثلاثي حسين علي</t>
  </si>
  <si>
    <t>SAL-1778145083317-394</t>
  </si>
  <si>
    <t>SAL-1778145083343-377</t>
  </si>
  <si>
    <t>SAL-1778255907534-655</t>
  </si>
  <si>
    <t>SAL-1778255907589-926</t>
  </si>
  <si>
    <t>COGS for مقزم قرنفل صغير</t>
  </si>
  <si>
    <t>Revenue for مقزم قرنفل صغير</t>
  </si>
  <si>
    <t>SAL-1778255907631-674</t>
  </si>
  <si>
    <t>SAL-1778255907723-227</t>
  </si>
  <si>
    <t>SAL-1778255907749-218</t>
  </si>
  <si>
    <t>SAL-1778255907779-260</t>
  </si>
  <si>
    <t>COGS for بوت جامبو طويل</t>
  </si>
  <si>
    <t>Revenue for بوت جامبو طويل</t>
  </si>
  <si>
    <t>SAL-1778255907805-720</t>
  </si>
  <si>
    <t>COGS for شجرة  تركيب 18 ورقة موزة</t>
  </si>
  <si>
    <t>Revenue for شجرة  تركيب 18 ورقة موزة</t>
  </si>
  <si>
    <t>SAL-1778255907832-645</t>
  </si>
  <si>
    <t>SAL-1778255907852-871</t>
  </si>
  <si>
    <t>Added 2 to stock (orderId:)</t>
  </si>
  <si>
    <t>SAL-1778255907874-828</t>
  </si>
  <si>
    <t>Added 4 to stock (orderId:ORD-1771095398852-990)</t>
  </si>
  <si>
    <t>SAL-1778255907896-542</t>
  </si>
  <si>
    <t>Added 1 to stock (orderId:ORD-1771095398865-436)</t>
  </si>
  <si>
    <t>SAL-1778255907924-487</t>
  </si>
  <si>
    <t>Added 1 to stock (orderId:ORD-1771095398874-160)</t>
  </si>
  <si>
    <t>SAL-1778255907948-248</t>
  </si>
  <si>
    <t>Added 1 to stock (orderId:ORD-1771095398883-194)</t>
  </si>
  <si>
    <t>SAL-1778255907982-488</t>
  </si>
  <si>
    <t>Added 2 to stock (orderId:ORD-1771095398898-548)</t>
  </si>
  <si>
    <t>SAL-1778255908016-458</t>
  </si>
  <si>
    <t>SAL-1778255908049-191</t>
  </si>
  <si>
    <t>Added 1 to stock (orderId:ORD-1771095398907-510)</t>
  </si>
  <si>
    <t>SAL-1778255908069-195</t>
  </si>
  <si>
    <t>Added 1 to stock (orderId:ORD-1771095398915-207)</t>
  </si>
  <si>
    <t>SAL-1778255908090-326</t>
  </si>
  <si>
    <t>Added 1 to stock (orderId:ORD-1771095398922-580)</t>
  </si>
  <si>
    <t>SAL-1778255908113-510</t>
  </si>
  <si>
    <t>Added 1 to stock (orderId:ORD-1771095398928-707)</t>
  </si>
  <si>
    <t>SAL-1778257634701-108</t>
  </si>
  <si>
    <t>Added 1 to stock (orderId:ORD-1771095398936-910)</t>
  </si>
  <si>
    <t>SAL-1778257634719-116</t>
  </si>
  <si>
    <t>Added 2 to stock (orderId:ORD-1771095398943-398)</t>
  </si>
  <si>
    <t>SAL-1778257634749-235</t>
  </si>
  <si>
    <t>SAL-1778257634771-711</t>
  </si>
  <si>
    <t>Added 2 to stock (orderId:ORD-1771095398952-231)</t>
  </si>
  <si>
    <t>SAL-1778257634797-760</t>
  </si>
  <si>
    <t>Added 2 to stock (orderId:ORD-1771095398959-143)</t>
  </si>
  <si>
    <t>SAL-1778257634811-527</t>
  </si>
  <si>
    <t>COGS for مقزم خضرة الوان</t>
  </si>
  <si>
    <t>Added 2 to stock (orderId:ORD-1771095398964-389)</t>
  </si>
  <si>
    <t>Revenue for مقزم خضرة الوان</t>
  </si>
  <si>
    <t>SAL-1778257634822-289</t>
  </si>
  <si>
    <t>محمد يحيي سليم</t>
  </si>
  <si>
    <t>SAL-1778257634833-851</t>
  </si>
  <si>
    <t>Added 3 to stock (orderId:ORD-1771095398975-673)</t>
  </si>
  <si>
    <t>SAL-1778257634847-902</t>
  </si>
  <si>
    <t>Added 2 to stock (orderId:ORD-1771095398987-867)</t>
  </si>
  <si>
    <t>SAL-1778257634858-819</t>
  </si>
  <si>
    <t>Added 2 to stock (orderId:ORD-1771095398997-820)</t>
  </si>
  <si>
    <t>SAL-1778257634872-497</t>
  </si>
  <si>
    <t>COGS for مبخرة شعر - 2016</t>
  </si>
  <si>
    <t>Revenue for مبخرة شعر - 2016</t>
  </si>
  <si>
    <t>Added 1 to stock (orderId:ORD-1771095399008-128)</t>
  </si>
  <si>
    <t>SAL-1778257634884-389</t>
  </si>
  <si>
    <t>Added 1 to stock (orderId:ORD-1771095399017-319)</t>
  </si>
  <si>
    <t>SAL-1780162908369-275</t>
  </si>
  <si>
    <t>SAL-1780162908414-335</t>
  </si>
  <si>
    <t>Added 3 to stock (orderId:ORD-1771095399025-839)</t>
  </si>
  <si>
    <t>SAL-1780162908438-376</t>
  </si>
  <si>
    <t>Added 12 to stock (orderId:ORD-1771095399033-885)</t>
  </si>
  <si>
    <t>SAL-1780162908463-903</t>
  </si>
  <si>
    <t>Added 24 to stock (orderId:ORD-1771095399043-635)</t>
  </si>
  <si>
    <t>SAL-1780162908483-898</t>
  </si>
  <si>
    <t>Added 5 to stock (orderId:ORD-1771095399063-998)</t>
  </si>
  <si>
    <t>SAL-1780162908514-218</t>
  </si>
  <si>
    <t>Added 3 to stock (orderId:ORD-1771095399072-796)</t>
  </si>
  <si>
    <t>SAL-1780162908530-706</t>
  </si>
  <si>
    <t>COGS for برواز ثلاثي شعبي</t>
  </si>
  <si>
    <t>Revenue for برواز ثلاثي شعبي</t>
  </si>
  <si>
    <t>Added 5 to stock (orderId:ORD-1771095399079-612)</t>
  </si>
  <si>
    <t>SAL-1780162908547-998</t>
  </si>
  <si>
    <t>COGS for نافورة ديكور 206/1</t>
  </si>
  <si>
    <t>Revenue for نافورة ديكور 206/1</t>
  </si>
  <si>
    <t>Added 3 to stock (orderId:ORD-1771095399085-931)</t>
  </si>
  <si>
    <t>SAL-1780162908563-977</t>
  </si>
  <si>
    <t>SAL-1780162908578-660</t>
  </si>
  <si>
    <t>Added 2 to stock (orderId:ORD-1771095399094-292)</t>
  </si>
  <si>
    <t>COGS for علبة مناديل كريستال خلص</t>
  </si>
  <si>
    <t>Revenue for علبة مناديل كريستال خلص</t>
  </si>
  <si>
    <t>SAL-1780162908592-248</t>
  </si>
  <si>
    <t>Added 2 to stock (orderId:ORD-1771095399107-106)</t>
  </si>
  <si>
    <t>SAL-1780162908607-227</t>
  </si>
  <si>
    <t>Added 40 to stock (orderId:ORD-1771095399115-526)</t>
  </si>
  <si>
    <t>SAL-1780162908624-246</t>
  </si>
  <si>
    <t>COGS for ديكور بالنور 60/8</t>
  </si>
  <si>
    <t>Added 2 to stock (orderId:ORD-1771095399123-957)</t>
  </si>
  <si>
    <t>Revenue for ديكور بالنور 60/8</t>
  </si>
  <si>
    <t>SAL-1780162908648-456</t>
  </si>
  <si>
    <t>Added 2 to stock (orderId:ORD-1771095399130-667)</t>
  </si>
  <si>
    <t>SAL-1780162908668-638</t>
  </si>
  <si>
    <t>COGS for مبخرة - 3207</t>
  </si>
  <si>
    <t>Added 1 to stock (orderId:ORD-1771095399136-712)</t>
  </si>
  <si>
    <t>Revenue for مبخرة - 3207</t>
  </si>
  <si>
    <t>SAL-1780162908690-202</t>
  </si>
  <si>
    <t>محمود محمد</t>
  </si>
  <si>
    <t>Added 10 to stock (orderId:)</t>
  </si>
  <si>
    <t>SAL-1780166128494-365</t>
  </si>
  <si>
    <t>COGS for بوت صغير مقزمات حسين علي</t>
  </si>
  <si>
    <t>Revenue for بوت صغير مقزمات حسين علي</t>
  </si>
  <si>
    <t>Added 24 to stock (orderId:ORD-1771269459017-867)</t>
  </si>
  <si>
    <t>SAL-1780166128529-253</t>
  </si>
  <si>
    <t>SAL-1780166128562-325</t>
  </si>
  <si>
    <t>Added 7 to stock (orderId:ORD-1771269459029-229)</t>
  </si>
  <si>
    <t>COGS for نافورة ديكور 3310</t>
  </si>
  <si>
    <t>Revenue for نافورة ديكور 3310</t>
  </si>
  <si>
    <t>SAL-1780166128594-904</t>
  </si>
  <si>
    <t>شجر-مانجوليا</t>
  </si>
  <si>
    <t>SAL-1780166128635-236</t>
  </si>
  <si>
    <t>SAL-1780166128672-828</t>
  </si>
  <si>
    <t>SAL-1780166128717-838</t>
  </si>
  <si>
    <t>SAL-1780166128736-559</t>
  </si>
  <si>
    <t>SAL-1780166128759-331</t>
  </si>
  <si>
    <t>SAL-1780166128781-975</t>
  </si>
  <si>
    <t>COGS for 12 اواس علاء شاكر</t>
  </si>
  <si>
    <t>Revenue for 12 اواس علاء شاكر</t>
  </si>
  <si>
    <t>SAL-1780166128801-290</t>
  </si>
  <si>
    <t>SAL-1780166128827-924</t>
  </si>
  <si>
    <t>SAL-1780166128846-376</t>
  </si>
  <si>
    <t>SAL-1780166128865-388</t>
  </si>
  <si>
    <t>COGS for شجرة  تركيب 18 ورقة عبدالفتاح</t>
  </si>
  <si>
    <t>Revenue for شجرة  تركيب 18 ورقة عبدالفتاح</t>
  </si>
  <si>
    <t>SAL-1780166128887-478</t>
  </si>
  <si>
    <t>SAL-1780166128906-250</t>
  </si>
  <si>
    <t>Sold (saleId:SAL-1774527030671-207)</t>
  </si>
  <si>
    <t>SAL-1780166128930-904</t>
  </si>
  <si>
    <t>Sold (saleId:SAL-1774488958795-176)</t>
  </si>
  <si>
    <t>SAL-1780166128955-454</t>
  </si>
  <si>
    <t>COGS for علبة مناديل كريستال علاء شاكر</t>
  </si>
  <si>
    <t>Sold (saleId:SAL-1774488904551-196)</t>
  </si>
  <si>
    <t>Revenue for علبة مناديل كريستال علاء شاكر</t>
  </si>
  <si>
    <t>SAL-1780166128988-886</t>
  </si>
  <si>
    <t>COGS for شجرة  تركيب 24 ورقة</t>
  </si>
  <si>
    <t>Sold (saleId:SAL-1774488904506-968)</t>
  </si>
  <si>
    <t>Revenue for شجرة  تركيب 24 ورقة</t>
  </si>
  <si>
    <t>SAL-1780166129008-663</t>
  </si>
  <si>
    <t>Sold (saleId:SAL-1774488550413-391)</t>
  </si>
  <si>
    <t>SAL-1780166129025-575</t>
  </si>
  <si>
    <t>Sold (saleId:SAL-1774488550398-145)</t>
  </si>
  <si>
    <t>SAL-1780166129056-403</t>
  </si>
  <si>
    <t>Sold (saleId:SAL-1774488441788-309)</t>
  </si>
  <si>
    <t>SAL-1780166129085-140</t>
  </si>
  <si>
    <t>Sold (saleId:SAL-1774488441756-866)</t>
  </si>
  <si>
    <t>SAL-1780166129116-792</t>
  </si>
  <si>
    <t>COGS for طفاية كريستال ازاز</t>
  </si>
  <si>
    <t>Revenue for طفاية كريستال ازاز</t>
  </si>
  <si>
    <t>SAL-1780166129147-997</t>
  </si>
  <si>
    <t>Sold (saleId:SAL-1774488441730-854)</t>
  </si>
  <si>
    <t>SAL-1780166129175-210</t>
  </si>
  <si>
    <t>Sold (saleId:SAL-1774488441691-566)</t>
  </si>
  <si>
    <t>SAL-1780166129198-459</t>
  </si>
  <si>
    <t>Sold (saleId:SAL-1774488441665-960)</t>
  </si>
  <si>
    <t>SAL-1780166129220-344</t>
  </si>
  <si>
    <t>Sold (saleId:SAL-1774488441640-635)</t>
  </si>
  <si>
    <t>SAL-1780166129254-430</t>
  </si>
  <si>
    <t>Sold (saleId:SAL-1774488441616-180)</t>
  </si>
  <si>
    <t>SAL-1780166129276-265</t>
  </si>
  <si>
    <t>Sold (saleId:SAL-1774488441591-292)</t>
  </si>
  <si>
    <t>SAL-1780166129300-874</t>
  </si>
  <si>
    <t>Sold (saleId:SAL-1774488441562-473)</t>
  </si>
  <si>
    <t>SAL-1780166129333-354</t>
  </si>
  <si>
    <t>Sold (saleId:SAL-1774488441544-370)</t>
  </si>
  <si>
    <t>SAL-1780166129361-706</t>
  </si>
  <si>
    <t>Sold (saleId:SAL-1774488441526-818)</t>
  </si>
  <si>
    <t>SAL-1780166129389-978</t>
  </si>
  <si>
    <t>SAL-1780166129418-166</t>
  </si>
  <si>
    <t>Sold (saleId:SAL-1774488441508-282)</t>
  </si>
  <si>
    <t>SAL-1780166129441-761</t>
  </si>
  <si>
    <t>Sold (saleId:SAL-1774488441488-602)</t>
  </si>
  <si>
    <t>SAL-1780166129470-301</t>
  </si>
  <si>
    <t>Sold (saleId:SAL-1774488441467-650)</t>
  </si>
  <si>
    <t>SAL-1780166129505-873</t>
  </si>
  <si>
    <t>Sold (saleId:SAL-1774488441445-479)</t>
  </si>
  <si>
    <t>COGS for بوكية احمر قطيفة</t>
  </si>
  <si>
    <t>Revenue for بوكية احمر قطيفة</t>
  </si>
  <si>
    <t>SAL-1780166129526-735</t>
  </si>
  <si>
    <t>Sold (saleId:SAL-1774488441420-532)</t>
  </si>
  <si>
    <t>SAL-1780166129546-855</t>
  </si>
  <si>
    <t>COGS for بندق 5 فرع زهرة sf-86</t>
  </si>
  <si>
    <t>Sold (saleId:SAL-1774488441398-832)</t>
  </si>
  <si>
    <t>Revenue for بندق 5 فرع زهرة sf-86</t>
  </si>
  <si>
    <t>SAL-1780166129563-517</t>
  </si>
  <si>
    <t>Sold (saleId:SAL-1774488441357-478)</t>
  </si>
  <si>
    <t>SAL-1780166129583-280</t>
  </si>
  <si>
    <t>COGS for ياسمين صغير</t>
  </si>
  <si>
    <t>Sold (saleId:SAL-1774488441326-549)</t>
  </si>
  <si>
    <t>Revenue for ياسمين صغير</t>
  </si>
  <si>
    <t>SAL-1780166129603-229</t>
  </si>
  <si>
    <t>Sold (saleId:SAL-1774488441291-987)</t>
  </si>
  <si>
    <t>SAL-1780166129622-648</t>
  </si>
  <si>
    <t>Sold (saleId:SAL-1774488441258-452)</t>
  </si>
  <si>
    <t>SAL-1780166129646-145</t>
  </si>
  <si>
    <t>Sold (saleId:SAL-1774488441231-281)</t>
  </si>
  <si>
    <t>SAL-1780166129670-367</t>
  </si>
  <si>
    <t>COGS for كريستال ديكور زجاجة واحدة</t>
  </si>
  <si>
    <t>Revenue for كريستال ديكور زجاجة واحدة</t>
  </si>
  <si>
    <t>Sold (saleId:SAL-1774488441203-263)</t>
  </si>
  <si>
    <t>SAL-1780166129708-662</t>
  </si>
  <si>
    <t>COGS for ديكور معدن 254/2E</t>
  </si>
  <si>
    <t>Revenue for ديكور معدن 254/2E</t>
  </si>
  <si>
    <t>SAL-1780166129741-100</t>
  </si>
  <si>
    <t>Sold (saleId:SAL-1774488441175-337)</t>
  </si>
  <si>
    <t>SAL-1780166129765-279</t>
  </si>
  <si>
    <t>Sold (saleId:SAL-1774488441146-917)</t>
  </si>
  <si>
    <t>SAL-1780166129790-918</t>
  </si>
  <si>
    <t>Sold (saleId:SAL-1774488441124-185)</t>
  </si>
  <si>
    <t>SAL-1780166129812-645</t>
  </si>
  <si>
    <t>Sold (saleId:SAL-1774488441102-733)</t>
  </si>
  <si>
    <t>SAL-1780166129834-601</t>
  </si>
  <si>
    <t>Sold (saleId:SAL-1774488441077-787)</t>
  </si>
  <si>
    <t>SAL-1780166129856-652</t>
  </si>
  <si>
    <t>Sold (saleId:SAL-1774488441050-417)</t>
  </si>
  <si>
    <t>SAL-1780166129877-474</t>
  </si>
  <si>
    <t>Sold (saleId:SAL-1774488441028-708)</t>
  </si>
  <si>
    <t>SAL-1780166129905-860</t>
  </si>
  <si>
    <t>Sold (saleId:SAL-1774488440998-500)</t>
  </si>
  <si>
    <t>SAL-1780166129932-975</t>
  </si>
  <si>
    <t>Sold (saleId:SAL-1774488440973-718)</t>
  </si>
  <si>
    <t>SAL-1780166129953-583</t>
  </si>
  <si>
    <t>Sold (saleId:SAL-1774488440949-962)</t>
  </si>
  <si>
    <t>SAL-1780166129973-217</t>
  </si>
  <si>
    <t>Sold (saleId:SAL-1774488440927-480)</t>
  </si>
  <si>
    <t>SAL-1780166129997-747</t>
  </si>
  <si>
    <t>باسم ام يوسف</t>
  </si>
  <si>
    <t>موجودة بالمخزن</t>
  </si>
  <si>
    <t>Sold (saleId:SAL-1774488440902-321)</t>
  </si>
  <si>
    <t>SAL-1780166130025-622</t>
  </si>
  <si>
    <t>Sold (saleId:SAL-1774487192259-989)</t>
  </si>
  <si>
    <t>SAL-1780166130054-660</t>
  </si>
  <si>
    <t>COGS for بوكيه جيبس فيل</t>
  </si>
  <si>
    <t>Revenue for بوكيه جيبس فيل</t>
  </si>
  <si>
    <t>SAL-1780166130074-924</t>
  </si>
  <si>
    <t>Sold (saleId:SAL-1774487126694-751)</t>
  </si>
  <si>
    <t>SAL-1780166130098-896</t>
  </si>
  <si>
    <t>Sold (saleId:SAL-1774487065123-431)</t>
  </si>
  <si>
    <t>SAL-1780166130122-757</t>
  </si>
  <si>
    <t>Sold (saleId:SAL-1774487065097-901)</t>
  </si>
  <si>
    <t>SAL-1780166130148-172</t>
  </si>
  <si>
    <t>Sold (saleId:SAL-1774486986350-114)</t>
  </si>
  <si>
    <t>SAL-1780166130175-866</t>
  </si>
  <si>
    <t>Sold (saleId:SAL-1774486936166-162)</t>
  </si>
  <si>
    <t>name</t>
  </si>
  <si>
    <t>supplier</t>
  </si>
  <si>
    <t>price</t>
  </si>
  <si>
    <t>SAL-1780166130209-872</t>
  </si>
  <si>
    <t>totalQuantity</t>
  </si>
  <si>
    <t>count</t>
  </si>
  <si>
    <t>ignore</t>
  </si>
  <si>
    <t>Sold (saleId:SAL-1774486936141-913)</t>
  </si>
  <si>
    <t>COGS for ديكور معدن 6450/1</t>
  </si>
  <si>
    <t>Revenue for ديكور معدن 6450/1</t>
  </si>
  <si>
    <t>SAL-1780166130236-887</t>
  </si>
  <si>
    <t>Sold (saleId:SAL-1774486649150-375)</t>
  </si>
  <si>
    <t>SAL-1780166130259-308</t>
  </si>
  <si>
    <t>COGS for تقيلة زجاج 615/2</t>
  </si>
  <si>
    <t>Sold (saleId:SAL-1774486649125-730)</t>
  </si>
  <si>
    <t>Revenue for تقيلة زجاج 615/2</t>
  </si>
  <si>
    <t>SAL-1780166130284-588</t>
  </si>
  <si>
    <t>Sold (saleId:SAL-1774486649089-472)</t>
  </si>
  <si>
    <t>SAL-1780166130304-713</t>
  </si>
  <si>
    <t>COGS for شجرة موزة جلد 9 ورقة فردي 40×10 اسم</t>
  </si>
  <si>
    <t>Sold (saleId:SAL-1774486649033-357)</t>
  </si>
  <si>
    <t>Revenue for شجرة موزة جلد 9 ورقة فردي 40×10 اسم</t>
  </si>
  <si>
    <t>SAL-1780166130338-682</t>
  </si>
  <si>
    <t>COGS for بوت تركي كبير</t>
  </si>
  <si>
    <t>Added 2 to stock (orderId:ORD-1772657405541-227)</t>
  </si>
  <si>
    <t>Revenue for بوت تركي كبير</t>
  </si>
  <si>
    <t>SAL-1780166130372-878</t>
  </si>
  <si>
    <t>Added 2 to stock (orderId:ORD-1772657405536-476)</t>
  </si>
  <si>
    <t>SAL-1780166130409-570</t>
  </si>
  <si>
    <t>Added 8 to stock (orderId:ORD-1772657405531-762)</t>
  </si>
  <si>
    <t>SAL-1780166130443-421</t>
  </si>
  <si>
    <t>COGS for دستة ورق بنجمينا</t>
  </si>
  <si>
    <t>Revenue for دستة ورق بنجمينا</t>
  </si>
  <si>
    <t>Added 6 to stock (orderId:ORD-1772657405526-916)</t>
  </si>
  <si>
    <t>SAL-1780166130479-183</t>
  </si>
  <si>
    <t>SAL-1780166130516-454</t>
  </si>
  <si>
    <t>Added 24 to stock (orderId:ORD-1772657405520-133)</t>
  </si>
  <si>
    <t>SAL-1780166130551-171</t>
  </si>
  <si>
    <t>Added 24 to stock (orderId:ORD-1772657405512-660)</t>
  </si>
  <si>
    <t>SAL-1780166130603-256</t>
  </si>
  <si>
    <t>Added 15 to stock (orderId:ORD-1772657405507-942)</t>
  </si>
  <si>
    <t>SAL-1780166130634-293</t>
  </si>
  <si>
    <t>Added 19 to stock (orderId:ORD-1772657405501-497)</t>
  </si>
  <si>
    <t>SAL-1780166130656-471</t>
  </si>
  <si>
    <t>Added 10 to stock (orderId:ORD-1772657405495-696)</t>
  </si>
  <si>
    <t>SAL-1780166130693-842</t>
  </si>
  <si>
    <t>Added 10 to stock (orderId:ORD-1772657405489-429)</t>
  </si>
  <si>
    <t>SAL-1780166130727-591</t>
  </si>
  <si>
    <t>Added 4 to stock (orderId:ORD-1772657405482-883)</t>
  </si>
  <si>
    <t>SAL-1780166130752-605</t>
  </si>
  <si>
    <t>Added 2 to stock (orderId:ORD-1772657405475-485)</t>
  </si>
  <si>
    <t>SAL-1780166130772-785</t>
  </si>
  <si>
    <t>SAL-1780166130792-557</t>
  </si>
  <si>
    <t>Added 2 to stock (orderId:ORD-1772657405467-945)</t>
  </si>
  <si>
    <t>COGS for طقم عربيات 6ق 575/1</t>
  </si>
  <si>
    <t>Revenue for طقم عربيات 6ق 575/1</t>
  </si>
  <si>
    <t>Added 4 to stock (orderId:ORD-1772657405461-625)</t>
  </si>
  <si>
    <t>SAL-1780167095878-806</t>
  </si>
  <si>
    <t>Added 2 to stock (orderId:ORD-1772657405455-637)</t>
  </si>
  <si>
    <t>SAL-1780167095912-461</t>
  </si>
  <si>
    <t>Added 12 to stock (orderId:ORD-1772657405448-704)</t>
  </si>
  <si>
    <t>SAL-1780167095949-602</t>
  </si>
  <si>
    <t>Added 20 to stock (orderId:ORD-1772657405442-335)</t>
  </si>
  <si>
    <t>COGS for ورد ديكور محمد رشدي</t>
  </si>
  <si>
    <t>Revenue for ورد ديكور محمد رشدي</t>
  </si>
  <si>
    <t>SAL-1780167095988-611</t>
  </si>
  <si>
    <t>Added 4 to stock (orderId:ORD-1772657405436-530)</t>
  </si>
  <si>
    <t>SAL-1780167096024-241</t>
  </si>
  <si>
    <t>SAL-1780167096062-770</t>
  </si>
  <si>
    <t>SAL-1780167096100-996</t>
  </si>
  <si>
    <t>Sold (saleId:SAL-1774486648944-246)</t>
  </si>
  <si>
    <t>SAL-1780167096123-816</t>
  </si>
  <si>
    <t>Sold (saleId:SAL-1774486648847-444)</t>
  </si>
  <si>
    <t>SAL-1780167096148-284</t>
  </si>
  <si>
    <t>Sold (saleId:SAL-1774486648795-398)</t>
  </si>
  <si>
    <t>SAL-1780167096171-913</t>
  </si>
  <si>
    <t>Sold (saleId:SAL-1774486648736-455)</t>
  </si>
  <si>
    <t>Sold (saleId:SAL-1774486648701-174)</t>
  </si>
  <si>
    <t>Sold (saleId:SAL-1774486648644-524)</t>
  </si>
  <si>
    <t>Sold (saleId:SAL-1774486114399-416)</t>
  </si>
  <si>
    <t>Sold (saleId:SAL-1774486114361-717)</t>
  </si>
  <si>
    <t>هالة</t>
  </si>
  <si>
    <t>Sold (saleId:SAL-1774486114336-535)</t>
  </si>
  <si>
    <t>Sold (saleId:SAL-1774486069189-128)</t>
  </si>
  <si>
    <t>Sold (saleId:SAL-1774486068894-220)</t>
  </si>
  <si>
    <t>Sold (saleId:SAL-1774486068694-185)</t>
  </si>
  <si>
    <t>Sold (saleId:SAL-1774486068436-419)</t>
  </si>
  <si>
    <t>Sold (saleId:SAL-1774485885253-184)</t>
  </si>
  <si>
    <t>Sold (saleId:SAL-1774485885227-710)</t>
  </si>
  <si>
    <t>Sold (saleId:SAL-1774485885203-907)</t>
  </si>
  <si>
    <t>Sold (saleId:SAL-1774485885176-664)</t>
  </si>
  <si>
    <t>Sold (saleId:SAL-1774485885151-859)</t>
  </si>
  <si>
    <t>Sold (saleId:SAL-1774485885124-789)</t>
  </si>
  <si>
    <t>Sold (saleId:SAL-1774485885092-623)</t>
  </si>
  <si>
    <t>اسم الصنف</t>
  </si>
  <si>
    <t>النوع</t>
  </si>
  <si>
    <t>السعر</t>
  </si>
  <si>
    <t>الكمية</t>
  </si>
  <si>
    <t>المجموع</t>
  </si>
  <si>
    <t>Sold (saleId:SAL-1774485885064-710)</t>
  </si>
  <si>
    <t>اشكال سيلفرات</t>
  </si>
  <si>
    <t>Sold (saleId:SAL-1774485885028-815)</t>
  </si>
  <si>
    <t>Sold (saleId:SAL-1774485884989-861)</t>
  </si>
  <si>
    <t>Sold (saleId:SAL-1774485884967-556)</t>
  </si>
  <si>
    <t>اباجورة</t>
  </si>
  <si>
    <t>Sold (saleId:SAL-1774485884945-177)</t>
  </si>
  <si>
    <t>مبخرة</t>
  </si>
  <si>
    <t>Sold (saleId:SAL-1774485884920-517)</t>
  </si>
  <si>
    <t>Sold (saleId:SAL-1774485884886-813)</t>
  </si>
  <si>
    <t>Sold (saleId:SAL-1774485884861-380)</t>
  </si>
  <si>
    <t>Sold (saleId:SAL-1774485884839-293)</t>
  </si>
  <si>
    <t>Sum</t>
  </si>
  <si>
    <t>Sold (saleId:SAL-1774485884808-467)</t>
  </si>
  <si>
    <t>Sold (saleId:SAL-1774485884781-485)</t>
  </si>
  <si>
    <t>اسم العنصر</t>
  </si>
  <si>
    <t>سعر الشراء</t>
  </si>
  <si>
    <t>Sold (saleId:SAL-1774485884753-573)</t>
  </si>
  <si>
    <t>التاريخ</t>
  </si>
  <si>
    <t>Sold (saleId:SAL-1774485884724-382)</t>
  </si>
  <si>
    <t>Sold (saleId:SAL-1774485884679-281)</t>
  </si>
  <si>
    <t>Sold (saleId:SAL-1774485884624-777)</t>
  </si>
  <si>
    <t>Sold (saleId:SAL-1774485884565-689)</t>
  </si>
  <si>
    <t>Sold (saleId:SAL-1774485884517-674)</t>
  </si>
  <si>
    <t>Sold (saleId:SAL-1774485884460-517)</t>
  </si>
  <si>
    <t>Sold (saleId:SAL-1774485884417-254)</t>
  </si>
  <si>
    <t>Sold (saleId:SAL-1774485884372-190)</t>
  </si>
  <si>
    <t>Sold (saleId:SAL-1774485884330-767)</t>
  </si>
  <si>
    <t>Sold (saleId:SAL-1774485884267-768)</t>
  </si>
  <si>
    <t>Sold (saleId:SAL-1774485884222-574)</t>
  </si>
  <si>
    <t>Sold (saleId:SAL-1774485884171-789)</t>
  </si>
  <si>
    <t>Sold (saleId:SAL-1774485884123-273)</t>
  </si>
  <si>
    <t>Sold (saleId:SAL-1774485884095-945)</t>
  </si>
  <si>
    <t>Sold (saleId:SAL-1774485884068-577)</t>
  </si>
  <si>
    <t>Sold (saleId:SAL-1774485884044-555)</t>
  </si>
  <si>
    <t>Sold (saleId:SAL-1774485884009-750)</t>
  </si>
  <si>
    <t>Sold (saleId:SAL-1774485883984-375)</t>
  </si>
  <si>
    <t>Sold (saleId:SAL-1774485883949-871)</t>
  </si>
  <si>
    <t>Sold (saleId:SAL-1774485883923-921)</t>
  </si>
  <si>
    <t>Sold (saleId:SAL-1774485883893-130)</t>
  </si>
  <si>
    <t>Sold (saleId:SAL-1774485883857-215)</t>
  </si>
  <si>
    <t>Sold (saleId:SAL-1774485883828-824)</t>
  </si>
  <si>
    <t>Sold (saleId:SAL-1774485883796-309)</t>
  </si>
  <si>
    <t>Sold (saleId:SAL-1774485883762-574)</t>
  </si>
  <si>
    <t>ريش ازرق</t>
  </si>
  <si>
    <t>Sold (saleId:SAL-1774485883728-805)</t>
  </si>
  <si>
    <t>Sold (saleId:SAL-1774485883689-736)</t>
  </si>
  <si>
    <t>Sold (saleId:SAL-1774485883643-762)</t>
  </si>
  <si>
    <t>Sold (saleId:SAL-1774485883617-445)</t>
  </si>
  <si>
    <t>Sold (saleId:SAL-1774485883592-437)</t>
  </si>
  <si>
    <t>Sold (saleId:SAL-1774485883570-468)</t>
  </si>
  <si>
    <t>Sold (saleId:SAL-1774485883549-642)</t>
  </si>
  <si>
    <t>Sold (saleId:SAL-1774485883521-135)</t>
  </si>
  <si>
    <t>Sold (saleId:SAL-1774485883499-355)</t>
  </si>
  <si>
    <t>Sold (saleId:SAL-1774485883472-896)</t>
  </si>
  <si>
    <t>Sold (saleId:SAL-1774485883446-979)</t>
  </si>
  <si>
    <t>Sold (saleId:SAL-1774485883421-166)</t>
  </si>
  <si>
    <t>Sold (saleId:SAL-1774485883391-118)</t>
  </si>
  <si>
    <t>Sold (saleId:SAL-1774485883365-605)</t>
  </si>
  <si>
    <t>Sold (saleId:SAL-1774485883343-401)</t>
  </si>
  <si>
    <t>Sold (saleId:SAL-1774485883321-677)</t>
  </si>
  <si>
    <t>Sold (saleId:SAL-1774485883298-918)</t>
  </si>
  <si>
    <t>Sold (saleId:SAL-1774485883276-393)</t>
  </si>
  <si>
    <t>Sold (saleId:SAL-1774485883249-416)</t>
  </si>
  <si>
    <t>Sold (saleId:SAL-1774485883227-120)</t>
  </si>
  <si>
    <t>Sold (saleId:SAL-1774485883204-590)</t>
  </si>
  <si>
    <t>Sold (saleId:SAL-1774485883183-816)</t>
  </si>
  <si>
    <t>Sold (saleId:SAL-1774485883159-821)</t>
  </si>
  <si>
    <t>Sold (saleId:SAL-1774485883136-739)</t>
  </si>
  <si>
    <t>Sold (saleId:SAL-1774485883114-427)</t>
  </si>
  <si>
    <t>ظ</t>
  </si>
  <si>
    <t>Sold (saleId:SAL-1774485883089-292)</t>
  </si>
  <si>
    <t>Sold (saleId:SAL-1774485883068-863)</t>
  </si>
  <si>
    <t>Sold (saleId:SAL-1774485883041-896)</t>
  </si>
  <si>
    <t>Sold (saleId:SAL-1774485883015-659)</t>
  </si>
  <si>
    <t>Sold (saleId:SAL-1774485882989-844)</t>
  </si>
  <si>
    <t>Sold (saleId:SAL-1774485882954-802)</t>
  </si>
  <si>
    <t>Sold (saleId:SAL-1774485882924-431)</t>
  </si>
  <si>
    <t>التفاصيل</t>
  </si>
  <si>
    <t>المورد</t>
  </si>
  <si>
    <t>Sold (saleId:SAL-1774485882895-708)</t>
  </si>
  <si>
    <t>Sold (saleId:SAL-1774485882863-890)</t>
  </si>
  <si>
    <t>Sold (saleId:SAL-1774485882830-985)</t>
  </si>
  <si>
    <t>بوت كبير</t>
  </si>
  <si>
    <t>Sold (saleId:SAL-1774485882803-272)</t>
  </si>
  <si>
    <t>Sold (saleId:SAL-1774485882770-969)</t>
  </si>
  <si>
    <t>طقم طبق فاكهة من قطعتين</t>
  </si>
  <si>
    <t>Sold (saleId:SAL-1774485882750-654)</t>
  </si>
  <si>
    <t>طبق تسالي 4 عين</t>
  </si>
  <si>
    <t>طبق تسالي 5 عين</t>
  </si>
  <si>
    <t>Sold (saleId:SAL-1774485882728-722)</t>
  </si>
  <si>
    <t>شيالة 3 دور</t>
  </si>
  <si>
    <t>شيالة 2 دور</t>
  </si>
  <si>
    <t>Sold (saleId:SAL-1774485882705-496)</t>
  </si>
  <si>
    <t>Sold (saleId:SAL-1774485882680-204)</t>
  </si>
  <si>
    <t>Sold (saleId:SAL-1774485882655-576)</t>
  </si>
  <si>
    <t>Sold (saleId:SAL-1774485882631-185)</t>
  </si>
  <si>
    <t>Sold (saleId:SAL-1774485882607-666)</t>
  </si>
  <si>
    <t>Sold (saleId:SAL-1774485882585-433)</t>
  </si>
  <si>
    <t>Sold (saleId:SAL-1774485882559-339)</t>
  </si>
  <si>
    <t>Sold (saleId:SAL-1774485882536-589)</t>
  </si>
  <si>
    <t>Sold (saleId:SAL-1774485882510-804)</t>
  </si>
  <si>
    <t>زبونة ليها باقي 120</t>
  </si>
  <si>
    <t>Sold (saleId:SAL-1774476352064-371)</t>
  </si>
  <si>
    <t>Sold (saleId:SAL-1774476087513-677)</t>
  </si>
  <si>
    <t>Sold (saleId:SAL-1774476086914-518)</t>
  </si>
  <si>
    <t xml:space="preserve">بوكيه جلد </t>
  </si>
  <si>
    <t>تصنيع-مقزم-بيبي-فلاور</t>
  </si>
  <si>
    <t>اخد شجرة موز</t>
  </si>
  <si>
    <t>Sold (saleId:SAL-1774476086411-394)</t>
  </si>
  <si>
    <t>Sold (saleId:SAL-1774476085619-980)</t>
  </si>
  <si>
    <t>Sold (saleId:SAL-1774476084808-737)</t>
  </si>
  <si>
    <t>Sold (saleId:SAL-1774476083830-650)</t>
  </si>
  <si>
    <t>Sold (saleId:SAL-1774476082908-830)</t>
  </si>
  <si>
    <t>Sold (saleId:SAL-1774476082020-588)</t>
  </si>
  <si>
    <t>-</t>
  </si>
  <si>
    <t>Sold (saleId:SAL-1774476081229-893)</t>
  </si>
  <si>
    <t>Sold (saleId:SAL-1774476080516-528)</t>
  </si>
  <si>
    <t>Sold (saleId:SAL-1774476079622-900)</t>
  </si>
  <si>
    <t>Sold (saleId:SAL-1774476078808-638)</t>
  </si>
  <si>
    <t>Sold (saleId:SAL-1774476077817-323)</t>
  </si>
  <si>
    <t>Sold (saleId:SAL-1774476077111-579)</t>
  </si>
  <si>
    <t>Sold (saleId:SAL-1774476076426-328)</t>
  </si>
  <si>
    <t>Sold (saleId:SAL-1774476075612-369)</t>
  </si>
  <si>
    <t>Sold (saleId:SAL-1774476074724-985)</t>
  </si>
  <si>
    <t>Sold (saleId:SAL-1774476074016-733)</t>
  </si>
  <si>
    <t>Sold (saleId:SAL-1774476073110-187)</t>
  </si>
  <si>
    <t>Sold (saleId:SAL-1774476072305-408)</t>
  </si>
  <si>
    <t>Sold (saleId:SAL-1774476071620-906)</t>
  </si>
  <si>
    <t>Sold (saleId:SAL-1774472738784-160)</t>
  </si>
  <si>
    <t>Sold (saleId:SAL-1774472576869-716)</t>
  </si>
  <si>
    <t>مرتجع بقيمة</t>
  </si>
  <si>
    <t>عناصر بقيمة</t>
  </si>
  <si>
    <t>Sold (saleId:SAL-1774472576828-436)</t>
  </si>
  <si>
    <t>Sold (saleId:SAL-1774472576795-466)</t>
  </si>
  <si>
    <t>Sold (saleId:SAL-1774472576769-820)</t>
  </si>
  <si>
    <t>Sold (saleId:SAL-1774472576738-232)</t>
  </si>
  <si>
    <t>Sold (saleId:SAL-1774472576702-866)</t>
  </si>
  <si>
    <t>Sold (saleId:SAL-1774472576679-951)</t>
  </si>
  <si>
    <t>Sold (saleId:SAL-1774472576655-337)</t>
  </si>
  <si>
    <t>Sold (saleId:SAL-1774472576612-151)</t>
  </si>
  <si>
    <t>Sold (saleId:SAL-1774472576577-754)</t>
  </si>
  <si>
    <t>Sold (saleId:SAL-1774472576537-425)</t>
  </si>
  <si>
    <t>Sold (saleId:SAL-1774472576468-818)</t>
  </si>
  <si>
    <t>Sold (saleId:SAL-1774472576399-149)</t>
  </si>
  <si>
    <t>Sold (saleId:SAL-1774472576349-465)</t>
  </si>
  <si>
    <t>Sold (saleId:SAL-1774472576315-938)</t>
  </si>
  <si>
    <t>Sold (saleId:SAL-1774472576278-712)</t>
  </si>
  <si>
    <t>Sold (saleId:SAL-1774472576237-282)</t>
  </si>
  <si>
    <t>Sold (saleId:SAL-1774472576196-888)</t>
  </si>
  <si>
    <t>Sold (saleId:SAL-1774472576145-503)</t>
  </si>
  <si>
    <t>Sold (saleId:SAL-1774472576120-649)</t>
  </si>
  <si>
    <t>Sold (saleId:SAL-1774472576078-583)</t>
  </si>
  <si>
    <t>Sold (saleId:SAL-1774472576043-881)</t>
  </si>
  <si>
    <t>Sold (saleId:SAL-1774472576007-635)</t>
  </si>
  <si>
    <t>Sold (saleId:SAL-1774472575980-545)</t>
  </si>
  <si>
    <t>Sold (saleId:SAL-1774472575933-288)</t>
  </si>
  <si>
    <t>Sold (saleId:SAL-1774472575893-334)</t>
  </si>
  <si>
    <t>Sold (saleId:SAL-1774472575856-459)</t>
  </si>
  <si>
    <t>فروع طويلة</t>
  </si>
  <si>
    <t>Sold (saleId:SAL-1774472575819-910)</t>
  </si>
  <si>
    <t>Sold (saleId:SAL-1774472575738-382)</t>
  </si>
  <si>
    <t>زبون اللي بياخد عطور دايما</t>
  </si>
  <si>
    <t>Sold (saleId:SAL-1774472575674-941)</t>
  </si>
  <si>
    <t>Sold (saleId:SAL-1774472575648-892)</t>
  </si>
  <si>
    <t>Monday, September 29, 2025</t>
  </si>
  <si>
    <t>Sold (saleId:SAL-1774472575621-189)</t>
  </si>
  <si>
    <t>Sold (saleId:SAL-1774472575593-304)</t>
  </si>
  <si>
    <t>Sold (saleId:SAL-1774472575563-672)</t>
  </si>
  <si>
    <t>Sold (saleId:SAL-1774472575538-398)</t>
  </si>
  <si>
    <t>Sold (saleId:SAL-1774472575490-606)</t>
  </si>
  <si>
    <t>Sold (saleId:SAL-1774472575463-979)</t>
  </si>
  <si>
    <t>Sold (saleId:SAL-1774472575437-124)</t>
  </si>
  <si>
    <t>Sold (saleId:SAL-1774472575413-139)</t>
  </si>
  <si>
    <t>Sold (saleId:SAL-1774472575384-562)</t>
  </si>
  <si>
    <t>Sold (saleId:SAL-1774472575362-832)</t>
  </si>
  <si>
    <t>Sold (saleId:SAL-1774472575340-313)</t>
  </si>
  <si>
    <t>Sold (saleId:SAL-1774472575312-804)</t>
  </si>
  <si>
    <t>Sold (saleId:SAL-1774472575290-100)</t>
  </si>
  <si>
    <t>Sold (saleId:SAL-1774472575261-792)</t>
  </si>
  <si>
    <t>Sold (saleId:SAL-1774472575207-495)</t>
  </si>
  <si>
    <t>Sold (saleId:SAL-1774472575164-495)</t>
  </si>
  <si>
    <t>Sold (saleId:SAL-1774472575080-165)</t>
  </si>
  <si>
    <t>Sold (saleId:SAL-1774472574983-633)</t>
  </si>
  <si>
    <t>Sold (saleId:SAL-1774472574945-590)</t>
  </si>
  <si>
    <t>Sold (saleId:SAL-1774472574894-401)</t>
  </si>
  <si>
    <t>Sold (saleId:SAL-1774472574724-953)</t>
  </si>
  <si>
    <t>Sold (saleId:SAL-1774472574675-492)</t>
  </si>
  <si>
    <t>Sold (saleId:SAL-1774472574638-737)</t>
  </si>
  <si>
    <t>Sold (saleId:SAL-1774472574586-178)</t>
  </si>
  <si>
    <t>Sold (saleId:SAL-1774472574558-195)</t>
  </si>
  <si>
    <t>Sold (saleId:SAL-1774472574521-696)</t>
  </si>
  <si>
    <t>Sold (saleId:SAL-1774472574492-637)</t>
  </si>
  <si>
    <t>Sold (saleId:SAL-1774472574464-437)</t>
  </si>
  <si>
    <t>Sold (saleId:SAL-1774472574422-124)</t>
  </si>
  <si>
    <t>Sold (saleId:SAL-1774472574369-176)</t>
  </si>
  <si>
    <t>Sold (saleId:SAL-1774472574331-784)</t>
  </si>
  <si>
    <t>Sold (saleId:SAL-1774472574285-713)</t>
  </si>
  <si>
    <t>Sold (saleId:SAL-1774472574058-324)</t>
  </si>
  <si>
    <t>2025/10/31</t>
  </si>
  <si>
    <t>Sold (saleId:SAL-1774472573801-539)</t>
  </si>
  <si>
    <t>Sold (saleId:SAL-1774472573668-671)</t>
  </si>
  <si>
    <t>Sold (saleId:SAL-1774469269843-752)</t>
  </si>
  <si>
    <t>Sold (saleId:SAL-1774469269819-635)</t>
  </si>
  <si>
    <t>Sold (saleId:SAL-1774469269789-780)</t>
  </si>
  <si>
    <t>Sold (saleId:SAL-1774468991794-872)</t>
  </si>
  <si>
    <t>Sold (saleId:SAL-1774468991773-394)</t>
  </si>
  <si>
    <t>Sold (saleId:SAL-1774468991756-988)</t>
  </si>
  <si>
    <t>Sold (saleId:SAL-1774468991734-546)</t>
  </si>
  <si>
    <t>Sold (saleId:SAL-1774468991709-795)</t>
  </si>
  <si>
    <t>Sold (saleId:SAL-1774468991683-376)</t>
  </si>
  <si>
    <t>Sold (saleId:SAL-1774468991640-157)</t>
  </si>
  <si>
    <t>Sold (saleId:SAL-1774468991607-220)</t>
  </si>
  <si>
    <t>Sold (saleId:SAL-1774468991576-860)</t>
  </si>
  <si>
    <t>Sold (saleId:SAL-1774468991541-377)</t>
  </si>
  <si>
    <t>Sold (saleId:SAL-1774468991508-168)</t>
  </si>
  <si>
    <t>Sold (saleId:SAL-1774468991473-827)</t>
  </si>
  <si>
    <t>Sold (saleId:SAL-1774468991440-794)</t>
  </si>
  <si>
    <t>Sold (saleId:SAL-1774468991406-287)</t>
  </si>
  <si>
    <t>Sold (saleId:SAL-1774468991374-229)</t>
  </si>
  <si>
    <t>Sold (saleId:SAL-1774468991351-646)</t>
  </si>
  <si>
    <t>Sold (saleId:SAL-1774468991321-134)</t>
  </si>
  <si>
    <t>Sold (saleId:SAL-1774468991289-521)</t>
  </si>
  <si>
    <t>Sold (saleId:SAL-1774468991266-963)</t>
  </si>
  <si>
    <t>المراجعة</t>
  </si>
  <si>
    <t>Sold (saleId:SAL-1774468991241-456)</t>
  </si>
  <si>
    <t>تم</t>
  </si>
  <si>
    <t>Sold (saleId:SAL-1774468991209-381)</t>
  </si>
  <si>
    <t>Sold (saleId:SAL-1774468991182-339)</t>
  </si>
  <si>
    <t>Sold (saleId:SAL-1774468991158-702)</t>
  </si>
  <si>
    <t>Sold (saleId:SAL-1773525859851-112)</t>
  </si>
  <si>
    <t>Sold (saleId:SAL-1773525748802-240)</t>
  </si>
  <si>
    <t>Sold (saleId:SAL-1773525748769-856)</t>
  </si>
  <si>
    <t>Sold (saleId:SAL-1773525748737-841)</t>
  </si>
  <si>
    <t>Sold (saleId:SAL-1773525748704-975)</t>
  </si>
  <si>
    <t>Sold (saleId:SAL-1773520102528-512)</t>
  </si>
  <si>
    <t>Sold (saleId:SAL-1773520102504-263)</t>
  </si>
  <si>
    <t>Sold (saleId:SAL-1773520102481-509)</t>
  </si>
  <si>
    <t>Sold (saleId:SAL-1773520102450-122)</t>
  </si>
  <si>
    <t>Sold (saleId:SAL-1773520102427-349)</t>
  </si>
  <si>
    <t>Sold (saleId:SAL-1773520102403-138)</t>
  </si>
  <si>
    <t>Sold (saleId:SAL-1773520102378-561)</t>
  </si>
  <si>
    <t>Sold (saleId:SAL-1773520102348-357)</t>
  </si>
  <si>
    <t>Sold (saleId:SAL-1773520102325-627)</t>
  </si>
  <si>
    <t>Sold (saleId:SAL-1773520102301-845)</t>
  </si>
  <si>
    <t>Sold (saleId:SAL-1773520102279-972)</t>
  </si>
  <si>
    <t>Sold (saleId:SAL-1773520102255-242)</t>
  </si>
  <si>
    <t>Sold (saleId:SAL-1773520102232-308)</t>
  </si>
  <si>
    <t>Sold (saleId:SAL-1773520102209-541)</t>
  </si>
  <si>
    <t>Sold (saleId:SAL-1773520102187-634)</t>
  </si>
  <si>
    <t>Sold (saleId:SAL-1773520102163-747)</t>
  </si>
  <si>
    <t>Sold (saleId:SAL-1773520102122-685)</t>
  </si>
  <si>
    <t>Sold (saleId:SAL-1773520102092-111)</t>
  </si>
  <si>
    <t>Sold (saleId:SAL-1773520102062-252)</t>
  </si>
  <si>
    <t>Sold (saleId:SAL-1773520102025-453)</t>
  </si>
  <si>
    <t>Sold (saleId:SAL-1773520101995-886)</t>
  </si>
  <si>
    <t>Sold (saleId:SAL-1773520101965-793)</t>
  </si>
  <si>
    <t>Sold (saleId:SAL-1773520101934-913)</t>
  </si>
  <si>
    <t>Sold (saleId:SAL-1773520101904-837)</t>
  </si>
  <si>
    <t>Sold (saleId:SAL-1773520101873-175)</t>
  </si>
  <si>
    <t>Sold (saleId:SAL-1773520101849-221)</t>
  </si>
  <si>
    <t>Sold (saleId:SAL-1773520101824-379)</t>
  </si>
  <si>
    <t>Sold (saleId:SAL-1773520101801-368)</t>
  </si>
  <si>
    <t>Sold (saleId:SAL-1773520101774-602)</t>
  </si>
  <si>
    <t>كود</t>
  </si>
  <si>
    <t>سعر الوحدة</t>
  </si>
  <si>
    <t>الخصم</t>
  </si>
  <si>
    <t>الإجمالي</t>
  </si>
  <si>
    <t>Sold (saleId:SAL-1773520101739-555)</t>
  </si>
  <si>
    <t>Sold (saleId:SAL-1773520101711-907)</t>
  </si>
  <si>
    <t>Sold (saleId:SAL-1773520101683-876)</t>
  </si>
  <si>
    <t>Sold (saleId:SAL-1773520101657-523)</t>
  </si>
  <si>
    <t>Sold (saleId:SAL-1773520101635-729)</t>
  </si>
  <si>
    <t>Sold (saleId:SAL-1773520101611-987)</t>
  </si>
  <si>
    <t>Sold (saleId:SAL-1773520101582-263)</t>
  </si>
  <si>
    <t>Sold (saleId:SAL-1773520101557-744)</t>
  </si>
  <si>
    <t>Sold (saleId:SAL-1773520101531-731)</t>
  </si>
  <si>
    <t>Sold (saleId:SAL-1773520101509-791)</t>
  </si>
  <si>
    <t>Sold (saleId:SAL-1773520101487-577)</t>
  </si>
  <si>
    <t>Sold (saleId:SAL-1773520101458-429)</t>
  </si>
  <si>
    <t>Sold (saleId:SAL-1773520101433-605)</t>
  </si>
  <si>
    <t>Sold (saleId:SAL-1773520101408-986)</t>
  </si>
  <si>
    <t>Sold (saleId:SAL-1773520101385-203)</t>
  </si>
  <si>
    <t>Sold (saleId:SAL-1773520101360-549)</t>
  </si>
  <si>
    <t>Sold (saleId:SAL-1773520101334-154)</t>
  </si>
  <si>
    <t>Sold (saleId:SAL-1773520101300-189)</t>
  </si>
  <si>
    <t>Sold (saleId:SAL-1773520101272-360)</t>
  </si>
  <si>
    <t>الاجمالي</t>
  </si>
  <si>
    <t>Sold (saleId:SAL-1773520101244-822)</t>
  </si>
  <si>
    <t>Sold (saleId:SAL-1773520101216-999)</t>
  </si>
  <si>
    <t>Sold (saleId:SAL-1773520101184-882)</t>
  </si>
  <si>
    <t>Sold (saleId:SAL-1773520101150-421)</t>
  </si>
  <si>
    <t>Sold (saleId:SAL-1773520101120-619)</t>
  </si>
  <si>
    <t>Sold (saleId:SAL-1773520101090-595)</t>
  </si>
  <si>
    <t>Sold (saleId:SAL-1773520101066-267)</t>
  </si>
  <si>
    <t>Sold (saleId:SAL-1773520101042-110)</t>
  </si>
  <si>
    <t>Sold (saleId:SAL-1773520101019-987)</t>
  </si>
  <si>
    <t>Sold (saleId:SAL-1773520100989-361)</t>
  </si>
  <si>
    <t>Sold (saleId:SAL-1773520100965-914)</t>
  </si>
  <si>
    <t>Sold (saleId:SAL-1773520100945-664)</t>
  </si>
  <si>
    <t>Sold (saleId:SAL-1773520100922-536)</t>
  </si>
  <si>
    <t>Sold (saleId:SAL-1773520100895-814)</t>
  </si>
  <si>
    <t>Sold (saleId:SAL-1773520100869-731)</t>
  </si>
  <si>
    <t>Sold (saleId:SAL-1773520100845-114)</t>
  </si>
  <si>
    <t>Sold (saleId:SAL-1773520100822-726)</t>
  </si>
  <si>
    <t>Sold (saleId:SAL-1773520100796-910)</t>
  </si>
  <si>
    <t>Sold (saleId:SAL-1773520100771-823)</t>
  </si>
  <si>
    <t>شمعة 006/96</t>
  </si>
  <si>
    <t>Sold (saleId:SAL-1773520100744-607)</t>
  </si>
  <si>
    <t>Sold (saleId:SAL-1773520100716-459)</t>
  </si>
  <si>
    <t>Sold (saleId:SAL-1773520100687-920)</t>
  </si>
  <si>
    <t>Sold (saleId:SAL-1773520100641-585)</t>
  </si>
  <si>
    <t>Sold (saleId:SAL-1773520100607-926)</t>
  </si>
  <si>
    <t>Sold (saleId:SAL-1773520100574-915)</t>
  </si>
  <si>
    <t>Sold (saleId:SAL-1773520100540-599)</t>
  </si>
  <si>
    <t>Sold (saleId:SAL-1773520100506-628)</t>
  </si>
  <si>
    <t>Sold (saleId:SAL-1773520100472-244)</t>
  </si>
  <si>
    <t>Sold (saleId:SAL-1773520100435-403)</t>
  </si>
  <si>
    <t>Sold (saleId:SAL-1773520100405-372)</t>
  </si>
  <si>
    <t>Sold (saleId:SAL-1773520100372-569)</t>
  </si>
  <si>
    <t>Sold (saleId:SAL-1773520100343-515)</t>
  </si>
  <si>
    <t>Sold (saleId:SAL-1773520100317-648)</t>
  </si>
  <si>
    <t>Sold (saleId:SAL-1773520100283-747)</t>
  </si>
  <si>
    <t>Sold (saleId:SAL-1773520100254-390)</t>
  </si>
  <si>
    <t>Sold (saleId:SAL-1773520100224-129)</t>
  </si>
  <si>
    <t>Sold (saleId:SAL-1773520100193-869)</t>
  </si>
  <si>
    <t>Sold (saleId:SAL-1773520100161-112)</t>
  </si>
  <si>
    <t>Sold (saleId:SAL-1773520100133-924)</t>
  </si>
  <si>
    <t>Sold (saleId:SAL-1773520100108-642)</t>
  </si>
  <si>
    <t>Sold (saleId:SAL-1773171914018-964)</t>
  </si>
  <si>
    <t>Sold (saleId:SAL-1773171913969-893)</t>
  </si>
  <si>
    <t>Sold (saleId:SAL-1773171913930-957)</t>
  </si>
  <si>
    <t>Sold (saleId:SAL-1773171913893-199)</t>
  </si>
  <si>
    <t>Sold (saleId:SAL-1773171913857-665)</t>
  </si>
  <si>
    <t>Sold (saleId:SAL-1773171913831-566)</t>
  </si>
  <si>
    <t>Sold (saleId:SAL-1773171913792-489)</t>
  </si>
  <si>
    <t>Sold (saleId:SAL-1773171913743-582)</t>
  </si>
  <si>
    <t>كبس رابطة 22008</t>
  </si>
  <si>
    <t>Sold (saleId:SAL-1773156846992-296)</t>
  </si>
  <si>
    <t>Sold (saleId:SAL-1773156846939-476)</t>
  </si>
  <si>
    <t>Sold (saleId:SAL-1773156846892-387)</t>
  </si>
  <si>
    <t>Sold (saleId:SAL-1773156846844-865)</t>
  </si>
  <si>
    <t>Sold (saleId:SAL-1773156846801-329)</t>
  </si>
  <si>
    <t>بوكية مشمش</t>
  </si>
  <si>
    <t>Sold (saleId:SAL-1773156846758-217)</t>
  </si>
  <si>
    <t xml:space="preserve">تم </t>
  </si>
  <si>
    <t>Sold (saleId:SAL-1773156846720-581)</t>
  </si>
  <si>
    <t>Sold (saleId:SAL-1773156846682-314)</t>
  </si>
  <si>
    <t>Sold (saleId:SAL-1773156846640-252)</t>
  </si>
  <si>
    <t>Sold (saleId:SAL-1773156846605-312)</t>
  </si>
  <si>
    <t>Sold (saleId:SAL-1773156846564-696)</t>
  </si>
  <si>
    <t>Sold (saleId:SAL-1773156846529-825)</t>
  </si>
  <si>
    <t>Sold (saleId:SAL-1773156846494-352)</t>
  </si>
  <si>
    <t>Sold (saleId:SAL-1773156846454-470)</t>
  </si>
  <si>
    <t>Sold (saleId:SAL-1773156846424-221)</t>
  </si>
  <si>
    <t>Sold (saleId:SAL-1773156846393-347)</t>
  </si>
  <si>
    <t>Sold (saleId:SAL-1773156846356-506)</t>
  </si>
  <si>
    <t>Sold (saleId:SAL-1773156846324-514)</t>
  </si>
  <si>
    <t>Sold (saleId:SAL-1773156846288-398)</t>
  </si>
  <si>
    <t>Sold (saleId:SAL-1773156846248-729)</t>
  </si>
  <si>
    <t>Sold (saleId:SAL-1772999667251-453)</t>
  </si>
  <si>
    <t>Sold (saleId:SAL-1772999667208-100)</t>
  </si>
  <si>
    <t>Sold (saleId:SAL-1772999667172-270)</t>
  </si>
  <si>
    <t>Sold (saleId:SAL-1772999667140-823)</t>
  </si>
  <si>
    <t>Sold (saleId:SAL-1772999667103-358)</t>
  </si>
  <si>
    <t>Sold (saleId:SAL-1772999667037-180)</t>
  </si>
  <si>
    <t>Sold (saleId:SAL-1772999667006-821)</t>
  </si>
  <si>
    <t>Sold (saleId:SAL-1772999666980-502)</t>
  </si>
  <si>
    <t>Sold (saleId:SAL-1772999666961-681)</t>
  </si>
  <si>
    <t>Sold (saleId:SAL-1772999666936-439)</t>
  </si>
  <si>
    <t>Sold (saleId:SAL-1772999666915-679)</t>
  </si>
  <si>
    <t>Sold (saleId:SAL-1772999666890-499)</t>
  </si>
  <si>
    <t>Sold (saleId:SAL-1772999666863-565)</t>
  </si>
  <si>
    <t>Sold (saleId:SAL-1772999666833-241)</t>
  </si>
  <si>
    <t>Sold (saleId:SAL-1772999666801-932)</t>
  </si>
  <si>
    <t>Sold (saleId:SAL-1772999666775-651)</t>
  </si>
  <si>
    <t>Sold (saleId:SAL-1772910214082-869)</t>
  </si>
  <si>
    <t>ياسمين جامبو</t>
  </si>
  <si>
    <t>Sold (saleId:SAL-1772910214055-881)</t>
  </si>
  <si>
    <t>Sold (saleId:SAL-1772910214019-940)</t>
  </si>
  <si>
    <t>Sold (saleId:SAL-1772910122729-398)</t>
  </si>
  <si>
    <t>هيدروجين</t>
  </si>
  <si>
    <t>Sold (saleId:SAL-1772910122710-708)</t>
  </si>
  <si>
    <t>Sold (saleId:SAL-1772910122688-964)</t>
  </si>
  <si>
    <t>\</t>
  </si>
  <si>
    <t>Sold (saleId:SAL-1772910122669-465)</t>
  </si>
  <si>
    <t>Sold (saleId:SAL-1772910122651-294)</t>
  </si>
  <si>
    <t>Sold (saleId:SAL-1772910122634-501)</t>
  </si>
  <si>
    <t>Sold (saleId:SAL-1772910122617-413)</t>
  </si>
  <si>
    <t>Sold (saleId:SAL-1772910122601-389)</t>
  </si>
  <si>
    <t>Sold (saleId:SAL-1772910122586-820)</t>
  </si>
  <si>
    <t>Sold (saleId:SAL-1772657825356-793)</t>
  </si>
  <si>
    <t>Sold (saleId:SAL-1772657754758-349)</t>
  </si>
  <si>
    <t>Sold (saleId:SAL-1772657647602-864)</t>
  </si>
  <si>
    <t>Sold (saleId:SAL-1772657647582-322)</t>
  </si>
  <si>
    <t>Sold (saleId:SAL-1772657647559-103)</t>
  </si>
  <si>
    <t>Sold (saleId:SAL-1772657647540-662)</t>
  </si>
  <si>
    <t>Sold (saleId:SAL-1772657647523-638)</t>
  </si>
  <si>
    <t>Sold (saleId:SAL-1772657647506-937)</t>
  </si>
  <si>
    <t>Sold (saleId:SAL-1772657647492-592)</t>
  </si>
  <si>
    <t>Sold (saleId:SAL-1772657647477-379)</t>
  </si>
  <si>
    <t>Sold (saleId:SAL-1772403168298-766)</t>
  </si>
  <si>
    <t>Sold (saleId:SAL-1772403066789-325)</t>
  </si>
  <si>
    <t>Sold (saleId:SAL-1772403066743-370)</t>
  </si>
  <si>
    <t>Sold (saleId:SAL-1772403066665-512)</t>
  </si>
  <si>
    <t>Sold (saleId:SAL-1772403066558-844)</t>
  </si>
  <si>
    <t>Sold (saleId:SAL-1772403066521-863)</t>
  </si>
  <si>
    <t>Sold (saleId:SAL-1772403066480-218)</t>
  </si>
  <si>
    <t>Sold (saleId:SAL-1772403066440-931)</t>
  </si>
  <si>
    <t>Sold (saleId:SAL-1772403066394-769)</t>
  </si>
  <si>
    <t>Sold (saleId:SAL-1772403066299-845)</t>
  </si>
  <si>
    <t>Sold (saleId:SAL-1772403066248-360)</t>
  </si>
  <si>
    <t>Sold (saleId:SAL-1772311992369-221)</t>
  </si>
  <si>
    <t>Sold (saleId:SAL-1772310718860-649)</t>
  </si>
  <si>
    <t>Sold (saleId:SAL-1772310718836-381)</t>
  </si>
  <si>
    <t>Sold (saleId:SAL-1772310718810-347)</t>
  </si>
  <si>
    <t>Sold (saleId:SAL-1772310718774-699)</t>
  </si>
  <si>
    <t>Sold (saleId:SAL-1772310718746-575)</t>
  </si>
  <si>
    <t>Sold (saleId:SAL-1772310718719-123)</t>
  </si>
  <si>
    <t>Sold (saleId:SAL-1772120813765-582)</t>
  </si>
  <si>
    <t>Sold (saleId:SAL-1772120813750-579)</t>
  </si>
  <si>
    <t>Sold (saleId:SAL-1772120813734-682)</t>
  </si>
  <si>
    <t>Sold (saleId:SAL-1772120813720-858)</t>
  </si>
  <si>
    <t>Sold (saleId:SAL-1771964155125-462)</t>
  </si>
  <si>
    <t>Sold (saleId:SAL-1771964110373-694)</t>
  </si>
  <si>
    <t>Sold (saleId:SAL-1771796531073-122)</t>
  </si>
  <si>
    <t>Sold (saleId:SAL-1771796514280-504)</t>
  </si>
  <si>
    <t>Sold (saleId:SAL-1771796514258-280)</t>
  </si>
  <si>
    <t>Sold (saleId:SAL-1771796514231-791)</t>
  </si>
  <si>
    <t>Sold (saleId:SAL-1771713376676-398)</t>
  </si>
  <si>
    <t>Sold (saleId:SAL-1771713174935-110)</t>
  </si>
  <si>
    <t>Sold (saleId:SAL-1771626343009-221)</t>
  </si>
  <si>
    <t>Sold (saleId:SAL-1771626342993-896)</t>
  </si>
  <si>
    <t>Sold (saleId:SAL-1771533498724-779)</t>
  </si>
  <si>
    <t>Sold (saleId:SAL-1771533498707-748)</t>
  </si>
  <si>
    <t>Sold (saleId:SAL-1771533498690-918)</t>
  </si>
  <si>
    <t>Sold (saleId:SAL-1771533498667-512)</t>
  </si>
  <si>
    <t>Sold (saleId:SAL-1771533498649-555)</t>
  </si>
  <si>
    <t>Sold (saleId:SAL-1771533498630-639)</t>
  </si>
  <si>
    <t>Sold (saleId:SAL-1771526727443-204)</t>
  </si>
  <si>
    <t>Sold (saleId:SAL-1771526727409-394)</t>
  </si>
  <si>
    <t>Sold (saleId:SAL-1771526727374-864)</t>
  </si>
  <si>
    <t>Sold (saleId:SAL-1771526727340-502)</t>
  </si>
  <si>
    <t>Sold (saleId:SAL-1771526727298-881)</t>
  </si>
  <si>
    <t>Sold (saleId:SAL-1771526727259-747)</t>
  </si>
  <si>
    <t>Sold (saleId:SAL-1771526727227-267)</t>
  </si>
  <si>
    <t>Sold (saleId:SAL-1771526727192-470)</t>
  </si>
  <si>
    <t>Sold (saleId:SAL-1771526727158-422)</t>
  </si>
  <si>
    <t>Sold (saleId:SAL-1771526727130-636)</t>
  </si>
  <si>
    <t>Sold (saleId:SAL-1771526727094-867)</t>
  </si>
  <si>
    <t>Sold (saleId:SAL-1771357856345-282)</t>
  </si>
  <si>
    <t>Sold (saleId:SAL-1771272607302-351)</t>
  </si>
  <si>
    <t>Sold (saleId:SAL-1771272221549-150)</t>
  </si>
  <si>
    <t>Sold (saleId:SAL-1771272221526-526)</t>
  </si>
  <si>
    <t>Sold (saleId:SAL-1771272221505-485)</t>
  </si>
  <si>
    <t>Sold (saleId:SAL-1771272221480-452)</t>
  </si>
  <si>
    <t>Sold (saleId:SAL-1771272221460-660)</t>
  </si>
  <si>
    <t>Sold (saleId:SAL-1771011974181-973)</t>
  </si>
  <si>
    <t>Sold (saleId:SAL-1771011609237-482)</t>
  </si>
  <si>
    <t>Sold (saleId:SAL-1771011609206-160)</t>
  </si>
  <si>
    <t>Sold (saleId:SAL-1771011609172-102)</t>
  </si>
  <si>
    <t>Sold (saleId:SAL-1771011609144-635)</t>
  </si>
  <si>
    <t>Sold (saleId:SAL-1771004088629-892)</t>
  </si>
  <si>
    <t>Sold (saleId:SAL-1771004088608-976)</t>
  </si>
  <si>
    <t>Sold (saleId:SAL-1771004088584-211)</t>
  </si>
  <si>
    <t>Sold (saleId:SAL-1771004088562-945)</t>
  </si>
  <si>
    <t>Sold (saleId:SAL-1771004088535-293)</t>
  </si>
  <si>
    <t>Sold (saleId:SAL-1771004088516-597)</t>
  </si>
  <si>
    <t>Sold (saleId:SAL-1771004088497-245)</t>
  </si>
  <si>
    <t>Sold (saleId:SAL-1771004088480-125)</t>
  </si>
  <si>
    <t>Sold (saleId:SAL-1771004088460-368)</t>
  </si>
  <si>
    <t>Sold (saleId:SAL-1771004088441-217)</t>
  </si>
  <si>
    <t>Sold (saleId:SAL-1771004088422-182)</t>
  </si>
  <si>
    <t>Sold (saleId:SAL-1771004088405-463)</t>
  </si>
  <si>
    <t>Sold (saleId:SAL-1771004088384-292)</t>
  </si>
  <si>
    <t>Sold (saleId:SAL-1771004088362-646)</t>
  </si>
  <si>
    <t>Sold (saleId:SAL-1771004088337-987)</t>
  </si>
  <si>
    <t>Sold (saleId:SAL-1771004088305-306)</t>
  </si>
  <si>
    <t>Sold (saleId:SAL-1770839815014-690)</t>
  </si>
  <si>
    <t>Sold (saleId:SAL-1770839814936-845)</t>
  </si>
  <si>
    <t>Sold (saleId:SAL-1770839814830-458)</t>
  </si>
  <si>
    <t>Sold (saleId:SAL-1770839814646-175)</t>
  </si>
  <si>
    <t>Sold (saleId:SAL-1770839814356-878)</t>
  </si>
  <si>
    <t>Sold (saleId:SAL-1770839814251-692)</t>
  </si>
  <si>
    <t>Sold (saleId:SAL-1770839814144-230)</t>
  </si>
  <si>
    <t>Sold (saleId:SAL-1770839813838-198)</t>
  </si>
  <si>
    <t>Sold (saleId:SAL-1770839813742-137)</t>
  </si>
  <si>
    <t>Sold (saleId:SAL-1770839813439-439)</t>
  </si>
  <si>
    <t>Sold (saleId:SAL-1770839813387-509)</t>
  </si>
  <si>
    <t>Sold (saleId:SAL-1770839813320-612)</t>
  </si>
  <si>
    <t>Sold (saleId:SAL-1770839813277-809)</t>
  </si>
  <si>
    <t>Sold (saleId:SAL-1770839813229-914)</t>
  </si>
  <si>
    <t>Sold (saleId:SAL-1770839813170-434)</t>
  </si>
  <si>
    <t>ManufactureID</t>
  </si>
  <si>
    <t>Sold (saleId:SAL-1770839813060-497)</t>
  </si>
  <si>
    <t>ProductType</t>
  </si>
  <si>
    <t>QtyToProduce</t>
  </si>
  <si>
    <t>CostSharePercent</t>
  </si>
  <si>
    <t>Sold (saleId:SAL-1770322190246-581)</t>
  </si>
  <si>
    <t>Sold (saleId:SAL-1770318180886-187)</t>
  </si>
  <si>
    <t>✅ Success. Cost: 173.00</t>
  </si>
  <si>
    <t>Sold (saleId:SAL-1770318180852-910)</t>
  </si>
  <si>
    <t>Sold (saleId:SAL-1770318180820-522)</t>
  </si>
  <si>
    <t>Sold (saleId:SAL-1770318180785-668)</t>
  </si>
  <si>
    <t>Sold (saleId:SAL-1770318180753-458)</t>
  </si>
  <si>
    <t>Sold (saleId:SAL-1770312963245-569)</t>
  </si>
  <si>
    <t>Sold (saleId:SAL-1770312881137-740)</t>
  </si>
  <si>
    <t>Sold (saleId:SAL-1770312881083-707)</t>
  </si>
  <si>
    <t>Sold (saleId:SAL-1770312881022-726)</t>
  </si>
  <si>
    <t>Sold (saleId:SAL-1770229335864-625)</t>
  </si>
  <si>
    <t>Sold (saleId:SAL-1770229335831-966)</t>
  </si>
  <si>
    <t>Sold (saleId:SAL-1770229335800-182)</t>
  </si>
  <si>
    <t>Sold (saleId:SAL-1770229335761-493)</t>
  </si>
  <si>
    <t>Sold (saleId:SAL-1770229335720-507)</t>
  </si>
  <si>
    <t>Sold (saleId:SAL-1770229335665-307)</t>
  </si>
  <si>
    <t>Sold (saleId:SAL-1770223749536-600)</t>
  </si>
  <si>
    <t>Sold (saleId:SAL-1770221182710-884)</t>
  </si>
  <si>
    <t>Sold (saleId:SAL-1770221182647-975)</t>
  </si>
  <si>
    <t>Sold (saleId:SAL-1770217341622-407)</t>
  </si>
  <si>
    <t>Sold (saleId:SAL-1770217341527-247)</t>
  </si>
  <si>
    <t>Sold (saleId:SAL-1770217341462-960)</t>
  </si>
  <si>
    <t>Sold (saleId:SAL-1770137827483-740)</t>
  </si>
  <si>
    <t>Sold (saleId:SAL-1770137827423-345)</t>
  </si>
  <si>
    <t>Sold (saleId:SAL-1770137827364-910)</t>
  </si>
  <si>
    <t>Sold (saleId:SAL-1770137827285-710)</t>
  </si>
  <si>
    <t>Sold (saleId:SAL-1769886717578-976)</t>
  </si>
  <si>
    <t>Sold (saleId:SAL-1769884283081-730)</t>
  </si>
  <si>
    <t>MaterialName</t>
  </si>
  <si>
    <t>Type</t>
  </si>
  <si>
    <t>Qty/Unit</t>
  </si>
  <si>
    <t>TotalQty</t>
  </si>
  <si>
    <t>Price</t>
  </si>
  <si>
    <t>Total Price</t>
  </si>
  <si>
    <t>Sold (saleId:SAL-1769873630129-469)</t>
  </si>
  <si>
    <t>Available Quantity</t>
  </si>
  <si>
    <t>Sold (saleId:SAL-1769873630070-347)</t>
  </si>
  <si>
    <t>Sold (saleId:SAL-1769806518459-858)</t>
  </si>
  <si>
    <t>التاكيد</t>
  </si>
  <si>
    <t>Sold (saleId:SAL-1769806268065-128)</t>
  </si>
  <si>
    <t>Sold (saleId:SAL-1769806267967-629)</t>
  </si>
  <si>
    <t>Sold (saleId:SAL-1769806267869-312)</t>
  </si>
  <si>
    <t>Sold (saleId:SAL-1769806267781-150)</t>
  </si>
  <si>
    <t>Sold (saleId:SAL-1769806267681-511)</t>
  </si>
  <si>
    <t>Sold (saleId:SAL-1769806267577-264)</t>
  </si>
  <si>
    <t>Sold (saleId:SAL-1769806267494-847)</t>
  </si>
  <si>
    <t>Sold (saleId:SAL-1769806267411-253)</t>
  </si>
  <si>
    <t>Sold (saleId:SAL-1769806267336-783)</t>
  </si>
  <si>
    <t>Sold (saleId:SAL-1769806267257-617)</t>
  </si>
  <si>
    <t>Sold (saleId:SAL-1769806267182-493)</t>
  </si>
  <si>
    <t>Sold (saleId:SAL-1769806267061-870)</t>
  </si>
  <si>
    <t>Sold (saleId:SAL-1769806266970-175)</t>
  </si>
  <si>
    <t>Sold (saleId:SAL-1769806266901-766)</t>
  </si>
  <si>
    <t>Sold (saleId:SAL-1769667950763-865)</t>
  </si>
  <si>
    <t>Sold (saleId:SAL-1769373397167-128)</t>
  </si>
  <si>
    <t>Sold (saleId:SAL-1769367550033-646)</t>
  </si>
  <si>
    <t>Sold (saleId:SAL-1769367549963-266)</t>
  </si>
  <si>
    <t>Sold (saleId:SAL-1769367549901-746)</t>
  </si>
  <si>
    <t>Sold (saleId:SAL-1769364980601-265)</t>
  </si>
  <si>
    <t>Sold (saleId:SAL-1769364980524-199)</t>
  </si>
  <si>
    <t>Sold (saleId:SAL-1769364980452-188)</t>
  </si>
  <si>
    <t>Sold (saleId:SAL-1769364980373-760)</t>
  </si>
  <si>
    <t>Sold (saleId:SAL-1769364980287-291)</t>
  </si>
  <si>
    <t>Sold (saleId:SAL-1769359847315-941)</t>
  </si>
  <si>
    <t>Sold (saleId:SAL-1769359847257-677)</t>
  </si>
  <si>
    <t>Sold (saleId:SAL-1769359847202-329)</t>
  </si>
  <si>
    <t>Sold (saleId:SAL-1769358536875-342)</t>
  </si>
  <si>
    <t>Sold (saleId:SAL-1769100741709-531)</t>
  </si>
  <si>
    <t>Sold (saleId:SAL-1769024709159-260)</t>
  </si>
  <si>
    <t>Sold (saleId:SAL-1769024709135-453)</t>
  </si>
  <si>
    <t>Sold (saleId:SAL-1769024709105-807)</t>
  </si>
  <si>
    <t>Sold (saleId:SAL-1769024709079-779)</t>
  </si>
  <si>
    <t>Sold (saleId:SAL-1769021224564-959)</t>
  </si>
  <si>
    <t>Sold (saleId:SAL-1769014457644-491)</t>
  </si>
  <si>
    <t>Sold (saleId:SAL-1769014457608-857)</t>
  </si>
  <si>
    <t>Sold (saleId:SAL-1769014457575-800)</t>
  </si>
  <si>
    <t>Sold (saleId:SAL-1768937388070-286)</t>
  </si>
  <si>
    <t>Sold (saleId:SAL-1768937388044-397)</t>
  </si>
  <si>
    <t>Sold (saleId:SAL-1768840444515-858)</t>
  </si>
  <si>
    <t>Sold (saleId:SAL-1768840444488-641)</t>
  </si>
  <si>
    <t>Sold (saleId:SAL-1768840444449-682)</t>
  </si>
  <si>
    <t>Sold (saleId:SAL-1768840444427-242)</t>
  </si>
  <si>
    <t>Sold (saleId:SAL-1768840444404-669)</t>
  </si>
  <si>
    <t>Sold (saleId:SAL-1768839972674-783)</t>
  </si>
  <si>
    <t>Sold (saleId:SAL-1768838940664-492)</t>
  </si>
  <si>
    <t>Sold (saleId:SAL-1768838940634-498)</t>
  </si>
  <si>
    <t>Sold (saleId:SAL-1768838940601-283)</t>
  </si>
  <si>
    <t>Sold (saleId:SAL-1768502002889-483)</t>
  </si>
  <si>
    <t>Sold (saleId:SAL-1768502002869-676)</t>
  </si>
  <si>
    <t>Sold (saleId:SAL-1768502002848-298)</t>
  </si>
  <si>
    <t>Sold (saleId:SAL-1768502002826-984)</t>
  </si>
  <si>
    <t>Sold (saleId:SAL-1768502002801-677)</t>
  </si>
  <si>
    <t>Sold (saleId:SAL-1768502002764-840)</t>
  </si>
  <si>
    <t>Sold (saleId:SAL-1768502002726-257)</t>
  </si>
  <si>
    <t>Sold (saleId:SAL-1768502002688-409)</t>
  </si>
  <si>
    <t>Sold (saleId:SAL-1768502002657-898)</t>
  </si>
  <si>
    <t>Sold (saleId:SAL-1768502002623-707)</t>
  </si>
  <si>
    <t>Sold (saleId:SAL-1768502002591-638)</t>
  </si>
  <si>
    <t>Sold (saleId:SAL-1768502002563-939)</t>
  </si>
  <si>
    <t>Sold (saleId:SAL-1768502002532-440)</t>
  </si>
  <si>
    <t>Sold (saleId:SAL-1768502002493-539)</t>
  </si>
  <si>
    <t>Sold (saleId:SAL-1768502002469-308)</t>
  </si>
  <si>
    <t>Sold (saleId:SAL-1768502002447-741)</t>
  </si>
  <si>
    <t>Sold (saleId:SAL-1768502002424-361)</t>
  </si>
  <si>
    <t>Sold (saleId:SAL-1768502002402-251)</t>
  </si>
  <si>
    <t>Sold (saleId:SAL-1768502002375-663)</t>
  </si>
  <si>
    <t>Sold (saleId:SAL-1768502002352-538)</t>
  </si>
  <si>
    <t>Sold (saleId:SAL-1768502002318-612)</t>
  </si>
  <si>
    <t>Sold (saleId:SAL-1767554067444-119)</t>
  </si>
  <si>
    <t>Sold (saleId:SAL-1767554067417-550)</t>
  </si>
  <si>
    <t>Sold (saleId:SAL-1767554067389-706)</t>
  </si>
  <si>
    <t>Sold (saleId:SAL-1767554067363-575)</t>
  </si>
  <si>
    <t>Sold (saleId:SAL-1767554067332-213)</t>
  </si>
  <si>
    <t>Sold (saleId:SAL-1767299907740-326)</t>
  </si>
  <si>
    <t>Sold (saleId:SAL-1767290853835-593)</t>
  </si>
  <si>
    <t>Sold (saleId:SAL-1767290758724-670)</t>
  </si>
  <si>
    <t>Sold (saleId:SAL-1767290758694-960)</t>
  </si>
  <si>
    <t>Sold (saleId:SAL-1767290758677-442)</t>
  </si>
  <si>
    <t>Sold (saleId:SAL-1767290758661-785)</t>
  </si>
  <si>
    <t>Sold (saleId:SAL-1767290758644-734)</t>
  </si>
  <si>
    <t>Sold (saleId:SAL-1767290758623-282)</t>
  </si>
  <si>
    <t>Sold (saleId:SAL-1767290758607-888)</t>
  </si>
  <si>
    <t>Sold (saleId:SAL-1767290758588-368)</t>
  </si>
  <si>
    <t>Sold (saleId:SAL-1767290758523-131)</t>
  </si>
  <si>
    <t>Sold (saleId:SAL-1767284066072-496)</t>
  </si>
  <si>
    <t>Sold (saleId:SAL-1767284066030-568)</t>
  </si>
  <si>
    <t>Sold (saleId:SAL-1767284065981-170)</t>
  </si>
  <si>
    <t>Sold (saleId:SAL-1767120273044-507)</t>
  </si>
  <si>
    <t>Sold (saleId:SAL-1767104229847-354)</t>
  </si>
  <si>
    <t>Sold (saleId:SAL-1767104079737-839)</t>
  </si>
  <si>
    <t>Sold (saleId:SAL-1767104079717-986)</t>
  </si>
  <si>
    <t>Sold (saleId:SAL-1767104079699-633)</t>
  </si>
  <si>
    <t>Sold (saleId:SAL-1767104079679-571)</t>
  </si>
  <si>
    <t>Sold (saleId:SAL-1767104079657-577)</t>
  </si>
  <si>
    <t>Sold (saleId:SAL-1767104079637-995)</t>
  </si>
  <si>
    <t>Sold (saleId:SAL-1767104079615-687)</t>
  </si>
  <si>
    <t>Sold (saleId:SAL-1767039075511-414)</t>
  </si>
  <si>
    <t>Sold (saleId:SAL-1767039075489-562)</t>
  </si>
  <si>
    <t>Sold (saleId:SAL-1767039075467-752)</t>
  </si>
  <si>
    <t>Sold (saleId:SAL-1767039075443-636)</t>
  </si>
  <si>
    <t>Sold (saleId:SAL-1767039075414-439)</t>
  </si>
  <si>
    <t>Sold (saleId:SAL-1766686185529-314)</t>
  </si>
  <si>
    <t>Sold (saleId:SAL-1766654083597-842)</t>
  </si>
  <si>
    <t>Sold (saleId:SAL-1766654083576-930)</t>
  </si>
  <si>
    <t>Sold (saleId:SAL-1766654083555-895)</t>
  </si>
  <si>
    <t>Sold (saleId:SAL-1766654083535-358)</t>
  </si>
  <si>
    <t>Sold (saleId:SAL-1766654083505-114)</t>
  </si>
  <si>
    <t>Sold (saleId:SAL-1766511048823-174)</t>
  </si>
  <si>
    <t>Sold (saleId:SAL-1766511048799-503)</t>
  </si>
  <si>
    <t>Sold (saleId:SAL-1766511048768-879)</t>
  </si>
  <si>
    <t>Sold (saleId:SAL-1766422091516-780)</t>
  </si>
  <si>
    <t>Sold (saleId:SAL-1766422091502-727)</t>
  </si>
  <si>
    <t>Sold (saleId:SAL-1766422091485-225)</t>
  </si>
  <si>
    <t>Sold (saleId:SAL-1766261669124-719)</t>
  </si>
  <si>
    <t>Sold (saleId:SAL-1766261669094-112)</t>
  </si>
  <si>
    <t>ايمان محروس</t>
  </si>
  <si>
    <t>Sold (saleId:SAL-1766261669068-375)</t>
  </si>
  <si>
    <t>تم دفع 700</t>
  </si>
  <si>
    <t>متبقي 600</t>
  </si>
  <si>
    <t>Sold (saleId:SAL-1766261669045-909)</t>
  </si>
  <si>
    <t>Sold (saleId:SAL-1766261669017-766)</t>
  </si>
  <si>
    <t>Sold (saleId:SAL-1766087890659-715)</t>
  </si>
  <si>
    <t>Sold (saleId:SAL-1766087890628-759)</t>
  </si>
  <si>
    <t>Sold (saleId:SAL-1766087890599-409)</t>
  </si>
  <si>
    <t>Sold (saleId:SAL-1766085125887-709)</t>
  </si>
  <si>
    <t>الصنف</t>
  </si>
  <si>
    <t>Sold (saleId:SAL-1766085074527-824)</t>
  </si>
  <si>
    <t>Sold (saleId:SAL-1766084993990-725)</t>
  </si>
  <si>
    <t>Sold (saleId:SAL-1766084993961-139)</t>
  </si>
  <si>
    <t>Sold (saleId:SAL-1766084993936-397)</t>
  </si>
  <si>
    <t>Sold (saleId:SAL-1765996440971-652)</t>
  </si>
  <si>
    <t>Sold (saleId:SAL-1765996440948-266)</t>
  </si>
  <si>
    <t>مصطفى عيسى</t>
  </si>
  <si>
    <t>تم دفع 2060</t>
  </si>
  <si>
    <t>متبقي 300</t>
  </si>
  <si>
    <t>Sold (saleId:SAL-1765996440925-109)</t>
  </si>
  <si>
    <t>Sold (saleId:SAL-1765996440904-685)</t>
  </si>
  <si>
    <t>Sold (saleId:SAL-1765996440876-852)</t>
  </si>
  <si>
    <t>Sold (saleId:SAL-1765996440848-557)</t>
  </si>
  <si>
    <t>Sold (saleId:SAL-1765996440815-367)</t>
  </si>
  <si>
    <t>Sold (saleId:SAL-1765996440786-445)</t>
  </si>
  <si>
    <t>Sold (saleId:SAL-1765823569086-868)</t>
  </si>
  <si>
    <t>Sold (saleId:SAL-1765823569061-452)</t>
  </si>
  <si>
    <t>Sold (saleId:SAL-1765823569032-333)</t>
  </si>
  <si>
    <t>Sold (saleId:SAL-1765823569000-500)</t>
  </si>
  <si>
    <t>Sold (saleId:SAL-1765823568973-689)</t>
  </si>
  <si>
    <t>Sold (saleId:SAL-1765809928192-665)</t>
  </si>
  <si>
    <t>Sold (saleId:SAL-1765809928159-512)</t>
  </si>
  <si>
    <t>Sold (saleId:SAL-1765736976265-754)</t>
  </si>
  <si>
    <t>Sold (saleId:SAL-1765736905136-964)</t>
  </si>
  <si>
    <t>Sold (saleId:SAL-1765736905110-654)</t>
  </si>
  <si>
    <t>Sold (saleId:SAL-1765736905082-838)</t>
  </si>
  <si>
    <t>Sold (saleId:SAL-1765736905065-323)</t>
  </si>
  <si>
    <t>Sold (saleId:SAL-1765736905046-948)</t>
  </si>
  <si>
    <t>Sold (saleId:SAL-1765736905032-243)</t>
  </si>
  <si>
    <t>Sold (saleId:SAL-1765736905016-531)</t>
  </si>
  <si>
    <t>Sold (saleId:SAL-1765736905000-306)</t>
  </si>
  <si>
    <t>Sold (saleId:SAL-1765736904984-551)</t>
  </si>
  <si>
    <t>Sold (saleId:SAL-1765736904968-399)</t>
  </si>
  <si>
    <t>Sold (saleId:SAL-1765736904950-754)</t>
  </si>
  <si>
    <t>Sold (saleId:SAL-1765736904933-545)</t>
  </si>
  <si>
    <t>Sold (saleId:SAL-1765736193534-653)</t>
  </si>
  <si>
    <t>Sold (saleId:SAL-1765736193515-371)</t>
  </si>
  <si>
    <t>Sold (saleId:SAL-1765283296817-135)</t>
  </si>
  <si>
    <t>Sold (saleId:SAL-1765283296703-836)</t>
  </si>
  <si>
    <t>Sold (saleId:SAL-1765219103024-681)</t>
  </si>
  <si>
    <t>Sold (saleId:SAL-1765219103002-376)</t>
  </si>
  <si>
    <t>Sold (saleId:SAL-1765218803015-995)</t>
  </si>
  <si>
    <t>Sold (saleId:SAL-1765218803001-543)</t>
  </si>
  <si>
    <t>Sold (saleId:SAL-1765218802979-711)</t>
  </si>
  <si>
    <t>Sold (saleId:SAL-1765218802944-254)</t>
  </si>
  <si>
    <t>Sold (saleId:SAL-1765196863799-908)</t>
  </si>
  <si>
    <t>Sold (saleId:SAL-1765196863771-281)</t>
  </si>
  <si>
    <t>Sold (saleId:SAL-1765196863750-560)</t>
  </si>
  <si>
    <t>Sold (saleId:SAL-1765059762505-643)</t>
  </si>
  <si>
    <t>Sold (saleId:SAL-1765059762453-418)</t>
  </si>
  <si>
    <t>Sold (saleId:SAL-1765059762427-337)</t>
  </si>
  <si>
    <t>Sold (saleId:SAL-1765059762406-441)</t>
  </si>
  <si>
    <t>Sold (saleId:SAL-1765059762383-965)</t>
  </si>
  <si>
    <t>Sold (saleId:SAL-1765059354168-796)</t>
  </si>
  <si>
    <t>Sold (saleId:SAL-1765059354138-969)</t>
  </si>
  <si>
    <t>Sold (saleId:SAL-1765059354089-342)</t>
  </si>
  <si>
    <t>Sold (saleId:SAL-1765059354055-592)</t>
  </si>
  <si>
    <t>Sold (saleId:SAL-1765059354031-566)</t>
  </si>
  <si>
    <t>Sold (saleId:SAL-1765059353995-723)</t>
  </si>
  <si>
    <t>Sold (saleId:SAL-1765059353971-173)</t>
  </si>
  <si>
    <t>Sold (saleId:SAL-1765059353951-479)</t>
  </si>
  <si>
    <t>Sold (saleId:SAL-1765059353920-311)</t>
  </si>
  <si>
    <t>Sold (saleId:SAL-1765059353897-646)</t>
  </si>
  <si>
    <t>Sold (saleId:SAL-1765059353873-643)</t>
  </si>
  <si>
    <t>Sold (saleId:SAL-1765059353852-537)</t>
  </si>
  <si>
    <t>Sold (saleId:SAL-1765059353828-610)</t>
  </si>
  <si>
    <t>Sold (saleId:SAL-1765059353806-688)</t>
  </si>
  <si>
    <t>Sold (saleId:SAL-1765059353784-295)</t>
  </si>
  <si>
    <t>Sold (saleId:SAL-1765059353753-748)</t>
  </si>
  <si>
    <t>Sold (saleId:SAL-1765059353734-418)</t>
  </si>
  <si>
    <t>Sold (saleId:SAL-1765059353714-583)</t>
  </si>
  <si>
    <t>Sold (saleId:SAL-1765059353684-370)</t>
  </si>
  <si>
    <t>Sold (saleId:SAL-1765059353664-739)</t>
  </si>
  <si>
    <t>Sold (saleId:SAL-1765059353645-743)</t>
  </si>
  <si>
    <t>Sold (saleId:SAL-1765059353618-553)</t>
  </si>
  <si>
    <t>Sold (saleId:SAL-1765059353596-548)</t>
  </si>
  <si>
    <t>Sold (saleId:SAL-1765059353574-324)</t>
  </si>
  <si>
    <t>Sold (saleId:SAL-1765059353554-509)</t>
  </si>
  <si>
    <t>Sold (saleId:SAL-1765059353530-413)</t>
  </si>
  <si>
    <t>Sold (saleId:SAL-1765059353480-250)</t>
  </si>
  <si>
    <t>Sold (saleId:SAL-1765059353449-794)</t>
  </si>
  <si>
    <t>Sold (saleId:SAL-1765059353411-688)</t>
  </si>
  <si>
    <t>Sold (saleId:SAL-1765059353383-213)</t>
  </si>
  <si>
    <t>Sold (saleId:SAL-1765059353354-906)</t>
  </si>
  <si>
    <t>Sold (saleId:SAL-1765059353321-569)</t>
  </si>
  <si>
    <t>Sold (saleId:SAL-1765059353292-173)</t>
  </si>
  <si>
    <t>احمد محمود</t>
  </si>
  <si>
    <t>تم دفع 400</t>
  </si>
  <si>
    <t>متبقي 160</t>
  </si>
  <si>
    <t>Sold (saleId:SAL-1765059353259-224)</t>
  </si>
  <si>
    <t>Sold (saleId:SAL-1765059353237-114)</t>
  </si>
  <si>
    <t>Sold (saleId:SAL-1765059353210-625)</t>
  </si>
  <si>
    <t>Sold (saleId:SAL-1765059353189-125)</t>
  </si>
  <si>
    <t>Sold (saleId:SAL-1765059353166-208)</t>
  </si>
  <si>
    <t>Sold (saleId:SAL-1765059353142-906)</t>
  </si>
  <si>
    <t>Sold (saleId:SAL-1765059353119-781)</t>
  </si>
  <si>
    <t>Sold (saleId:SAL-1765059353094-346)</t>
  </si>
  <si>
    <t>Sold (saleId:SAL-1765059353073-177)</t>
  </si>
  <si>
    <t>Sold (saleId:SAL-1765059353051-749)</t>
  </si>
  <si>
    <t>Sold (saleId:SAL-1765059353023-397)</t>
  </si>
  <si>
    <t>Sold (saleId:SAL-1765059352993-655)</t>
  </si>
  <si>
    <t>Sold (saleId:SAL-1765059352973-408)</t>
  </si>
  <si>
    <t>Sold (saleId:SAL-1765059352953-617)</t>
  </si>
  <si>
    <t>Sold (saleId:SAL-1765059352924-323)</t>
  </si>
  <si>
    <t>Sold (saleId:SAL-1765059352896-944)</t>
  </si>
  <si>
    <t>Sold (saleId:SAL-1765059352865-204)</t>
  </si>
  <si>
    <t>Sold (saleId:SAL-1765059352843-684)</t>
  </si>
  <si>
    <t>Sold (saleId:SAL-1765059352817-963)</t>
  </si>
  <si>
    <t>Sold (saleId:SAL-1765059352783-262)</t>
  </si>
  <si>
    <t>Sold (saleId:SAL-1765059352761-922)</t>
  </si>
  <si>
    <t>تم دفع 550</t>
  </si>
  <si>
    <t>متبقي 560</t>
  </si>
  <si>
    <t>Sold (saleId:SAL-1765059352733-198)</t>
  </si>
  <si>
    <t>Sold (saleId:SAL-1765059352711-959)</t>
  </si>
  <si>
    <t>Sold (saleId:SAL-1765059352690-170)</t>
  </si>
  <si>
    <t>Sold (saleId:SAL-1765059352668-604)</t>
  </si>
  <si>
    <t>Sold (saleId:SAL-1765059352642-652)</t>
  </si>
  <si>
    <t>Sold (saleId:SAL-1765059352616-594)</t>
  </si>
  <si>
    <t>Sold (saleId:SAL-1765059352582-630)</t>
  </si>
  <si>
    <t>Sold (saleId:SAL-1765059352562-165)</t>
  </si>
  <si>
    <t>Sold (saleId:SAL-1765059352543-497)</t>
  </si>
  <si>
    <t>Sold (saleId:SAL-1765059352524-754)</t>
  </si>
  <si>
    <t>Sold (saleId:SAL-1765059352493-863)</t>
  </si>
  <si>
    <t>Sold (saleId:SAL-1765059352469-706)</t>
  </si>
  <si>
    <t>Sold (saleId:SAL-1765059352449-548)</t>
  </si>
  <si>
    <t>Sold (saleId:SAL-1765059352426-431)</t>
  </si>
  <si>
    <t>Sold (saleId:SAL-1765059352400-271)</t>
  </si>
  <si>
    <t>Sold (saleId:SAL-1765059352376-170)</t>
  </si>
  <si>
    <t>Sold (saleId:SAL-1765059352358-604)</t>
  </si>
  <si>
    <t>Sold (saleId:SAL-1765059352329-147)</t>
  </si>
  <si>
    <t>Sold (saleId:SAL-1765059352302-501)</t>
  </si>
  <si>
    <t>تم دفع 1200</t>
  </si>
  <si>
    <t>علينا 25</t>
  </si>
  <si>
    <t>Sold (saleId:SAL-1765059352275-901)</t>
  </si>
  <si>
    <t>Sold (saleId:SAL-1765059352255-577)</t>
  </si>
  <si>
    <t>Sold (saleId:SAL-1765059352231-642)</t>
  </si>
  <si>
    <t>Sold (saleId:SAL-1765059352208-221)</t>
  </si>
  <si>
    <t>Sold (saleId:SAL-1765059352177-809)</t>
  </si>
  <si>
    <t>Sold (saleId:SAL-1765059352156-973)</t>
  </si>
  <si>
    <t>Sold (saleId:SAL-1765059352140-406)</t>
  </si>
  <si>
    <t>Sold (saleId:SAL-1765059352119-147)</t>
  </si>
  <si>
    <t>Sold (saleId:SAL-1765059352091-297)</t>
  </si>
  <si>
    <t>Sold (saleId:SAL-1765059352067-891)</t>
  </si>
  <si>
    <t>Sold (saleId:SAL-1765059352035-149)</t>
  </si>
  <si>
    <t>Sold (saleId:SAL-1765059352005-344)</t>
  </si>
  <si>
    <t>Sold (saleId:SAL-1765059351974-264)</t>
  </si>
  <si>
    <t>خالص</t>
  </si>
  <si>
    <t>Sold (saleId:SAL-1765059351941-982)</t>
  </si>
  <si>
    <t>Sold (saleId:SAL-1765059351893-901)</t>
  </si>
  <si>
    <t>Sold (saleId:SAL-1765059351831-912)</t>
  </si>
  <si>
    <t>Sold (saleId:SAL-1765059351747-379)</t>
  </si>
  <si>
    <t>Sold (saleId:SAL-1765059351699-749)</t>
  </si>
  <si>
    <t>Sold (saleId:SAL-1765059351668-162)</t>
  </si>
  <si>
    <t>Sold (saleId:SAL-1765059351648-508)</t>
  </si>
  <si>
    <t>Sold (saleId:SAL-1765059351618-734)</t>
  </si>
  <si>
    <t>Sold (saleId:SAL-1765059351588-912)</t>
  </si>
  <si>
    <t>Sold (saleId:SAL-1765059351558-710)</t>
  </si>
  <si>
    <t>Sold (saleId:SAL-1765059351533-856)</t>
  </si>
  <si>
    <t>Sold (saleId:SAL-1765059351501-124)</t>
  </si>
  <si>
    <t>Sold (saleId:SAL-1765059351474-645)</t>
  </si>
  <si>
    <t>Sold (saleId:SAL-1765059351442-959)</t>
  </si>
  <si>
    <t>Sold (saleId:SAL-1765059351422-820)</t>
  </si>
  <si>
    <t>Sold (saleId:SAL-1765059351394-294)</t>
  </si>
  <si>
    <t>Sold (saleId:SAL-1765059351372-180)</t>
  </si>
  <si>
    <t>Sold (saleId:SAL-1765059351345-737)</t>
  </si>
  <si>
    <t>Sold (saleId:SAL-1765059351311-245)</t>
  </si>
  <si>
    <t>Sold (saleId:SAL-1765059351282-668)</t>
  </si>
  <si>
    <t>Sold (saleId:SAL-1765059351246-449)</t>
  </si>
  <si>
    <t>Sold (saleId:SAL-1765059351216-742)</t>
  </si>
  <si>
    <t>Sold (saleId:SAL-1765059351185-683)</t>
  </si>
  <si>
    <t>Sold (saleId:SAL-1765059351158-442)</t>
  </si>
  <si>
    <t>Sold (saleId:SAL-1765059351134-810)</t>
  </si>
  <si>
    <t>Sold (saleId:SAL-1765059351108-527)</t>
  </si>
  <si>
    <t>Sold (saleId:SAL-1765059351087-195)</t>
  </si>
  <si>
    <t>Sold (saleId:SAL-1765059351063-684)</t>
  </si>
  <si>
    <t>Sold (saleId:SAL-1765059351040-803)</t>
  </si>
  <si>
    <t>Sold (saleId:SAL-1765059351010-554)</t>
  </si>
  <si>
    <t>Sold (saleId:SAL-1765059350986-657)</t>
  </si>
  <si>
    <t>Sold (saleId:SAL-1765059350963-351)</t>
  </si>
  <si>
    <t>Sold (saleId:SAL-1765059350941-312)</t>
  </si>
  <si>
    <t>Sold (saleId:SAL-1765059350912-309)</t>
  </si>
  <si>
    <t>Sold (saleId:SAL-1765059350871-868)</t>
  </si>
  <si>
    <t>Sold (saleId:SAL-1765059350845-437)</t>
  </si>
  <si>
    <t>Sold (saleId:SAL-1765059350814-965)</t>
  </si>
  <si>
    <t>Sold (saleId:SAL-1765059350763-157)</t>
  </si>
  <si>
    <t>Sold (saleId:SAL-1765059350741-325)</t>
  </si>
  <si>
    <t>Sold (saleId:SAL-1765059350717-504)</t>
  </si>
  <si>
    <t>Sold (saleId:SAL-1765059350684-993)</t>
  </si>
  <si>
    <t>Sold (saleId:SAL-1765059350659-867)</t>
  </si>
  <si>
    <t>Sold (saleId:SAL-1765059350642-118)</t>
  </si>
  <si>
    <t>Sold (saleId:SAL-1765059350605-252)</t>
  </si>
  <si>
    <t>Sold (saleId:SAL-1765059350582-786)</t>
  </si>
  <si>
    <t>Sold (saleId:SAL-1765059350548-724)</t>
  </si>
  <si>
    <t>Sold (saleId:SAL-1765059350527-655)</t>
  </si>
  <si>
    <t>Sold (saleId:SAL-1765059350496-678)</t>
  </si>
  <si>
    <t>Sold (saleId:SAL-1765059350454-829)</t>
  </si>
  <si>
    <t>Sold (saleId:SAL-1765059350421-937)</t>
  </si>
  <si>
    <t>Sold (saleId:SAL-1765059350365-872)</t>
  </si>
  <si>
    <t>Sold (saleId:SAL-1765059350312-368)</t>
  </si>
  <si>
    <t>Sold (saleId:SAL-1765059350249-756)</t>
  </si>
  <si>
    <t>Sold (saleId:SAL-1765059350171-777)</t>
  </si>
  <si>
    <t>Sold (saleId:SAL-1765059350126-193)</t>
  </si>
  <si>
    <t>Sold (saleId:SAL-1765059350083-902)</t>
  </si>
  <si>
    <t>Sold (saleId:SAL-1765059350051-624)</t>
  </si>
  <si>
    <t>Sold (saleId:SAL-1765059350014-634)</t>
  </si>
  <si>
    <t>Sold (saleId:SAL-1765059349977-884)</t>
  </si>
  <si>
    <t>Sold (saleId:SAL-1765059349940-237)</t>
  </si>
  <si>
    <t>Sold (saleId:SAL-1765059349899-623)</t>
  </si>
  <si>
    <t>Sold (saleId:SAL-1765059349858-877)</t>
  </si>
  <si>
    <t>Sold (saleId:SAL-1765059349825-503)</t>
  </si>
  <si>
    <t>Sold (saleId:SAL-1765059349793-626)</t>
  </si>
  <si>
    <t>Sold (saleId:SAL-1765059349763-131)</t>
  </si>
  <si>
    <t>Sold (saleId:SAL-1765059349703-639)</t>
  </si>
  <si>
    <t>Sold (saleId:SAL-1765059349640-905)</t>
  </si>
  <si>
    <t>Sold (saleId:SAL-1765059349575-580)</t>
  </si>
  <si>
    <t>Sold (saleId:SAL-1765059349519-256)</t>
  </si>
  <si>
    <t>Sold (saleId:SAL-1765059349480-506)</t>
  </si>
  <si>
    <t>Sold (saleId:SAL-1765059349440-492)</t>
  </si>
  <si>
    <t>Sold (saleId:SAL-1765059349390-343)</t>
  </si>
  <si>
    <t>Sold (saleId:SAL-1765059349341-529)</t>
  </si>
  <si>
    <t>Sold (saleId:SAL-1765059349269-768)</t>
  </si>
  <si>
    <t>Sold (saleId:SAL-1765059349226-783)</t>
  </si>
  <si>
    <t>Sold (saleId:SAL-1765059349159-109)</t>
  </si>
  <si>
    <t>Sold (saleId:SAL-1765059349111-105)</t>
  </si>
  <si>
    <t>Sold (saleId:SAL-1765059349066-375)</t>
  </si>
  <si>
    <t>Sold (saleId:SAL-1765059349018-149)</t>
  </si>
  <si>
    <t>Sold (saleId:SAL-1765059348922-773)</t>
  </si>
  <si>
    <t>Sold (saleId:SAL-1765059348850-489)</t>
  </si>
  <si>
    <t>Sold (saleId:SAL-1765059348809-656)</t>
  </si>
  <si>
    <t>Sold (saleId:SAL-1765059348777-924)</t>
  </si>
  <si>
    <t>Sold (saleId:SAL-1765059348746-491)</t>
  </si>
  <si>
    <t>Sold (saleId:SAL-1765059348709-199)</t>
  </si>
  <si>
    <t>Sold (saleId:SAL-1765059348673-597)</t>
  </si>
  <si>
    <t>Sold (saleId:SAL-1765059348644-104)</t>
  </si>
  <si>
    <t>Sold (saleId:SAL-1765059348613-436)</t>
  </si>
  <si>
    <t>Sold (saleId:SAL-1765059348583-559)</t>
  </si>
  <si>
    <t>Sold (saleId:SAL-1765059348536-944)</t>
  </si>
  <si>
    <t>Sold (saleId:SAL-1765059348470-354)</t>
  </si>
  <si>
    <t>Sold (saleId:SAL-1765059348422-749)</t>
  </si>
  <si>
    <t>Sold (saleId:SAL-1765059348389-775)</t>
  </si>
  <si>
    <t>Sold (saleId:SAL-1765059348355-372)</t>
  </si>
  <si>
    <t>Sold (saleId:SAL-1765059348328-134)</t>
  </si>
  <si>
    <t>Sold (saleId:SAL-1765059348297-296)</t>
  </si>
  <si>
    <t>Sold (saleId:SAL-1765059348263-237)</t>
  </si>
  <si>
    <t>Sold (saleId:SAL-1765059348228-749)</t>
  </si>
  <si>
    <t xml:space="preserve">ليلي محمد </t>
  </si>
  <si>
    <t>Sold (saleId:SAL-1765059348203-782)</t>
  </si>
  <si>
    <t>Sold (saleId:SAL-1765059348159-447)</t>
  </si>
  <si>
    <t>Sold (saleId:SAL-1765059348114-585)</t>
  </si>
  <si>
    <t>Sold (saleId:SAL-1765059348075-275)</t>
  </si>
  <si>
    <t>Sold (saleId:SAL-1765059348052-580)</t>
  </si>
  <si>
    <t>Sold (saleId:SAL-1765059348029-887)</t>
  </si>
  <si>
    <t>Sold (saleId:SAL-1765059348003-390)</t>
  </si>
  <si>
    <t>Sold (saleId:SAL-1765059347975-219)</t>
  </si>
  <si>
    <t>Sold (saleId:SAL-1765059347947-317)</t>
  </si>
  <si>
    <t>Sold (saleId:SAL-1765059347922-722)</t>
  </si>
  <si>
    <t>Sold (saleId:SAL-1765059347894-950)</t>
  </si>
  <si>
    <t>Sold (saleId:SAL-1765059347851-686)</t>
  </si>
  <si>
    <t>Sold (saleId:SAL-1765059347812-969)</t>
  </si>
  <si>
    <t>Sold (saleId:SAL-1765059347778-898)</t>
  </si>
  <si>
    <t>Sold (saleId:SAL-1765059347739-667)</t>
  </si>
  <si>
    <t>Sold (saleId:SAL-1765059347709-743)</t>
  </si>
  <si>
    <t>Sold (saleId:SAL-1765059347675-928)</t>
  </si>
  <si>
    <t>Sold (saleId:SAL-1765059347643-179)</t>
  </si>
  <si>
    <t>Sold (saleId:SAL-1765059347616-473)</t>
  </si>
  <si>
    <t>Sold (saleId:SAL-1765059347584-687)</t>
  </si>
  <si>
    <t>Sold (saleId:SAL-1765059347558-695)</t>
  </si>
  <si>
    <t>Sold (saleId:SAL-1765059347533-739)</t>
  </si>
  <si>
    <t>Sold (saleId:SAL-1765059347499-157)</t>
  </si>
  <si>
    <t>Sold (saleId:SAL-1765059347473-514)</t>
  </si>
  <si>
    <t>Sold (saleId:SAL-1765059347444-973)</t>
  </si>
  <si>
    <t>Sold (saleId:SAL-1765059347412-273)</t>
  </si>
  <si>
    <t xml:space="preserve">منى محمد </t>
  </si>
  <si>
    <t>Sold (saleId:SAL-1765059347379-326)</t>
  </si>
  <si>
    <t>Sold (saleId:SAL-1765059347355-448)</t>
  </si>
  <si>
    <t>Sold (saleId:SAL-1765059347322-954)</t>
  </si>
  <si>
    <t>Sold (saleId:SAL-1765059347287-676)</t>
  </si>
  <si>
    <t>Sold (saleId:SAL-1765059347259-242)</t>
  </si>
  <si>
    <t>احمد محمد عبدالشكور</t>
  </si>
  <si>
    <t>SAL-1780161834449-550</t>
  </si>
  <si>
    <t>SAL-1780161834488-963</t>
  </si>
  <si>
    <t>SAL-1780161834522-839</t>
  </si>
  <si>
    <t>SAL-1780161834567-960</t>
  </si>
  <si>
    <t>ادهم عصام</t>
  </si>
  <si>
    <t xml:space="preserve">لسا مضنش </t>
  </si>
  <si>
    <t>SAL-1780161834611-942</t>
  </si>
  <si>
    <t>SAL-1780161834650-459</t>
  </si>
  <si>
    <t>فاتورة مفروشات ب 450</t>
  </si>
  <si>
    <t>ام شيماء</t>
  </si>
  <si>
    <t>SAL-1780161834673-968</t>
  </si>
  <si>
    <t>SAL-1780161834694-163</t>
  </si>
  <si>
    <t>SAL-1780161834711-555</t>
  </si>
  <si>
    <t>SAL-1780161834733-507</t>
  </si>
  <si>
    <t>SAL-1780161834753-176</t>
  </si>
  <si>
    <t>SAL-1780161834777-109</t>
  </si>
  <si>
    <t>SAL-1780161834794-481</t>
  </si>
  <si>
    <t>SAL-1780161834814-438</t>
  </si>
  <si>
    <t>SAL-1780161834833-476</t>
  </si>
  <si>
    <t>SAL-1780161834855-421</t>
  </si>
  <si>
    <t>SAL-1780161834882-779</t>
  </si>
  <si>
    <t>SAL-1780161834900-294</t>
  </si>
  <si>
    <t>SAL-1780161834919-721</t>
  </si>
  <si>
    <t>SAL-1780161834942-102</t>
  </si>
  <si>
    <t>SAL-1780161834969-926</t>
  </si>
  <si>
    <t>SAL-1780161834995-218</t>
  </si>
  <si>
    <t>SAL-1780161835025-945</t>
  </si>
  <si>
    <t>SAL-1780161835047-169</t>
  </si>
  <si>
    <t>SAL-1780161835075-665</t>
  </si>
  <si>
    <t>SAL-1780161835095-474</t>
  </si>
  <si>
    <t>SAL-1780161835115-324</t>
  </si>
  <si>
    <t>SAL-1780161835144-556</t>
  </si>
  <si>
    <t>SAL-1780161835173-763</t>
  </si>
  <si>
    <t>SAL-1780161835197-822</t>
  </si>
  <si>
    <t>SAL-1780161835223-425</t>
  </si>
  <si>
    <t>SAL-1780161835248-243</t>
  </si>
  <si>
    <t>SAL-1780161835268-855</t>
  </si>
  <si>
    <t>SAL-1780161835295-732</t>
  </si>
  <si>
    <t>SAL-1780161835315-788</t>
  </si>
  <si>
    <t>SAL-1780161835335-155</t>
  </si>
  <si>
    <t>SAL-1780161835365-715</t>
  </si>
  <si>
    <t>SAL-1780161835392-908</t>
  </si>
  <si>
    <t>SAL-1780161835424-548</t>
  </si>
  <si>
    <t>SAL-1780161835447-251</t>
  </si>
  <si>
    <t>SAL-1780161835474-504</t>
  </si>
  <si>
    <t>SAL-1780161835496-255</t>
  </si>
  <si>
    <t>SAL-1780161835520-386</t>
  </si>
  <si>
    <t>SAL-1780161835544-476</t>
  </si>
  <si>
    <t>SAL-1780161835566-916</t>
  </si>
  <si>
    <t>SAL-1780161835591-319</t>
  </si>
  <si>
    <t>SAL-1780161835609-326</t>
  </si>
  <si>
    <t>SAL-1780161835629-396</t>
  </si>
  <si>
    <t>SAL-1780161835659-245</t>
  </si>
  <si>
    <t>SAL-1780161835685-986</t>
  </si>
  <si>
    <t>SAL-1780161835708-235</t>
  </si>
  <si>
    <t>SAL-1780161835735-252</t>
  </si>
  <si>
    <t>SAL-1780161835754-525</t>
  </si>
  <si>
    <t>SAL-1780161835782-839</t>
  </si>
  <si>
    <t>SAL-1780161835802-122</t>
  </si>
  <si>
    <t>SAL-1780161835822-589</t>
  </si>
  <si>
    <t>SAL-1780161835847-853</t>
  </si>
  <si>
    <t>SAL-1780161835872-802</t>
  </si>
  <si>
    <t>SAL-1780161835894-207</t>
  </si>
  <si>
    <t>SAL-1780161835920-942</t>
  </si>
  <si>
    <t>SAL-1780161835944-438</t>
  </si>
  <si>
    <t>SAL-1780161835966-516</t>
  </si>
  <si>
    <t>SAL-1780161835989-742</t>
  </si>
  <si>
    <t>SAL-1780161836012-190</t>
  </si>
  <si>
    <t>SAL-1780161836052-544</t>
  </si>
  <si>
    <t>SAL-1780161836083-521</t>
  </si>
  <si>
    <t>SAL-1780161836110-741</t>
  </si>
  <si>
    <t>SAL-1780161836133-971</t>
  </si>
  <si>
    <t>SAL-1780161836158-686</t>
  </si>
  <si>
    <t>SAL-1780161836203-998</t>
  </si>
  <si>
    <t>SAL-1780161836240-689</t>
  </si>
  <si>
    <t>SAL-1780161836277-927</t>
  </si>
  <si>
    <t>SAL-1780161836308-324</t>
  </si>
  <si>
    <t>SAL-1780161836341-544</t>
  </si>
  <si>
    <t>SAL-1780161836367-547</t>
  </si>
  <si>
    <t>SAL-1780161836403-548</t>
  </si>
  <si>
    <t>SAL-1780161836422-755</t>
  </si>
  <si>
    <t>SAL-1780161836440-367</t>
  </si>
  <si>
    <t>SAL-1780161836456-294</t>
  </si>
  <si>
    <t>SAL-1780161836474-420</t>
  </si>
  <si>
    <t>SAL-1780161836490-414</t>
  </si>
  <si>
    <t>SAL-1780161836508-199</t>
  </si>
  <si>
    <t>SAL-1780161836522-910</t>
  </si>
  <si>
    <t>SAL-1780161836540-211</t>
  </si>
  <si>
    <t>SAL-1780161836567-832</t>
  </si>
  <si>
    <t>SAL-1780161836586-322</t>
  </si>
  <si>
    <t>SAL-1780161836604-874</t>
  </si>
  <si>
    <t>SAL-1780161836627-394</t>
  </si>
  <si>
    <t>SAL-1780161836647-799</t>
  </si>
  <si>
    <t>SAL-1780161836671-448</t>
  </si>
  <si>
    <t>SAL-1780161836695-648</t>
  </si>
  <si>
    <t>SAL-1780161836715-156</t>
  </si>
  <si>
    <t>SAL-1780161836736-361</t>
  </si>
  <si>
    <t>SAL-1780161836757-706</t>
  </si>
  <si>
    <t>SAL-1780161836786-380</t>
  </si>
  <si>
    <t>SAL-1780161836804-282</t>
  </si>
  <si>
    <t>SAL-1780161836823-332</t>
  </si>
  <si>
    <t>SAL-1780161836841-468</t>
  </si>
  <si>
    <t>SAL-1780161836861-180</t>
  </si>
  <si>
    <t>SAL-1780161836878-616</t>
  </si>
  <si>
    <t>SAL-1780161836894-337</t>
  </si>
  <si>
    <t>SAL-1780161836908-512</t>
  </si>
  <si>
    <t>SAL-1780161836922-765</t>
  </si>
  <si>
    <t>SAL-1780161836939-444</t>
  </si>
  <si>
    <t>SAL-1780161836960-777</t>
  </si>
  <si>
    <t>SAL-1780161836977-337</t>
  </si>
  <si>
    <t>SAL-1780161836994-669</t>
  </si>
  <si>
    <t>SAL-1780161837013-981</t>
  </si>
  <si>
    <t>SAL-1780161837048-127</t>
  </si>
  <si>
    <t>SAL-1780161837079-837</t>
  </si>
  <si>
    <t>SAL-1780161837096-317</t>
  </si>
  <si>
    <t>SAL-1780161837113-803</t>
  </si>
  <si>
    <t>SAL-1780161837131-607</t>
  </si>
  <si>
    <t>SAL-1780161837150-351</t>
  </si>
  <si>
    <t>SAL-1780161837170-646</t>
  </si>
  <si>
    <t>SAL-1780161837188-871</t>
  </si>
  <si>
    <t>SAL-1780161837203-839</t>
  </si>
  <si>
    <t>SAL-1780161837219-638</t>
  </si>
  <si>
    <t>SAL-1780161837238-713</t>
  </si>
  <si>
    <t>SAL-1780161837260-812</t>
  </si>
  <si>
    <t>SAL-1780161837286-121</t>
  </si>
  <si>
    <t>SAL-1780161837305-822</t>
  </si>
  <si>
    <t>SAL-1780161837323-498</t>
  </si>
  <si>
    <t>SAL-1780161837341-419</t>
  </si>
  <si>
    <t>SAL-1780161837359-977</t>
  </si>
  <si>
    <t>SAL-1780161837383-975</t>
  </si>
  <si>
    <t>SAL-1780161837407-215</t>
  </si>
  <si>
    <t>SAL-1780161837428-930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</si>
</sst>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/MM/dd"/>
    <numFmt numFmtId="165" formatCode="m/d/yyyy h:mm:ss"/>
    <numFmt numFmtId="166" formatCode="m.d"/>
    <numFmt numFmtId="167" formatCode="[$-F800]dddd\,\ mmmm\ dd\,\ yyyy"/>
    <numFmt numFmtId="168" formatCode="#,##0.00;(#,##0.00)"/>
    <numFmt numFmtId="169" formatCode="yyyy.m"/>
    <numFmt numFmtId="170" formatCode="yyyy-mm-dd"/>
    <numFmt numFmtId="171" formatCode="d/m/yyyy"/>
    <numFmt numFmtId="172" formatCode="yyyy/m"/>
    <numFmt numFmtId="173" formatCode="dd-mm-yyyy"/>
    <numFmt numFmtId="174" formatCode="yyyy/mm/dd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rgb="FF434343"/>
      <name val="Aptos Narrow"/>
    </font>
    <font>
      <sz val="11.0"/>
      <color theme="1"/>
      <name val="Verdana"/>
    </font>
    <font>
      <sz val="11.0"/>
      <color rgb="FF434343"/>
      <name val="Arial"/>
    </font>
    <font>
      <sz val="11.0"/>
      <color rgb="FF434343"/>
      <name val="Roboto"/>
    </font>
    <font>
      <sz val="11.0"/>
      <color rgb="FF424242"/>
      <name val="Arial"/>
    </font>
    <font>
      <b/>
      <sz val="11.0"/>
      <color theme="1"/>
      <name val="Arial"/>
    </font>
    <font>
      <color rgb="FF434343"/>
      <name val="Roboto"/>
    </font>
    <font>
      <color theme="1"/>
      <name val="Arial"/>
    </font>
    <font>
      <b/>
      <color theme="1"/>
      <name val="Arial"/>
      <scheme val="minor"/>
    </font>
    <font>
      <b/>
      <sz val="11.0"/>
      <color theme="1"/>
      <name val="Aptos Narrow"/>
    </font>
    <font>
      <sz val="11.0"/>
      <color rgb="FF12501B"/>
      <name val="Aptos Narrow"/>
    </font>
    <font>
      <sz val="11.0"/>
      <color theme="1"/>
      <name val="Arial"/>
      <scheme val="minor"/>
    </font>
    <font>
      <sz val="11.0"/>
      <color rgb="FF12501B"/>
      <name val="Arial"/>
    </font>
    <font>
      <b/>
      <sz val="11.0"/>
      <color rgb="FF12501B"/>
      <name val="Arial"/>
    </font>
    <font>
      <b/>
      <sz val="11.0"/>
      <color rgb="FF12501B"/>
      <name val="Aptos Narrow"/>
    </font>
    <font>
      <b/>
      <sz val="24.0"/>
      <color theme="1"/>
      <name val="Arial"/>
      <scheme val="minor"/>
    </font>
    <font>
      <b/>
      <sz val="18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bottom style="thin">
        <color theme="6"/>
      </bottom>
    </border>
    <border>
      <left style="thin">
        <color theme="1"/>
      </left>
      <right/>
      <top/>
      <bottom style="thin">
        <color theme="6"/>
      </bottom>
    </border>
    <border>
      <left/>
      <right/>
      <top/>
      <bottom style="thin">
        <color theme="6"/>
      </bottom>
    </border>
    <border>
      <left/>
      <right style="thin">
        <color theme="1"/>
      </right>
      <top/>
      <bottom style="thin">
        <color theme="6"/>
      </bottom>
    </border>
    <border>
      <right style="thin">
        <color rgb="FF284E3F"/>
      </right>
    </border>
  </borders>
  <cellStyleXfs count="1">
    <xf borderId="0" fillId="0" fontId="0" numFmtId="0" applyAlignment="1" applyFont="1"/>
  </cellStyleXfs>
  <cellXfs count="3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ill="1" applyFont="1">
      <alignment horizontal="center" shrinkToFit="0" vertical="center" wrapText="0"/>
    </xf>
    <xf borderId="2" fillId="3" fontId="3" numFmtId="4" xfId="0" applyAlignment="1" applyBorder="1" applyFill="1" applyFont="1" applyNumberFormat="1">
      <alignment horizontal="center" shrinkToFit="0" vertical="center" wrapText="0"/>
    </xf>
    <xf borderId="2" fillId="3" fontId="3" numFmtId="164" xfId="0" applyAlignment="1" applyBorder="1" applyFill="1" applyFont="1" applyNumberFormat="1">
      <alignment horizontal="center" shrinkToFit="0" vertical="center" wrapText="0"/>
    </xf>
    <xf borderId="3" fillId="2" fontId="2" numFmtId="0" xfId="0" applyAlignment="1" applyBorder="1" applyFill="1" applyFont="1">
      <alignment horizontal="center" readingOrder="0" shrinkToFit="0" vertical="center" wrapText="0"/>
    </xf>
    <xf borderId="4" fillId="2" fontId="3" numFmtId="0" xfId="0" applyAlignment="1" applyBorder="1" applyFill="1" applyFont="1">
      <alignment horizontal="center" readingOrder="0" shrinkToFit="0" vertical="center" wrapText="0"/>
    </xf>
    <xf borderId="5" fillId="2" fontId="3" numFmtId="0" xfId="0" applyAlignment="1" applyBorder="1" applyFill="1" applyFont="1">
      <alignment horizontal="center" shrinkToFit="0" vertical="center" wrapText="0"/>
    </xf>
    <xf borderId="3" fillId="2" fontId="3" numFmtId="0" xfId="0" applyAlignment="1" applyBorder="1" applyFill="1" applyFont="1">
      <alignment horizontal="center" shrinkToFit="0" vertical="center" wrapText="0"/>
    </xf>
    <xf borderId="3" fillId="2" fontId="3" numFmtId="4" xfId="0" applyAlignment="1" applyBorder="1" applyFill="1" applyFont="1" applyNumberFormat="1">
      <alignment horizontal="center" shrinkToFit="0" vertical="center" wrapText="0"/>
    </xf>
    <xf borderId="3" fillId="2" fontId="3" numFmtId="164" xfId="0" applyAlignment="1" applyBorder="1" applyFill="1" applyFont="1" applyNumberForma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5" fillId="2" fontId="2" numFmtId="0" xfId="0" applyAlignment="1" applyBorder="1" applyFill="1" applyFont="1">
      <alignment horizontal="center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 shrinkToFit="0" vertical="bottom" wrapText="0"/>
    </xf>
    <xf borderId="3" fillId="2" fontId="5" numFmtId="164" xfId="0" applyAlignment="1" applyBorder="1" applyFill="1" applyFont="1" applyNumberFormat="1">
      <alignment horizontal="center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3" fillId="2" fontId="2" numFmtId="4" xfId="0" applyAlignment="1" applyBorder="1" applyFill="1" applyFont="1" applyNumberFormat="1">
      <alignment horizontal="center" shrinkToFit="0" vertical="center" wrapText="0"/>
    </xf>
    <xf borderId="1" fillId="3" fontId="6" numFmtId="0" xfId="0" applyAlignment="1" applyBorder="1" applyFill="1" applyFont="1">
      <alignment horizontal="center" shrinkToFit="0" vertical="center" wrapText="0"/>
    </xf>
    <xf borderId="2" fillId="3" fontId="6" numFmtId="0" xfId="0" applyAlignment="1" applyBorder="1" applyFill="1" applyFont="1">
      <alignment horizontal="center" shrinkToFit="0" vertical="center" wrapText="0"/>
    </xf>
    <xf borderId="2" fillId="3" fontId="6" numFmtId="4" xfId="0" applyAlignment="1" applyBorder="1" applyFill="1" applyFont="1" applyNumberFormat="1">
      <alignment horizontal="center" shrinkToFit="0" vertical="center" wrapText="0"/>
    </xf>
    <xf borderId="2" fillId="3" fontId="6" numFmtId="164" xfId="0" applyAlignment="1" applyBorder="1" applyFill="1" applyFont="1" applyNumberFormat="1">
      <alignment horizontal="center" shrinkToFit="0" vertical="center" wrapText="0"/>
    </xf>
    <xf borderId="5" fillId="2" fontId="6" numFmtId="0" xfId="0" applyAlignment="1" applyBorder="1" applyFill="1" applyFont="1">
      <alignment horizontal="center" shrinkToFit="0" vertical="center" wrapText="0"/>
    </xf>
    <xf borderId="3" fillId="2" fontId="6" numFmtId="0" xfId="0" applyAlignment="1" applyBorder="1" applyFill="1" applyFont="1">
      <alignment horizontal="center" shrinkToFit="0" vertical="center" wrapText="0"/>
    </xf>
    <xf borderId="3" fillId="2" fontId="6" numFmtId="4" xfId="0" applyAlignment="1" applyBorder="1" applyFill="1" applyFont="1" applyNumberFormat="1">
      <alignment horizontal="center" shrinkToFit="0" vertical="center" wrapText="0"/>
    </xf>
    <xf borderId="3" fillId="2" fontId="6" numFmtId="164" xfId="0" applyAlignment="1" applyBorder="1" applyFill="1" applyFont="1" applyNumberFormat="1">
      <alignment horizontal="center" shrinkToFit="0" vertical="center" wrapText="0"/>
    </xf>
    <xf borderId="2" fillId="3" fontId="4" numFmtId="4" xfId="0" applyAlignment="1" applyBorder="1" applyFill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0"/>
    </xf>
    <xf borderId="2" fillId="3" fontId="2" numFmtId="4" xfId="0" applyAlignment="1" applyBorder="1" applyFill="1" applyFont="1" applyNumberFormat="1">
      <alignment horizontal="center" shrinkToFit="0" vertical="center" wrapText="0"/>
    </xf>
    <xf borderId="3" fillId="3" fontId="6" numFmtId="164" xfId="0" applyAlignment="1" applyBorder="1" applyFill="1" applyFont="1" applyNumberFormat="1">
      <alignment horizontal="center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3" fillId="2" fontId="2" numFmtId="0" xfId="0" applyAlignment="1" applyBorder="1" applyFill="1" applyFont="1">
      <alignment horizontal="center" shrinkToFit="0" vertical="center" wrapText="0"/>
    </xf>
    <xf borderId="2" fillId="3" fontId="7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2" fillId="3" fontId="5" numFmtId="0" xfId="0" applyAlignment="1" applyBorder="1" applyFill="1" applyFont="1">
      <alignment horizontal="center" shrinkToFit="0" vertical="center" wrapText="0"/>
    </xf>
    <xf borderId="2" fillId="3" fontId="5" numFmtId="4" xfId="0" applyAlignment="1" applyBorder="1" applyFill="1" applyFont="1" applyNumberFormat="1">
      <alignment horizontal="center" shrinkToFit="0" vertical="center" wrapText="0"/>
    </xf>
    <xf borderId="3" fillId="2" fontId="2" numFmtId="164" xfId="0" applyAlignment="1" applyBorder="1" applyFill="1" applyFont="1" applyNumberFormat="1">
      <alignment horizontal="center" shrinkToFit="0" vertical="center" wrapText="0"/>
    </xf>
    <xf borderId="2" fillId="3" fontId="5" numFmtId="164" xfId="0" applyAlignment="1" applyBorder="1" applyFill="1" applyFont="1" applyNumberFormat="1">
      <alignment horizontal="center" shrinkToFit="0" vertical="center" wrapText="0"/>
    </xf>
    <xf borderId="2" fillId="3" fontId="2" numFmtId="164" xfId="0" applyAlignment="1" applyBorder="1" applyFill="1" applyFont="1" applyNumberFormat="1">
      <alignment horizontal="center" shrinkToFit="0" vertical="center" wrapText="0"/>
    </xf>
    <xf borderId="5" fillId="2" fontId="5" numFmtId="0" xfId="0" applyAlignment="1" applyBorder="1" applyFill="1" applyFont="1">
      <alignment horizontal="center" shrinkToFit="0" vertical="center" wrapText="0"/>
    </xf>
    <xf borderId="3" fillId="2" fontId="5" numFmtId="0" xfId="0" applyAlignment="1" applyBorder="1" applyFill="1" applyFont="1">
      <alignment horizontal="center" shrinkToFit="0" vertical="center" wrapText="0"/>
    </xf>
    <xf borderId="3" fillId="2" fontId="5" numFmtId="4" xfId="0" applyAlignment="1" applyBorder="1" applyFill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6" fillId="2" fontId="2" numFmtId="0" xfId="0" applyAlignment="1" applyBorder="1" applyFill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2" numFmtId="4" xfId="0" applyAlignment="1" applyFill="1" applyFont="1" applyNumberFormat="1">
      <alignment horizontal="center" readingOrder="0" shrinkToFit="0" vertical="center" wrapText="0"/>
    </xf>
    <xf borderId="0" fillId="2" fontId="2" numFmtId="164" xfId="0" applyAlignment="1" applyFill="1" applyFont="1" applyNumberFormat="1">
      <alignment horizontal="center" shrinkToFit="0" vertical="center" wrapText="0"/>
    </xf>
    <xf borderId="0" fillId="0" fontId="3" numFmtId="4" xfId="0" applyAlignment="1" applyFont="1" applyNumberForma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3" fillId="2" fontId="8" numFmtId="0" xfId="0" applyAlignment="1" applyBorder="1" applyFill="1" applyFont="1">
      <alignment horizontal="center" shrinkToFit="0" vertical="center" wrapText="0"/>
    </xf>
    <xf borderId="3" fillId="2" fontId="10" numFmtId="164" xfId="0" applyAlignment="1" applyBorder="1" applyFill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164" xfId="0" applyFont="1" applyNumberFormat="1"/>
    <xf borderId="0" fillId="0" fontId="3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4" xfId="0" applyAlignment="1" applyFont="1" applyNumberFormat="1">
      <alignment horizontal="center" readingOrder="0"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3" numFmtId="4" xfId="0" applyAlignment="1" applyFont="1" applyNumberFormat="1">
      <alignment horizontal="center" shrinkToFit="0" vertical="center" wrapText="0"/>
    </xf>
    <xf borderId="2" fillId="3" fontId="2" numFmtId="0" xfId="0" applyAlignment="1" applyBorder="1" applyFill="1" applyFont="1">
      <alignment horizontal="center" readingOrder="0" shrinkToFit="0" vertical="center" wrapText="0"/>
    </xf>
    <xf borderId="2" fillId="3" fontId="2" numFmtId="0" xfId="0" applyAlignment="1" applyBorder="1" applyFill="1" applyFont="1">
      <alignment horizontal="center" readingOrder="0" shrinkToFit="0" vertical="center" wrapText="0"/>
    </xf>
    <xf borderId="2" fillId="3" fontId="2" numFmtId="4" xfId="0" applyAlignment="1" applyBorder="1" applyFill="1" applyFont="1" applyNumberFormat="1">
      <alignment horizontal="center" readingOrder="0" shrinkToFit="0" vertical="center" wrapText="0"/>
    </xf>
    <xf borderId="2" fillId="3" fontId="11" numFmtId="0" xfId="0" applyAlignment="1" applyBorder="1" applyFill="1" applyFont="1">
      <alignment horizontal="center" readingOrder="0" shrinkToFit="0" vertical="center" wrapText="0"/>
    </xf>
    <xf borderId="2" fillId="3" fontId="2" numFmtId="164" xfId="0" applyAlignment="1" applyBorder="1" applyFill="1" applyFont="1" applyNumberFormat="1">
      <alignment horizontal="center" readingOrder="0" shrinkToFit="0" vertical="center" wrapText="0"/>
    </xf>
    <xf borderId="5" fillId="2" fontId="2" numFmtId="0" xfId="0" applyAlignment="1" applyBorder="1" applyFill="1" applyFont="1">
      <alignment horizontal="center" readingOrder="0" shrinkToFit="0" vertical="center" wrapText="0"/>
    </xf>
    <xf borderId="3" fillId="2" fontId="2" numFmtId="0" xfId="0" applyAlignment="1" applyBorder="1" applyFill="1" applyFont="1">
      <alignment horizontal="center" readingOrder="0" shrinkToFit="0" vertical="center" wrapText="0"/>
    </xf>
    <xf borderId="3" fillId="2" fontId="2" numFmtId="4" xfId="0" applyAlignment="1" applyBorder="1" applyFill="1" applyFont="1" applyNumberFormat="1">
      <alignment horizontal="center" readingOrder="0" shrinkToFit="0" vertical="center" wrapText="0"/>
    </xf>
    <xf borderId="5" fillId="2" fontId="11" numFmtId="0" xfId="0" applyAlignment="1" applyBorder="1" applyFill="1" applyFont="1">
      <alignment horizontal="center" readingOrder="0" shrinkToFit="0" vertical="center" wrapText="0"/>
    </xf>
    <xf borderId="3" fillId="2" fontId="11" numFmtId="0" xfId="0" applyAlignment="1" applyBorder="1" applyFill="1" applyFont="1">
      <alignment horizontal="center" readingOrder="0" shrinkToFit="0" vertical="center" wrapText="0"/>
    </xf>
    <xf borderId="3" fillId="2" fontId="11" numFmtId="0" xfId="0" applyAlignment="1" applyBorder="1" applyFill="1" applyFont="1">
      <alignment horizontal="center" readingOrder="0" shrinkToFit="0" vertical="center" wrapText="0"/>
    </xf>
    <xf borderId="3" fillId="2" fontId="11" numFmtId="4" xfId="0" applyAlignment="1" applyBorder="1" applyFill="1" applyFont="1" applyNumberFormat="1">
      <alignment horizontal="center" readingOrder="0" shrinkToFit="0" vertical="center" wrapText="0"/>
    </xf>
    <xf borderId="1" fillId="3" fontId="11" numFmtId="0" xfId="0" applyAlignment="1" applyBorder="1" applyFill="1" applyFont="1">
      <alignment horizontal="center" readingOrder="0" shrinkToFit="0" vertical="center" wrapText="0"/>
    </xf>
    <xf borderId="2" fillId="3" fontId="11" numFmtId="0" xfId="0" applyAlignment="1" applyBorder="1" applyFill="1" applyFont="1">
      <alignment horizontal="center" readingOrder="0" shrinkToFit="0" vertical="center" wrapText="0"/>
    </xf>
    <xf borderId="2" fillId="3" fontId="11" numFmtId="4" xfId="0" applyAlignment="1" applyBorder="1" applyFill="1" applyFont="1" applyNumberFormat="1">
      <alignment horizontal="center" readingOrder="0" shrinkToFit="0" vertical="center" wrapText="0"/>
    </xf>
    <xf borderId="3" fillId="2" fontId="11" numFmtId="4" xfId="0" applyAlignment="1" applyBorder="1" applyFill="1" applyFont="1" applyNumberFormat="1">
      <alignment horizontal="center" shrinkToFit="0" vertical="center" wrapText="0"/>
    </xf>
    <xf borderId="0" fillId="3" fontId="11" numFmtId="0" xfId="0" applyAlignment="1" applyFill="1" applyFont="1">
      <alignment horizontal="center" readingOrder="0" shrinkToFit="0" vertical="center" wrapText="0"/>
    </xf>
    <xf borderId="0" fillId="3" fontId="11" numFmtId="0" xfId="0" applyAlignment="1" applyFill="1" applyFont="1">
      <alignment horizontal="center" readingOrder="0" shrinkToFit="0" vertical="center" wrapText="0"/>
    </xf>
    <xf borderId="0" fillId="3" fontId="11" numFmtId="4" xfId="0" applyAlignment="1" applyFill="1" applyFont="1" applyNumberFormat="1">
      <alignment horizontal="center" shrinkToFit="0" vertical="center" wrapText="0"/>
    </xf>
    <xf borderId="0" fillId="3" fontId="11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2" numFmtId="167" xfId="0" applyAlignment="1" applyFont="1" applyNumberFormat="1">
      <alignment horizontal="center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3" numFmtId="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2" fillId="3" fontId="2" numFmtId="0" xfId="0" applyAlignment="1" applyBorder="1" applyFill="1" applyFont="1">
      <alignment readingOrder="0" shrinkToFit="0" vertical="center" wrapText="0"/>
    </xf>
    <xf borderId="2" fillId="3" fontId="2" numFmtId="167" xfId="0" applyAlignment="1" applyBorder="1" applyFill="1" applyFont="1" applyNumberFormat="1">
      <alignment horizontal="center" readingOrder="0" shrinkToFit="0" vertical="center" wrapText="0"/>
    </xf>
    <xf borderId="2" fillId="3" fontId="3" numFmtId="168" xfId="0" applyAlignment="1" applyBorder="1" applyFill="1" applyFont="1" applyNumberFormat="1">
      <alignment horizontal="center"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3" fontId="3" numFmtId="168" xfId="0" applyAlignment="1" applyFill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shrinkToFit="0" vertical="bottom" wrapText="0"/>
    </xf>
    <xf borderId="2" fillId="3" fontId="4" numFmtId="4" xfId="0" applyAlignment="1" applyBorder="1" applyFill="1" applyFont="1" applyNumberFormat="1">
      <alignment shrinkToFit="0" vertical="bottom" wrapText="0"/>
    </xf>
    <xf borderId="2" fillId="3" fontId="4" numFmtId="0" xfId="0" applyAlignment="1" applyBorder="1" applyFill="1" applyFont="1">
      <alignment horizontal="center" shrinkToFit="0" vertical="center" wrapText="0"/>
    </xf>
    <xf borderId="2" fillId="3" fontId="4" numFmtId="164" xfId="0" applyAlignment="1" applyBorder="1" applyFill="1" applyFont="1" applyNumberFormat="1">
      <alignment horizontal="center" shrinkToFit="0" vertical="center" wrapText="0"/>
    </xf>
    <xf borderId="3" fillId="2" fontId="4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ill="1" applyFont="1">
      <alignment horizontal="center" shrinkToFit="0" vertical="center" wrapText="0"/>
    </xf>
    <xf borderId="5" fillId="2" fontId="4" numFmtId="0" xfId="0" applyAlignment="1" applyBorder="1" applyFill="1" applyFont="1">
      <alignment horizontal="center" shrinkToFit="0" vertical="bottom" wrapText="0"/>
    </xf>
    <xf borderId="3" fillId="2" fontId="4" numFmtId="4" xfId="0" applyAlignment="1" applyBorder="1" applyFill="1" applyFont="1" applyNumberFormat="1">
      <alignment shrinkToFit="0" vertical="bottom" wrapText="0"/>
    </xf>
    <xf borderId="3" fillId="2" fontId="4" numFmtId="4" xfId="0" applyAlignment="1" applyBorder="1" applyFill="1" applyFont="1" applyNumberFormat="1">
      <alignment horizontal="center" shrinkToFit="0" vertical="center" wrapText="0"/>
    </xf>
    <xf borderId="3" fillId="2" fontId="4" numFmtId="164" xfId="0" applyAlignment="1" applyBorder="1" applyFill="1" applyFont="1" applyNumberFormat="1">
      <alignment horizontal="center" shrinkToFit="0" vertical="center" wrapText="0"/>
    </xf>
    <xf borderId="2" fillId="3" fontId="4" numFmtId="0" xfId="0" applyAlignment="1" applyBorder="1" applyFill="1" applyFont="1">
      <alignment horizontal="center" shrinkToFit="0" vertical="center" wrapText="0"/>
    </xf>
    <xf borderId="7" fillId="3" fontId="5" numFmtId="0" xfId="0" applyAlignment="1" applyBorder="1" applyFill="1" applyFont="1">
      <alignment horizontal="center" shrinkToFit="0" vertical="center" wrapText="0"/>
    </xf>
    <xf borderId="0" fillId="3" fontId="5" numFmtId="0" xfId="0" applyAlignment="1" applyFill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shrinkToFit="0" vertical="bottom" wrapText="0"/>
    </xf>
    <xf borderId="0" fillId="2" fontId="5" numFmtId="0" xfId="0" applyAlignment="1" applyFill="1" applyFont="1">
      <alignment horizontal="center" shrinkToFit="0" vertical="center" wrapText="0"/>
    </xf>
    <xf borderId="5" fillId="2" fontId="4" numFmtId="0" xfId="0" applyAlignment="1" applyBorder="1" applyFill="1" applyFont="1">
      <alignment horizontal="center" shrinkToFit="0" vertical="bottom" wrapText="0"/>
    </xf>
    <xf borderId="0" fillId="0" fontId="13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0" fontId="2" numFmtId="167" xfId="0" applyAlignment="1" applyFont="1" applyNumberFormat="1">
      <alignment horizontal="center" readingOrder="0" shrinkToFit="0" vertical="center" wrapText="0"/>
    </xf>
    <xf borderId="3" fillId="2" fontId="14" numFmtId="164" xfId="0" applyAlignment="1" applyBorder="1" applyFill="1" applyFont="1" applyNumberFormat="1">
      <alignment horizontal="center" shrinkToFit="0" vertical="bottom" wrapText="0"/>
    </xf>
    <xf borderId="2" fillId="3" fontId="14" numFmtId="164" xfId="0" applyAlignment="1" applyBorder="1" applyFill="1" applyFont="1" applyNumberForma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3" fontId="2" numFmtId="4" xfId="0" applyAlignment="1" applyFill="1" applyFont="1" applyNumberFormat="1">
      <alignment horizontal="center" readingOrder="0" shrinkToFit="0" vertical="center" wrapText="0"/>
    </xf>
    <xf borderId="0" fillId="3" fontId="2" numFmtId="167" xfId="0" applyAlignment="1" applyFill="1" applyFont="1" applyNumberFormat="1">
      <alignment horizontal="center" readingOrder="0" shrinkToFit="0" vertical="center" wrapText="0"/>
    </xf>
    <xf borderId="0" fillId="0" fontId="15" numFmtId="4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" numFmtId="4" xfId="0" applyFont="1" applyNumberFormat="1"/>
    <xf borderId="6" fillId="2" fontId="2" numFmtId="0" xfId="0" applyAlignment="1" applyBorder="1" applyFill="1" applyFont="1">
      <alignment horizontal="center" shrinkToFit="0" vertical="center" wrapText="0"/>
    </xf>
    <xf borderId="2" fillId="3" fontId="4" numFmtId="164" xfId="0" applyAlignment="1" applyBorder="1" applyFill="1" applyFont="1" applyNumberFormat="1">
      <alignment horizontal="center" shrinkToFit="0" vertical="bottom" wrapText="0"/>
    </xf>
    <xf borderId="0" fillId="2" fontId="2" numFmtId="0" xfId="0" applyAlignment="1" applyFill="1" applyFont="1">
      <alignment horizontal="center" shrinkToFit="0" vertical="center" wrapText="0"/>
    </xf>
    <xf borderId="0" fillId="2" fontId="2" numFmtId="4" xfId="0" applyAlignment="1" applyFill="1" applyFont="1" applyNumberFormat="1">
      <alignment horizontal="center" shrinkToFit="0" vertical="center" wrapText="0"/>
    </xf>
    <xf borderId="3" fillId="2" fontId="4" numFmtId="164" xfId="0" applyAlignment="1" applyBorder="1" applyFill="1" applyFont="1" applyNumberFormat="1">
      <alignment horizontal="center" shrinkToFit="0" vertical="bottom" wrapText="0"/>
    </xf>
    <xf borderId="3" fillId="2" fontId="14" numFmtId="0" xfId="0" applyAlignment="1" applyBorder="1" applyFill="1" applyFont="1">
      <alignment horizontal="center" shrinkToFit="0" vertical="bottom" wrapText="0"/>
    </xf>
    <xf borderId="8" fillId="3" fontId="14" numFmtId="0" xfId="0" applyAlignment="1" applyBorder="1" applyFill="1" applyFont="1">
      <alignment horizontal="center" shrinkToFit="0" vertical="bottom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2" fontId="6" numFmtId="0" xfId="0" applyAlignment="1" applyBorder="1" applyFill="1" applyFont="1">
      <alignment horizontal="center" shrinkToFit="0" vertical="bottom" wrapText="0"/>
    </xf>
    <xf borderId="4" fillId="2" fontId="5" numFmtId="0" xfId="0" applyAlignment="1" applyBorder="1" applyFill="1" applyFont="1">
      <alignment horizontal="center" shrinkToFit="0" vertical="bottom" wrapText="0"/>
    </xf>
    <xf borderId="0" fillId="2" fontId="5" numFmtId="0" xfId="0" applyAlignment="1" applyFill="1" applyFont="1">
      <alignment horizontal="center" shrinkToFit="0" vertical="bottom" wrapText="0"/>
    </xf>
    <xf borderId="7" fillId="3" fontId="5" numFmtId="0" xfId="0" applyAlignment="1" applyBorder="1" applyFill="1" applyFont="1">
      <alignment horizontal="center" shrinkToFit="0" vertical="bottom" wrapText="0"/>
    </xf>
    <xf borderId="0" fillId="3" fontId="5" numFmtId="0" xfId="0" applyAlignment="1" applyFill="1" applyFont="1">
      <alignment horizontal="center" shrinkToFit="0" vertical="bottom" wrapText="0"/>
    </xf>
    <xf borderId="3" fillId="2" fontId="3" numFmtId="4" xfId="0" applyAlignment="1" applyBorder="1" applyFill="1" applyFont="1" applyNumberFormat="1">
      <alignment shrinkToFit="0" vertical="center" wrapText="0"/>
    </xf>
    <xf borderId="3" fillId="2" fontId="14" numFmtId="164" xfId="0" applyAlignment="1" applyBorder="1" applyFill="1" applyFont="1" applyNumberFormat="1">
      <alignment horizontal="center" shrinkToFit="0" vertical="center" wrapText="0"/>
    </xf>
    <xf borderId="2" fillId="3" fontId="3" numFmtId="4" xfId="0" applyAlignment="1" applyBorder="1" applyFill="1" applyFont="1" applyNumberFormat="1">
      <alignment shrinkToFit="0" vertical="center" wrapText="0"/>
    </xf>
    <xf borderId="2" fillId="3" fontId="14" numFmtId="164" xfId="0" applyAlignment="1" applyBorder="1" applyFill="1" applyFont="1" applyNumberFormat="1">
      <alignment horizontal="center" shrinkToFit="0" vertical="center" wrapText="0"/>
    </xf>
    <xf borderId="3" fillId="2" fontId="2" numFmtId="4" xfId="0" applyAlignment="1" applyBorder="1" applyFill="1" applyFont="1" applyNumberFormat="1">
      <alignment shrinkToFit="0" vertical="center" wrapText="0"/>
    </xf>
    <xf borderId="2" fillId="3" fontId="2" numFmtId="4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2" fillId="3" fontId="16" numFmtId="164" xfId="0" applyAlignment="1" applyBorder="1" applyFill="1" applyFont="1" applyNumberFormat="1">
      <alignment horizontal="center" shrinkToFit="0" vertical="center" wrapText="0"/>
    </xf>
    <xf borderId="3" fillId="2" fontId="16" numFmtId="164" xfId="0" applyAlignment="1" applyBorder="1" applyFill="1" applyFont="1" applyNumberFormat="1">
      <alignment horizontal="center" shrinkToFit="0" vertical="center" wrapText="0"/>
    </xf>
    <xf borderId="0" fillId="2" fontId="5" numFmtId="0" xfId="0" applyAlignment="1" applyFill="1" applyFont="1">
      <alignment horizontal="center" readingOrder="0" shrinkToFit="0" vertical="center" wrapText="0"/>
    </xf>
    <xf borderId="7" fillId="3" fontId="2" numFmtId="0" xfId="0" applyAlignment="1" applyBorder="1" applyFill="1" applyFont="1">
      <alignment horizontal="center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1" fillId="3" fontId="17" numFmtId="0" xfId="0" applyAlignment="1" applyBorder="1" applyFill="1" applyFont="1">
      <alignment horizontal="center" shrinkToFit="0" vertical="center" wrapText="0"/>
    </xf>
    <xf borderId="2" fillId="3" fontId="6" numFmtId="4" xfId="0" applyAlignment="1" applyBorder="1" applyFill="1" applyFont="1" applyNumberFormat="1">
      <alignment shrinkToFit="0" vertical="center" wrapText="0"/>
    </xf>
    <xf borderId="3" fillId="2" fontId="6" numFmtId="4" xfId="0" applyAlignment="1" applyBorder="1" applyFill="1" applyFont="1" applyNumberFormat="1">
      <alignment shrinkToFit="0" vertical="center" wrapText="0"/>
    </xf>
    <xf borderId="3" fillId="2" fontId="6" numFmtId="0" xfId="0" applyAlignment="1" applyBorder="1" applyFill="1" applyFont="1">
      <alignment horizontal="center" readingOrder="0" shrinkToFit="0" vertical="center" wrapText="0"/>
    </xf>
    <xf borderId="5" fillId="2" fontId="17" numFmtId="0" xfId="0" applyAlignment="1" applyBorder="1" applyFill="1" applyFont="1">
      <alignment horizontal="center" shrinkToFit="0" vertical="center" wrapText="0"/>
    </xf>
    <xf borderId="2" fillId="3" fontId="5" numFmtId="4" xfId="0" applyAlignment="1" applyBorder="1" applyFill="1" applyFont="1" applyNumberFormat="1">
      <alignment shrinkToFit="0" vertical="center" wrapText="0"/>
    </xf>
    <xf borderId="4" fillId="2" fontId="2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ill="1" applyFont="1">
      <alignment horizontal="center" readingOrder="0" shrinkToFit="0" vertical="center" wrapText="0"/>
    </xf>
    <xf borderId="2" fillId="3" fontId="5" numFmtId="4" xfId="0" applyAlignment="1" applyBorder="1" applyFill="1" applyFont="1" applyNumberFormat="1">
      <alignment readingOrder="0" shrinkToFit="0" vertical="center" wrapText="0"/>
    </xf>
    <xf borderId="2" fillId="3" fontId="5" numFmtId="0" xfId="0" applyAlignment="1" applyBorder="1" applyFill="1" applyFont="1">
      <alignment horizontal="center" readingOrder="0" shrinkToFit="0" vertical="center" wrapText="0"/>
    </xf>
    <xf borderId="2" fillId="3" fontId="5" numFmtId="4" xfId="0" applyAlignment="1" applyBorder="1" applyFill="1" applyFont="1" applyNumberFormat="1">
      <alignment horizontal="center" readingOrder="0" shrinkToFit="0" vertical="center" wrapText="0"/>
    </xf>
    <xf borderId="3" fillId="2" fontId="2" numFmtId="0" xfId="0" applyAlignment="1" applyBorder="1" applyFill="1" applyFont="1">
      <alignment horizontal="center" shrinkToFit="0" vertical="center" wrapText="0"/>
    </xf>
    <xf borderId="3" fillId="2" fontId="5" numFmtId="4" xfId="0" applyAlignment="1" applyBorder="1" applyFill="1" applyFont="1" applyNumberFormat="1">
      <alignment shrinkToFit="0" vertical="center" wrapText="0"/>
    </xf>
    <xf borderId="3" fillId="2" fontId="7" numFmtId="4" xfId="0" applyAlignment="1" applyBorder="1" applyFill="1" applyFont="1" applyNumberFormat="1">
      <alignment shrinkToFit="0" vertical="center" wrapText="0"/>
    </xf>
    <xf borderId="2" fillId="3" fontId="7" numFmtId="4" xfId="0" applyAlignment="1" applyBorder="1" applyFill="1" applyFont="1" applyNumberFormat="1">
      <alignment shrinkToFit="0" vertical="center" wrapText="0"/>
    </xf>
    <xf borderId="3" fillId="2" fontId="7" numFmtId="0" xfId="0" applyAlignment="1" applyBorder="1" applyFill="1" applyFont="1">
      <alignment horizontal="center"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2" fontId="2" numFmtId="4" xfId="0" applyAlignment="1" applyFill="1" applyFont="1" applyNumberFormat="1">
      <alignment shrinkToFit="0" vertical="center" wrapText="0"/>
    </xf>
    <xf borderId="0" fillId="2" fontId="16" numFmtId="164" xfId="0" applyAlignment="1" applyFill="1" applyFont="1" applyNumberFormat="1">
      <alignment horizontal="center" shrinkToFit="0" vertical="center" wrapText="0"/>
    </xf>
    <xf borderId="0" fillId="2" fontId="2" numFmtId="4" xfId="0" applyAlignment="1" applyFill="1" applyFont="1" applyNumberFormat="1">
      <alignment readingOrder="0" shrinkToFit="0" vertical="center" wrapText="0"/>
    </xf>
    <xf borderId="3" fillId="2" fontId="5" numFmtId="0" xfId="0" applyAlignment="1" applyBorder="1" applyFill="1" applyFont="1">
      <alignment horizontal="center" readingOrder="0" shrinkToFit="0" vertical="center" wrapText="0"/>
    </xf>
    <xf borderId="0" fillId="2" fontId="16" numFmtId="164" xfId="0" applyAlignment="1" applyFill="1" applyFont="1" applyNumberFormat="1">
      <alignment horizontal="center" readingOrder="0" shrinkToFit="0" vertical="center" wrapText="0"/>
    </xf>
    <xf borderId="0" fillId="3" fontId="5" numFmtId="0" xfId="0" applyAlignment="1" applyFill="1" applyFont="1">
      <alignment horizontal="center" readingOrder="0" shrinkToFit="0" vertical="center" wrapText="0"/>
    </xf>
    <xf borderId="0" fillId="3" fontId="5" numFmtId="4" xfId="0" applyAlignment="1" applyFill="1" applyFont="1" applyNumberFormat="1">
      <alignment horizontal="center" shrinkToFit="0" vertical="center" wrapText="0"/>
    </xf>
    <xf borderId="0" fillId="3" fontId="5" numFmtId="4" xfId="0" applyAlignment="1" applyFill="1" applyFont="1" applyNumberFormat="1">
      <alignment horizontal="center" readingOrder="0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0" fillId="3" fontId="7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4" xfId="0" applyAlignment="1" applyFont="1" applyNumberFormat="1">
      <alignment horizontal="center"/>
    </xf>
    <xf borderId="0" fillId="0" fontId="8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/>
    </xf>
    <xf borderId="9" fillId="0" fontId="18" numFmtId="0" xfId="0" applyAlignment="1" applyBorder="1" applyFont="1">
      <alignment horizontal="center" readingOrder="0"/>
    </xf>
    <xf borderId="9" fillId="0" fontId="18" numFmtId="4" xfId="0" applyAlignment="1" applyBorder="1" applyFont="1" applyNumberFormat="1">
      <alignment horizontal="center" readingOrder="0"/>
    </xf>
    <xf borderId="8" fillId="4" fontId="14" numFmtId="0" xfId="0" applyAlignment="1" applyBorder="1" applyFill="1" applyFont="1">
      <alignment horizontal="center" readingOrder="0"/>
    </xf>
    <xf borderId="8" fillId="4" fontId="14" numFmtId="0" xfId="0" applyAlignment="1" applyBorder="1" applyFill="1" applyFont="1">
      <alignment horizontal="center"/>
    </xf>
    <xf borderId="8" fillId="4" fontId="14" numFmtId="4" xfId="0" applyAlignment="1" applyBorder="1" applyFill="1" applyFont="1" applyNumberFormat="1">
      <alignment horizontal="center"/>
    </xf>
    <xf borderId="0" fillId="0" fontId="3" numFmtId="14" xfId="0" applyAlignment="1" applyFont="1" applyNumberFormat="1">
      <alignment horizontal="center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0" fontId="14" numFmtId="4" xfId="0" applyAlignment="1" applyFont="1" applyNumberFormat="1">
      <alignment horizontal="center"/>
    </xf>
    <xf borderId="8" fillId="4" fontId="14" numFmtId="14" xfId="0" applyAlignment="1" applyBorder="1" applyFill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167" xfId="0" applyAlignment="1" applyFont="1" applyNumberFormat="1">
      <alignment horizontal="center"/>
    </xf>
    <xf borderId="10" fillId="5" fontId="18" numFmtId="0" xfId="0" applyAlignment="1" applyBorder="1" applyFill="1" applyFont="1">
      <alignment horizontal="center" readingOrder="0"/>
    </xf>
    <xf borderId="11" fillId="5" fontId="18" numFmtId="0" xfId="0" applyAlignment="1" applyBorder="1" applyFill="1" applyFont="1">
      <alignment horizontal="center" readingOrder="0"/>
    </xf>
    <xf borderId="11" fillId="5" fontId="18" numFmtId="4" xfId="0" applyAlignment="1" applyBorder="1" applyFill="1" applyFont="1" applyNumberFormat="1">
      <alignment horizontal="center" readingOrder="0"/>
    </xf>
    <xf borderId="12" fillId="5" fontId="18" numFmtId="0" xfId="0" applyAlignment="1" applyBorder="1" applyFill="1" applyFont="1">
      <alignment horizontal="center" readingOrder="0"/>
    </xf>
    <xf borderId="0" fillId="0" fontId="3" numFmtId="167" xfId="0" applyAlignment="1" applyFont="1" applyNumberFormat="1">
      <alignment horizontal="center"/>
    </xf>
    <xf borderId="0" fillId="0" fontId="2" numFmtId="4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3" numFmtId="0" xfId="0" applyAlignment="1" applyFont="1">
      <alignment horizontal="center" readingOrder="0" shrinkToFit="0" vertical="center" wrapText="0"/>
    </xf>
    <xf borderId="0" fillId="0" fontId="13" numFmtId="4" xfId="0" applyAlignment="1" applyFont="1" applyNumberFormat="1">
      <alignment horizontal="center" readingOrder="0" shrinkToFit="0" vertical="center" wrapText="0"/>
    </xf>
    <xf borderId="0" fillId="0" fontId="2" numFmtId="167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4" xfId="0" applyAlignment="1" applyFont="1" applyNumberFormat="1">
      <alignment horizontal="center" readingOrder="0"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shrinkToFit="0" vertical="center" wrapText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horizontal="center" shrinkToFit="0" vertical="center" wrapText="0"/>
    </xf>
    <xf borderId="0" fillId="0" fontId="12" numFmtId="0" xfId="0" applyAlignment="1" applyFont="1">
      <alignment horizontal="right" readingOrder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 shrinkToFit="0" vertical="center" wrapText="0"/>
    </xf>
    <xf borderId="3" fillId="2" fontId="10" numFmtId="164" xfId="0" applyAlignment="1" applyBorder="1" applyFill="1" applyFont="1" applyNumberFormat="1">
      <alignment horizontal="right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3" numFmtId="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 shrinkToFit="0" vertical="center" wrapText="0"/>
    </xf>
    <xf borderId="7" fillId="3" fontId="11" numFmtId="0" xfId="0" applyAlignment="1" applyBorder="1" applyFill="1" applyFont="1">
      <alignment horizontal="center" readingOrder="0" shrinkToFit="0" vertical="center" wrapText="0"/>
    </xf>
    <xf borderId="5" fillId="2" fontId="2" numFmtId="0" xfId="0" applyAlignment="1" applyBorder="1" applyFill="1" applyFont="1">
      <alignment horizontal="center" readingOrder="0" shrinkToFit="0" vertical="center" wrapText="0"/>
    </xf>
    <xf borderId="4" fillId="2" fontId="11" numFmtId="0" xfId="0" applyAlignment="1" applyBorder="1" applyFill="1" applyFont="1">
      <alignment horizontal="center" readingOrder="0" shrinkToFit="0" vertical="center" wrapText="0"/>
    </xf>
    <xf borderId="5" fillId="2" fontId="11" numFmtId="0" xfId="0" applyAlignment="1" applyBorder="1" applyFill="1" applyFont="1">
      <alignment horizontal="center" readingOrder="0" shrinkToFit="0" vertical="center" wrapText="0"/>
    </xf>
    <xf borderId="1" fillId="3" fontId="11" numFmtId="0" xfId="0" applyAlignment="1" applyBorder="1" applyFill="1" applyFont="1">
      <alignment horizontal="center" readingOrder="0" shrinkToFit="0" vertical="center" wrapText="0"/>
    </xf>
    <xf borderId="0" fillId="3" fontId="11" numFmtId="4" xfId="0" applyAlignment="1" applyFill="1" applyFont="1" applyNumberFormat="1">
      <alignment shrinkToFit="0" vertical="center" wrapText="0"/>
    </xf>
    <xf borderId="0" fillId="0" fontId="1" numFmtId="169" xfId="0" applyAlignment="1" applyFont="1" applyNumberFormat="1">
      <alignment readingOrder="0"/>
    </xf>
    <xf borderId="13" fillId="3" fontId="11" numFmtId="0" xfId="0" applyAlignment="1" applyBorder="1" applyFill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10" xfId="0" applyAlignment="1" applyFont="1" applyNumberForma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" numFmtId="170" xfId="0" applyAlignment="1" applyFont="1" applyNumberFormat="1">
      <alignment horizontal="center" readingOrder="0" shrinkToFit="0" vertical="center" wrapText="0"/>
    </xf>
    <xf borderId="0" fillId="0" fontId="1" numFmtId="17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0" xfId="0" applyFont="1" applyNumberFormat="1"/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3" fontId="2" numFmtId="4" xfId="0" applyAlignment="1" applyFill="1" applyFont="1" applyNumberFormat="1">
      <alignment shrinkToFit="0" vertical="center" wrapText="0"/>
    </xf>
    <xf borderId="0" fillId="0" fontId="12" numFmtId="4" xfId="0" applyAlignment="1" applyFont="1" applyNumberForma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2" numFmtId="168" xfId="0" applyAlignment="1" applyFont="1" applyNumberFormat="1">
      <alignment readingOrder="0" shrinkToFit="0" vertical="center" wrapText="0"/>
    </xf>
    <xf borderId="0" fillId="0" fontId="3" numFmtId="168" xfId="0" applyAlignment="1" applyFont="1" applyNumberFormat="1">
      <alignment horizontal="center" shrinkToFit="0" vertical="center" wrapText="0"/>
    </xf>
    <xf borderId="0" fillId="0" fontId="3" numFmtId="168" xfId="0" applyAlignment="1" applyFont="1" applyNumberFormat="1">
      <alignment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171" xfId="0" applyAlignment="1" applyFont="1" applyNumberFormat="1">
      <alignment horizontal="center" readingOrder="0" shrinkToFit="0" vertical="center" wrapText="0"/>
    </xf>
    <xf borderId="0" fillId="0" fontId="1" numFmtId="172" xfId="0" applyAlignment="1" applyFont="1" applyNumberFormat="1">
      <alignment readingOrder="0"/>
    </xf>
    <xf borderId="2" fillId="3" fontId="3" numFmtId="168" xfId="0" applyAlignment="1" applyBorder="1" applyFill="1" applyFont="1" applyNumberFormat="1">
      <alignment horizontal="center" shrinkToFit="0" vertical="center" wrapText="0"/>
    </xf>
    <xf borderId="7" fillId="3" fontId="2" numFmtId="0" xfId="0" applyAlignment="1" applyBorder="1" applyFill="1" applyFont="1">
      <alignment horizontal="center" shrinkToFit="0" vertical="center" wrapText="0"/>
    </xf>
    <xf borderId="0" fillId="3" fontId="3" numFmtId="168" xfId="0" applyAlignment="1" applyFill="1" applyFont="1" applyNumberFormat="1">
      <alignment horizontal="center" shrinkToFit="0" vertical="center" wrapText="0"/>
    </xf>
    <xf borderId="0" fillId="0" fontId="2" numFmtId="168" xfId="0" applyAlignment="1" applyFont="1" applyNumberForma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" xfId="0" applyAlignment="1" applyFont="1" applyNumberFormat="1">
      <alignment horizontal="center" readingOrder="0" shrinkToFit="0" vertical="center" wrapText="0"/>
    </xf>
    <xf borderId="0" fillId="0" fontId="2" numFmtId="168" xfId="0" applyAlignment="1" applyFont="1" applyNumberFormat="1">
      <alignment horizontal="center" readingOrder="0" shrinkToFit="0" vertical="center" wrapText="0"/>
    </xf>
    <xf borderId="0" fillId="3" fontId="2" numFmtId="168" xfId="0" applyAlignment="1" applyFill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8" xfId="0" applyAlignment="1" applyFont="1" applyNumberForma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3" fontId="2" numFmtId="168" xfId="0" applyAlignment="1" applyFill="1" applyFont="1" applyNumberFormat="1">
      <alignment horizontal="center" readingOrder="0" shrinkToFit="0" vertical="center" wrapText="0"/>
    </xf>
    <xf borderId="0" fillId="3" fontId="2" numFmtId="168" xfId="0" applyAlignment="1" applyFill="1" applyFont="1" applyNumberFormat="1">
      <alignment horizontal="center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0" numFmtId="0" xfId="0" applyFont="1"/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right" readingOrder="0"/>
    </xf>
    <xf borderId="0" fillId="0" fontId="20" numFmtId="0" xfId="0" applyAlignment="1" applyFont="1">
      <alignment horizontal="right" readingOrder="0"/>
    </xf>
    <xf borderId="0" fillId="0" fontId="20" numFmtId="173" xfId="0" applyAlignment="1" applyFont="1" applyNumberForma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5" numFmtId="168" xfId="0" applyAlignment="1" applyFont="1" applyNumberFormat="1">
      <alignment horizontal="center" readingOrder="0" shrinkToFit="0" vertical="center" wrapText="0"/>
    </xf>
    <xf borderId="0" fillId="3" fontId="5" numFmtId="166" xfId="0" applyAlignment="1" applyFill="1" applyFont="1" applyNumberFormat="1">
      <alignment horizontal="center" readingOrder="0" shrinkToFit="0" vertical="center" wrapText="0"/>
    </xf>
    <xf borderId="0" fillId="0" fontId="1" numFmtId="173" xfId="0" applyAlignment="1" applyFont="1" applyNumberFormat="1">
      <alignment readingOrder="0"/>
    </xf>
    <xf borderId="5" fillId="2" fontId="6" numFmtId="0" xfId="0" applyAlignment="1" applyBorder="1" applyFill="1" applyFont="1">
      <alignment horizontal="center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16" numFmtId="171" xfId="0" applyAlignment="1" applyFill="1" applyFont="1" applyNumberFormat="1">
      <alignment horizontal="center" readingOrder="0" shrinkToFit="0" vertical="center" wrapText="0"/>
    </xf>
    <xf borderId="0" fillId="2" fontId="16" numFmtId="174" xfId="0" applyAlignment="1" applyFill="1" applyFont="1" applyNumberForma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47">
    <tableStyle count="4" pivot="0" name="جرد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ck_N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rs_N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_N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ur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s_N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ystemStat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ory_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 طلبيات-style 2">
      <tableStyleElement dxfId="5" type="headerRow"/>
      <tableStyleElement dxfId="6" type="firstRowStripe"/>
      <tableStyleElement dxfId="7" type="secondRowStripe"/>
      <tableStyleElement dxfId="5" type="totalRow"/>
    </tableStyle>
    <tableStyle count="3" pivot="0" name=" طلبيات-style 3">
      <tableStyleElement dxfId="5" type="headerRow"/>
      <tableStyleElement dxfId="6" type="firstRowStripe"/>
      <tableStyleElement dxfId="7" type="secondRowStripe"/>
    </tableStyle>
    <tableStyle count="3" pivot="0" name=" طلبيات-style 4">
      <tableStyleElement dxfId="5" type="headerRow"/>
      <tableStyleElement dxfId="6" type="firstRowStripe"/>
      <tableStyleElement dxfId="7" type="secondRowStripe"/>
    </tableStyle>
    <tableStyle count="3" pivot="0" name=" طلبيات-style 5">
      <tableStyleElement dxfId="5" type="headerRow"/>
      <tableStyleElement dxfId="6" type="firstRowStripe"/>
      <tableStyleElement dxfId="7" type="secondRowStripe"/>
    </tableStyle>
    <tableStyle count="3" pivot="0" name=" طلبيات-style 6">
      <tableStyleElement dxfId="5" type="headerRow"/>
      <tableStyleElement dxfId="6" type="firstRowStripe"/>
      <tableStyleElement dxfId="7" type="secondRowStripe"/>
    </tableStyle>
    <tableStyle count="4" pivot="0" name=" طلبيات-style 7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 طلبيات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 طلبيات-style 9">
      <tableStyleElement dxfId="5" type="headerRow"/>
      <tableStyleElement dxfId="6" type="firstRowStripe"/>
      <tableStyleElement dxfId="7" type="secondRowStripe"/>
      <tableStyleElement dxfId="5" type="totalRow"/>
    </tableStyle>
    <tableStyle count="2" pivot="0" name=" طلبيات-style 10">
      <tableStyleElement dxfId="6" type="firstRowStripe"/>
      <tableStyleElement dxfId="7" type="secondRowStripe"/>
    </tableStyle>
    <tableStyle count="2" pivot="0" name=" طلبيات-style 11">
      <tableStyleElement dxfId="6" type="firstRowStripe"/>
      <tableStyleElement dxfId="7" type="secondRowStripe"/>
    </tableStyle>
    <tableStyle count="5" pivot="0" name=" طلبيات-style 12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 طلبيات-style 1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 طلبيات-style 14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 طلبيات-style 15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 طلبيات-style 16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 طلبيات-style 17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4" pivot="0" name=" طلبيات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2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2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2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2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2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2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2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2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2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3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3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3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3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3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3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طلبيات-style 3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ufactur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ufacturing_Ite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342900</xdr:colOff>
      <xdr:row>0</xdr:row>
      <xdr:rowOff>0</xdr:rowOff>
    </xdr:from>
    <xdr:ext cx="1704975" cy="533400"/>
    <xdr:grpSp>
      <xdr:nvGrpSpPr>
        <xdr:cNvPr id="2" name="Shape 2" title="الرسم"/>
        <xdr:cNvGrpSpPr/>
      </xdr:nvGrpSpPr>
      <xdr:grpSpPr>
        <a:xfrm>
          <a:off x="2120425" y="742150"/>
          <a:ext cx="1689600" cy="517800"/>
          <a:chOff x="2120425" y="742150"/>
          <a:chExt cx="1689600" cy="517800"/>
        </a:xfrm>
      </xdr:grpSpPr>
      <xdr:sp>
        <xdr:nvSpPr>
          <xdr:cNvPr id="3" name="Shape 3"/>
          <xdr:cNvSpPr/>
        </xdr:nvSpPr>
        <xdr:spPr>
          <a:xfrm>
            <a:off x="2120425" y="742150"/>
            <a:ext cx="1689600" cy="5178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325775" y="800950"/>
            <a:ext cx="12789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Update Stock</a:t>
            </a:r>
            <a:endParaRPr sz="1400"/>
          </a:p>
        </xdr:txBody>
      </xdr: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133350</xdr:colOff>
      <xdr:row>0</xdr:row>
      <xdr:rowOff>0</xdr:rowOff>
    </xdr:from>
    <xdr:ext cx="1543050" cy="733425"/>
    <xdr:grpSp>
      <xdr:nvGrpSpPr>
        <xdr:cNvPr id="2" name="Shape 2" title="الرسم"/>
        <xdr:cNvGrpSpPr/>
      </xdr:nvGrpSpPr>
      <xdr:grpSpPr>
        <a:xfrm>
          <a:off x="3013700" y="999400"/>
          <a:ext cx="1522150" cy="717125"/>
          <a:chOff x="3013700" y="999400"/>
          <a:chExt cx="1522150" cy="717125"/>
        </a:xfrm>
      </xdr:grpSpPr>
      <xdr:sp>
        <xdr:nvSpPr>
          <xdr:cNvPr id="5" name="Shape 5"/>
          <xdr:cNvSpPr/>
        </xdr:nvSpPr>
        <xdr:spPr>
          <a:xfrm>
            <a:off x="3013700" y="999400"/>
            <a:ext cx="1451700" cy="615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3084150" y="1100925"/>
            <a:ext cx="14517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Update Stock</a:t>
            </a:r>
            <a:endParaRPr sz="1400"/>
          </a:p>
        </xdr:txBody>
      </xdr: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</xdr:row>
      <xdr:rowOff>161925</xdr:rowOff>
    </xdr:from>
    <xdr:ext cx="3705225" cy="647700"/>
    <xdr:grpSp>
      <xdr:nvGrpSpPr>
        <xdr:cNvPr id="2" name="Shape 2" title="الرسم"/>
        <xdr:cNvGrpSpPr/>
      </xdr:nvGrpSpPr>
      <xdr:grpSpPr>
        <a:xfrm>
          <a:off x="-1799025" y="691400"/>
          <a:ext cx="5492825" cy="629400"/>
          <a:chOff x="-1799025" y="691400"/>
          <a:chExt cx="5492825" cy="629400"/>
        </a:xfrm>
      </xdr:grpSpPr>
      <xdr:sp>
        <xdr:nvSpPr>
          <xdr:cNvPr id="7" name="Shape 7"/>
          <xdr:cNvSpPr/>
        </xdr:nvSpPr>
        <xdr:spPr>
          <a:xfrm>
            <a:off x="1897100" y="691400"/>
            <a:ext cx="1796700" cy="6294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-1799025" y="698300"/>
            <a:ext cx="53304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1" algn="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تصنيع عنصر واحد</a:t>
            </a:r>
            <a:endParaRPr sz="1400"/>
          </a:p>
          <a:p>
            <a:pPr indent="0" lvl="0" marL="0" rtl="1" algn="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   بكميات مختلفة</a:t>
            </a:r>
            <a:endParaRPr sz="1400"/>
          </a:p>
        </xdr:txBody>
      </xdr:sp>
    </xdr:grp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15" displayName="جدول_30" name="جدول_30" id="1">
  <tableColumns count="7">
    <tableColumn name="Product Name" id="1"/>
    <tableColumn name="Total Qty" id="2"/>
    <tableColumn name="Cost" id="3"/>
    <tableColumn name="Revenue" id="4"/>
    <tableColumn name="Profit Per Unit" id="5"/>
    <tableColumn name="Total Profit" id="6"/>
    <tableColumn name="Last Sale Date" id="7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1:M670" displayName="جدول_1" name="جدول_1" id="3">
  <autoFilter ref="$A$1:$M$670"/>
  <tableColumns count="13">
    <tableColumn name="Product Name" id="1"/>
    <tableColumn name="ItemType" id="2"/>
    <tableColumn name="Supplier" id="3"/>
    <tableColumn name="AvgPurchasePrice" id="4"/>
    <tableColumn name="AvailableQty" id="5"/>
    <tableColumn name="SuggestedSalePrice" id="6"/>
    <tableColumn name="LastUpdate" id="7"/>
    <tableColumn name="TotalPurchasedQty" id="8"/>
    <tableColumn name="TotalSoldQty" id="9"/>
    <tableColumn name="TotalPurchaseValue" id="10"/>
    <tableColumn name="TotalSalesValue" id="11"/>
    <tableColumn name="LastUsageNote" id="12"/>
    <tableColumn name="Toal Available" id="13"/>
  </tableColumns>
  <tableStyleInfo name="Stock_New-style" showColumnStripes="0" showFirstColumn="1" showLastColumn="1" showRowStripes="1"/>
</table>
</file>

<file path=xl/tables/table3.xml><?xml version="1.0" encoding="utf-8"?>
<table xmlns="http://schemas.openxmlformats.org/spreadsheetml/2006/main" ref="A1:G992" displayName="جرد_يونيو_2026" name="جرد_يونيو_2026" id="2">
  <autoFilter ref="$A$1:$G$992"/>
  <tableColumns count="7">
    <tableColumn name="Product Name" id="1"/>
    <tableColumn name="ItemType" id="2"/>
    <tableColumn name="Supplier" id="3"/>
    <tableColumn name="AvailableQty" id="4"/>
    <tableColumn name="Cost price" id="5"/>
    <tableColumn name="Toal Available" id="6"/>
    <tableColumn name="Should be" id="7"/>
  </tableColumns>
  <tableStyleInfo name="جرد 2026-style" showColumnStripes="0" showFirstColumn="1" showLastColumn="1" showRowStripes="1"/>
</table>
</file>

<file path=xl/tables/table4.xml><?xml version="1.0" encoding="utf-8"?>
<table xmlns="http://schemas.openxmlformats.org/spreadsheetml/2006/main" ref="A1:J983" displayName="جدول_2" name="جدول_2" id="4">
  <autoFilter ref="$A$1:$J$983"/>
  <tableColumns count="10">
    <tableColumn name="ItemName" id="1"/>
    <tableColumn name="ItemType" id="2"/>
    <tableColumn name="Qty" id="3"/>
    <tableColumn name="PurchasePrice" id="4"/>
    <tableColumn name="Supplier" id="5"/>
    <tableColumn name="OrderDate" id="6"/>
    <tableColumn name="Status" id="7"/>
    <tableColumn name="OrderID" id="8"/>
    <tableColumn name="EnteredBy" id="9"/>
    <tableColumn name="Notes" id="10"/>
  </tableColumns>
  <tableStyleInfo name="Orders_New-style" showColumnStripes="0" showFirstColumn="1" showLastColumn="1" showRowStripes="1"/>
</table>
</file>

<file path=xl/tables/table5.xml><?xml version="1.0" encoding="utf-8"?>
<table xmlns="http://schemas.openxmlformats.org/spreadsheetml/2006/main" ref="A1:P51292" displayName="جدول_3" name="جدول_3" id="5">
  <tableColumns count="16">
    <tableColumn name="ProductName" id="1"/>
    <tableColumn name="ItemType" id="2"/>
    <tableColumn name="Qty" id="3"/>
    <tableColumn name="Supplier" id="4"/>
    <tableColumn name="SuggestedPrice" id="5"/>
    <tableColumn name="ActualUnitPrice" id="6"/>
    <tableColumn name="Discount" id="7"/>
    <tableColumn name="TotalSale" id="8"/>
    <tableColumn name="SaleDate" id="9"/>
    <tableColumn name="Status" id="10"/>
    <tableColumn name="SaleID" id="11"/>
    <tableColumn name="EnteredBy" id="12"/>
    <tableColumn name="اسم العميل" id="13"/>
    <tableColumn name="الباقي" id="14"/>
    <tableColumn name="تم دفع" id="15"/>
    <tableColumn name="التكلفة" id="16"/>
  </tableColumns>
  <tableStyleInfo name="Sales_New-style" showColumnStripes="0" showFirstColumn="1" showLastColumn="1" showRowStripes="1"/>
</table>
</file>

<file path=xl/tables/table6.xml><?xml version="1.0" encoding="utf-8"?>
<table xmlns="http://schemas.openxmlformats.org/spreadsheetml/2006/main" ref="A1:F2551" displayName="جدول_5" name="جدول_5" id="6">
  <tableColumns count="6">
    <tableColumn name="Date" id="1"/>
    <tableColumn name="EntryID" id="2"/>
    <tableColumn name="AccountDebit" id="3"/>
    <tableColumn name="AccountCredit" id="4"/>
    <tableColumn name="Amount" id="5"/>
    <tableColumn name="Note" id="6"/>
  </tableColumns>
  <tableStyleInfo name="Journal-style" showColumnStripes="0" showFirstColumn="1" showLastColumn="1" showRowStripes="1"/>
</table>
</file>

<file path=xl/tables/table7.xml><?xml version="1.0" encoding="utf-8"?>
<table xmlns="http://schemas.openxmlformats.org/spreadsheetml/2006/main" ref="A1:M1788" displayName="جدول_4" name="جدول_4" id="7">
  <autoFilter ref="$A$1:$M$1788">
    <filterColumn colId="1">
      <filters>
        <filter val="Sale"/>
      </filters>
    </filterColumn>
  </autoFilter>
  <tableColumns count="13">
    <tableColumn name="TimeStamp" id="1"/>
    <tableColumn name="العمود 2" id="2"/>
    <tableColumn name="ItemName" id="3"/>
    <tableColumn name="Qty" id="4"/>
    <tableColumn name="PurchasePrice" id="5"/>
    <tableColumn name="ActualUnitPrice" id="6"/>
    <tableColumn name="FinalUnitPrice" id="7"/>
    <tableColumn name="TotalSale" id="8"/>
    <tableColumn name="Profit" id="9"/>
    <tableColumn name="Supplier" id="10"/>
    <tableColumn name="RefRow" id="11"/>
    <tableColumn name="Message" id="12"/>
    <tableColumn name="User" id="13"/>
  </tableColumns>
  <tableStyleInfo name="Logs_New-style" showColumnStripes="0" showFirstColumn="1" showLastColumn="1" showRowStripes="1"/>
</table>
</file>

<file path=xl/tables/table8.xml><?xml version="1.0" encoding="utf-8"?>
<table xmlns="http://schemas.openxmlformats.org/spreadsheetml/2006/main" ref="A1:D330" displayName="جدول_6" name="جدول_6" id="8">
  <tableColumns count="4">
    <tableColumn name="Date" id="1"/>
    <tableColumn name="Process" id="2"/>
    <tableColumn name="Message" id="3"/>
    <tableColumn name="Count" id="4"/>
  </tableColumns>
  <tableStyleInfo name="SystemStatus-style" showColumnStripes="0" showFirstColumn="1" showLastColumn="1" showRowStripes="1"/>
</table>
</file>

<file path=xl/tables/table9.xml><?xml version="1.0" encoding="utf-8"?>
<table xmlns="http://schemas.openxmlformats.org/spreadsheetml/2006/main" ref="A1:F1003" displayName="جدول_7" name="جدول_7" id="9">
  <autoFilter ref="$A$1:$F$1003"/>
  <tableColumns count="6">
    <tableColumn name="name" id="1"/>
    <tableColumn name="supplier" id="2"/>
    <tableColumn name="price" id="3"/>
    <tableColumn name="totalQuantity" id="4"/>
    <tableColumn name="count" id="5"/>
    <tableColumn name="ignore" id="6"/>
  </tableColumns>
  <tableStyleInfo name="Inventory_Report-style" showColumnStripes="0" showFirstColumn="1" showLastColumn="1" showRowStripes="1"/>
</table>
</file>

<file path=xl/tables/table10.xml><?xml version="1.0" encoding="utf-8"?>
<table xmlns="http://schemas.openxmlformats.org/spreadsheetml/2006/main" totalsRowCount="1" ref="A1:E15" displayName="Table_1" name="Table_1" id="10">
  <tableColumns count="5">
    <tableColumn totalsRowLabel="Sum" name="اسم الصنف" id="1"/>
    <tableColumn totalsRowFunction="custom" name="النوع" id="2"/>
    <tableColumn totalsRowFunction="custom" name="السعر" id="3"/>
    <tableColumn totalsRowFunction="custom" name="الكمية" id="4"/>
    <tableColumn totalsRowFunction="custom" name="المجموع" id="5"/>
  </tableColumns>
  <tableStyleInfo name=" طلبيات-style" showColumnStripes="0" showFirstColumn="1" showLastColumn="1" showRowStripes="1"/>
</table>
</file>

<file path=xl/tables/table11.xml><?xml version="1.0" encoding="utf-8"?>
<table xmlns="http://schemas.openxmlformats.org/spreadsheetml/2006/main" totalsRowCount="1" ref="A18:F76" displayName="Table_2" name="Table_2" id="11">
  <tableColumns count="6">
    <tableColumn totalsRowLabel="Sum" name="اسم العنصر" id="1"/>
    <tableColumn totalsRowFunction="custom" name="النوع" id="2"/>
    <tableColumn totalsRowFunction="custom" name="سعر الشراء" id="3"/>
    <tableColumn totalsRowFunction="custom" name="الكمية" id="4"/>
    <tableColumn totalsRowFunction="custom" name="المجموع" id="5"/>
    <tableColumn name="التاريخ" id="6"/>
  </tableColumns>
  <tableStyleInfo name=" طلبيات-style 2" showColumnStripes="0" showFirstColumn="1" showLastColumn="1" showRowStripes="1"/>
</table>
</file>

<file path=xl/tables/table12.xml><?xml version="1.0" encoding="utf-8"?>
<table xmlns="http://schemas.openxmlformats.org/spreadsheetml/2006/main" ref="A79:F135" displayName="Table_3" name="Table_3" id="12">
  <tableColumns count="6">
    <tableColumn name="اسم العنصر" id="1"/>
    <tableColumn name="النوع" id="2"/>
    <tableColumn name="سعر الشراء" id="3"/>
    <tableColumn name="الكمية" id="4"/>
    <tableColumn name="المجموع" id="5"/>
    <tableColumn name="التاريخ" id="6"/>
  </tableColumns>
  <tableStyleInfo name=" طلبيات-style 3" showColumnStripes="0" showFirstColumn="1" showLastColumn="1" showRowStripes="1"/>
</table>
</file>

<file path=xl/tables/table13.xml><?xml version="1.0" encoding="utf-8"?>
<table xmlns="http://schemas.openxmlformats.org/spreadsheetml/2006/main" ref="A137:H177" displayName="Table_4" name="Table_4" id="13">
  <tableColumns count="8">
    <tableColumn name="اسم العنصر" id="1"/>
    <tableColumn name="التفاصيل" id="2"/>
    <tableColumn name="النوع" id="3"/>
    <tableColumn name="سعر الشراء" id="4"/>
    <tableColumn name="الكمية" id="5"/>
    <tableColumn name="المجموع" id="6"/>
    <tableColumn name="التاريخ" id="7"/>
    <tableColumn name="المورد" id="8"/>
  </tableColumns>
  <tableStyleInfo name=" طلبيات-style 4" showColumnStripes="0" showFirstColumn="1" showLastColumn="1" showRowStripes="1"/>
</table>
</file>

<file path=xl/tables/table14.xml><?xml version="1.0" encoding="utf-8"?>
<table xmlns="http://schemas.openxmlformats.org/spreadsheetml/2006/main" ref="A179:H181" displayName="Table_5" name="Table_5" id="14">
  <tableColumns count="8">
    <tableColumn name="اسم العنصر" id="1"/>
    <tableColumn name="التفاصيل" id="2"/>
    <tableColumn name="النوع" id="3"/>
    <tableColumn name="الكمية" id="4"/>
    <tableColumn name="سعر الشراء" id="5"/>
    <tableColumn name="المورد" id="6"/>
    <tableColumn name="التاريخ" id="7"/>
    <tableColumn name="المجموع" id="8"/>
  </tableColumns>
  <tableStyleInfo name=" طلبيات-style 5" showColumnStripes="0" showFirstColumn="1" showLastColumn="1" showRowStripes="1"/>
</table>
</file>

<file path=xl/tables/table15.xml><?xml version="1.0" encoding="utf-8"?>
<table xmlns="http://schemas.openxmlformats.org/spreadsheetml/2006/main" ref="A184:H188" displayName="Table_6" name="Table_6" id="15">
  <tableColumns count="8">
    <tableColumn name="اسم العنصر" id="1"/>
    <tableColumn name="التفاصيل" id="2"/>
    <tableColumn name="النوع" id="3"/>
    <tableColumn name="الكمية" id="4"/>
    <tableColumn name="سعر الشراء" id="5"/>
    <tableColumn name="المورد" id="6"/>
    <tableColumn name="التاريخ" id="7"/>
    <tableColumn name="المجموع" id="8"/>
  </tableColumns>
  <tableStyleInfo name=" طلبيات-style 6" showColumnStripes="0" showFirstColumn="1" showLastColumn="1" showRowStripes="1"/>
</table>
</file>

<file path=xl/tables/table16.xml><?xml version="1.0" encoding="utf-8"?>
<table xmlns="http://schemas.openxmlformats.org/spreadsheetml/2006/main" totalsRowCount="1" ref="A191:H198" displayName="Table_7" name="Table_7" id="16">
  <tableColumns count="8">
    <tableColumn totalsRowLabel="Sum" name="اسم العنصر" id="1"/>
    <tableColumn totalsRowFunction="custom" name="التفاصيل" id="2"/>
    <tableColumn totalsRowFunction="custom" name="النوع" id="3"/>
    <tableColumn totalsRowFunction="custom" name="الكمية" id="4"/>
    <tableColumn totalsRowFunction="custom" name="سعر الشراء" id="5"/>
    <tableColumn totalsRowFunction="custom" name="المورد" id="6"/>
    <tableColumn totalsRowFunction="custom" name="التاريخ" id="7"/>
    <tableColumn totalsRowFunction="custom" name="المجموع" id="8"/>
  </tableColumns>
  <tableStyleInfo name=" طلبيات-style 7" showColumnStripes="0" showFirstColumn="1" showLastColumn="1" showRowStripes="1"/>
</table>
</file>

<file path=xl/tables/table17.xml><?xml version="1.0" encoding="utf-8"?>
<table xmlns="http://schemas.openxmlformats.org/spreadsheetml/2006/main" totalsRowCount="1" ref="A202:G206" displayName="Table_8" name="Table_8" id="17">
  <tableColumns count="7">
    <tableColumn totalsRowLabel="Sum" name="اسم العنصر" id="1"/>
    <tableColumn totalsRowFunction="custom" name="النوع" id="2"/>
    <tableColumn totalsRowFunction="custom" name="الكمية" id="3"/>
    <tableColumn totalsRowFunction="custom" name="سعر الشراء" id="4"/>
    <tableColumn totalsRowFunction="custom" name="المورد" id="5"/>
    <tableColumn totalsRowFunction="custom" name="التاريخ" id="6"/>
    <tableColumn totalsRowFunction="custom" name="المجموع" id="7"/>
  </tableColumns>
  <tableStyleInfo name=" طلبيات-style 8" showColumnStripes="0" showFirstColumn="1" showLastColumn="1" showRowStripes="1"/>
</table>
</file>

<file path=xl/tables/table18.xml><?xml version="1.0" encoding="utf-8"?>
<table xmlns="http://schemas.openxmlformats.org/spreadsheetml/2006/main" totalsRowCount="1" ref="A209:G226" displayName="Table_9" name="Table_9" id="18">
  <tableColumns count="7">
    <tableColumn totalsRowLabel="Sum" name="اسم العنصر" id="1"/>
    <tableColumn totalsRowFunction="custom" name="النوع" id="2"/>
    <tableColumn totalsRowFunction="custom" name="الكمية" id="3"/>
    <tableColumn totalsRowFunction="custom" name="سعر الشراء" id="4"/>
    <tableColumn totalsRowFunction="custom" name="المورد" id="5"/>
    <tableColumn totalsRowFunction="custom" name="التاريخ" id="6"/>
    <tableColumn totalsRowFunction="custom" name="المجموع" id="7"/>
  </tableColumns>
  <tableStyleInfo name=" طلبيات-style 9" showColumnStripes="0" showFirstColumn="1" showLastColumn="1" showRowStripes="1"/>
</table>
</file>

<file path=xl/tables/table19.xml><?xml version="1.0" encoding="utf-8"?>
<table xmlns="http://schemas.openxmlformats.org/spreadsheetml/2006/main" headerRowCount="0" ref="A231:A232" displayName="Table_10" name="Table_10" id="19">
  <tableColumns count="1">
    <tableColumn name="Column1" id="1"/>
  </tableColumns>
  <tableStyleInfo name=" طلبيات-style 10" showColumnStripes="0" showFirstColumn="1" showLastColumn="1" showRowStripes="1"/>
</table>
</file>

<file path=xl/tables/table20.xml><?xml version="1.0" encoding="utf-8"?>
<table xmlns="http://schemas.openxmlformats.org/spreadsheetml/2006/main" headerRowCount="0" ref="B231:O236" displayName="Table_11" name="Table_11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 طلبيات-style 11" showColumnStripes="0" showFirstColumn="1" showLastColumn="1" showRowStripes="1"/>
</table>
</file>

<file path=xl/tables/table21.xml><?xml version="1.0" encoding="utf-8"?>
<table xmlns="http://schemas.openxmlformats.org/spreadsheetml/2006/main" totalsRowCount="1" ref="A241:G266" displayName="جدول" name="جدول" id="21">
  <tableColumns count="7">
    <tableColumn totalsRowLabel="Sum" name="اسم العنصر" id="1"/>
    <tableColumn totalsRowFunction="custom" name="النوع" id="2"/>
    <tableColumn totalsRowFunction="custom" name="الكمية" id="3"/>
    <tableColumn totalsRowFunction="custom" name="سعر الشراء" id="4"/>
    <tableColumn totalsRowFunction="custom" name="المورد" id="5"/>
    <tableColumn totalsRowLabel="Monday, September 29, 2025" name="التاريخ" id="6"/>
    <tableColumn totalsRowFunction="custom" name="المجموع" id="7"/>
  </tableColumns>
  <tableStyleInfo name=" طلبيات-style 12" showColumnStripes="0" showFirstColumn="1" showLastColumn="1" showRowStripes="1"/>
</table>
</file>

<file path=xl/tables/table22.xml><?xml version="1.0" encoding="utf-8"?>
<table xmlns="http://schemas.openxmlformats.org/spreadsheetml/2006/main" totalsRowCount="1" ref="A281:G290" displayName="جدول_10" name="جدول_10" id="22">
  <tableColumns count="7">
    <tableColumn totalsRowLabel="Sum" name="اسم العنصر" id="1"/>
    <tableColumn totalsRowFunction="custom" name="النوع" id="2"/>
    <tableColumn totalsRowFunction="custom" name="الكمية" id="3"/>
    <tableColumn totalsRowFunction="custom" name="سعر الشراء" id="4"/>
    <tableColumn totalsRowFunction="custom" name="المورد" id="5"/>
    <tableColumn totalsRowLabel="Monday, September 29, 2025" name="التاريخ" id="6"/>
    <tableColumn totalsRowFunction="custom" name="المجموع" id="7"/>
  </tableColumns>
  <tableStyleInfo name=" طلبيات-style 13" showColumnStripes="0" showFirstColumn="1" showLastColumn="1" showRowStripes="1"/>
</table>
</file>

<file path=xl/tables/table23.xml><?xml version="1.0" encoding="utf-8"?>
<table xmlns="http://schemas.openxmlformats.org/spreadsheetml/2006/main" totalsRowCount="1" ref="A295:G311" displayName="جدول_11" name="جدول_11" id="23">
  <tableColumns count="7">
    <tableColumn totalsRowLabel="Sum" name="اسم العنصر" id="1"/>
    <tableColumn totalsRowFunction="custom" name="النوع" id="2"/>
    <tableColumn totalsRowFunction="custom" name="الكمية" id="3"/>
    <tableColumn totalsRowFunction="custom" name="سعر الشراء" id="4"/>
    <tableColumn totalsRowFunction="custom" name="المورد" id="5"/>
    <tableColumn totalsRowLabel="2025/10/31" name="التاريخ" id="6"/>
    <tableColumn totalsRowFunction="custom" name="المجموع" id="7"/>
  </tableColumns>
  <tableStyleInfo name=" طلبيات-style 14" showColumnStripes="0" showFirstColumn="1" showLastColumn="1" showRowStripes="1"/>
</table>
</file>

<file path=xl/tables/table24.xml><?xml version="1.0" encoding="utf-8"?>
<table xmlns="http://schemas.openxmlformats.org/spreadsheetml/2006/main" totalsRowCount="1" ref="A317:G320" displayName="جدول_9" name="جدول_9" id="24">
  <tableColumns count="7">
    <tableColumn totalsRowLabel="Sum" name="اسم العنصر" id="1"/>
    <tableColumn totalsRowFunction="custom" name="النوع" id="2"/>
    <tableColumn totalsRowFunction="custom" name="الكمية" id="3"/>
    <tableColumn totalsRowFunction="custom" name="سعر الشراء" id="4"/>
    <tableColumn totalsRowFunction="custom" name="المورد" id="5"/>
    <tableColumn totalsRowLabel="Monday, September 29, 2025" name="التاريخ" id="6"/>
    <tableColumn totalsRowFunction="custom" name="المجموع" id="7"/>
  </tableColumns>
  <tableStyleInfo name=" طلبيات-style 15" showColumnStripes="0" showFirstColumn="1" showLastColumn="1" showRowStripes="1"/>
</table>
</file>

<file path=xl/tables/table25.xml><?xml version="1.0" encoding="utf-8"?>
<table xmlns="http://schemas.openxmlformats.org/spreadsheetml/2006/main" totalsRowCount="1" ref="A325:G338" displayName="جدول_8" name="جدول_8" id="25">
  <tableColumns count="7">
    <tableColumn totalsRowLabel="Sum" name="اسم العنصر" id="1"/>
    <tableColumn totalsRowFunction="custom" name="النوع" id="2"/>
    <tableColumn totalsRowFunction="custom" name="الكمية" id="3"/>
    <tableColumn totalsRowFunction="custom" name="سعر الشراء" id="4"/>
    <tableColumn totalsRowFunction="custom" name="المورد" id="5"/>
    <tableColumn totalsRowLabel="Monday, September 29, 2025" name="التاريخ" id="6"/>
    <tableColumn totalsRowFunction="custom" name="المجموع" id="7"/>
  </tableColumns>
  <tableStyleInfo name=" طلبيات-style 16" showColumnStripes="0" showFirstColumn="1" showLastColumn="1" showRowStripes="1"/>
</table>
</file>

<file path=xl/tables/table26.xml><?xml version="1.0" encoding="utf-8"?>
<table xmlns="http://schemas.openxmlformats.org/spreadsheetml/2006/main" totalsRowCount="1" ref="A342:H385" displayName="جدول_12" name="جدول_12" id="26">
  <tableColumns count="8">
    <tableColumn name="اسم العنصر" id="1"/>
    <tableColumn totalsRowFunction="custom" name="النوع" id="2"/>
    <tableColumn totalsRowFunction="custom" name="الكمية" id="3"/>
    <tableColumn totalsRowFunction="custom" name="سعر الشراء" id="4"/>
    <tableColumn totalsRowFunction="custom" name="المورد" id="5"/>
    <tableColumn totalsRowLabel="Monday, September 29, 2025" name="التاريخ" id="6"/>
    <tableColumn totalsRowFunction="custom" name="المجموع" id="7"/>
    <tableColumn name="المراجعة" id="8"/>
  </tableColumns>
  <tableStyleInfo name=" طلبيات-style 17" showColumnStripes="0" showFirstColumn="1" showLastColumn="1" showRowStripes="1"/>
</table>
</file>

<file path=xl/tables/table27.xml><?xml version="1.0" encoding="utf-8"?>
<table xmlns="http://schemas.openxmlformats.org/spreadsheetml/2006/main" ref="A389:H401" displayName="جدول_13" name="جدول_13" id="27"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مجموع" id="7"/>
    <tableColumn name="المراجعة" id="8"/>
  </tableColumns>
  <tableStyleInfo name=" طلبيات-style 18" showColumnStripes="0" showFirstColumn="1" showLastColumn="1" showRowStripes="1"/>
</table>
</file>

<file path=xl/tables/table28.xml><?xml version="1.0" encoding="utf-8"?>
<table xmlns="http://schemas.openxmlformats.org/spreadsheetml/2006/main" ref="A408:H433" displayName="جدول_16" name="جدول_16" id="28"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اجمالي" id="7"/>
    <tableColumn name="المراجعة" id="8"/>
  </tableColumns>
  <tableStyleInfo name=" طلبيات-style 19" showColumnStripes="0" showFirstColumn="1" showLastColumn="1" showRowStripes="1"/>
</table>
</file>

<file path=xl/tables/table29.xml><?xml version="1.0" encoding="utf-8"?>
<table xmlns="http://schemas.openxmlformats.org/spreadsheetml/2006/main" ref="A435:H461" displayName="جدول_17" name="جدول_17" id="29"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اجمالي" id="7"/>
    <tableColumn name="المراجعة" id="8"/>
  </tableColumns>
  <tableStyleInfo name=" طلبيات-style 20" showColumnStripes="0" showFirstColumn="1" showLastColumn="1" showRowStripes="1"/>
</table>
</file>

<file path=xl/tables/table30.xml><?xml version="1.0" encoding="utf-8"?>
<table xmlns="http://schemas.openxmlformats.org/spreadsheetml/2006/main" ref="A471:H473" displayName="جدول_18" name="جدول_18" id="30"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اجمالي" id="7"/>
    <tableColumn name="المراجعة" id="8"/>
  </tableColumns>
  <tableStyleInfo name=" طلبيات-style 21" showColumnStripes="0" showFirstColumn="1" showLastColumn="1" showRowStripes="1"/>
</table>
</file>

<file path=xl/tables/table31.xml><?xml version="1.0" encoding="utf-8"?>
<table xmlns="http://schemas.openxmlformats.org/spreadsheetml/2006/main" ref="A476:G487" displayName="جدول_19" name="جدول_19" id="31">
  <tableColumns count="7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اجمالي" id="7"/>
  </tableColumns>
  <tableStyleInfo name=" طلبيات-style 22" showColumnStripes="0" showFirstColumn="1" showLastColumn="1" showRowStripes="1"/>
</table>
</file>

<file path=xl/tables/table32.xml><?xml version="1.0" encoding="utf-8"?>
<table xmlns="http://schemas.openxmlformats.org/spreadsheetml/2006/main" ref="A491:G499" displayName="جدول_20" name="جدول_20" id="32">
  <tableColumns count="7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اجمالي" id="7"/>
  </tableColumns>
  <tableStyleInfo name=" طلبيات-style 23" showColumnStripes="0" showFirstColumn="1" showLastColumn="1" showRowStripes="1"/>
</table>
</file>

<file path=xl/tables/table33.xml><?xml version="1.0" encoding="utf-8"?>
<table xmlns="http://schemas.openxmlformats.org/spreadsheetml/2006/main" ref="A505:G509" displayName="جدول_21" name="جدول_21" id="33">
  <tableColumns count="7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اجمالي" id="7"/>
  </tableColumns>
  <tableStyleInfo name=" طلبيات-style 24" showColumnStripes="0" showFirstColumn="1" showLastColumn="1" showRowStripes="1"/>
</table>
</file>

<file path=xl/tables/table34.xml><?xml version="1.0" encoding="utf-8"?>
<table xmlns="http://schemas.openxmlformats.org/spreadsheetml/2006/main" ref="A512:G517" displayName="جدول_22" name="جدول_22" id="34">
  <tableColumns count="7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اجمالي" id="7"/>
  </tableColumns>
  <tableStyleInfo name=" طلبيات-style 25" showColumnStripes="0" showFirstColumn="1" showLastColumn="1" showRowStripes="1"/>
</table>
</file>

<file path=xl/tables/table35.xml><?xml version="1.0" encoding="utf-8"?>
<table xmlns="http://schemas.openxmlformats.org/spreadsheetml/2006/main" ref="A520:G524" displayName="جدول_23" name="جدول_23" id="35">
  <tableColumns count="7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اجمالي" id="7"/>
  </tableColumns>
  <tableStyleInfo name=" طلبيات-style 26" showColumnStripes="0" showFirstColumn="1" showLastColumn="1" showRowStripes="1"/>
</table>
</file>

<file path=xl/tables/table36.xml><?xml version="1.0" encoding="utf-8"?>
<table xmlns="http://schemas.openxmlformats.org/spreadsheetml/2006/main" ref="A526:G550" displayName="جدول_24" name="جدول_24" id="36">
  <tableColumns count="7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اجمالي" id="7"/>
  </tableColumns>
  <tableStyleInfo name=" طلبيات-style 27" showColumnStripes="0" showFirstColumn="1" showLastColumn="1" showRowStripes="1"/>
</table>
</file>

<file path=xl/tables/table37.xml><?xml version="1.0" encoding="utf-8"?>
<table xmlns="http://schemas.openxmlformats.org/spreadsheetml/2006/main" ref="A552:H585" displayName="جدول_25" name="جدول_25" id="37"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مجموع" id="7"/>
    <tableColumn name="المراجعة" id="8"/>
  </tableColumns>
  <tableStyleInfo name=" طلبيات-style 28" showColumnStripes="0" showFirstColumn="1" showLastColumn="1" showRowStripes="1"/>
</table>
</file>

<file path=xl/tables/table38.xml><?xml version="1.0" encoding="utf-8"?>
<table xmlns="http://schemas.openxmlformats.org/spreadsheetml/2006/main" ref="A597:H600" displayName="جدول_26" name="جدول_26" id="38"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مجموع" id="7"/>
    <tableColumn name="المراجعة" id="8"/>
  </tableColumns>
  <tableStyleInfo name=" طلبيات-style 29" showColumnStripes="0" showFirstColumn="1" showLastColumn="1" showRowStripes="1"/>
</table>
</file>

<file path=xl/tables/table39.xml><?xml version="1.0" encoding="utf-8"?>
<table xmlns="http://schemas.openxmlformats.org/spreadsheetml/2006/main" ref="A602:H609" displayName="جدول_27" name="جدول_27" id="39"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مجموع" id="7"/>
    <tableColumn name="المراجعة" id="8"/>
  </tableColumns>
  <tableStyleInfo name=" طلبيات-style 30" showColumnStripes="0" showFirstColumn="1" showLastColumn="1" showRowStripes="1"/>
</table>
</file>

<file path=xl/tables/table40.xml><?xml version="1.0" encoding="utf-8"?>
<table xmlns="http://schemas.openxmlformats.org/spreadsheetml/2006/main" ref="A613:H663" displayName="جدول_28" name="جدول_28" id="40"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مجموع" id="7"/>
    <tableColumn name="المراجعة" id="8"/>
  </tableColumns>
  <tableStyleInfo name=" طلبيات-style 31" showColumnStripes="0" showFirstColumn="1" showLastColumn="1" showRowStripes="1"/>
</table>
</file>

<file path=xl/tables/table41.xml><?xml version="1.0" encoding="utf-8"?>
<table xmlns="http://schemas.openxmlformats.org/spreadsheetml/2006/main" ref="A666:H755" displayName="جدول_29" name="جدول_29" id="41"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مجموع" id="7"/>
    <tableColumn name="التاكيد" id="8"/>
  </tableColumns>
  <tableStyleInfo name=" طلبيات-style 32" showColumnStripes="0" showFirstColumn="1" showLastColumn="1" showRowStripes="1"/>
</table>
</file>

<file path=xl/tables/table42.xml><?xml version="1.0" encoding="utf-8"?>
<table xmlns="http://schemas.openxmlformats.org/spreadsheetml/2006/main" ref="A759:H805" displayName="جدول_31" name="جدول_31" id="42"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مجموع" id="7"/>
    <tableColumn name="التاكيد" id="8"/>
  </tableColumns>
  <tableStyleInfo name=" طلبيات-style 33" showColumnStripes="0" showFirstColumn="1" showLastColumn="1" showRowStripes="1"/>
</table>
</file>

<file path=xl/tables/table43.xml><?xml version="1.0" encoding="utf-8"?>
<table xmlns="http://schemas.openxmlformats.org/spreadsheetml/2006/main" ref="A809:H862" displayName="الثلاثاء12_5_2026" name="الثلاثاء12_5_2026" id="43"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مجموع" id="7"/>
    <tableColumn name="التاكيد" id="8"/>
  </tableColumns>
  <tableStyleInfo name=" طلبيات-style 34" showColumnStripes="0" showFirstColumn="1" showLastColumn="1" showRowStripes="1"/>
</table>
</file>

<file path=xl/tables/table44.xml><?xml version="1.0" encoding="utf-8"?>
<table xmlns="http://schemas.openxmlformats.org/spreadsheetml/2006/main" ref="A864:H866" displayName="جدول_32" name="جدول_32" id="44"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مجموع" id="7"/>
    <tableColumn name="التاكيد" id="8"/>
  </tableColumns>
  <tableStyleInfo name=" طلبيات-style 35" showColumnStripes="0" showFirstColumn="1" showLastColumn="1" showRowStripes="1"/>
</table>
</file>

<file path=xl/tables/table45.xml><?xml version="1.0" encoding="utf-8"?>
<table xmlns="http://schemas.openxmlformats.org/spreadsheetml/2006/main" ref="A872:H902" displayName="السبت_مايو_23_2026" name="السبت_مايو_23_2026" id="45">
  <autoFilter ref="$A$872:$H$902"/>
  <tableColumns count="8">
    <tableColumn name="اسم العنصر" id="1"/>
    <tableColumn name="النوع" id="2"/>
    <tableColumn name="الكمية" id="3"/>
    <tableColumn name="سعر الشراء" id="4"/>
    <tableColumn name="المورد" id="5"/>
    <tableColumn name="التاريخ" id="6"/>
    <tableColumn name="المجموع" id="7"/>
    <tableColumn name="التاكيد" id="8"/>
  </tableColumns>
  <tableStyleInfo name=" طلبيات-style 36" showColumnStripes="0" showFirstColumn="1" showLastColumn="1" showRowStripes="1"/>
</table>
</file>

<file path=xl/tables/table46.xml><?xml version="1.0" encoding="utf-8"?>
<table xmlns="http://schemas.openxmlformats.org/spreadsheetml/2006/main" ref="A1:H5" displayName="جدول_14" name="جدول_14" id="46">
  <tableColumns count="8">
    <tableColumn name="ManufactureID" id="1"/>
    <tableColumn name="ProductName" id="2"/>
    <tableColumn name="ProductType" id="3"/>
    <tableColumn name="QtyToProduce" id="4"/>
    <tableColumn name="CostSharePercent" id="5"/>
    <tableColumn name="Status" id="6"/>
    <tableColumn name="Date" id="7"/>
    <tableColumn name="Notes" id="8"/>
  </tableColumns>
  <tableStyleInfo name="Manufacturing-style" showColumnStripes="0" showFirstColumn="1" showLastColumn="1" showRowStripes="1"/>
</table>
</file>

<file path=xl/tables/table47.xml><?xml version="1.0" encoding="utf-8"?>
<table xmlns="http://schemas.openxmlformats.org/spreadsheetml/2006/main" ref="A1:I7" displayName="جدول_15" name="جدول_15" id="47">
  <tableColumns count="9">
    <tableColumn name="ManufactureID" id="1"/>
    <tableColumn name="MaterialName" id="2"/>
    <tableColumn name="Type" id="3"/>
    <tableColumn name="Supplier" id="4"/>
    <tableColumn name="Qty/Unit" id="5"/>
    <tableColumn name="TotalQty" id="6"/>
    <tableColumn name="Price" id="7"/>
    <tableColumn name="Total Price" id="8"/>
    <tableColumn name="Available Quantity" id="9"/>
  </tableColumns>
  <tableStyleInfo name="Manufacturing_Ite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2.xml"/><Relationship Id="rId62" Type="http://schemas.openxmlformats.org/officeDocument/2006/relationships/table" Target="../tables/table34.xml"/><Relationship Id="rId61" Type="http://schemas.openxmlformats.org/officeDocument/2006/relationships/table" Target="../tables/table33.xml"/><Relationship Id="rId42" Type="http://schemas.openxmlformats.org/officeDocument/2006/relationships/table" Target="../tables/table14.xml"/><Relationship Id="rId64" Type="http://schemas.openxmlformats.org/officeDocument/2006/relationships/table" Target="../tables/table36.xml"/><Relationship Id="rId41" Type="http://schemas.openxmlformats.org/officeDocument/2006/relationships/table" Target="../tables/table13.xml"/><Relationship Id="rId63" Type="http://schemas.openxmlformats.org/officeDocument/2006/relationships/table" Target="../tables/table35.xml"/><Relationship Id="rId44" Type="http://schemas.openxmlformats.org/officeDocument/2006/relationships/table" Target="../tables/table16.xml"/><Relationship Id="rId66" Type="http://schemas.openxmlformats.org/officeDocument/2006/relationships/table" Target="../tables/table38.xml"/><Relationship Id="rId43" Type="http://schemas.openxmlformats.org/officeDocument/2006/relationships/table" Target="../tables/table15.xml"/><Relationship Id="rId65" Type="http://schemas.openxmlformats.org/officeDocument/2006/relationships/table" Target="../tables/table37.xml"/><Relationship Id="rId46" Type="http://schemas.openxmlformats.org/officeDocument/2006/relationships/table" Target="../tables/table18.xml"/><Relationship Id="rId68" Type="http://schemas.openxmlformats.org/officeDocument/2006/relationships/table" Target="../tables/table40.xml"/><Relationship Id="rId45" Type="http://schemas.openxmlformats.org/officeDocument/2006/relationships/table" Target="../tables/table17.xml"/><Relationship Id="rId67" Type="http://schemas.openxmlformats.org/officeDocument/2006/relationships/table" Target="../tables/table39.xml"/><Relationship Id="rId60" Type="http://schemas.openxmlformats.org/officeDocument/2006/relationships/table" Target="../tables/table32.xml"/><Relationship Id="rId1" Type="http://schemas.openxmlformats.org/officeDocument/2006/relationships/drawing" Target="../drawings/drawing11.xml"/><Relationship Id="rId48" Type="http://schemas.openxmlformats.org/officeDocument/2006/relationships/table" Target="../tables/table20.xml"/><Relationship Id="rId47" Type="http://schemas.openxmlformats.org/officeDocument/2006/relationships/table" Target="../tables/table19.xml"/><Relationship Id="rId69" Type="http://schemas.openxmlformats.org/officeDocument/2006/relationships/table" Target="../tables/table41.xml"/><Relationship Id="rId49" Type="http://schemas.openxmlformats.org/officeDocument/2006/relationships/table" Target="../tables/table21.xml"/><Relationship Id="rId51" Type="http://schemas.openxmlformats.org/officeDocument/2006/relationships/table" Target="../tables/table23.xml"/><Relationship Id="rId73" Type="http://schemas.openxmlformats.org/officeDocument/2006/relationships/table" Target="../tables/table45.xml"/><Relationship Id="rId50" Type="http://schemas.openxmlformats.org/officeDocument/2006/relationships/table" Target="../tables/table22.xml"/><Relationship Id="rId72" Type="http://schemas.openxmlformats.org/officeDocument/2006/relationships/table" Target="../tables/table44.xml"/><Relationship Id="rId53" Type="http://schemas.openxmlformats.org/officeDocument/2006/relationships/table" Target="../tables/table25.xml"/><Relationship Id="rId52" Type="http://schemas.openxmlformats.org/officeDocument/2006/relationships/table" Target="../tables/table24.xml"/><Relationship Id="rId55" Type="http://schemas.openxmlformats.org/officeDocument/2006/relationships/table" Target="../tables/table27.xml"/><Relationship Id="rId54" Type="http://schemas.openxmlformats.org/officeDocument/2006/relationships/table" Target="../tables/table26.xml"/><Relationship Id="rId57" Type="http://schemas.openxmlformats.org/officeDocument/2006/relationships/table" Target="../tables/table29.xml"/><Relationship Id="rId56" Type="http://schemas.openxmlformats.org/officeDocument/2006/relationships/table" Target="../tables/table28.xml"/><Relationship Id="rId71" Type="http://schemas.openxmlformats.org/officeDocument/2006/relationships/table" Target="../tables/table43.xml"/><Relationship Id="rId70" Type="http://schemas.openxmlformats.org/officeDocument/2006/relationships/table" Target="../tables/table42.xml"/><Relationship Id="rId59" Type="http://schemas.openxmlformats.org/officeDocument/2006/relationships/table" Target="../tables/table31.xml"/><Relationship Id="rId58" Type="http://schemas.openxmlformats.org/officeDocument/2006/relationships/table" Target="../tables/table30.xml"/><Relationship Id="rId39" Type="http://schemas.openxmlformats.org/officeDocument/2006/relationships/table" Target="../tables/table11.xml"/><Relationship Id="rId38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4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5" max="15" width="16.13"/>
    <col customWidth="1" min="19" max="19" width="6.75"/>
    <col customWidth="1" min="20" max="20" width="23.0"/>
  </cols>
  <sheetData>
    <row r="1" ht="22.5" customHeight="1">
      <c r="A1" s="4" t="s">
        <v>5</v>
      </c>
      <c r="B1" s="4" t="s">
        <v>8</v>
      </c>
      <c r="C1" s="4" t="s">
        <v>10</v>
      </c>
      <c r="D1" s="4" t="s">
        <v>12</v>
      </c>
      <c r="E1" s="7" t="s">
        <v>14</v>
      </c>
      <c r="F1" s="4" t="s">
        <v>16</v>
      </c>
      <c r="G1" s="9" t="s">
        <v>19</v>
      </c>
    </row>
    <row r="2" ht="22.5" customHeight="1">
      <c r="A2" s="12" t="str">
        <f t="array" ref="A2:A385">UNIQUE(Sales_New!A2:A4745)</f>
        <v>بوت تركي</v>
      </c>
      <c r="B2" s="12">
        <f t="array" ref="B2:B4745">IF(A2:A4745="","",SUMIF(Sales_New!A:A, A2:A4745, Sales_New!C:C))</f>
        <v>6</v>
      </c>
      <c r="C2" s="12">
        <f>IF($A2="", "", IFERROR(VLOOKUP($A2, Stock_New!$A:$M, 4, FALSE), ""))</f>
        <v>105</v>
      </c>
      <c r="D2" s="12">
        <f>IF($A2="", "", IFERROR(VLOOKUP($A2, Stock_New!$A:$M, 6, FALSE), ""))</f>
        <v>126</v>
      </c>
      <c r="E2" s="12">
        <f t="shared" ref="E2:E315" si="1">D2-C2</f>
        <v>21</v>
      </c>
      <c r="F2" s="12">
        <f t="shared" ref="F2:F315" si="2">B2*D2-B2*C2</f>
        <v>126</v>
      </c>
      <c r="G2" s="18"/>
    </row>
    <row r="3" ht="22.5" customHeight="1">
      <c r="A3" s="12" t="s">
        <v>36</v>
      </c>
      <c r="B3" s="12">
        <v>2.0</v>
      </c>
      <c r="C3" s="12">
        <f>IF($A3="", "", IFERROR(VLOOKUP($A3, Stock_New!$A:$M, 4, FALSE), ""))</f>
        <v>95</v>
      </c>
      <c r="D3" s="12">
        <f>IF($A3="", "", IFERROR(VLOOKUP($A3, Stock_New!$A:$M, 6, FALSE), ""))</f>
        <v>114</v>
      </c>
      <c r="E3" s="12">
        <f t="shared" si="1"/>
        <v>19</v>
      </c>
      <c r="F3" s="12">
        <f t="shared" si="2"/>
        <v>38</v>
      </c>
      <c r="G3" s="18"/>
    </row>
    <row r="4" ht="22.5" customHeight="1">
      <c r="A4" s="12" t="s">
        <v>40</v>
      </c>
      <c r="B4" s="12">
        <v>1.0</v>
      </c>
      <c r="C4" s="12">
        <f>IF($A4="", "", IFERROR(VLOOKUP($A4, Stock_New!$A:$M, 4, FALSE), ""))</f>
        <v>140</v>
      </c>
      <c r="D4" s="12">
        <f>IF($A4="", "", IFERROR(VLOOKUP($A4, Stock_New!$A:$M, 6, FALSE), ""))</f>
        <v>168</v>
      </c>
      <c r="E4" s="12">
        <f t="shared" si="1"/>
        <v>28</v>
      </c>
      <c r="F4" s="12">
        <f t="shared" si="2"/>
        <v>28</v>
      </c>
      <c r="G4" s="18"/>
    </row>
    <row r="5" ht="22.5" customHeight="1">
      <c r="A5" s="12" t="s">
        <v>43</v>
      </c>
      <c r="B5" s="12">
        <v>4.0</v>
      </c>
      <c r="C5" s="12">
        <f>IF($A5="", "", IFERROR(VLOOKUP($A5, Stock_New!$A:$M, 4, FALSE), ""))</f>
        <v>135</v>
      </c>
      <c r="D5" s="12">
        <f>IF($A5="", "", IFERROR(VLOOKUP($A5, Stock_New!$A:$M, 6, FALSE), ""))</f>
        <v>162</v>
      </c>
      <c r="E5" s="12">
        <f t="shared" si="1"/>
        <v>27</v>
      </c>
      <c r="F5" s="12">
        <f t="shared" si="2"/>
        <v>108</v>
      </c>
      <c r="G5" s="18"/>
    </row>
    <row r="6" ht="22.5" customHeight="1">
      <c r="A6" s="12" t="s">
        <v>45</v>
      </c>
      <c r="B6" s="12">
        <v>1.0</v>
      </c>
      <c r="C6" s="12">
        <f>IF($A6="", "", IFERROR(VLOOKUP($A6, Stock_New!$A:$M, 4, FALSE), ""))</f>
        <v>185</v>
      </c>
      <c r="D6" s="12">
        <f>IF($A6="", "", IFERROR(VLOOKUP($A6, Stock_New!$A:$M, 6, FALSE), ""))</f>
        <v>222</v>
      </c>
      <c r="E6" s="12">
        <f t="shared" si="1"/>
        <v>37</v>
      </c>
      <c r="F6" s="12">
        <f t="shared" si="2"/>
        <v>37</v>
      </c>
    </row>
    <row r="7" ht="22.5" customHeight="1">
      <c r="A7" s="12" t="s">
        <v>48</v>
      </c>
      <c r="B7" s="12">
        <v>53.0</v>
      </c>
      <c r="C7" s="12">
        <f>IF($A7="", "", IFERROR(VLOOKUP($A7, Stock_New!$A:$M, 4, FALSE), ""))</f>
        <v>37</v>
      </c>
      <c r="D7" s="12">
        <f>IF($A7="", "", IFERROR(VLOOKUP($A7, Stock_New!$A:$M, 6, FALSE), ""))</f>
        <v>44.4</v>
      </c>
      <c r="E7" s="12">
        <f t="shared" si="1"/>
        <v>7.4</v>
      </c>
      <c r="F7" s="12">
        <f t="shared" si="2"/>
        <v>392.2</v>
      </c>
    </row>
    <row r="8" ht="22.5" customHeight="1">
      <c r="A8" s="12" t="s">
        <v>55</v>
      </c>
      <c r="B8" s="12">
        <v>6.0</v>
      </c>
      <c r="C8" s="12">
        <f>IF($A8="", "", IFERROR(VLOOKUP($A8, Stock_New!$A:$M, 4, FALSE), ""))</f>
        <v>195</v>
      </c>
      <c r="D8" s="12">
        <f>IF($A8="", "", IFERROR(VLOOKUP($A8, Stock_New!$A:$M, 6, FALSE), ""))</f>
        <v>234</v>
      </c>
      <c r="E8" s="12">
        <f t="shared" si="1"/>
        <v>39</v>
      </c>
      <c r="F8" s="12">
        <f t="shared" si="2"/>
        <v>234</v>
      </c>
    </row>
    <row r="9" ht="22.5" customHeight="1">
      <c r="A9" s="12" t="s">
        <v>66</v>
      </c>
      <c r="B9" s="12">
        <v>2.0</v>
      </c>
      <c r="C9" s="12">
        <f>IF($A9="", "", IFERROR(VLOOKUP($A9, Stock_New!$A:$M, 4, FALSE), ""))</f>
        <v>170</v>
      </c>
      <c r="D9" s="12">
        <f>IF($A9="", "", IFERROR(VLOOKUP($A9, Stock_New!$A:$M, 6, FALSE), ""))</f>
        <v>204</v>
      </c>
      <c r="E9" s="12">
        <f t="shared" si="1"/>
        <v>34</v>
      </c>
      <c r="F9" s="12">
        <f t="shared" si="2"/>
        <v>68</v>
      </c>
      <c r="G9" s="18"/>
    </row>
    <row r="10" ht="22.5" customHeight="1">
      <c r="A10" s="12" t="s">
        <v>70</v>
      </c>
      <c r="B10" s="12">
        <v>5.0</v>
      </c>
      <c r="C10" s="12">
        <f>IF($A10="", "", IFERROR(VLOOKUP($A10, Stock_New!$A:$M, 4, FALSE), ""))</f>
        <v>75</v>
      </c>
      <c r="D10" s="12">
        <f>IF($A10="", "", IFERROR(VLOOKUP($A10, Stock_New!$A:$M, 6, FALSE), ""))</f>
        <v>90</v>
      </c>
      <c r="E10" s="12">
        <f t="shared" si="1"/>
        <v>15</v>
      </c>
      <c r="F10" s="12">
        <f t="shared" si="2"/>
        <v>75</v>
      </c>
      <c r="G10" s="18"/>
    </row>
    <row r="11" ht="22.5" customHeight="1">
      <c r="A11" s="12" t="s">
        <v>74</v>
      </c>
      <c r="B11" s="12">
        <v>9.0</v>
      </c>
      <c r="C11" s="12">
        <f>IF($A11="", "", IFERROR(VLOOKUP($A11, Stock_New!$A:$M, 4, FALSE), ""))</f>
        <v>120</v>
      </c>
      <c r="D11" s="12">
        <f>IF($A11="", "", IFERROR(VLOOKUP($A11, Stock_New!$A:$M, 6, FALSE), ""))</f>
        <v>144</v>
      </c>
      <c r="E11" s="12">
        <f t="shared" si="1"/>
        <v>24</v>
      </c>
      <c r="F11" s="12">
        <f t="shared" si="2"/>
        <v>216</v>
      </c>
      <c r="G11" s="18"/>
    </row>
    <row r="12" ht="22.5" customHeight="1">
      <c r="A12" s="12" t="s">
        <v>79</v>
      </c>
      <c r="B12" s="12">
        <v>10.0</v>
      </c>
      <c r="C12" s="12">
        <f>IF($A12="", "", IFERROR(VLOOKUP($A12, Stock_New!$A:$M, 4, FALSE), ""))</f>
        <v>60</v>
      </c>
      <c r="D12" s="12">
        <f>IF($A12="", "", IFERROR(VLOOKUP($A12, Stock_New!$A:$M, 6, FALSE), ""))</f>
        <v>72</v>
      </c>
      <c r="E12" s="12">
        <f t="shared" si="1"/>
        <v>12</v>
      </c>
      <c r="F12" s="12">
        <f t="shared" si="2"/>
        <v>120</v>
      </c>
      <c r="G12" s="18"/>
    </row>
    <row r="13" ht="22.5" customHeight="1">
      <c r="A13" s="12" t="s">
        <v>84</v>
      </c>
      <c r="B13" s="12">
        <v>1.0</v>
      </c>
      <c r="C13" s="12">
        <f>IF($A13="", "", IFERROR(VLOOKUP($A13, Stock_New!$A:$M, 4, FALSE), ""))</f>
        <v>220</v>
      </c>
      <c r="D13" s="12">
        <f>IF($A13="", "", IFERROR(VLOOKUP($A13, Stock_New!$A:$M, 6, FALSE), ""))</f>
        <v>264</v>
      </c>
      <c r="E13" s="12">
        <f t="shared" si="1"/>
        <v>44</v>
      </c>
      <c r="F13" s="12">
        <f t="shared" si="2"/>
        <v>44</v>
      </c>
      <c r="G13" s="18"/>
    </row>
    <row r="14" ht="22.5" customHeight="1">
      <c r="A14" s="12" t="s">
        <v>89</v>
      </c>
      <c r="B14" s="12">
        <v>1.0</v>
      </c>
      <c r="C14" s="12">
        <f>IF($A14="", "", IFERROR(VLOOKUP($A14, Stock_New!$A:$M, 4, FALSE), ""))</f>
        <v>175</v>
      </c>
      <c r="D14" s="12">
        <f>IF($A14="", "", IFERROR(VLOOKUP($A14, Stock_New!$A:$M, 6, FALSE), ""))</f>
        <v>210</v>
      </c>
      <c r="E14" s="12">
        <f t="shared" si="1"/>
        <v>35</v>
      </c>
      <c r="F14" s="12">
        <f t="shared" si="2"/>
        <v>35</v>
      </c>
      <c r="G14" s="18"/>
    </row>
    <row r="15" ht="22.5" customHeight="1">
      <c r="A15" s="12" t="s">
        <v>96</v>
      </c>
      <c r="B15" s="12">
        <v>1.0</v>
      </c>
      <c r="C15" s="12">
        <f>IF($A15="", "", IFERROR(VLOOKUP($A15, Stock_New!$A:$M, 4, FALSE), ""))</f>
        <v>160</v>
      </c>
      <c r="D15" s="12">
        <f>IF($A15="", "", IFERROR(VLOOKUP($A15, Stock_New!$A:$M, 6, FALSE), ""))</f>
        <v>192</v>
      </c>
      <c r="E15" s="12">
        <f t="shared" si="1"/>
        <v>32</v>
      </c>
      <c r="F15" s="12">
        <f t="shared" si="2"/>
        <v>32</v>
      </c>
      <c r="G15" s="18"/>
    </row>
    <row r="16" ht="22.5" customHeight="1">
      <c r="A16" s="12" t="s">
        <v>101</v>
      </c>
      <c r="B16" s="12">
        <v>6.0</v>
      </c>
      <c r="C16" s="12">
        <f>IF($A16="", "", IFERROR(VLOOKUP($A16, Stock_New!$A:$M, 4, FALSE), ""))</f>
        <v>175</v>
      </c>
      <c r="D16" s="12">
        <f>IF($A16="", "", IFERROR(VLOOKUP($A16, Stock_New!$A:$M, 6, FALSE), ""))</f>
        <v>210</v>
      </c>
      <c r="E16" s="12">
        <f t="shared" si="1"/>
        <v>35</v>
      </c>
      <c r="F16" s="12">
        <f t="shared" si="2"/>
        <v>210</v>
      </c>
      <c r="G16" s="18"/>
    </row>
    <row r="17" ht="22.5" customHeight="1">
      <c r="A17" s="12" t="s">
        <v>106</v>
      </c>
      <c r="B17" s="12">
        <v>2.0</v>
      </c>
      <c r="C17" s="12">
        <f>IF($A17="", "", IFERROR(VLOOKUP($A17, Stock_New!$A:$M, 4, FALSE), ""))</f>
        <v>189.29</v>
      </c>
      <c r="D17" s="12">
        <f>IF($A17="", "", IFERROR(VLOOKUP($A17, Stock_New!$A:$M, 6, FALSE), ""))</f>
        <v>227.15</v>
      </c>
      <c r="E17" s="12">
        <f t="shared" si="1"/>
        <v>37.86</v>
      </c>
      <c r="F17" s="12">
        <f t="shared" si="2"/>
        <v>75.72</v>
      </c>
      <c r="G17" s="18"/>
    </row>
    <row r="18" ht="22.5" customHeight="1">
      <c r="A18" s="12" t="s">
        <v>112</v>
      </c>
      <c r="B18" s="12">
        <v>1.0</v>
      </c>
      <c r="C18" s="12">
        <f>IF($A18="", "", IFERROR(VLOOKUP($A18, Stock_New!$A:$M, 4, FALSE), ""))</f>
        <v>135</v>
      </c>
      <c r="D18" s="12">
        <f>IF($A18="", "", IFERROR(VLOOKUP($A18, Stock_New!$A:$M, 6, FALSE), ""))</f>
        <v>162</v>
      </c>
      <c r="E18" s="12">
        <f t="shared" si="1"/>
        <v>27</v>
      </c>
      <c r="F18" s="12">
        <f t="shared" si="2"/>
        <v>27</v>
      </c>
      <c r="G18" s="18"/>
    </row>
    <row r="19" ht="22.5" customHeight="1">
      <c r="A19" s="12" t="s">
        <v>116</v>
      </c>
      <c r="B19" s="12">
        <v>11.0</v>
      </c>
      <c r="C19" s="12">
        <f>IF($A19="", "", IFERROR(VLOOKUP($A19, Stock_New!$A:$M, 4, FALSE), ""))</f>
        <v>17</v>
      </c>
      <c r="D19" s="12">
        <f>IF($A19="", "", IFERROR(VLOOKUP($A19, Stock_New!$A:$M, 6, FALSE), ""))</f>
        <v>20.4</v>
      </c>
      <c r="E19" s="12">
        <f t="shared" si="1"/>
        <v>3.4</v>
      </c>
      <c r="F19" s="12">
        <f t="shared" si="2"/>
        <v>37.4</v>
      </c>
      <c r="G19" s="18"/>
    </row>
    <row r="20" ht="22.5" customHeight="1">
      <c r="A20" s="12" t="s">
        <v>122</v>
      </c>
      <c r="B20" s="12">
        <v>3.0</v>
      </c>
      <c r="C20" s="12">
        <f>IF($A20="", "", IFERROR(VLOOKUP($A20, Stock_New!$A:$M, 4, FALSE), ""))</f>
        <v>300</v>
      </c>
      <c r="D20" s="12">
        <f>IF($A20="", "", IFERROR(VLOOKUP($A20, Stock_New!$A:$M, 6, FALSE), ""))</f>
        <v>360</v>
      </c>
      <c r="E20" s="12">
        <f t="shared" si="1"/>
        <v>60</v>
      </c>
      <c r="F20" s="12">
        <f t="shared" si="2"/>
        <v>180</v>
      </c>
      <c r="G20" s="18"/>
    </row>
    <row r="21" ht="22.5" customHeight="1">
      <c r="A21" s="12" t="s">
        <v>75</v>
      </c>
      <c r="B21" s="12">
        <v>1.0</v>
      </c>
      <c r="C21" s="12">
        <f>IF($A21="", "", IFERROR(VLOOKUP($A21, Stock_New!$A:$M, 4, FALSE), ""))</f>
        <v>725</v>
      </c>
      <c r="D21" s="12">
        <f>IF($A21="", "", IFERROR(VLOOKUP($A21, Stock_New!$A:$M, 6, FALSE), ""))</f>
        <v>870</v>
      </c>
      <c r="E21" s="12">
        <f t="shared" si="1"/>
        <v>145</v>
      </c>
      <c r="F21" s="12">
        <f t="shared" si="2"/>
        <v>145</v>
      </c>
      <c r="G21" s="18"/>
    </row>
    <row r="22" ht="22.5" customHeight="1">
      <c r="A22" s="12" t="s">
        <v>85</v>
      </c>
      <c r="B22" s="12">
        <v>2.0</v>
      </c>
      <c r="C22" s="12">
        <f>IF($A22="", "", IFERROR(VLOOKUP($A22, Stock_New!$A:$M, 4, FALSE), ""))</f>
        <v>598.33</v>
      </c>
      <c r="D22" s="12">
        <f>IF($A22="", "", IFERROR(VLOOKUP($A22, Stock_New!$A:$M, 6, FALSE), ""))</f>
        <v>718</v>
      </c>
      <c r="E22" s="12">
        <f t="shared" si="1"/>
        <v>119.67</v>
      </c>
      <c r="F22" s="12">
        <f t="shared" si="2"/>
        <v>239.34</v>
      </c>
      <c r="G22" s="18"/>
    </row>
    <row r="23" ht="22.5" customHeight="1">
      <c r="A23" s="12" t="s">
        <v>139</v>
      </c>
      <c r="B23" s="12">
        <v>2.0</v>
      </c>
      <c r="C23" s="12">
        <f>IF($A23="", "", IFERROR(VLOOKUP($A23, Stock_New!$A:$M, 4, FALSE), ""))</f>
        <v>110</v>
      </c>
      <c r="D23" s="12">
        <f>IF($A23="", "", IFERROR(VLOOKUP($A23, Stock_New!$A:$M, 6, FALSE), ""))</f>
        <v>132</v>
      </c>
      <c r="E23" s="12">
        <f t="shared" si="1"/>
        <v>22</v>
      </c>
      <c r="F23" s="12">
        <f t="shared" si="2"/>
        <v>44</v>
      </c>
      <c r="G23" s="18"/>
    </row>
    <row r="24" ht="22.5" customHeight="1">
      <c r="A24" s="12" t="s">
        <v>144</v>
      </c>
      <c r="B24" s="12">
        <v>48.0</v>
      </c>
      <c r="C24" s="12">
        <f>IF($A24="", "", IFERROR(VLOOKUP($A24, Stock_New!$A:$M, 4, FALSE), ""))</f>
        <v>120</v>
      </c>
      <c r="D24" s="12">
        <f>IF($A24="", "", IFERROR(VLOOKUP($A24, Stock_New!$A:$M, 6, FALSE), ""))</f>
        <v>144</v>
      </c>
      <c r="E24" s="12">
        <f t="shared" si="1"/>
        <v>24</v>
      </c>
      <c r="F24" s="12">
        <f t="shared" si="2"/>
        <v>1152</v>
      </c>
      <c r="G24" s="18"/>
    </row>
    <row r="25" ht="22.5" customHeight="1">
      <c r="A25" s="12" t="s">
        <v>148</v>
      </c>
      <c r="B25" s="12">
        <v>1.0</v>
      </c>
      <c r="C25" s="12">
        <f>IF($A25="", "", IFERROR(VLOOKUP($A25, Stock_New!$A:$M, 4, FALSE), ""))</f>
        <v>365</v>
      </c>
      <c r="D25" s="12">
        <f>IF($A25="", "", IFERROR(VLOOKUP($A25, Stock_New!$A:$M, 6, FALSE), ""))</f>
        <v>438</v>
      </c>
      <c r="E25" s="12">
        <f t="shared" si="1"/>
        <v>73</v>
      </c>
      <c r="F25" s="12">
        <f t="shared" si="2"/>
        <v>73</v>
      </c>
      <c r="G25" s="18"/>
    </row>
    <row r="26" ht="22.5" customHeight="1">
      <c r="A26" s="12" t="s">
        <v>153</v>
      </c>
      <c r="B26" s="12">
        <v>4.0</v>
      </c>
      <c r="C26" s="12">
        <f>IF($A26="", "", IFERROR(VLOOKUP($A26, Stock_New!$A:$M, 4, FALSE), ""))</f>
        <v>211.67</v>
      </c>
      <c r="D26" s="12">
        <f>IF($A26="", "", IFERROR(VLOOKUP($A26, Stock_New!$A:$M, 6, FALSE), ""))</f>
        <v>254</v>
      </c>
      <c r="E26" s="12">
        <f t="shared" si="1"/>
        <v>42.33</v>
      </c>
      <c r="F26" s="12">
        <f t="shared" si="2"/>
        <v>169.32</v>
      </c>
      <c r="G26" s="18"/>
    </row>
    <row r="27" ht="22.5" customHeight="1">
      <c r="A27" s="12" t="s">
        <v>157</v>
      </c>
      <c r="B27" s="12">
        <v>1.0</v>
      </c>
      <c r="C27" s="12">
        <f>IF($A27="", "", IFERROR(VLOOKUP($A27, Stock_New!$A:$M, 4, FALSE), ""))</f>
        <v>120</v>
      </c>
      <c r="D27" s="12">
        <f>IF($A27="", "", IFERROR(VLOOKUP($A27, Stock_New!$A:$M, 6, FALSE), ""))</f>
        <v>144</v>
      </c>
      <c r="E27" s="12">
        <f t="shared" si="1"/>
        <v>24</v>
      </c>
      <c r="F27" s="12">
        <f t="shared" si="2"/>
        <v>24</v>
      </c>
      <c r="G27" s="18"/>
    </row>
    <row r="28" ht="22.5" customHeight="1">
      <c r="A28" s="12" t="s">
        <v>156</v>
      </c>
      <c r="B28" s="12">
        <v>3.0</v>
      </c>
      <c r="C28" s="12">
        <f>IF($A28="", "", IFERROR(VLOOKUP($A28, Stock_New!$A:$M, 4, FALSE), ""))</f>
        <v>112.5</v>
      </c>
      <c r="D28" s="12">
        <f>IF($A28="", "", IFERROR(VLOOKUP($A28, Stock_New!$A:$M, 6, FALSE), ""))</f>
        <v>135</v>
      </c>
      <c r="E28" s="12">
        <f t="shared" si="1"/>
        <v>22.5</v>
      </c>
      <c r="F28" s="12">
        <f t="shared" si="2"/>
        <v>67.5</v>
      </c>
      <c r="G28" s="18"/>
    </row>
    <row r="29" ht="22.5" customHeight="1">
      <c r="A29" s="12" t="s">
        <v>172</v>
      </c>
      <c r="B29" s="12">
        <v>45.0</v>
      </c>
      <c r="C29" s="12">
        <f>IF($A29="", "", IFERROR(VLOOKUP($A29, Stock_New!$A:$M, 4, FALSE), ""))</f>
        <v>28.2</v>
      </c>
      <c r="D29" s="12">
        <f>IF($A29="", "", IFERROR(VLOOKUP($A29, Stock_New!$A:$M, 6, FALSE), ""))</f>
        <v>33.84</v>
      </c>
      <c r="E29" s="12">
        <f t="shared" si="1"/>
        <v>5.64</v>
      </c>
      <c r="F29" s="12">
        <f t="shared" si="2"/>
        <v>253.8</v>
      </c>
      <c r="G29" s="18"/>
    </row>
    <row r="30" ht="22.5" customHeight="1">
      <c r="A30" s="12" t="s">
        <v>178</v>
      </c>
      <c r="B30" s="12">
        <v>2.0</v>
      </c>
      <c r="C30" s="12">
        <f>IF($A30="", "", IFERROR(VLOOKUP($A30, Stock_New!$A:$M, 4, FALSE), ""))</f>
        <v>195</v>
      </c>
      <c r="D30" s="12">
        <f>IF($A30="", "", IFERROR(VLOOKUP($A30, Stock_New!$A:$M, 6, FALSE), ""))</f>
        <v>234</v>
      </c>
      <c r="E30" s="12">
        <f t="shared" si="1"/>
        <v>39</v>
      </c>
      <c r="F30" s="12">
        <f t="shared" si="2"/>
        <v>78</v>
      </c>
      <c r="G30" s="18"/>
    </row>
    <row r="31" ht="22.5" customHeight="1">
      <c r="A31" s="12" t="s">
        <v>133</v>
      </c>
      <c r="B31" s="12">
        <v>5.0</v>
      </c>
      <c r="C31" s="12">
        <f>IF($A31="", "", IFERROR(VLOOKUP($A31, Stock_New!$A:$M, 4, FALSE), ""))</f>
        <v>135</v>
      </c>
      <c r="D31" s="12">
        <f>IF($A31="", "", IFERROR(VLOOKUP($A31, Stock_New!$A:$M, 6, FALSE), ""))</f>
        <v>162</v>
      </c>
      <c r="E31" s="12">
        <f t="shared" si="1"/>
        <v>27</v>
      </c>
      <c r="F31" s="12">
        <f t="shared" si="2"/>
        <v>135</v>
      </c>
      <c r="G31" s="18"/>
    </row>
    <row r="32" ht="22.5" customHeight="1">
      <c r="A32" s="12" t="s">
        <v>188</v>
      </c>
      <c r="B32" s="12">
        <v>1.0</v>
      </c>
      <c r="C32" s="12">
        <f>IF($A32="", "", IFERROR(VLOOKUP($A32, Stock_New!$A:$M, 4, FALSE), ""))</f>
        <v>40</v>
      </c>
      <c r="D32" s="12">
        <f>IF($A32="", "", IFERROR(VLOOKUP($A32, Stock_New!$A:$M, 6, FALSE), ""))</f>
        <v>48</v>
      </c>
      <c r="E32" s="12">
        <f t="shared" si="1"/>
        <v>8</v>
      </c>
      <c r="F32" s="12">
        <f t="shared" si="2"/>
        <v>8</v>
      </c>
      <c r="G32" s="18"/>
    </row>
    <row r="33" ht="22.5" customHeight="1">
      <c r="A33" s="12" t="s">
        <v>194</v>
      </c>
      <c r="B33" s="12">
        <v>24.0</v>
      </c>
      <c r="C33" s="12">
        <f>IF($A33="", "", IFERROR(VLOOKUP($A33, Stock_New!$A:$M, 4, FALSE), ""))</f>
        <v>164.17</v>
      </c>
      <c r="D33" s="12">
        <f>IF($A33="", "", IFERROR(VLOOKUP($A33, Stock_New!$A:$M, 6, FALSE), ""))</f>
        <v>197</v>
      </c>
      <c r="E33" s="12">
        <f t="shared" si="1"/>
        <v>32.83</v>
      </c>
      <c r="F33" s="12">
        <f t="shared" si="2"/>
        <v>787.92</v>
      </c>
      <c r="G33" s="18"/>
    </row>
    <row r="34" ht="22.5" customHeight="1">
      <c r="A34" s="12" t="s">
        <v>198</v>
      </c>
      <c r="B34" s="12">
        <v>4.0</v>
      </c>
      <c r="C34" s="12">
        <f>IF($A34="", "", IFERROR(VLOOKUP($A34, Stock_New!$A:$M, 4, FALSE), ""))</f>
        <v>55</v>
      </c>
      <c r="D34" s="12">
        <f>IF($A34="", "", IFERROR(VLOOKUP($A34, Stock_New!$A:$M, 6, FALSE), ""))</f>
        <v>66</v>
      </c>
      <c r="E34" s="12">
        <f t="shared" si="1"/>
        <v>11</v>
      </c>
      <c r="F34" s="12">
        <f t="shared" si="2"/>
        <v>44</v>
      </c>
      <c r="G34" s="18"/>
    </row>
    <row r="35" ht="22.5" customHeight="1">
      <c r="A35" s="12" t="s">
        <v>204</v>
      </c>
      <c r="B35" s="12">
        <v>1.0</v>
      </c>
      <c r="C35" s="12">
        <f>IF($A35="", "", IFERROR(VLOOKUP($A35, Stock_New!$A:$M, 4, FALSE), ""))</f>
        <v>110</v>
      </c>
      <c r="D35" s="12">
        <f>IF($A35="", "", IFERROR(VLOOKUP($A35, Stock_New!$A:$M, 6, FALSE), ""))</f>
        <v>132</v>
      </c>
      <c r="E35" s="12">
        <f t="shared" si="1"/>
        <v>22</v>
      </c>
      <c r="F35" s="12">
        <f t="shared" si="2"/>
        <v>22</v>
      </c>
      <c r="G35" s="18"/>
    </row>
    <row r="36" ht="22.5" customHeight="1">
      <c r="A36" s="12" t="s">
        <v>212</v>
      </c>
      <c r="B36" s="12">
        <v>2.0</v>
      </c>
      <c r="C36" s="12">
        <f>IF($A36="", "", IFERROR(VLOOKUP($A36, Stock_New!$A:$M, 4, FALSE), ""))</f>
        <v>325</v>
      </c>
      <c r="D36" s="12">
        <f>IF($A36="", "", IFERROR(VLOOKUP($A36, Stock_New!$A:$M, 6, FALSE), ""))</f>
        <v>390</v>
      </c>
      <c r="E36" s="12">
        <f t="shared" si="1"/>
        <v>65</v>
      </c>
      <c r="F36" s="12">
        <f t="shared" si="2"/>
        <v>130</v>
      </c>
      <c r="G36" s="18"/>
    </row>
    <row r="37" ht="22.5" customHeight="1">
      <c r="A37" s="12" t="s">
        <v>102</v>
      </c>
      <c r="B37" s="12">
        <v>2.0</v>
      </c>
      <c r="C37" s="12">
        <f>IF($A37="", "", IFERROR(VLOOKUP($A37, Stock_New!$A:$M, 4, FALSE), ""))</f>
        <v>562.5</v>
      </c>
      <c r="D37" s="12">
        <f>IF($A37="", "", IFERROR(VLOOKUP($A37, Stock_New!$A:$M, 6, FALSE), ""))</f>
        <v>675</v>
      </c>
      <c r="E37" s="12">
        <f t="shared" si="1"/>
        <v>112.5</v>
      </c>
      <c r="F37" s="12">
        <f t="shared" si="2"/>
        <v>225</v>
      </c>
      <c r="G37" s="18"/>
    </row>
    <row r="38" ht="22.5" customHeight="1">
      <c r="A38" s="12" t="s">
        <v>221</v>
      </c>
      <c r="B38" s="12">
        <v>2.0</v>
      </c>
      <c r="C38" s="12">
        <f>IF($A38="", "", IFERROR(VLOOKUP($A38, Stock_New!$A:$M, 4, FALSE), ""))</f>
        <v>235</v>
      </c>
      <c r="D38" s="12">
        <f>IF($A38="", "", IFERROR(VLOOKUP($A38, Stock_New!$A:$M, 6, FALSE), ""))</f>
        <v>282</v>
      </c>
      <c r="E38" s="12">
        <f t="shared" si="1"/>
        <v>47</v>
      </c>
      <c r="F38" s="12">
        <f t="shared" si="2"/>
        <v>94</v>
      </c>
      <c r="G38" s="18"/>
    </row>
    <row r="39" ht="22.5" customHeight="1">
      <c r="A39" s="12" t="s">
        <v>225</v>
      </c>
      <c r="B39" s="12">
        <v>2.0</v>
      </c>
      <c r="C39" s="12">
        <f>IF($A39="", "", IFERROR(VLOOKUP($A39, Stock_New!$A:$M, 4, FALSE), ""))</f>
        <v>160</v>
      </c>
      <c r="D39" s="12">
        <f>IF($A39="", "", IFERROR(VLOOKUP($A39, Stock_New!$A:$M, 6, FALSE), ""))</f>
        <v>192</v>
      </c>
      <c r="E39" s="12">
        <f t="shared" si="1"/>
        <v>32</v>
      </c>
      <c r="F39" s="12">
        <f t="shared" si="2"/>
        <v>64</v>
      </c>
      <c r="G39" s="18"/>
    </row>
    <row r="40" ht="22.5" customHeight="1">
      <c r="A40" s="12" t="s">
        <v>230</v>
      </c>
      <c r="B40" s="12">
        <v>1.0</v>
      </c>
      <c r="C40" s="12">
        <f>IF($A40="", "", IFERROR(VLOOKUP($A40, Stock_New!$A:$M, 4, FALSE), ""))</f>
        <v>310</v>
      </c>
      <c r="D40" s="12">
        <f>IF($A40="", "", IFERROR(VLOOKUP($A40, Stock_New!$A:$M, 6, FALSE), ""))</f>
        <v>372</v>
      </c>
      <c r="E40" s="12">
        <f t="shared" si="1"/>
        <v>62</v>
      </c>
      <c r="F40" s="12">
        <f t="shared" si="2"/>
        <v>62</v>
      </c>
      <c r="G40" s="18"/>
    </row>
    <row r="41" ht="22.5" customHeight="1">
      <c r="A41" s="12" t="s">
        <v>234</v>
      </c>
      <c r="B41" s="12">
        <v>1.0</v>
      </c>
      <c r="C41" s="12">
        <f>IF($A41="", "", IFERROR(VLOOKUP($A41, Stock_New!$A:$M, 4, FALSE), ""))</f>
        <v>165</v>
      </c>
      <c r="D41" s="12">
        <f>IF($A41="", "", IFERROR(VLOOKUP($A41, Stock_New!$A:$M, 6, FALSE), ""))</f>
        <v>198</v>
      </c>
      <c r="E41" s="12">
        <f t="shared" si="1"/>
        <v>33</v>
      </c>
      <c r="F41" s="12">
        <f t="shared" si="2"/>
        <v>33</v>
      </c>
      <c r="G41" s="18"/>
    </row>
    <row r="42" ht="22.5" customHeight="1">
      <c r="A42" s="12" t="s">
        <v>241</v>
      </c>
      <c r="B42" s="12">
        <v>1.0</v>
      </c>
      <c r="C42" s="12">
        <f>IF($A42="", "", IFERROR(VLOOKUP($A42, Stock_New!$A:$M, 4, FALSE), ""))</f>
        <v>225</v>
      </c>
      <c r="D42" s="12">
        <f>IF($A42="", "", IFERROR(VLOOKUP($A42, Stock_New!$A:$M, 6, FALSE), ""))</f>
        <v>270</v>
      </c>
      <c r="E42" s="12">
        <f t="shared" si="1"/>
        <v>45</v>
      </c>
      <c r="F42" s="12">
        <f t="shared" si="2"/>
        <v>45</v>
      </c>
      <c r="G42" s="18"/>
    </row>
    <row r="43" ht="22.5" customHeight="1">
      <c r="A43" s="12" t="s">
        <v>244</v>
      </c>
      <c r="B43" s="12">
        <v>1.0</v>
      </c>
      <c r="C43" s="12">
        <f>IF($A43="", "", IFERROR(VLOOKUP($A43, Stock_New!$A:$M, 4, FALSE), ""))</f>
        <v>210</v>
      </c>
      <c r="D43" s="12">
        <f>IF($A43="", "", IFERROR(VLOOKUP($A43, Stock_New!$A:$M, 6, FALSE), ""))</f>
        <v>252</v>
      </c>
      <c r="E43" s="12">
        <f t="shared" si="1"/>
        <v>42</v>
      </c>
      <c r="F43" s="12">
        <f t="shared" si="2"/>
        <v>42</v>
      </c>
      <c r="G43" s="18"/>
    </row>
    <row r="44" ht="22.5" customHeight="1">
      <c r="A44" s="12" t="s">
        <v>250</v>
      </c>
      <c r="B44" s="12">
        <v>10.0</v>
      </c>
      <c r="C44" s="12">
        <f>IF($A44="", "", IFERROR(VLOOKUP($A44, Stock_New!$A:$M, 4, FALSE), ""))</f>
        <v>145</v>
      </c>
      <c r="D44" s="12">
        <f>IF($A44="", "", IFERROR(VLOOKUP($A44, Stock_New!$A:$M, 6, FALSE), ""))</f>
        <v>174</v>
      </c>
      <c r="E44" s="12">
        <f t="shared" si="1"/>
        <v>29</v>
      </c>
      <c r="F44" s="12">
        <f t="shared" si="2"/>
        <v>290</v>
      </c>
      <c r="G44" s="18"/>
    </row>
    <row r="45" ht="22.5" customHeight="1">
      <c r="A45" s="12" t="s">
        <v>255</v>
      </c>
      <c r="B45" s="12">
        <v>47.0</v>
      </c>
      <c r="C45" s="12">
        <f>IF($A45="", "", IFERROR(VLOOKUP($A45, Stock_New!$A:$M, 4, FALSE), ""))</f>
        <v>22.75</v>
      </c>
      <c r="D45" s="12">
        <f>IF($A45="", "", IFERROR(VLOOKUP($A45, Stock_New!$A:$M, 6, FALSE), ""))</f>
        <v>27.3</v>
      </c>
      <c r="E45" s="12">
        <f t="shared" si="1"/>
        <v>4.55</v>
      </c>
      <c r="F45" s="12">
        <f t="shared" si="2"/>
        <v>213.85</v>
      </c>
      <c r="G45" s="18"/>
    </row>
    <row r="46" ht="22.5" customHeight="1">
      <c r="A46" s="12" t="s">
        <v>260</v>
      </c>
      <c r="B46" s="12">
        <v>1.0</v>
      </c>
      <c r="C46" s="12">
        <f>IF($A46="", "", IFERROR(VLOOKUP($A46, Stock_New!$A:$M, 4, FALSE), ""))</f>
        <v>170</v>
      </c>
      <c r="D46" s="12">
        <f>IF($A46="", "", IFERROR(VLOOKUP($A46, Stock_New!$A:$M, 6, FALSE), ""))</f>
        <v>204</v>
      </c>
      <c r="E46" s="12">
        <f t="shared" si="1"/>
        <v>34</v>
      </c>
      <c r="F46" s="12">
        <f t="shared" si="2"/>
        <v>34</v>
      </c>
      <c r="G46" s="18"/>
    </row>
    <row r="47" ht="22.5" customHeight="1">
      <c r="A47" s="12" t="s">
        <v>88</v>
      </c>
      <c r="B47" s="12">
        <v>1.0</v>
      </c>
      <c r="C47" s="12">
        <f>IF($A47="", "", IFERROR(VLOOKUP($A47, Stock_New!$A:$M, 4, FALSE), ""))</f>
        <v>575</v>
      </c>
      <c r="D47" s="12">
        <f>IF($A47="", "", IFERROR(VLOOKUP($A47, Stock_New!$A:$M, 6, FALSE), ""))</f>
        <v>690</v>
      </c>
      <c r="E47" s="12">
        <f t="shared" si="1"/>
        <v>115</v>
      </c>
      <c r="F47" s="12">
        <f t="shared" si="2"/>
        <v>115</v>
      </c>
      <c r="G47" s="18"/>
    </row>
    <row r="48" ht="22.5" customHeight="1">
      <c r="A48" s="12" t="s">
        <v>268</v>
      </c>
      <c r="B48" s="12">
        <v>18.0</v>
      </c>
      <c r="C48" s="12">
        <f>IF($A48="", "", IFERROR(VLOOKUP($A48, Stock_New!$A:$M, 4, FALSE), ""))</f>
        <v>178.75</v>
      </c>
      <c r="D48" s="12">
        <f>IF($A48="", "", IFERROR(VLOOKUP($A48, Stock_New!$A:$M, 6, FALSE), ""))</f>
        <v>214.5</v>
      </c>
      <c r="E48" s="12">
        <f t="shared" si="1"/>
        <v>35.75</v>
      </c>
      <c r="F48" s="12">
        <f t="shared" si="2"/>
        <v>643.5</v>
      </c>
      <c r="G48" s="18"/>
    </row>
    <row r="49" ht="22.5" customHeight="1">
      <c r="A49" s="12" t="s">
        <v>264</v>
      </c>
      <c r="B49" s="12">
        <v>2.0</v>
      </c>
      <c r="C49" s="12">
        <f>IF($A49="", "", IFERROR(VLOOKUP($A49, Stock_New!$A:$M, 4, FALSE), ""))</f>
        <v>310</v>
      </c>
      <c r="D49" s="12">
        <f>IF($A49="", "", IFERROR(VLOOKUP($A49, Stock_New!$A:$M, 6, FALSE), ""))</f>
        <v>372</v>
      </c>
      <c r="E49" s="12">
        <f t="shared" si="1"/>
        <v>62</v>
      </c>
      <c r="F49" s="12">
        <f t="shared" si="2"/>
        <v>124</v>
      </c>
      <c r="G49" s="18"/>
    </row>
    <row r="50" ht="22.5" customHeight="1">
      <c r="A50" s="12" t="s">
        <v>274</v>
      </c>
      <c r="B50" s="12">
        <v>2.0</v>
      </c>
      <c r="C50" s="12">
        <f>IF($A50="", "", IFERROR(VLOOKUP($A50, Stock_New!$A:$M, 4, FALSE), ""))</f>
        <v>250</v>
      </c>
      <c r="D50" s="12">
        <f>IF($A50="", "", IFERROR(VLOOKUP($A50, Stock_New!$A:$M, 6, FALSE), ""))</f>
        <v>300</v>
      </c>
      <c r="E50" s="12">
        <f t="shared" si="1"/>
        <v>50</v>
      </c>
      <c r="F50" s="12">
        <f t="shared" si="2"/>
        <v>100</v>
      </c>
      <c r="G50" s="18"/>
    </row>
    <row r="51" ht="22.5" customHeight="1">
      <c r="A51" s="12" t="s">
        <v>232</v>
      </c>
      <c r="B51" s="12">
        <v>2.0</v>
      </c>
      <c r="C51" s="12">
        <f>IF($A51="", "", IFERROR(VLOOKUP($A51, Stock_New!$A:$M, 4, FALSE), ""))</f>
        <v>325</v>
      </c>
      <c r="D51" s="12">
        <f>IF($A51="", "", IFERROR(VLOOKUP($A51, Stock_New!$A:$M, 6, FALSE), ""))</f>
        <v>390</v>
      </c>
      <c r="E51" s="12">
        <f t="shared" si="1"/>
        <v>65</v>
      </c>
      <c r="F51" s="12">
        <f t="shared" si="2"/>
        <v>130</v>
      </c>
      <c r="G51" s="18"/>
    </row>
    <row r="52" ht="22.5" customHeight="1">
      <c r="A52" s="12" t="s">
        <v>165</v>
      </c>
      <c r="B52" s="12">
        <v>10.0</v>
      </c>
      <c r="C52" s="12">
        <f>IF($A52="", "", IFERROR(VLOOKUP($A52, Stock_New!$A:$M, 4, FALSE), ""))</f>
        <v>89.07</v>
      </c>
      <c r="D52" s="12">
        <f>IF($A52="", "", IFERROR(VLOOKUP($A52, Stock_New!$A:$M, 6, FALSE), ""))</f>
        <v>106.88</v>
      </c>
      <c r="E52" s="12">
        <f t="shared" si="1"/>
        <v>17.81</v>
      </c>
      <c r="F52" s="12">
        <f t="shared" si="2"/>
        <v>178.1</v>
      </c>
      <c r="G52" s="18"/>
    </row>
    <row r="53" ht="22.5" customHeight="1">
      <c r="A53" s="12" t="s">
        <v>287</v>
      </c>
      <c r="B53" s="12">
        <v>18.0</v>
      </c>
      <c r="C53" s="12">
        <f>IF($A53="", "", IFERROR(VLOOKUP($A53, Stock_New!$A:$M, 4, FALSE), ""))</f>
        <v>45</v>
      </c>
      <c r="D53" s="12">
        <f>IF($A53="", "", IFERROR(VLOOKUP($A53, Stock_New!$A:$M, 6, FALSE), ""))</f>
        <v>54</v>
      </c>
      <c r="E53" s="12">
        <f t="shared" si="1"/>
        <v>9</v>
      </c>
      <c r="F53" s="12">
        <f t="shared" si="2"/>
        <v>162</v>
      </c>
      <c r="G53" s="18"/>
    </row>
    <row r="54" ht="22.5" customHeight="1">
      <c r="A54" s="12" t="s">
        <v>171</v>
      </c>
      <c r="B54" s="12">
        <v>1.0</v>
      </c>
      <c r="C54" s="12">
        <f>IF($A54="", "", IFERROR(VLOOKUP($A54, Stock_New!$A:$M, 4, FALSE), ""))</f>
        <v>385</v>
      </c>
      <c r="D54" s="12">
        <f>IF($A54="", "", IFERROR(VLOOKUP($A54, Stock_New!$A:$M, 6, FALSE), ""))</f>
        <v>462</v>
      </c>
      <c r="E54" s="12">
        <f t="shared" si="1"/>
        <v>77</v>
      </c>
      <c r="F54" s="12">
        <f t="shared" si="2"/>
        <v>77</v>
      </c>
      <c r="G54" s="18"/>
    </row>
    <row r="55" ht="22.5" customHeight="1">
      <c r="A55" s="12" t="s">
        <v>294</v>
      </c>
      <c r="B55" s="12">
        <v>8.0</v>
      </c>
      <c r="C55" s="12">
        <f>IF($A55="", "", IFERROR(VLOOKUP($A55, Stock_New!$A:$M, 4, FALSE), ""))</f>
        <v>80</v>
      </c>
      <c r="D55" s="12">
        <f>IF($A55="", "", IFERROR(VLOOKUP($A55, Stock_New!$A:$M, 6, FALSE), ""))</f>
        <v>96</v>
      </c>
      <c r="E55" s="12">
        <f t="shared" si="1"/>
        <v>16</v>
      </c>
      <c r="F55" s="12">
        <f t="shared" si="2"/>
        <v>128</v>
      </c>
      <c r="G55" s="18"/>
    </row>
    <row r="56" ht="22.5" customHeight="1">
      <c r="A56" s="12" t="s">
        <v>235</v>
      </c>
      <c r="B56" s="12">
        <v>11.0</v>
      </c>
      <c r="C56" s="12">
        <f>IF($A56="", "", IFERROR(VLOOKUP($A56, Stock_New!$A:$M, 4, FALSE), ""))</f>
        <v>75</v>
      </c>
      <c r="D56" s="12">
        <f>IF($A56="", "", IFERROR(VLOOKUP($A56, Stock_New!$A:$M, 6, FALSE), ""))</f>
        <v>90</v>
      </c>
      <c r="E56" s="12">
        <f t="shared" si="1"/>
        <v>15</v>
      </c>
      <c r="F56" s="12">
        <f t="shared" si="2"/>
        <v>165</v>
      </c>
      <c r="G56" s="18"/>
    </row>
    <row r="57" ht="22.5" customHeight="1">
      <c r="A57" s="12" t="s">
        <v>302</v>
      </c>
      <c r="B57" s="12">
        <v>23.0</v>
      </c>
      <c r="C57" s="12">
        <f>IF($A57="", "", IFERROR(VLOOKUP($A57, Stock_New!$A:$M, 4, FALSE), ""))</f>
        <v>18</v>
      </c>
      <c r="D57" s="12">
        <f>IF($A57="", "", IFERROR(VLOOKUP($A57, Stock_New!$A:$M, 6, FALSE), ""))</f>
        <v>21.6</v>
      </c>
      <c r="E57" s="12">
        <f t="shared" si="1"/>
        <v>3.6</v>
      </c>
      <c r="F57" s="12">
        <f t="shared" si="2"/>
        <v>82.8</v>
      </c>
      <c r="G57" s="18"/>
    </row>
    <row r="58" ht="22.5" customHeight="1">
      <c r="A58" s="12" t="s">
        <v>306</v>
      </c>
      <c r="B58" s="12">
        <v>31.0</v>
      </c>
      <c r="C58" s="12">
        <f>IF($A58="", "", IFERROR(VLOOKUP($A58, Stock_New!$A:$M, 4, FALSE), ""))</f>
        <v>9.17</v>
      </c>
      <c r="D58" s="12">
        <f>IF($A58="", "", IFERROR(VLOOKUP($A58, Stock_New!$A:$M, 6, FALSE), ""))</f>
        <v>11</v>
      </c>
      <c r="E58" s="12">
        <f t="shared" si="1"/>
        <v>1.83</v>
      </c>
      <c r="F58" s="12">
        <f t="shared" si="2"/>
        <v>56.73</v>
      </c>
      <c r="G58" s="18"/>
    </row>
    <row r="59" ht="22.5" customHeight="1">
      <c r="A59" s="12" t="s">
        <v>311</v>
      </c>
      <c r="B59" s="12">
        <v>1.0</v>
      </c>
      <c r="C59" s="12">
        <f>IF($A59="", "", IFERROR(VLOOKUP($A59, Stock_New!$A:$M, 4, FALSE), ""))</f>
        <v>150</v>
      </c>
      <c r="D59" s="12">
        <f>IF($A59="", "", IFERROR(VLOOKUP($A59, Stock_New!$A:$M, 6, FALSE), ""))</f>
        <v>180</v>
      </c>
      <c r="E59" s="12">
        <f t="shared" si="1"/>
        <v>30</v>
      </c>
      <c r="F59" s="12">
        <f t="shared" si="2"/>
        <v>30</v>
      </c>
      <c r="G59" s="18"/>
    </row>
    <row r="60" ht="22.5" customHeight="1">
      <c r="A60" s="12" t="s">
        <v>317</v>
      </c>
      <c r="B60" s="12">
        <v>2.0</v>
      </c>
      <c r="C60" s="12">
        <f>IF($A60="", "", IFERROR(VLOOKUP($A60, Stock_New!$A:$M, 4, FALSE), ""))</f>
        <v>125</v>
      </c>
      <c r="D60" s="12">
        <f>IF($A60="", "", IFERROR(VLOOKUP($A60, Stock_New!$A:$M, 6, FALSE), ""))</f>
        <v>150</v>
      </c>
      <c r="E60" s="12">
        <f t="shared" si="1"/>
        <v>25</v>
      </c>
      <c r="F60" s="12">
        <f t="shared" si="2"/>
        <v>50</v>
      </c>
      <c r="G60" s="18"/>
    </row>
    <row r="61" ht="22.5" customHeight="1">
      <c r="A61" s="12" t="s">
        <v>186</v>
      </c>
      <c r="B61" s="12">
        <v>4.0</v>
      </c>
      <c r="C61" s="12">
        <f>IF($A61="", "", IFERROR(VLOOKUP($A61, Stock_New!$A:$M, 4, FALSE), ""))</f>
        <v>84</v>
      </c>
      <c r="D61" s="12">
        <f>IF($A61="", "", IFERROR(VLOOKUP($A61, Stock_New!$A:$M, 6, FALSE), ""))</f>
        <v>100.8</v>
      </c>
      <c r="E61" s="12">
        <f t="shared" si="1"/>
        <v>16.8</v>
      </c>
      <c r="F61" s="12">
        <f t="shared" si="2"/>
        <v>67.2</v>
      </c>
      <c r="G61" s="18"/>
    </row>
    <row r="62" ht="22.5" customHeight="1">
      <c r="A62" s="12" t="s">
        <v>329</v>
      </c>
      <c r="B62" s="12">
        <v>3.0</v>
      </c>
      <c r="C62" s="12">
        <f>IF($A62="", "", IFERROR(VLOOKUP($A62, Stock_New!$A:$M, 4, FALSE), ""))</f>
        <v>110</v>
      </c>
      <c r="D62" s="12">
        <f>IF($A62="", "", IFERROR(VLOOKUP($A62, Stock_New!$A:$M, 6, FALSE), ""))</f>
        <v>132</v>
      </c>
      <c r="E62" s="12">
        <f t="shared" si="1"/>
        <v>22</v>
      </c>
      <c r="F62" s="12">
        <f t="shared" si="2"/>
        <v>66</v>
      </c>
      <c r="G62" s="18"/>
    </row>
    <row r="63" ht="22.5" customHeight="1">
      <c r="A63" s="12" t="s">
        <v>104</v>
      </c>
      <c r="B63" s="12">
        <v>1.0</v>
      </c>
      <c r="C63" s="12">
        <f>IF($A63="", "", IFERROR(VLOOKUP($A63, Stock_New!$A:$M, 4, FALSE), ""))</f>
        <v>180</v>
      </c>
      <c r="D63" s="12">
        <f>IF($A63="", "", IFERROR(VLOOKUP($A63, Stock_New!$A:$M, 6, FALSE), ""))</f>
        <v>216</v>
      </c>
      <c r="E63" s="12">
        <f t="shared" si="1"/>
        <v>36</v>
      </c>
      <c r="F63" s="12">
        <f t="shared" si="2"/>
        <v>36</v>
      </c>
      <c r="G63" s="18"/>
    </row>
    <row r="64" ht="22.5" customHeight="1">
      <c r="A64" s="12" t="s">
        <v>128</v>
      </c>
      <c r="B64" s="12">
        <v>1.0</v>
      </c>
      <c r="C64" s="12">
        <f>IF($A64="", "", IFERROR(VLOOKUP($A64, Stock_New!$A:$M, 4, FALSE), ""))</f>
        <v>275</v>
      </c>
      <c r="D64" s="12">
        <f>IF($A64="", "", IFERROR(VLOOKUP($A64, Stock_New!$A:$M, 6, FALSE), ""))</f>
        <v>330</v>
      </c>
      <c r="E64" s="12">
        <f t="shared" si="1"/>
        <v>55</v>
      </c>
      <c r="F64" s="12">
        <f t="shared" si="2"/>
        <v>55</v>
      </c>
      <c r="G64" s="18"/>
    </row>
    <row r="65" ht="22.5" customHeight="1">
      <c r="A65" s="12" t="s">
        <v>158</v>
      </c>
      <c r="B65" s="12">
        <v>1.0</v>
      </c>
      <c r="C65" s="12">
        <f>IF($A65="", "", IFERROR(VLOOKUP($A65, Stock_New!$A:$M, 4, FALSE), ""))</f>
        <v>400</v>
      </c>
      <c r="D65" s="12">
        <f>IF($A65="", "", IFERROR(VLOOKUP($A65, Stock_New!$A:$M, 6, FALSE), ""))</f>
        <v>480</v>
      </c>
      <c r="E65" s="12">
        <f t="shared" si="1"/>
        <v>80</v>
      </c>
      <c r="F65" s="12">
        <f t="shared" si="2"/>
        <v>80</v>
      </c>
      <c r="G65" s="18"/>
    </row>
    <row r="66" ht="22.5" customHeight="1">
      <c r="A66" s="12" t="s">
        <v>214</v>
      </c>
      <c r="B66" s="12">
        <v>2.0</v>
      </c>
      <c r="C66" s="12">
        <f>IF($A66="", "", IFERROR(VLOOKUP($A66, Stock_New!$A:$M, 4, FALSE), ""))</f>
        <v>205</v>
      </c>
      <c r="D66" s="12">
        <f>IF($A66="", "", IFERROR(VLOOKUP($A66, Stock_New!$A:$M, 6, FALSE), ""))</f>
        <v>246</v>
      </c>
      <c r="E66" s="12">
        <f t="shared" si="1"/>
        <v>41</v>
      </c>
      <c r="F66" s="12">
        <f t="shared" si="2"/>
        <v>82</v>
      </c>
      <c r="G66" s="18"/>
    </row>
    <row r="67" ht="22.5" customHeight="1">
      <c r="A67" s="12" t="s">
        <v>351</v>
      </c>
      <c r="B67" s="12">
        <v>3.0</v>
      </c>
      <c r="C67" s="12">
        <f>IF($A67="", "", IFERROR(VLOOKUP($A67, Stock_New!$A:$M, 4, FALSE), ""))</f>
        <v>120</v>
      </c>
      <c r="D67" s="12">
        <f>IF($A67="", "", IFERROR(VLOOKUP($A67, Stock_New!$A:$M, 6, FALSE), ""))</f>
        <v>144</v>
      </c>
      <c r="E67" s="12">
        <f t="shared" si="1"/>
        <v>24</v>
      </c>
      <c r="F67" s="12">
        <f t="shared" si="2"/>
        <v>72</v>
      </c>
      <c r="G67" s="18"/>
    </row>
    <row r="68" ht="22.5" customHeight="1">
      <c r="A68" s="12" t="s">
        <v>357</v>
      </c>
      <c r="B68" s="12">
        <v>5.0</v>
      </c>
      <c r="C68" s="12">
        <f>IF($A68="", "", IFERROR(VLOOKUP($A68, Stock_New!$A:$M, 4, FALSE), ""))</f>
        <v>225</v>
      </c>
      <c r="D68" s="12">
        <f>IF($A68="", "", IFERROR(VLOOKUP($A68, Stock_New!$A:$M, 6, FALSE), ""))</f>
        <v>270</v>
      </c>
      <c r="E68" s="12">
        <f t="shared" si="1"/>
        <v>45</v>
      </c>
      <c r="F68" s="12">
        <f t="shared" si="2"/>
        <v>225</v>
      </c>
      <c r="G68" s="18"/>
    </row>
    <row r="69" ht="22.5" customHeight="1">
      <c r="A69" s="12" t="s">
        <v>297</v>
      </c>
      <c r="B69" s="12">
        <v>6.5</v>
      </c>
      <c r="C69" s="12">
        <f>IF($A69="", "", IFERROR(VLOOKUP($A69, Stock_New!$A:$M, 4, FALSE), ""))</f>
        <v>30</v>
      </c>
      <c r="D69" s="12">
        <f>IF($A69="", "", IFERROR(VLOOKUP($A69, Stock_New!$A:$M, 6, FALSE), ""))</f>
        <v>36</v>
      </c>
      <c r="E69" s="12">
        <f t="shared" si="1"/>
        <v>6</v>
      </c>
      <c r="F69" s="12">
        <f t="shared" si="2"/>
        <v>39</v>
      </c>
      <c r="G69" s="18"/>
    </row>
    <row r="70" ht="22.5" customHeight="1">
      <c r="A70" s="12" t="s">
        <v>366</v>
      </c>
      <c r="B70" s="12">
        <v>2.0</v>
      </c>
      <c r="C70" s="12">
        <f>IF($A70="", "", IFERROR(VLOOKUP($A70, Stock_New!$A:$M, 4, FALSE), ""))</f>
        <v>140</v>
      </c>
      <c r="D70" s="12">
        <f>IF($A70="", "", IFERROR(VLOOKUP($A70, Stock_New!$A:$M, 6, FALSE), ""))</f>
        <v>168</v>
      </c>
      <c r="E70" s="12">
        <f t="shared" si="1"/>
        <v>28</v>
      </c>
      <c r="F70" s="12">
        <f t="shared" si="2"/>
        <v>56</v>
      </c>
      <c r="G70" s="18"/>
    </row>
    <row r="71" ht="22.5" customHeight="1">
      <c r="A71" s="12" t="s">
        <v>322</v>
      </c>
      <c r="B71" s="12">
        <v>9.0</v>
      </c>
      <c r="C71" s="12">
        <f>IF($A71="", "", IFERROR(VLOOKUP($A71, Stock_New!$A:$M, 4, FALSE), ""))</f>
        <v>75</v>
      </c>
      <c r="D71" s="12">
        <f>IF($A71="", "", IFERROR(VLOOKUP($A71, Stock_New!$A:$M, 6, FALSE), ""))</f>
        <v>90</v>
      </c>
      <c r="E71" s="12">
        <f t="shared" si="1"/>
        <v>15</v>
      </c>
      <c r="F71" s="12">
        <f t="shared" si="2"/>
        <v>135</v>
      </c>
      <c r="G71" s="18"/>
    </row>
    <row r="72" ht="22.5" customHeight="1">
      <c r="A72" s="12" t="s">
        <v>319</v>
      </c>
      <c r="B72" s="12">
        <v>1.0</v>
      </c>
      <c r="C72" s="12">
        <f>IF($A72="", "", IFERROR(VLOOKUP($A72, Stock_New!$A:$M, 4, FALSE), ""))</f>
        <v>275</v>
      </c>
      <c r="D72" s="12">
        <f>IF($A72="", "", IFERROR(VLOOKUP($A72, Stock_New!$A:$M, 6, FALSE), ""))</f>
        <v>330</v>
      </c>
      <c r="E72" s="12">
        <f t="shared" si="1"/>
        <v>55</v>
      </c>
      <c r="F72" s="12">
        <f t="shared" si="2"/>
        <v>55</v>
      </c>
      <c r="G72" s="18"/>
    </row>
    <row r="73" ht="22.5" customHeight="1">
      <c r="A73" s="12" t="s">
        <v>379</v>
      </c>
      <c r="B73" s="12">
        <v>1.0</v>
      </c>
      <c r="C73" s="12">
        <f>IF($A73="", "", IFERROR(VLOOKUP($A73, Stock_New!$A:$M, 4, FALSE), ""))</f>
        <v>155</v>
      </c>
      <c r="D73" s="12">
        <f>IF($A73="", "", IFERROR(VLOOKUP($A73, Stock_New!$A:$M, 6, FALSE), ""))</f>
        <v>186</v>
      </c>
      <c r="E73" s="12">
        <f t="shared" si="1"/>
        <v>31</v>
      </c>
      <c r="F73" s="12">
        <f t="shared" si="2"/>
        <v>31</v>
      </c>
      <c r="G73" s="18"/>
    </row>
    <row r="74" ht="22.5" customHeight="1">
      <c r="A74" s="12" t="s">
        <v>376</v>
      </c>
      <c r="B74" s="12">
        <v>2.0</v>
      </c>
      <c r="C74" s="12">
        <f>IF($A74="", "", IFERROR(VLOOKUP($A74, Stock_New!$A:$M, 4, FALSE), ""))</f>
        <v>110</v>
      </c>
      <c r="D74" s="12">
        <f>IF($A74="", "", IFERROR(VLOOKUP($A74, Stock_New!$A:$M, 6, FALSE), ""))</f>
        <v>132</v>
      </c>
      <c r="E74" s="12">
        <f t="shared" si="1"/>
        <v>22</v>
      </c>
      <c r="F74" s="12">
        <f t="shared" si="2"/>
        <v>44</v>
      </c>
      <c r="G74" s="18"/>
    </row>
    <row r="75" ht="22.5" customHeight="1">
      <c r="A75" s="12" t="s">
        <v>246</v>
      </c>
      <c r="B75" s="12">
        <v>2.0</v>
      </c>
      <c r="C75" s="12">
        <f>IF($A75="", "", IFERROR(VLOOKUP($A75, Stock_New!$A:$M, 4, FALSE), ""))</f>
        <v>325</v>
      </c>
      <c r="D75" s="12">
        <f>IF($A75="", "", IFERROR(VLOOKUP($A75, Stock_New!$A:$M, 6, FALSE), ""))</f>
        <v>390</v>
      </c>
      <c r="E75" s="12">
        <f t="shared" si="1"/>
        <v>65</v>
      </c>
      <c r="F75" s="12">
        <f t="shared" si="2"/>
        <v>130</v>
      </c>
      <c r="G75" s="18"/>
    </row>
    <row r="76" ht="22.5" customHeight="1">
      <c r="A76" s="12" t="s">
        <v>173</v>
      </c>
      <c r="B76" s="12">
        <v>1.0</v>
      </c>
      <c r="C76" s="12">
        <f>IF($A76="", "", IFERROR(VLOOKUP($A76, Stock_New!$A:$M, 4, FALSE), ""))</f>
        <v>45</v>
      </c>
      <c r="D76" s="12">
        <f>IF($A76="", "", IFERROR(VLOOKUP($A76, Stock_New!$A:$M, 6, FALSE), ""))</f>
        <v>54</v>
      </c>
      <c r="E76" s="12">
        <f t="shared" si="1"/>
        <v>9</v>
      </c>
      <c r="F76" s="12">
        <f t="shared" si="2"/>
        <v>9</v>
      </c>
      <c r="G76" s="18"/>
    </row>
    <row r="77" ht="22.5" customHeight="1">
      <c r="A77" s="12" t="s">
        <v>392</v>
      </c>
      <c r="B77" s="12">
        <v>7.0</v>
      </c>
      <c r="C77" s="12">
        <f>IF($A77="", "", IFERROR(VLOOKUP($A77, Stock_New!$A:$M, 4, FALSE), ""))</f>
        <v>65</v>
      </c>
      <c r="D77" s="12">
        <f>IF($A77="", "", IFERROR(VLOOKUP($A77, Stock_New!$A:$M, 6, FALSE), ""))</f>
        <v>78</v>
      </c>
      <c r="E77" s="12">
        <f t="shared" si="1"/>
        <v>13</v>
      </c>
      <c r="F77" s="12">
        <f t="shared" si="2"/>
        <v>91</v>
      </c>
      <c r="G77" s="18"/>
    </row>
    <row r="78" ht="22.5" customHeight="1">
      <c r="A78" s="12" t="s">
        <v>282</v>
      </c>
      <c r="B78" s="12">
        <v>1.0</v>
      </c>
      <c r="C78" s="12" t="str">
        <f>IF($A78="", "", IFERROR(VLOOKUP($A78, Stock_New!$A:$M, 4, FALSE), ""))</f>
        <v/>
      </c>
      <c r="D78" s="12" t="str">
        <f>IF($A78="", "", IFERROR(VLOOKUP($A78, Stock_New!$A:$M, 6, FALSE), ""))</f>
        <v/>
      </c>
      <c r="E78" s="12">
        <f t="shared" si="1"/>
        <v>0</v>
      </c>
      <c r="F78" s="12">
        <f t="shared" si="2"/>
        <v>0</v>
      </c>
      <c r="G78" s="18"/>
    </row>
    <row r="79" ht="22.5" customHeight="1">
      <c r="A79" s="12" t="s">
        <v>168</v>
      </c>
      <c r="B79" s="12">
        <v>7.0</v>
      </c>
      <c r="C79" s="12">
        <f>IF($A79="", "", IFERROR(VLOOKUP($A79, Stock_New!$A:$M, 4, FALSE), ""))</f>
        <v>110</v>
      </c>
      <c r="D79" s="12">
        <f>IF($A79="", "", IFERROR(VLOOKUP($A79, Stock_New!$A:$M, 6, FALSE), ""))</f>
        <v>132</v>
      </c>
      <c r="E79" s="12">
        <f t="shared" si="1"/>
        <v>22</v>
      </c>
      <c r="F79" s="12">
        <f t="shared" si="2"/>
        <v>154</v>
      </c>
      <c r="G79" s="18"/>
    </row>
    <row r="80" ht="22.5" customHeight="1">
      <c r="A80" s="12" t="s">
        <v>404</v>
      </c>
      <c r="B80" s="12">
        <v>6.0</v>
      </c>
      <c r="C80" s="12">
        <f>IF($A80="", "", IFERROR(VLOOKUP($A80, Stock_New!$A:$M, 4, FALSE), ""))</f>
        <v>75</v>
      </c>
      <c r="D80" s="12">
        <f>IF($A80="", "", IFERROR(VLOOKUP($A80, Stock_New!$A:$M, 6, FALSE), ""))</f>
        <v>90</v>
      </c>
      <c r="E80" s="12">
        <f t="shared" si="1"/>
        <v>15</v>
      </c>
      <c r="F80" s="12">
        <f t="shared" si="2"/>
        <v>90</v>
      </c>
      <c r="G80" s="18"/>
    </row>
    <row r="81" ht="22.5" customHeight="1">
      <c r="A81" s="12" t="s">
        <v>409</v>
      </c>
      <c r="B81" s="12">
        <v>0.5</v>
      </c>
      <c r="C81" s="12">
        <f>IF($A81="", "", IFERROR(VLOOKUP($A81, Stock_New!$A:$M, 4, FALSE), ""))</f>
        <v>95</v>
      </c>
      <c r="D81" s="12">
        <f>IF($A81="", "", IFERROR(VLOOKUP($A81, Stock_New!$A:$M, 6, FALSE), ""))</f>
        <v>114</v>
      </c>
      <c r="E81" s="12">
        <f t="shared" si="1"/>
        <v>19</v>
      </c>
      <c r="F81" s="12">
        <f t="shared" si="2"/>
        <v>9.5</v>
      </c>
      <c r="G81" s="18"/>
    </row>
    <row r="82" ht="22.5" customHeight="1">
      <c r="A82" s="12" t="s">
        <v>416</v>
      </c>
      <c r="B82" s="12">
        <v>10.0</v>
      </c>
      <c r="C82" s="12">
        <f>IF($A82="", "", IFERROR(VLOOKUP($A82, Stock_New!$A:$M, 4, FALSE), ""))</f>
        <v>30</v>
      </c>
      <c r="D82" s="12">
        <f>IF($A82="", "", IFERROR(VLOOKUP($A82, Stock_New!$A:$M, 6, FALSE), ""))</f>
        <v>36</v>
      </c>
      <c r="E82" s="12">
        <f t="shared" si="1"/>
        <v>6</v>
      </c>
      <c r="F82" s="12">
        <f t="shared" si="2"/>
        <v>60</v>
      </c>
      <c r="G82" s="18"/>
    </row>
    <row r="83" ht="22.5" customHeight="1">
      <c r="A83" s="12" t="s">
        <v>421</v>
      </c>
      <c r="B83" s="12">
        <v>1.0</v>
      </c>
      <c r="C83" s="12" t="str">
        <f>IF($A83="", "", IFERROR(VLOOKUP($A83, Stock_New!$A:$M, 4, FALSE), ""))</f>
        <v/>
      </c>
      <c r="D83" s="12" t="str">
        <f>IF($A83="", "", IFERROR(VLOOKUP($A83, Stock_New!$A:$M, 6, FALSE), ""))</f>
        <v/>
      </c>
      <c r="E83" s="12">
        <f t="shared" si="1"/>
        <v>0</v>
      </c>
      <c r="F83" s="12">
        <f t="shared" si="2"/>
        <v>0</v>
      </c>
      <c r="G83" s="18"/>
    </row>
    <row r="84" ht="22.5" customHeight="1">
      <c r="A84" s="12" t="s">
        <v>81</v>
      </c>
      <c r="B84" s="12">
        <v>1.0</v>
      </c>
      <c r="C84" s="12">
        <f>IF($A84="", "", IFERROR(VLOOKUP($A84, Stock_New!$A:$M, 4, FALSE), ""))</f>
        <v>625</v>
      </c>
      <c r="D84" s="12">
        <f>IF($A84="", "", IFERROR(VLOOKUP($A84, Stock_New!$A:$M, 6, FALSE), ""))</f>
        <v>750</v>
      </c>
      <c r="E84" s="12">
        <f t="shared" si="1"/>
        <v>125</v>
      </c>
      <c r="F84" s="12">
        <f t="shared" si="2"/>
        <v>125</v>
      </c>
      <c r="G84" s="18"/>
    </row>
    <row r="85" ht="22.5" customHeight="1">
      <c r="A85" s="12" t="s">
        <v>428</v>
      </c>
      <c r="B85" s="12">
        <v>1.0</v>
      </c>
      <c r="C85" s="12">
        <f>IF($A85="", "", IFERROR(VLOOKUP($A85, Stock_New!$A:$M, 4, FALSE), ""))</f>
        <v>175</v>
      </c>
      <c r="D85" s="12">
        <f>IF($A85="", "", IFERROR(VLOOKUP($A85, Stock_New!$A:$M, 6, FALSE), ""))</f>
        <v>210</v>
      </c>
      <c r="E85" s="12">
        <f t="shared" si="1"/>
        <v>35</v>
      </c>
      <c r="F85" s="12">
        <f t="shared" si="2"/>
        <v>35</v>
      </c>
      <c r="G85" s="18"/>
    </row>
    <row r="86" ht="22.5" customHeight="1">
      <c r="A86" s="12" t="s">
        <v>433</v>
      </c>
      <c r="B86" s="12">
        <v>1.0</v>
      </c>
      <c r="C86" s="12">
        <f>IF($A86="", "", IFERROR(VLOOKUP($A86, Stock_New!$A:$M, 4, FALSE), ""))</f>
        <v>110</v>
      </c>
      <c r="D86" s="12">
        <f>IF($A86="", "", IFERROR(VLOOKUP($A86, Stock_New!$A:$M, 6, FALSE), ""))</f>
        <v>132</v>
      </c>
      <c r="E86" s="12">
        <f t="shared" si="1"/>
        <v>22</v>
      </c>
      <c r="F86" s="12">
        <f t="shared" si="2"/>
        <v>22</v>
      </c>
      <c r="G86" s="18"/>
    </row>
    <row r="87" ht="22.5" customHeight="1">
      <c r="A87" s="12" t="s">
        <v>439</v>
      </c>
      <c r="B87" s="12">
        <v>1.0</v>
      </c>
      <c r="C87" s="12">
        <f>IF($A87="", "", IFERROR(VLOOKUP($A87, Stock_New!$A:$M, 4, FALSE), ""))</f>
        <v>135</v>
      </c>
      <c r="D87" s="12">
        <f>IF($A87="", "", IFERROR(VLOOKUP($A87, Stock_New!$A:$M, 6, FALSE), ""))</f>
        <v>162</v>
      </c>
      <c r="E87" s="12">
        <f t="shared" si="1"/>
        <v>27</v>
      </c>
      <c r="F87" s="12">
        <f t="shared" si="2"/>
        <v>27</v>
      </c>
      <c r="G87" s="18"/>
    </row>
    <row r="88" ht="22.5" customHeight="1">
      <c r="A88" s="12" t="s">
        <v>187</v>
      </c>
      <c r="B88" s="12">
        <v>4.0</v>
      </c>
      <c r="C88" s="12">
        <f>IF($A88="", "", IFERROR(VLOOKUP($A88, Stock_New!$A:$M, 4, FALSE), ""))</f>
        <v>350</v>
      </c>
      <c r="D88" s="12">
        <f>IF($A88="", "", IFERROR(VLOOKUP($A88, Stock_New!$A:$M, 6, FALSE), ""))</f>
        <v>420</v>
      </c>
      <c r="E88" s="12">
        <f t="shared" si="1"/>
        <v>70</v>
      </c>
      <c r="F88" s="12">
        <f t="shared" si="2"/>
        <v>280</v>
      </c>
      <c r="G88" s="18"/>
    </row>
    <row r="89" ht="22.5" customHeight="1">
      <c r="A89" s="12" t="s">
        <v>449</v>
      </c>
      <c r="B89" s="12">
        <v>2.0</v>
      </c>
      <c r="C89" s="12">
        <f>IF($A89="", "", IFERROR(VLOOKUP($A89, Stock_New!$A:$M, 4, FALSE), ""))</f>
        <v>135</v>
      </c>
      <c r="D89" s="12">
        <f>IF($A89="", "", IFERROR(VLOOKUP($A89, Stock_New!$A:$M, 6, FALSE), ""))</f>
        <v>162</v>
      </c>
      <c r="E89" s="12">
        <f t="shared" si="1"/>
        <v>27</v>
      </c>
      <c r="F89" s="12">
        <f t="shared" si="2"/>
        <v>54</v>
      </c>
      <c r="G89" s="18"/>
    </row>
    <row r="90" ht="22.5" customHeight="1">
      <c r="A90" s="12" t="s">
        <v>452</v>
      </c>
      <c r="B90" s="12">
        <v>25.0</v>
      </c>
      <c r="C90" s="12">
        <f>IF($A90="", "", IFERROR(VLOOKUP($A90, Stock_New!$A:$M, 4, FALSE), ""))</f>
        <v>16</v>
      </c>
      <c r="D90" s="12">
        <f>IF($A90="", "", IFERROR(VLOOKUP($A90, Stock_New!$A:$M, 6, FALSE), ""))</f>
        <v>19.2</v>
      </c>
      <c r="E90" s="12">
        <f t="shared" si="1"/>
        <v>3.2</v>
      </c>
      <c r="F90" s="12">
        <f t="shared" si="2"/>
        <v>80</v>
      </c>
      <c r="G90" s="18"/>
    </row>
    <row r="91" ht="22.5" customHeight="1">
      <c r="A91" s="12" t="s">
        <v>454</v>
      </c>
      <c r="B91" s="12">
        <v>3.5555555555555554</v>
      </c>
      <c r="C91" s="12">
        <f>IF($A91="", "", IFERROR(VLOOKUP($A91, Stock_New!$A:$M, 4, FALSE), ""))</f>
        <v>210</v>
      </c>
      <c r="D91" s="12">
        <f>IF($A91="", "", IFERROR(VLOOKUP($A91, Stock_New!$A:$M, 6, FALSE), ""))</f>
        <v>252</v>
      </c>
      <c r="E91" s="12">
        <f t="shared" si="1"/>
        <v>42</v>
      </c>
      <c r="F91" s="12">
        <f t="shared" si="2"/>
        <v>149.3333333</v>
      </c>
      <c r="G91" s="18"/>
    </row>
    <row r="92" ht="22.5" customHeight="1">
      <c r="A92" s="12" t="s">
        <v>457</v>
      </c>
      <c r="B92" s="12">
        <v>2.0</v>
      </c>
      <c r="C92" s="12">
        <f>IF($A92="", "", IFERROR(VLOOKUP($A92, Stock_New!$A:$M, 4, FALSE), ""))</f>
        <v>137.5</v>
      </c>
      <c r="D92" s="12">
        <f>IF($A92="", "", IFERROR(VLOOKUP($A92, Stock_New!$A:$M, 6, FALSE), ""))</f>
        <v>165</v>
      </c>
      <c r="E92" s="12">
        <f t="shared" si="1"/>
        <v>27.5</v>
      </c>
      <c r="F92" s="12">
        <f t="shared" si="2"/>
        <v>55</v>
      </c>
      <c r="G92" s="18"/>
    </row>
    <row r="93" ht="22.5" customHeight="1">
      <c r="A93" s="12" t="s">
        <v>464</v>
      </c>
      <c r="B93" s="12">
        <v>5.0</v>
      </c>
      <c r="C93" s="12">
        <f>IF($A93="", "", IFERROR(VLOOKUP($A93, Stock_New!$A:$M, 4, FALSE), ""))</f>
        <v>135</v>
      </c>
      <c r="D93" s="12">
        <f>IF($A93="", "", IFERROR(VLOOKUP($A93, Stock_New!$A:$M, 6, FALSE), ""))</f>
        <v>162</v>
      </c>
      <c r="E93" s="12">
        <f t="shared" si="1"/>
        <v>27</v>
      </c>
      <c r="F93" s="12">
        <f t="shared" si="2"/>
        <v>135</v>
      </c>
      <c r="G93" s="18"/>
    </row>
    <row r="94" ht="22.5" customHeight="1">
      <c r="A94" s="12" t="s">
        <v>467</v>
      </c>
      <c r="B94" s="12">
        <v>3.0</v>
      </c>
      <c r="C94" s="12">
        <f>IF($A94="", "", IFERROR(VLOOKUP($A94, Stock_New!$A:$M, 4, FALSE), ""))</f>
        <v>105</v>
      </c>
      <c r="D94" s="12">
        <f>IF($A94="", "", IFERROR(VLOOKUP($A94, Stock_New!$A:$M, 6, FALSE), ""))</f>
        <v>126</v>
      </c>
      <c r="E94" s="12">
        <f t="shared" si="1"/>
        <v>21</v>
      </c>
      <c r="F94" s="12">
        <f t="shared" si="2"/>
        <v>63</v>
      </c>
      <c r="G94" s="18"/>
    </row>
    <row r="95" ht="22.5" customHeight="1">
      <c r="A95" s="12" t="s">
        <v>470</v>
      </c>
      <c r="B95" s="12">
        <v>10.2</v>
      </c>
      <c r="C95" s="12">
        <f>IF($A95="", "", IFERROR(VLOOKUP($A95, Stock_New!$A:$M, 4, FALSE), ""))</f>
        <v>75</v>
      </c>
      <c r="D95" s="12">
        <f>IF($A95="", "", IFERROR(VLOOKUP($A95, Stock_New!$A:$M, 6, FALSE), ""))</f>
        <v>90</v>
      </c>
      <c r="E95" s="12">
        <f t="shared" si="1"/>
        <v>15</v>
      </c>
      <c r="F95" s="12">
        <f t="shared" si="2"/>
        <v>153</v>
      </c>
      <c r="G95" s="18"/>
    </row>
    <row r="96" ht="22.5" customHeight="1">
      <c r="A96" s="12" t="s">
        <v>374</v>
      </c>
      <c r="B96" s="12">
        <v>1.0</v>
      </c>
      <c r="C96" s="12">
        <f>IF($A96="", "", IFERROR(VLOOKUP($A96, Stock_New!$A:$M, 4, FALSE), ""))</f>
        <v>235</v>
      </c>
      <c r="D96" s="12">
        <f>IF($A96="", "", IFERROR(VLOOKUP($A96, Stock_New!$A:$M, 6, FALSE), ""))</f>
        <v>282</v>
      </c>
      <c r="E96" s="12">
        <f t="shared" si="1"/>
        <v>47</v>
      </c>
      <c r="F96" s="12">
        <f t="shared" si="2"/>
        <v>47</v>
      </c>
      <c r="G96" s="18"/>
    </row>
    <row r="97" ht="22.5" customHeight="1">
      <c r="A97" s="12" t="s">
        <v>478</v>
      </c>
      <c r="B97" s="12">
        <v>8.0</v>
      </c>
      <c r="C97" s="12">
        <f>IF($A97="", "", IFERROR(VLOOKUP($A97, Stock_New!$A:$M, 4, FALSE), ""))</f>
        <v>90</v>
      </c>
      <c r="D97" s="12">
        <f>IF($A97="", "", IFERROR(VLOOKUP($A97, Stock_New!$A:$M, 6, FALSE), ""))</f>
        <v>108</v>
      </c>
      <c r="E97" s="12">
        <f t="shared" si="1"/>
        <v>18</v>
      </c>
      <c r="F97" s="12">
        <f t="shared" si="2"/>
        <v>144</v>
      </c>
      <c r="G97" s="18"/>
    </row>
    <row r="98" ht="22.5" customHeight="1">
      <c r="A98" s="12" t="s">
        <v>397</v>
      </c>
      <c r="B98" s="12">
        <v>1.0</v>
      </c>
      <c r="C98" s="12">
        <f>IF($A98="", "", IFERROR(VLOOKUP($A98, Stock_New!$A:$M, 4, FALSE), ""))</f>
        <v>215</v>
      </c>
      <c r="D98" s="12">
        <f>IF($A98="", "", IFERROR(VLOOKUP($A98, Stock_New!$A:$M, 6, FALSE), ""))</f>
        <v>258</v>
      </c>
      <c r="E98" s="12">
        <f t="shared" si="1"/>
        <v>43</v>
      </c>
      <c r="F98" s="12">
        <f t="shared" si="2"/>
        <v>43</v>
      </c>
      <c r="G98" s="18"/>
    </row>
    <row r="99" ht="22.5" customHeight="1">
      <c r="A99" s="12" t="s">
        <v>487</v>
      </c>
      <c r="B99" s="12">
        <v>3.0</v>
      </c>
      <c r="C99" s="12">
        <f>IF($A99="", "", IFERROR(VLOOKUP($A99, Stock_New!$A:$M, 4, FALSE), ""))</f>
        <v>95</v>
      </c>
      <c r="D99" s="12">
        <f>IF($A99="", "", IFERROR(VLOOKUP($A99, Stock_New!$A:$M, 6, FALSE), ""))</f>
        <v>114</v>
      </c>
      <c r="E99" s="12">
        <f t="shared" si="1"/>
        <v>19</v>
      </c>
      <c r="F99" s="12">
        <f t="shared" si="2"/>
        <v>57</v>
      </c>
      <c r="G99" s="18"/>
    </row>
    <row r="100" ht="22.5" customHeight="1">
      <c r="A100" s="12" t="s">
        <v>489</v>
      </c>
      <c r="B100" s="12">
        <v>1.0</v>
      </c>
      <c r="C100" s="12">
        <f>IF($A100="", "", IFERROR(VLOOKUP($A100, Stock_New!$A:$M, 4, FALSE), ""))</f>
        <v>175</v>
      </c>
      <c r="D100" s="12">
        <f>IF($A100="", "", IFERROR(VLOOKUP($A100, Stock_New!$A:$M, 6, FALSE), ""))</f>
        <v>210</v>
      </c>
      <c r="E100" s="12">
        <f t="shared" si="1"/>
        <v>35</v>
      </c>
      <c r="F100" s="12">
        <f t="shared" si="2"/>
        <v>35</v>
      </c>
      <c r="G100" s="18"/>
    </row>
    <row r="101" ht="22.5" customHeight="1">
      <c r="A101" s="12" t="s">
        <v>492</v>
      </c>
      <c r="B101" s="12">
        <v>8.0</v>
      </c>
      <c r="C101" s="12">
        <f>IF($A101="", "", IFERROR(VLOOKUP($A101, Stock_New!$A:$M, 4, FALSE), ""))</f>
        <v>20</v>
      </c>
      <c r="D101" s="12">
        <f>IF($A101="", "", IFERROR(VLOOKUP($A101, Stock_New!$A:$M, 6, FALSE), ""))</f>
        <v>25</v>
      </c>
      <c r="E101" s="12">
        <f t="shared" si="1"/>
        <v>5</v>
      </c>
      <c r="F101" s="12">
        <f t="shared" si="2"/>
        <v>40</v>
      </c>
      <c r="G101" s="18"/>
    </row>
    <row r="102" ht="22.5" customHeight="1">
      <c r="A102" s="12" t="s">
        <v>496</v>
      </c>
      <c r="B102" s="12">
        <v>8.0</v>
      </c>
      <c r="C102" s="12">
        <f>IF($A102="", "", IFERROR(VLOOKUP($A102, Stock_New!$A:$M, 4, FALSE), ""))</f>
        <v>7.2</v>
      </c>
      <c r="D102" s="12">
        <f>IF($A102="", "", IFERROR(VLOOKUP($A102, Stock_New!$A:$M, 6, FALSE), ""))</f>
        <v>8.64</v>
      </c>
      <c r="E102" s="12">
        <f t="shared" si="1"/>
        <v>1.44</v>
      </c>
      <c r="F102" s="12">
        <f t="shared" si="2"/>
        <v>11.52</v>
      </c>
      <c r="G102" s="18"/>
    </row>
    <row r="103" ht="22.5" customHeight="1">
      <c r="A103" s="12" t="s">
        <v>412</v>
      </c>
      <c r="B103" s="12">
        <v>8.0</v>
      </c>
      <c r="C103" s="12">
        <f>IF($A103="", "", IFERROR(VLOOKUP($A103, Stock_New!$A:$M, 4, FALSE), ""))</f>
        <v>195</v>
      </c>
      <c r="D103" s="12">
        <f>IF($A103="", "", IFERROR(VLOOKUP($A103, Stock_New!$A:$M, 6, FALSE), ""))</f>
        <v>234</v>
      </c>
      <c r="E103" s="12">
        <f t="shared" si="1"/>
        <v>39</v>
      </c>
      <c r="F103" s="12">
        <f t="shared" si="2"/>
        <v>312</v>
      </c>
      <c r="G103" s="18"/>
    </row>
    <row r="104" ht="22.5" customHeight="1">
      <c r="A104" s="12"/>
      <c r="B104" s="12" t="s">
        <v>503</v>
      </c>
      <c r="C104" s="12" t="str">
        <f>IF($A104="", "", IFERROR(VLOOKUP($A104, Stock_New!$A:$M, 4, FALSE), ""))</f>
        <v/>
      </c>
      <c r="D104" s="12" t="str">
        <f>IF($A104="", "", IFERROR(VLOOKUP($A104, Stock_New!$A:$M, 6, FALSE), ""))</f>
        <v/>
      </c>
      <c r="E104" s="12">
        <f t="shared" si="1"/>
        <v>0</v>
      </c>
      <c r="F104" s="12">
        <f t="shared" si="2"/>
        <v>0</v>
      </c>
      <c r="G104" s="18"/>
    </row>
    <row r="105" ht="22.5" customHeight="1">
      <c r="A105" s="12" t="s">
        <v>505</v>
      </c>
      <c r="B105" s="12">
        <v>4.0</v>
      </c>
      <c r="C105" s="12">
        <f>IF($A105="", "", IFERROR(VLOOKUP($A105, Stock_New!$A:$M, 4, FALSE), ""))</f>
        <v>165</v>
      </c>
      <c r="D105" s="12">
        <f>IF($A105="", "", IFERROR(VLOOKUP($A105, Stock_New!$A:$M, 6, FALSE), ""))</f>
        <v>198</v>
      </c>
      <c r="E105" s="12">
        <f t="shared" si="1"/>
        <v>33</v>
      </c>
      <c r="F105" s="12">
        <f t="shared" si="2"/>
        <v>132</v>
      </c>
      <c r="G105" s="18"/>
    </row>
    <row r="106" ht="22.5" customHeight="1">
      <c r="A106" s="12" t="s">
        <v>206</v>
      </c>
      <c r="B106" s="12">
        <v>5.0</v>
      </c>
      <c r="C106" s="12">
        <f>IF($A106="", "", IFERROR(VLOOKUP($A106, Stock_New!$A:$M, 4, FALSE), ""))</f>
        <v>155</v>
      </c>
      <c r="D106" s="12">
        <f>IF($A106="", "", IFERROR(VLOOKUP($A106, Stock_New!$A:$M, 6, FALSE), ""))</f>
        <v>186</v>
      </c>
      <c r="E106" s="12">
        <f t="shared" si="1"/>
        <v>31</v>
      </c>
      <c r="F106" s="12">
        <f t="shared" si="2"/>
        <v>155</v>
      </c>
      <c r="G106" s="18"/>
    </row>
    <row r="107" ht="22.5" customHeight="1">
      <c r="A107" s="12" t="s">
        <v>511</v>
      </c>
      <c r="B107" s="12">
        <v>10.0</v>
      </c>
      <c r="C107" s="12">
        <f>IF($A107="", "", IFERROR(VLOOKUP($A107, Stock_New!$A:$M, 4, FALSE), ""))</f>
        <v>40</v>
      </c>
      <c r="D107" s="12">
        <f>IF($A107="", "", IFERROR(VLOOKUP($A107, Stock_New!$A:$M, 6, FALSE), ""))</f>
        <v>48</v>
      </c>
      <c r="E107" s="12">
        <f t="shared" si="1"/>
        <v>8</v>
      </c>
      <c r="F107" s="12">
        <f t="shared" si="2"/>
        <v>80</v>
      </c>
      <c r="G107" s="18"/>
    </row>
    <row r="108" ht="22.5" customHeight="1">
      <c r="A108" s="12" t="s">
        <v>515</v>
      </c>
      <c r="B108" s="12">
        <v>5.0</v>
      </c>
      <c r="C108" s="12">
        <f>IF($A108="", "", IFERROR(VLOOKUP($A108, Stock_New!$A:$M, 4, FALSE), ""))</f>
        <v>50</v>
      </c>
      <c r="D108" s="12">
        <f>IF($A108="", "", IFERROR(VLOOKUP($A108, Stock_New!$A:$M, 6, FALSE), ""))</f>
        <v>60</v>
      </c>
      <c r="E108" s="12">
        <f t="shared" si="1"/>
        <v>10</v>
      </c>
      <c r="F108" s="12">
        <f t="shared" si="2"/>
        <v>50</v>
      </c>
      <c r="G108" s="18"/>
    </row>
    <row r="109" ht="22.5" customHeight="1">
      <c r="A109" s="12" t="s">
        <v>518</v>
      </c>
      <c r="B109" s="12">
        <v>6.333333333333333</v>
      </c>
      <c r="C109" s="12">
        <f>IF($A109="", "", IFERROR(VLOOKUP($A109, Stock_New!$A:$M, 4, FALSE), ""))</f>
        <v>75</v>
      </c>
      <c r="D109" s="12">
        <f>IF($A109="", "", IFERROR(VLOOKUP($A109, Stock_New!$A:$M, 6, FALSE), ""))</f>
        <v>90</v>
      </c>
      <c r="E109" s="12">
        <f t="shared" si="1"/>
        <v>15</v>
      </c>
      <c r="F109" s="12">
        <f t="shared" si="2"/>
        <v>95</v>
      </c>
      <c r="G109" s="18"/>
    </row>
    <row r="110" ht="22.5" customHeight="1">
      <c r="A110" s="12" t="s">
        <v>83</v>
      </c>
      <c r="B110" s="12">
        <v>3.0</v>
      </c>
      <c r="C110" s="12">
        <f>IF($A110="", "", IFERROR(VLOOKUP($A110, Stock_New!$A:$M, 4, FALSE), ""))</f>
        <v>175</v>
      </c>
      <c r="D110" s="12">
        <f>IF($A110="", "", IFERROR(VLOOKUP($A110, Stock_New!$A:$M, 6, FALSE), ""))</f>
        <v>210</v>
      </c>
      <c r="E110" s="12">
        <f t="shared" si="1"/>
        <v>35</v>
      </c>
      <c r="F110" s="12">
        <f t="shared" si="2"/>
        <v>105</v>
      </c>
      <c r="G110" s="18"/>
    </row>
    <row r="111" ht="22.5" customHeight="1">
      <c r="A111" s="12" t="s">
        <v>530</v>
      </c>
      <c r="B111" s="12">
        <v>1.0</v>
      </c>
      <c r="C111" s="12">
        <f>IF($A111="", "", IFERROR(VLOOKUP($A111, Stock_New!$A:$M, 4, FALSE), ""))</f>
        <v>167.5</v>
      </c>
      <c r="D111" s="12">
        <f>IF($A111="", "", IFERROR(VLOOKUP($A111, Stock_New!$A:$M, 6, FALSE), ""))</f>
        <v>201</v>
      </c>
      <c r="E111" s="12">
        <f t="shared" si="1"/>
        <v>33.5</v>
      </c>
      <c r="F111" s="12">
        <f t="shared" si="2"/>
        <v>33.5</v>
      </c>
      <c r="G111" s="18"/>
    </row>
    <row r="112" ht="22.5" customHeight="1">
      <c r="A112" s="12" t="s">
        <v>536</v>
      </c>
      <c r="B112" s="12">
        <v>6.0</v>
      </c>
      <c r="C112" s="12" t="str">
        <f>IF($A112="", "", IFERROR(VLOOKUP($A112, Stock_New!$A:$M, 4, FALSE), ""))</f>
        <v/>
      </c>
      <c r="D112" s="12" t="str">
        <f>IF($A112="", "", IFERROR(VLOOKUP($A112, Stock_New!$A:$M, 6, FALSE), ""))</f>
        <v/>
      </c>
      <c r="E112" s="12">
        <f t="shared" si="1"/>
        <v>0</v>
      </c>
      <c r="F112" s="12">
        <f t="shared" si="2"/>
        <v>0</v>
      </c>
      <c r="G112" s="18"/>
    </row>
    <row r="113" ht="22.5" customHeight="1">
      <c r="A113" s="12" t="s">
        <v>540</v>
      </c>
      <c r="B113" s="12">
        <v>14.0</v>
      </c>
      <c r="C113" s="12">
        <f>IF($A113="", "", IFERROR(VLOOKUP($A113, Stock_New!$A:$M, 4, FALSE), ""))</f>
        <v>11.13</v>
      </c>
      <c r="D113" s="12">
        <f>IF($A113="", "", IFERROR(VLOOKUP($A113, Stock_New!$A:$M, 6, FALSE), ""))</f>
        <v>13.36</v>
      </c>
      <c r="E113" s="12">
        <f t="shared" si="1"/>
        <v>2.23</v>
      </c>
      <c r="F113" s="12">
        <f t="shared" si="2"/>
        <v>31.22</v>
      </c>
      <c r="G113" s="18"/>
    </row>
    <row r="114" ht="22.5" customHeight="1">
      <c r="A114" s="12" t="s">
        <v>210</v>
      </c>
      <c r="B114" s="12">
        <v>6.0</v>
      </c>
      <c r="C114" s="12">
        <f>IF($A114="", "", IFERROR(VLOOKUP($A114, Stock_New!$A:$M, 4, FALSE), ""))</f>
        <v>130</v>
      </c>
      <c r="D114" s="12">
        <f>IF($A114="", "", IFERROR(VLOOKUP($A114, Stock_New!$A:$M, 6, FALSE), ""))</f>
        <v>156</v>
      </c>
      <c r="E114" s="12">
        <f t="shared" si="1"/>
        <v>26</v>
      </c>
      <c r="F114" s="12">
        <f t="shared" si="2"/>
        <v>156</v>
      </c>
      <c r="G114" s="18"/>
    </row>
    <row r="115" ht="22.5" customHeight="1">
      <c r="A115" s="12" t="s">
        <v>545</v>
      </c>
      <c r="B115" s="12">
        <v>4.0</v>
      </c>
      <c r="C115" s="12">
        <f>IF($A115="", "", IFERROR(VLOOKUP($A115, Stock_New!$A:$M, 4, FALSE), ""))</f>
        <v>85</v>
      </c>
      <c r="D115" s="12">
        <f>IF($A115="", "", IFERROR(VLOOKUP($A115, Stock_New!$A:$M, 6, FALSE), ""))</f>
        <v>102</v>
      </c>
      <c r="E115" s="12">
        <f t="shared" si="1"/>
        <v>17</v>
      </c>
      <c r="F115" s="12">
        <f t="shared" si="2"/>
        <v>68</v>
      </c>
      <c r="G115" s="18"/>
    </row>
    <row r="116" ht="22.5" customHeight="1">
      <c r="A116" s="12" t="s">
        <v>547</v>
      </c>
      <c r="B116" s="12">
        <v>2.0</v>
      </c>
      <c r="C116" s="12">
        <f>IF($A116="", "", IFERROR(VLOOKUP($A116, Stock_New!$A:$M, 4, FALSE), ""))</f>
        <v>135</v>
      </c>
      <c r="D116" s="12">
        <f>IF($A116="", "", IFERROR(VLOOKUP($A116, Stock_New!$A:$M, 6, FALSE), ""))</f>
        <v>162</v>
      </c>
      <c r="E116" s="12">
        <f t="shared" si="1"/>
        <v>27</v>
      </c>
      <c r="F116" s="12">
        <f t="shared" si="2"/>
        <v>54</v>
      </c>
      <c r="G116" s="18"/>
    </row>
    <row r="117" ht="22.5" customHeight="1">
      <c r="A117" s="12" t="s">
        <v>549</v>
      </c>
      <c r="B117" s="12">
        <v>16.0</v>
      </c>
      <c r="C117" s="12">
        <f>IF($A117="", "", IFERROR(VLOOKUP($A117, Stock_New!$A:$M, 4, FALSE), ""))</f>
        <v>17.5</v>
      </c>
      <c r="D117" s="12">
        <f>IF($A117="", "", IFERROR(VLOOKUP($A117, Stock_New!$A:$M, 6, FALSE), ""))</f>
        <v>21</v>
      </c>
      <c r="E117" s="12">
        <f t="shared" si="1"/>
        <v>3.5</v>
      </c>
      <c r="F117" s="12">
        <f t="shared" si="2"/>
        <v>56</v>
      </c>
      <c r="G117" s="18"/>
    </row>
    <row r="118" ht="22.5" customHeight="1">
      <c r="A118" s="12" t="s">
        <v>552</v>
      </c>
      <c r="B118" s="12">
        <v>1.0</v>
      </c>
      <c r="C118" s="12">
        <f>IF($A118="", "", IFERROR(VLOOKUP($A118, Stock_New!$A:$M, 4, FALSE), ""))</f>
        <v>134</v>
      </c>
      <c r="D118" s="12">
        <f>IF($A118="", "", IFERROR(VLOOKUP($A118, Stock_New!$A:$M, 6, FALSE), ""))</f>
        <v>160.8</v>
      </c>
      <c r="E118" s="12">
        <f t="shared" si="1"/>
        <v>26.8</v>
      </c>
      <c r="F118" s="12">
        <f t="shared" si="2"/>
        <v>26.8</v>
      </c>
      <c r="G118" s="18"/>
    </row>
    <row r="119" ht="22.5" customHeight="1">
      <c r="A119" s="12" t="s">
        <v>555</v>
      </c>
      <c r="B119" s="12">
        <v>1.0</v>
      </c>
      <c r="C119" s="12">
        <f>IF($A119="", "", IFERROR(VLOOKUP($A119, Stock_New!$A:$M, 4, FALSE), ""))</f>
        <v>151</v>
      </c>
      <c r="D119" s="12">
        <f>IF($A119="", "", IFERROR(VLOOKUP($A119, Stock_New!$A:$M, 6, FALSE), ""))</f>
        <v>181.2</v>
      </c>
      <c r="E119" s="12">
        <f t="shared" si="1"/>
        <v>30.2</v>
      </c>
      <c r="F119" s="12">
        <f t="shared" si="2"/>
        <v>30.2</v>
      </c>
      <c r="G119" s="18"/>
    </row>
    <row r="120" ht="22.5" customHeight="1">
      <c r="A120" s="12" t="s">
        <v>558</v>
      </c>
      <c r="B120" s="12">
        <v>6.0</v>
      </c>
      <c r="C120" s="12">
        <f>IF($A120="", "", IFERROR(VLOOKUP($A120, Stock_New!$A:$M, 4, FALSE), ""))</f>
        <v>125</v>
      </c>
      <c r="D120" s="12">
        <f>IF($A120="", "", IFERROR(VLOOKUP($A120, Stock_New!$A:$M, 6, FALSE), ""))</f>
        <v>150</v>
      </c>
      <c r="E120" s="12">
        <f t="shared" si="1"/>
        <v>25</v>
      </c>
      <c r="F120" s="12">
        <f t="shared" si="2"/>
        <v>150</v>
      </c>
      <c r="G120" s="18"/>
    </row>
    <row r="121" ht="22.5" customHeight="1">
      <c r="A121" s="12" t="s">
        <v>401</v>
      </c>
      <c r="B121" s="12">
        <v>1.0</v>
      </c>
      <c r="C121" s="12">
        <f>IF($A121="", "", IFERROR(VLOOKUP($A121, Stock_New!$A:$M, 4, FALSE), ""))</f>
        <v>195</v>
      </c>
      <c r="D121" s="12">
        <f>IF($A121="", "", IFERROR(VLOOKUP($A121, Stock_New!$A:$M, 6, FALSE), ""))</f>
        <v>234</v>
      </c>
      <c r="E121" s="12">
        <f t="shared" si="1"/>
        <v>39</v>
      </c>
      <c r="F121" s="12">
        <f t="shared" si="2"/>
        <v>39</v>
      </c>
      <c r="G121" s="18"/>
    </row>
    <row r="122" ht="22.5" customHeight="1">
      <c r="A122" s="12" t="s">
        <v>364</v>
      </c>
      <c r="B122" s="12">
        <v>1.0</v>
      </c>
      <c r="C122" s="12">
        <f>IF($A122="", "", IFERROR(VLOOKUP($A122, Stock_New!$A:$M, 4, FALSE), ""))</f>
        <v>115</v>
      </c>
      <c r="D122" s="12">
        <f>IF($A122="", "", IFERROR(VLOOKUP($A122, Stock_New!$A:$M, 6, FALSE), ""))</f>
        <v>138</v>
      </c>
      <c r="E122" s="12">
        <f t="shared" si="1"/>
        <v>23</v>
      </c>
      <c r="F122" s="12">
        <f t="shared" si="2"/>
        <v>23</v>
      </c>
      <c r="G122" s="18"/>
    </row>
    <row r="123" ht="22.5" customHeight="1">
      <c r="A123" s="12" t="s">
        <v>567</v>
      </c>
      <c r="B123" s="12">
        <v>6.0</v>
      </c>
      <c r="C123" s="12">
        <f>IF($A123="", "", IFERROR(VLOOKUP($A123, Stock_New!$A:$M, 4, FALSE), ""))</f>
        <v>51</v>
      </c>
      <c r="D123" s="12">
        <f>IF($A123="", "", IFERROR(VLOOKUP($A123, Stock_New!$A:$M, 6, FALSE), ""))</f>
        <v>61.2</v>
      </c>
      <c r="E123" s="12">
        <f t="shared" si="1"/>
        <v>10.2</v>
      </c>
      <c r="F123" s="12">
        <f t="shared" si="2"/>
        <v>61.2</v>
      </c>
      <c r="G123" s="18"/>
    </row>
    <row r="124" ht="22.5" customHeight="1">
      <c r="A124" s="12" t="s">
        <v>572</v>
      </c>
      <c r="B124" s="12">
        <v>36.0</v>
      </c>
      <c r="C124" s="12">
        <f>IF($A124="", "", IFERROR(VLOOKUP($A124, Stock_New!$A:$M, 4, FALSE), ""))</f>
        <v>4.38</v>
      </c>
      <c r="D124" s="12">
        <f>IF($A124="", "", IFERROR(VLOOKUP($A124, Stock_New!$A:$M, 6, FALSE), ""))</f>
        <v>5.25</v>
      </c>
      <c r="E124" s="12">
        <f t="shared" si="1"/>
        <v>0.87</v>
      </c>
      <c r="F124" s="12">
        <f t="shared" si="2"/>
        <v>31.32</v>
      </c>
      <c r="G124" s="18"/>
    </row>
    <row r="125" ht="22.5" customHeight="1">
      <c r="A125" s="12" t="s">
        <v>575</v>
      </c>
      <c r="B125" s="12">
        <v>11.0</v>
      </c>
      <c r="C125" s="12">
        <f>IF($A125="", "", IFERROR(VLOOKUP($A125, Stock_New!$A:$M, 4, FALSE), ""))</f>
        <v>4.5</v>
      </c>
      <c r="D125" s="12">
        <f>IF($A125="", "", IFERROR(VLOOKUP($A125, Stock_New!$A:$M, 6, FALSE), ""))</f>
        <v>5.4</v>
      </c>
      <c r="E125" s="12">
        <f t="shared" si="1"/>
        <v>0.9</v>
      </c>
      <c r="F125" s="12">
        <f t="shared" si="2"/>
        <v>9.9</v>
      </c>
      <c r="G125" s="18"/>
    </row>
    <row r="126" ht="22.5" customHeight="1">
      <c r="A126" s="12" t="s">
        <v>580</v>
      </c>
      <c r="B126" s="12">
        <v>1.0</v>
      </c>
      <c r="C126" s="12">
        <f>IF($A126="", "", IFERROR(VLOOKUP($A126, Stock_New!$A:$M, 4, FALSE), ""))</f>
        <v>43.75</v>
      </c>
      <c r="D126" s="12">
        <f>IF($A126="", "", IFERROR(VLOOKUP($A126, Stock_New!$A:$M, 6, FALSE), ""))</f>
        <v>52.5</v>
      </c>
      <c r="E126" s="12">
        <f t="shared" si="1"/>
        <v>8.75</v>
      </c>
      <c r="F126" s="12">
        <f t="shared" si="2"/>
        <v>8.75</v>
      </c>
      <c r="G126" s="18"/>
    </row>
    <row r="127" ht="22.5" customHeight="1">
      <c r="A127" s="12" t="s">
        <v>584</v>
      </c>
      <c r="B127" s="12">
        <v>34.0</v>
      </c>
      <c r="C127" s="12">
        <f>IF($A127="", "", IFERROR(VLOOKUP($A127, Stock_New!$A:$M, 4, FALSE), ""))</f>
        <v>5</v>
      </c>
      <c r="D127" s="12">
        <f>IF($A127="", "", IFERROR(VLOOKUP($A127, Stock_New!$A:$M, 6, FALSE), ""))</f>
        <v>6</v>
      </c>
      <c r="E127" s="12">
        <f t="shared" si="1"/>
        <v>1</v>
      </c>
      <c r="F127" s="12">
        <f t="shared" si="2"/>
        <v>34</v>
      </c>
      <c r="G127" s="18"/>
    </row>
    <row r="128" ht="22.5" customHeight="1">
      <c r="A128" s="12" t="s">
        <v>588</v>
      </c>
      <c r="B128" s="12">
        <v>4.0</v>
      </c>
      <c r="C128" s="12">
        <f>IF($A128="", "", IFERROR(VLOOKUP($A128, Stock_New!$A:$M, 4, FALSE), ""))</f>
        <v>115</v>
      </c>
      <c r="D128" s="12">
        <f>IF($A128="", "", IFERROR(VLOOKUP($A128, Stock_New!$A:$M, 6, FALSE), ""))</f>
        <v>138</v>
      </c>
      <c r="E128" s="12">
        <f t="shared" si="1"/>
        <v>23</v>
      </c>
      <c r="F128" s="12">
        <f t="shared" si="2"/>
        <v>92</v>
      </c>
      <c r="G128" s="18"/>
    </row>
    <row r="129" ht="22.5" customHeight="1">
      <c r="A129" s="12" t="s">
        <v>497</v>
      </c>
      <c r="B129" s="12">
        <v>7.0</v>
      </c>
      <c r="C129" s="12">
        <f>IF($A129="", "", IFERROR(VLOOKUP($A129, Stock_New!$A:$M, 4, FALSE), ""))</f>
        <v>195</v>
      </c>
      <c r="D129" s="12">
        <f>IF($A129="", "", IFERROR(VLOOKUP($A129, Stock_New!$A:$M, 6, FALSE), ""))</f>
        <v>234</v>
      </c>
      <c r="E129" s="12">
        <f t="shared" si="1"/>
        <v>39</v>
      </c>
      <c r="F129" s="12">
        <f t="shared" si="2"/>
        <v>273</v>
      </c>
      <c r="G129" s="18"/>
    </row>
    <row r="130" ht="22.5" customHeight="1">
      <c r="A130" s="12" t="s">
        <v>596</v>
      </c>
      <c r="B130" s="12">
        <v>11.0</v>
      </c>
      <c r="C130" s="12">
        <f>IF($A130="", "", IFERROR(VLOOKUP($A130, Stock_New!$A:$M, 4, FALSE), ""))</f>
        <v>17.92</v>
      </c>
      <c r="D130" s="12">
        <f>IF($A130="", "", IFERROR(VLOOKUP($A130, Stock_New!$A:$M, 6, FALSE), ""))</f>
        <v>21.5</v>
      </c>
      <c r="E130" s="12">
        <f t="shared" si="1"/>
        <v>3.58</v>
      </c>
      <c r="F130" s="12">
        <f t="shared" si="2"/>
        <v>39.38</v>
      </c>
      <c r="G130" s="18"/>
    </row>
    <row r="131" ht="22.5" customHeight="1">
      <c r="A131" s="12" t="s">
        <v>601</v>
      </c>
      <c r="B131" s="12">
        <v>10.0</v>
      </c>
      <c r="C131" s="12">
        <f>IF($A131="", "", IFERROR(VLOOKUP($A131, Stock_New!$A:$M, 4, FALSE), ""))</f>
        <v>17.92</v>
      </c>
      <c r="D131" s="12">
        <f>IF($A131="", "", IFERROR(VLOOKUP($A131, Stock_New!$A:$M, 6, FALSE), ""))</f>
        <v>21.5</v>
      </c>
      <c r="E131" s="12">
        <f t="shared" si="1"/>
        <v>3.58</v>
      </c>
      <c r="F131" s="12">
        <f t="shared" si="2"/>
        <v>35.8</v>
      </c>
      <c r="G131" s="18"/>
    </row>
    <row r="132" ht="22.5" customHeight="1">
      <c r="A132" s="12" t="s">
        <v>34</v>
      </c>
      <c r="B132" s="12">
        <v>14.0</v>
      </c>
      <c r="C132" s="12">
        <f>IF($A132="", "", IFERROR(VLOOKUP($A132, Stock_New!$A:$M, 4, FALSE), ""))</f>
        <v>90</v>
      </c>
      <c r="D132" s="12">
        <f>IF($A132="", "", IFERROR(VLOOKUP($A132, Stock_New!$A:$M, 6, FALSE), ""))</f>
        <v>108</v>
      </c>
      <c r="E132" s="12">
        <f t="shared" si="1"/>
        <v>18</v>
      </c>
      <c r="F132" s="12">
        <f t="shared" si="2"/>
        <v>252</v>
      </c>
      <c r="G132" s="18"/>
    </row>
    <row r="133" ht="22.5" customHeight="1">
      <c r="A133" s="12" t="s">
        <v>270</v>
      </c>
      <c r="B133" s="12">
        <v>1.0</v>
      </c>
      <c r="C133" s="12">
        <f>IF($A133="", "", IFERROR(VLOOKUP($A133, Stock_New!$A:$M, 4, FALSE), ""))</f>
        <v>112.5</v>
      </c>
      <c r="D133" s="12">
        <f>IF($A133="", "", IFERROR(VLOOKUP($A133, Stock_New!$A:$M, 6, FALSE), ""))</f>
        <v>135</v>
      </c>
      <c r="E133" s="12">
        <f t="shared" si="1"/>
        <v>22.5</v>
      </c>
      <c r="F133" s="12">
        <f t="shared" si="2"/>
        <v>22.5</v>
      </c>
      <c r="G133" s="18"/>
    </row>
    <row r="134" ht="22.5" customHeight="1">
      <c r="A134" s="12" t="s">
        <v>611</v>
      </c>
      <c r="B134" s="12">
        <v>4.0</v>
      </c>
      <c r="C134" s="12">
        <f>IF($A134="", "", IFERROR(VLOOKUP($A134, Stock_New!$A:$M, 4, FALSE), ""))</f>
        <v>29</v>
      </c>
      <c r="D134" s="12">
        <f>IF($A134="", "", IFERROR(VLOOKUP($A134, Stock_New!$A:$M, 6, FALSE), ""))</f>
        <v>34.8</v>
      </c>
      <c r="E134" s="12">
        <f t="shared" si="1"/>
        <v>5.8</v>
      </c>
      <c r="F134" s="12">
        <f t="shared" si="2"/>
        <v>23.2</v>
      </c>
      <c r="G134" s="18"/>
    </row>
    <row r="135" ht="22.5" customHeight="1">
      <c r="A135" s="12" t="s">
        <v>614</v>
      </c>
      <c r="B135" s="12">
        <v>2.0</v>
      </c>
      <c r="C135" s="12">
        <f>IF($A135="", "", IFERROR(VLOOKUP($A135, Stock_New!$A:$M, 4, FALSE), ""))</f>
        <v>78</v>
      </c>
      <c r="D135" s="12">
        <f>IF($A135="", "", IFERROR(VLOOKUP($A135, Stock_New!$A:$M, 6, FALSE), ""))</f>
        <v>93.6</v>
      </c>
      <c r="E135" s="12">
        <f t="shared" si="1"/>
        <v>15.6</v>
      </c>
      <c r="F135" s="12">
        <f t="shared" si="2"/>
        <v>31.2</v>
      </c>
      <c r="G135" s="18"/>
    </row>
    <row r="136" ht="22.5" customHeight="1">
      <c r="A136" s="12" t="s">
        <v>618</v>
      </c>
      <c r="B136" s="12">
        <v>1.0</v>
      </c>
      <c r="C136" s="12">
        <f>IF($A136="", "", IFERROR(VLOOKUP($A136, Stock_New!$A:$M, 4, FALSE), ""))</f>
        <v>141</v>
      </c>
      <c r="D136" s="12">
        <f>IF($A136="", "", IFERROR(VLOOKUP($A136, Stock_New!$A:$M, 6, FALSE), ""))</f>
        <v>169.2</v>
      </c>
      <c r="E136" s="12">
        <f t="shared" si="1"/>
        <v>28.2</v>
      </c>
      <c r="F136" s="12">
        <f t="shared" si="2"/>
        <v>28.2</v>
      </c>
      <c r="G136" s="18"/>
    </row>
    <row r="137" ht="22.5" customHeight="1">
      <c r="A137" s="12" t="s">
        <v>625</v>
      </c>
      <c r="B137" s="12">
        <v>0.5</v>
      </c>
      <c r="C137" s="12">
        <f>IF($A137="", "", IFERROR(VLOOKUP($A137, Stock_New!$A:$M, 4, FALSE), ""))</f>
        <v>39</v>
      </c>
      <c r="D137" s="12">
        <f>IF($A137="", "", IFERROR(VLOOKUP($A137, Stock_New!$A:$M, 6, FALSE), ""))</f>
        <v>46.8</v>
      </c>
      <c r="E137" s="12">
        <f t="shared" si="1"/>
        <v>7.8</v>
      </c>
      <c r="F137" s="12">
        <f t="shared" si="2"/>
        <v>3.9</v>
      </c>
      <c r="G137" s="18"/>
    </row>
    <row r="138" ht="22.5" customHeight="1">
      <c r="A138" s="12" t="s">
        <v>630</v>
      </c>
      <c r="B138" s="12">
        <v>2.0</v>
      </c>
      <c r="C138" s="12">
        <f>IF($A138="", "", IFERROR(VLOOKUP($A138, Stock_New!$A:$M, 4, FALSE), ""))</f>
        <v>160</v>
      </c>
      <c r="D138" s="12">
        <f>IF($A138="", "", IFERROR(VLOOKUP($A138, Stock_New!$A:$M, 6, FALSE), ""))</f>
        <v>192</v>
      </c>
      <c r="E138" s="12">
        <f t="shared" si="1"/>
        <v>32</v>
      </c>
      <c r="F138" s="12">
        <f t="shared" si="2"/>
        <v>64</v>
      </c>
      <c r="G138" s="18"/>
    </row>
    <row r="139" ht="22.5" customHeight="1">
      <c r="A139" s="12" t="s">
        <v>633</v>
      </c>
      <c r="B139" s="12">
        <v>6.0</v>
      </c>
      <c r="C139" s="12">
        <f>IF($A139="", "", IFERROR(VLOOKUP($A139, Stock_New!$A:$M, 4, FALSE), ""))</f>
        <v>128</v>
      </c>
      <c r="D139" s="12">
        <f>IF($A139="", "", IFERROR(VLOOKUP($A139, Stock_New!$A:$M, 6, FALSE), ""))</f>
        <v>153.6</v>
      </c>
      <c r="E139" s="12">
        <f t="shared" si="1"/>
        <v>25.6</v>
      </c>
      <c r="F139" s="12">
        <f t="shared" si="2"/>
        <v>153.6</v>
      </c>
      <c r="G139" s="18"/>
    </row>
    <row r="140" ht="22.5" customHeight="1">
      <c r="A140" s="12" t="s">
        <v>638</v>
      </c>
      <c r="B140" s="12">
        <v>2.7</v>
      </c>
      <c r="C140" s="12">
        <f>IF($A140="", "", IFERROR(VLOOKUP($A140, Stock_New!$A:$M, 4, FALSE), ""))</f>
        <v>100</v>
      </c>
      <c r="D140" s="12">
        <f>IF($A140="", "", IFERROR(VLOOKUP($A140, Stock_New!$A:$M, 6, FALSE), ""))</f>
        <v>120</v>
      </c>
      <c r="E140" s="12">
        <f t="shared" si="1"/>
        <v>20</v>
      </c>
      <c r="F140" s="12">
        <f t="shared" si="2"/>
        <v>54</v>
      </c>
      <c r="G140" s="18"/>
    </row>
    <row r="141" ht="22.5" customHeight="1">
      <c r="A141" s="12" t="s">
        <v>356</v>
      </c>
      <c r="B141" s="12">
        <v>10.0</v>
      </c>
      <c r="C141" s="12">
        <f>IF($A141="", "", IFERROR(VLOOKUP($A141, Stock_New!$A:$M, 4, FALSE), ""))</f>
        <v>85</v>
      </c>
      <c r="D141" s="12">
        <f>IF($A141="", "", IFERROR(VLOOKUP($A141, Stock_New!$A:$M, 6, FALSE), ""))</f>
        <v>102</v>
      </c>
      <c r="E141" s="12">
        <f t="shared" si="1"/>
        <v>17</v>
      </c>
      <c r="F141" s="12">
        <f t="shared" si="2"/>
        <v>170</v>
      </c>
      <c r="G141" s="18"/>
    </row>
    <row r="142" ht="22.5" customHeight="1">
      <c r="A142" s="12" t="s">
        <v>645</v>
      </c>
      <c r="B142" s="12">
        <v>47.0</v>
      </c>
      <c r="C142" s="12">
        <f>IF($A142="", "", IFERROR(VLOOKUP($A142, Stock_New!$A:$M, 4, FALSE), ""))</f>
        <v>17</v>
      </c>
      <c r="D142" s="12">
        <f>IF($A142="", "", IFERROR(VLOOKUP($A142, Stock_New!$A:$M, 6, FALSE), ""))</f>
        <v>20.4</v>
      </c>
      <c r="E142" s="12">
        <f t="shared" si="1"/>
        <v>3.4</v>
      </c>
      <c r="F142" s="12">
        <f t="shared" si="2"/>
        <v>159.8</v>
      </c>
      <c r="G142" s="18"/>
    </row>
    <row r="143" ht="22.5" customHeight="1">
      <c r="A143" s="12" t="s">
        <v>650</v>
      </c>
      <c r="B143" s="12">
        <v>1.0</v>
      </c>
      <c r="C143" s="12">
        <f>IF($A143="", "", IFERROR(VLOOKUP($A143, Stock_New!$A:$M, 4, FALSE), ""))</f>
        <v>124</v>
      </c>
      <c r="D143" s="12">
        <f>IF($A143="", "", IFERROR(VLOOKUP($A143, Stock_New!$A:$M, 6, FALSE), ""))</f>
        <v>148.8</v>
      </c>
      <c r="E143" s="12">
        <f t="shared" si="1"/>
        <v>24.8</v>
      </c>
      <c r="F143" s="12">
        <f t="shared" si="2"/>
        <v>24.8</v>
      </c>
      <c r="G143" s="18"/>
    </row>
    <row r="144" ht="22.5" customHeight="1">
      <c r="A144" s="12" t="s">
        <v>94</v>
      </c>
      <c r="B144" s="12">
        <v>1.0</v>
      </c>
      <c r="C144" s="12">
        <f>IF($A144="", "", IFERROR(VLOOKUP($A144, Stock_New!$A:$M, 4, FALSE), ""))</f>
        <v>575</v>
      </c>
      <c r="D144" s="12">
        <f>IF($A144="", "", IFERROR(VLOOKUP($A144, Stock_New!$A:$M, 6, FALSE), ""))</f>
        <v>690</v>
      </c>
      <c r="E144" s="12">
        <f t="shared" si="1"/>
        <v>115</v>
      </c>
      <c r="F144" s="12">
        <f t="shared" si="2"/>
        <v>115</v>
      </c>
      <c r="G144" s="18"/>
    </row>
    <row r="145" ht="22.5" customHeight="1">
      <c r="A145" s="12" t="s">
        <v>562</v>
      </c>
      <c r="B145" s="12">
        <v>1.0</v>
      </c>
      <c r="C145" s="12">
        <f>IF($A145="", "", IFERROR(VLOOKUP($A145, Stock_New!$A:$M, 4, FALSE), ""))</f>
        <v>175</v>
      </c>
      <c r="D145" s="12">
        <f>IF($A145="", "", IFERROR(VLOOKUP($A145, Stock_New!$A:$M, 6, FALSE), ""))</f>
        <v>210</v>
      </c>
      <c r="E145" s="12">
        <f t="shared" si="1"/>
        <v>35</v>
      </c>
      <c r="F145" s="12">
        <f t="shared" si="2"/>
        <v>35</v>
      </c>
      <c r="G145" s="18"/>
    </row>
    <row r="146" ht="22.5" customHeight="1">
      <c r="A146" s="12" t="s">
        <v>660</v>
      </c>
      <c r="B146" s="12">
        <v>1.0</v>
      </c>
      <c r="C146" s="12">
        <f>IF($A146="", "", IFERROR(VLOOKUP($A146, Stock_New!$A:$M, 4, FALSE), ""))</f>
        <v>130</v>
      </c>
      <c r="D146" s="12">
        <f>IF($A146="", "", IFERROR(VLOOKUP($A146, Stock_New!$A:$M, 6, FALSE), ""))</f>
        <v>156</v>
      </c>
      <c r="E146" s="12">
        <f t="shared" si="1"/>
        <v>26</v>
      </c>
      <c r="F146" s="12">
        <f t="shared" si="2"/>
        <v>26</v>
      </c>
      <c r="G146" s="18"/>
    </row>
    <row r="147" ht="22.5" customHeight="1">
      <c r="A147" s="12" t="s">
        <v>29</v>
      </c>
      <c r="B147" s="12">
        <v>4.0</v>
      </c>
      <c r="C147" s="12">
        <f>IF($A147="", "", IFERROR(VLOOKUP($A147, Stock_New!$A:$M, 4, FALSE), ""))</f>
        <v>103.75</v>
      </c>
      <c r="D147" s="12">
        <f>IF($A147="", "", IFERROR(VLOOKUP($A147, Stock_New!$A:$M, 6, FALSE), ""))</f>
        <v>124.5</v>
      </c>
      <c r="E147" s="12">
        <f t="shared" si="1"/>
        <v>20.75</v>
      </c>
      <c r="F147" s="12">
        <f t="shared" si="2"/>
        <v>83</v>
      </c>
      <c r="G147" s="18"/>
    </row>
    <row r="148" ht="22.5" customHeight="1">
      <c r="A148" s="12" t="s">
        <v>668</v>
      </c>
      <c r="B148" s="12">
        <v>1.0</v>
      </c>
      <c r="C148" s="12">
        <f>IF($A148="", "", IFERROR(VLOOKUP($A148, Stock_New!$A:$M, 4, FALSE), ""))</f>
        <v>126</v>
      </c>
      <c r="D148" s="12">
        <f>IF($A148="", "", IFERROR(VLOOKUP($A148, Stock_New!$A:$M, 6, FALSE), ""))</f>
        <v>151.2</v>
      </c>
      <c r="E148" s="12">
        <f t="shared" si="1"/>
        <v>25.2</v>
      </c>
      <c r="F148" s="12">
        <f t="shared" si="2"/>
        <v>25.2</v>
      </c>
      <c r="G148" s="18"/>
    </row>
    <row r="149" ht="22.5" customHeight="1">
      <c r="A149" s="12" t="s">
        <v>259</v>
      </c>
      <c r="B149" s="12">
        <v>2.0</v>
      </c>
      <c r="C149" s="12">
        <f>IF($A149="", "", IFERROR(VLOOKUP($A149, Stock_New!$A:$M, 4, FALSE), ""))</f>
        <v>145</v>
      </c>
      <c r="D149" s="12">
        <f>IF($A149="", "", IFERROR(VLOOKUP($A149, Stock_New!$A:$M, 6, FALSE), ""))</f>
        <v>174</v>
      </c>
      <c r="E149" s="12">
        <f t="shared" si="1"/>
        <v>29</v>
      </c>
      <c r="F149" s="12">
        <f t="shared" si="2"/>
        <v>58</v>
      </c>
      <c r="G149" s="18"/>
    </row>
    <row r="150" ht="22.5" customHeight="1">
      <c r="A150" s="12" t="s">
        <v>673</v>
      </c>
      <c r="B150" s="12">
        <v>5.0</v>
      </c>
      <c r="C150" s="12">
        <f>IF($A150="", "", IFERROR(VLOOKUP($A150, Stock_New!$A:$M, 4, FALSE), ""))</f>
        <v>6.75</v>
      </c>
      <c r="D150" s="12">
        <f>IF($A150="", "", IFERROR(VLOOKUP($A150, Stock_New!$A:$M, 6, FALSE), ""))</f>
        <v>8.1</v>
      </c>
      <c r="E150" s="12">
        <f t="shared" si="1"/>
        <v>1.35</v>
      </c>
      <c r="F150" s="12">
        <f t="shared" si="2"/>
        <v>6.75</v>
      </c>
      <c r="G150" s="18"/>
    </row>
    <row r="151" ht="22.5" customHeight="1">
      <c r="A151" s="12" t="s">
        <v>675</v>
      </c>
      <c r="B151" s="12">
        <v>3.0</v>
      </c>
      <c r="C151" s="12">
        <f>IF($A151="", "", IFERROR(VLOOKUP($A151, Stock_New!$A:$M, 4, FALSE), ""))</f>
        <v>27.5</v>
      </c>
      <c r="D151" s="12">
        <f>IF($A151="", "", IFERROR(VLOOKUP($A151, Stock_New!$A:$M, 6, FALSE), ""))</f>
        <v>33</v>
      </c>
      <c r="E151" s="12">
        <f t="shared" si="1"/>
        <v>5.5</v>
      </c>
      <c r="F151" s="12">
        <f t="shared" si="2"/>
        <v>16.5</v>
      </c>
      <c r="G151" s="18"/>
    </row>
    <row r="152" ht="22.5" customHeight="1">
      <c r="A152" s="12" t="s">
        <v>679</v>
      </c>
      <c r="B152" s="12">
        <v>2.0</v>
      </c>
      <c r="C152" s="12">
        <f>IF($A152="", "", IFERROR(VLOOKUP($A152, Stock_New!$A:$M, 4, FALSE), ""))</f>
        <v>63</v>
      </c>
      <c r="D152" s="12">
        <f>IF($A152="", "", IFERROR(VLOOKUP($A152, Stock_New!$A:$M, 6, FALSE), ""))</f>
        <v>75.6</v>
      </c>
      <c r="E152" s="12">
        <f t="shared" si="1"/>
        <v>12.6</v>
      </c>
      <c r="F152" s="12">
        <f t="shared" si="2"/>
        <v>25.2</v>
      </c>
      <c r="G152" s="18"/>
    </row>
    <row r="153" ht="22.5" customHeight="1">
      <c r="A153" s="12" t="s">
        <v>684</v>
      </c>
      <c r="B153" s="12">
        <v>1.0</v>
      </c>
      <c r="C153" s="12">
        <f>IF($A153="", "", IFERROR(VLOOKUP($A153, Stock_New!$A:$M, 4, FALSE), ""))</f>
        <v>120</v>
      </c>
      <c r="D153" s="12">
        <f>IF($A153="", "", IFERROR(VLOOKUP($A153, Stock_New!$A:$M, 6, FALSE), ""))</f>
        <v>144</v>
      </c>
      <c r="E153" s="12">
        <f t="shared" si="1"/>
        <v>24</v>
      </c>
      <c r="F153" s="12">
        <f t="shared" si="2"/>
        <v>24</v>
      </c>
      <c r="G153" s="18"/>
    </row>
    <row r="154" ht="22.5" customHeight="1">
      <c r="A154" s="12" t="s">
        <v>687</v>
      </c>
      <c r="B154" s="12">
        <v>1.0</v>
      </c>
      <c r="C154" s="12">
        <f>IF($A154="", "", IFERROR(VLOOKUP($A154, Stock_New!$A:$M, 4, FALSE), ""))</f>
        <v>106</v>
      </c>
      <c r="D154" s="12">
        <f>IF($A154="", "", IFERROR(VLOOKUP($A154, Stock_New!$A:$M, 6, FALSE), ""))</f>
        <v>127.2</v>
      </c>
      <c r="E154" s="12">
        <f t="shared" si="1"/>
        <v>21.2</v>
      </c>
      <c r="F154" s="12">
        <f t="shared" si="2"/>
        <v>21.2</v>
      </c>
      <c r="G154" s="18"/>
    </row>
    <row r="155" ht="22.5" customHeight="1">
      <c r="A155" s="12" t="s">
        <v>691</v>
      </c>
      <c r="B155" s="12">
        <v>1.0</v>
      </c>
      <c r="C155" s="12">
        <f>IF($A155="", "", IFERROR(VLOOKUP($A155, Stock_New!$A:$M, 4, FALSE), ""))</f>
        <v>81</v>
      </c>
      <c r="D155" s="12">
        <f>IF($A155="", "", IFERROR(VLOOKUP($A155, Stock_New!$A:$M, 6, FALSE), ""))</f>
        <v>97.2</v>
      </c>
      <c r="E155" s="12">
        <f t="shared" si="1"/>
        <v>16.2</v>
      </c>
      <c r="F155" s="12">
        <f t="shared" si="2"/>
        <v>16.2</v>
      </c>
      <c r="G155" s="18"/>
    </row>
    <row r="156" ht="22.5" customHeight="1">
      <c r="A156" s="12" t="s">
        <v>694</v>
      </c>
      <c r="B156" s="12">
        <v>1.0</v>
      </c>
      <c r="C156" s="12">
        <f>IF($A156="", "", IFERROR(VLOOKUP($A156, Stock_New!$A:$M, 4, FALSE), ""))</f>
        <v>106</v>
      </c>
      <c r="D156" s="12">
        <f>IF($A156="", "", IFERROR(VLOOKUP($A156, Stock_New!$A:$M, 6, FALSE), ""))</f>
        <v>127.2</v>
      </c>
      <c r="E156" s="12">
        <f t="shared" si="1"/>
        <v>21.2</v>
      </c>
      <c r="F156" s="12">
        <f t="shared" si="2"/>
        <v>21.2</v>
      </c>
      <c r="G156" s="18"/>
    </row>
    <row r="157" ht="22.5" customHeight="1">
      <c r="A157" s="12" t="s">
        <v>699</v>
      </c>
      <c r="B157" s="12">
        <v>14.0</v>
      </c>
      <c r="C157" s="12">
        <f>IF($A157="", "", IFERROR(VLOOKUP($A157, Stock_New!$A:$M, 4, FALSE), ""))</f>
        <v>20</v>
      </c>
      <c r="D157" s="12">
        <f>IF($A157="", "", IFERROR(VLOOKUP($A157, Stock_New!$A:$M, 6, FALSE), ""))</f>
        <v>24</v>
      </c>
      <c r="E157" s="12">
        <f t="shared" si="1"/>
        <v>4</v>
      </c>
      <c r="F157" s="12">
        <f t="shared" si="2"/>
        <v>56</v>
      </c>
      <c r="G157" s="18"/>
    </row>
    <row r="158" ht="22.5" customHeight="1">
      <c r="A158" s="12" t="s">
        <v>702</v>
      </c>
      <c r="B158" s="12">
        <v>3.0</v>
      </c>
      <c r="C158" s="12" t="str">
        <f>IF($A158="", "", IFERROR(VLOOKUP($A158, Stock_New!$A:$M, 4, FALSE), ""))</f>
        <v/>
      </c>
      <c r="D158" s="12" t="str">
        <f>IF($A158="", "", IFERROR(VLOOKUP($A158, Stock_New!$A:$M, 6, FALSE), ""))</f>
        <v/>
      </c>
      <c r="E158" s="12">
        <f t="shared" si="1"/>
        <v>0</v>
      </c>
      <c r="F158" s="12">
        <f t="shared" si="2"/>
        <v>0</v>
      </c>
      <c r="G158" s="18"/>
    </row>
    <row r="159" ht="22.5" customHeight="1">
      <c r="A159" s="12" t="s">
        <v>707</v>
      </c>
      <c r="B159" s="12">
        <v>1.0</v>
      </c>
      <c r="C159" s="12">
        <f>IF($A159="", "", IFERROR(VLOOKUP($A159, Stock_New!$A:$M, 4, FALSE), ""))</f>
        <v>59</v>
      </c>
      <c r="D159" s="12">
        <f>IF($A159="", "", IFERROR(VLOOKUP($A159, Stock_New!$A:$M, 6, FALSE), ""))</f>
        <v>70.8</v>
      </c>
      <c r="E159" s="12">
        <f t="shared" si="1"/>
        <v>11.8</v>
      </c>
      <c r="F159" s="12">
        <f t="shared" si="2"/>
        <v>11.8</v>
      </c>
      <c r="G159" s="18"/>
    </row>
    <row r="160" ht="22.5" customHeight="1">
      <c r="A160" s="12" t="s">
        <v>41</v>
      </c>
      <c r="B160" s="12">
        <v>1.0</v>
      </c>
      <c r="C160" s="12">
        <f>IF($A160="", "", IFERROR(VLOOKUP($A160, Stock_New!$A:$M, 4, FALSE), ""))</f>
        <v>92.5</v>
      </c>
      <c r="D160" s="12">
        <f>IF($A160="", "", IFERROR(VLOOKUP($A160, Stock_New!$A:$M, 6, FALSE), ""))</f>
        <v>111</v>
      </c>
      <c r="E160" s="12">
        <f t="shared" si="1"/>
        <v>18.5</v>
      </c>
      <c r="F160" s="12">
        <f t="shared" si="2"/>
        <v>18.5</v>
      </c>
      <c r="G160" s="18"/>
    </row>
    <row r="161" ht="22.5" customHeight="1">
      <c r="A161" s="12" t="s">
        <v>712</v>
      </c>
      <c r="B161" s="12">
        <v>4.0</v>
      </c>
      <c r="C161" s="12">
        <f>IF($A161="", "", IFERROR(VLOOKUP($A161, Stock_New!$A:$M, 4, FALSE), ""))</f>
        <v>7</v>
      </c>
      <c r="D161" s="12">
        <f>IF($A161="", "", IFERROR(VLOOKUP($A161, Stock_New!$A:$M, 6, FALSE), ""))</f>
        <v>8.4</v>
      </c>
      <c r="E161" s="12">
        <f t="shared" si="1"/>
        <v>1.4</v>
      </c>
      <c r="F161" s="12">
        <f t="shared" si="2"/>
        <v>5.6</v>
      </c>
      <c r="G161" s="18"/>
    </row>
    <row r="162" ht="22.5" customHeight="1">
      <c r="A162" s="12" t="s">
        <v>717</v>
      </c>
      <c r="B162" s="12">
        <v>1.0</v>
      </c>
      <c r="C162" s="12">
        <f>IF($A162="", "", IFERROR(VLOOKUP($A162, Stock_New!$A:$M, 4, FALSE), ""))</f>
        <v>80</v>
      </c>
      <c r="D162" s="12">
        <f>IF($A162="", "", IFERROR(VLOOKUP($A162, Stock_New!$A:$M, 6, FALSE), ""))</f>
        <v>96</v>
      </c>
      <c r="E162" s="12">
        <f t="shared" si="1"/>
        <v>16</v>
      </c>
      <c r="F162" s="12">
        <f t="shared" si="2"/>
        <v>16</v>
      </c>
      <c r="G162" s="18"/>
    </row>
    <row r="163" ht="22.5" customHeight="1">
      <c r="A163" s="12" t="s">
        <v>667</v>
      </c>
      <c r="B163" s="12">
        <v>6.0</v>
      </c>
      <c r="C163" s="12">
        <f>IF($A163="", "", IFERROR(VLOOKUP($A163, Stock_New!$A:$M, 4, FALSE), ""))</f>
        <v>55</v>
      </c>
      <c r="D163" s="12">
        <f>IF($A163="", "", IFERROR(VLOOKUP($A163, Stock_New!$A:$M, 6, FALSE), ""))</f>
        <v>66</v>
      </c>
      <c r="E163" s="12">
        <f t="shared" si="1"/>
        <v>11</v>
      </c>
      <c r="F163" s="12">
        <f t="shared" si="2"/>
        <v>66</v>
      </c>
      <c r="G163" s="18"/>
    </row>
    <row r="164" ht="22.5" customHeight="1">
      <c r="A164" s="12" t="s">
        <v>724</v>
      </c>
      <c r="B164" s="12">
        <v>7.0</v>
      </c>
      <c r="C164" s="12">
        <f>IF($A164="", "", IFERROR(VLOOKUP($A164, Stock_New!$A:$M, 4, FALSE), ""))</f>
        <v>35</v>
      </c>
      <c r="D164" s="12">
        <f>IF($A164="", "", IFERROR(VLOOKUP($A164, Stock_New!$A:$M, 6, FALSE), ""))</f>
        <v>42</v>
      </c>
      <c r="E164" s="12">
        <f t="shared" si="1"/>
        <v>7</v>
      </c>
      <c r="F164" s="12">
        <f t="shared" si="2"/>
        <v>49</v>
      </c>
      <c r="G164" s="18"/>
    </row>
    <row r="165" ht="22.5" customHeight="1">
      <c r="A165" s="12" t="s">
        <v>38</v>
      </c>
      <c r="B165" s="12">
        <v>2.0</v>
      </c>
      <c r="C165" s="12">
        <f>IF($A165="", "", IFERROR(VLOOKUP($A165, Stock_New!$A:$M, 4, FALSE), ""))</f>
        <v>174.3</v>
      </c>
      <c r="D165" s="12">
        <f>IF($A165="", "", IFERROR(VLOOKUP($A165, Stock_New!$A:$M, 6, FALSE), ""))</f>
        <v>209.16</v>
      </c>
      <c r="E165" s="12">
        <f t="shared" si="1"/>
        <v>34.86</v>
      </c>
      <c r="F165" s="12">
        <f t="shared" si="2"/>
        <v>69.72</v>
      </c>
      <c r="G165" s="18"/>
    </row>
    <row r="166" ht="22.5" customHeight="1">
      <c r="A166" s="12" t="s">
        <v>733</v>
      </c>
      <c r="B166" s="12">
        <v>13.0</v>
      </c>
      <c r="C166" s="12">
        <f>IF($A166="", "", IFERROR(VLOOKUP($A166, Stock_New!$A:$M, 4, FALSE), ""))</f>
        <v>26</v>
      </c>
      <c r="D166" s="12">
        <f>IF($A166="", "", IFERROR(VLOOKUP($A166, Stock_New!$A:$M, 6, FALSE), ""))</f>
        <v>31.2</v>
      </c>
      <c r="E166" s="12">
        <f t="shared" si="1"/>
        <v>5.2</v>
      </c>
      <c r="F166" s="12">
        <f t="shared" si="2"/>
        <v>67.6</v>
      </c>
      <c r="G166" s="18"/>
    </row>
    <row r="167" ht="22.5" customHeight="1">
      <c r="A167" s="12" t="s">
        <v>77</v>
      </c>
      <c r="B167" s="12">
        <v>16.0</v>
      </c>
      <c r="C167" s="12">
        <f>IF($A167="", "", IFERROR(VLOOKUP($A167, Stock_New!$A:$M, 4, FALSE), ""))</f>
        <v>315</v>
      </c>
      <c r="D167" s="12">
        <f>IF($A167="", "", IFERROR(VLOOKUP($A167, Stock_New!$A:$M, 6, FALSE), ""))</f>
        <v>378</v>
      </c>
      <c r="E167" s="12">
        <f t="shared" si="1"/>
        <v>63</v>
      </c>
      <c r="F167" s="12">
        <f t="shared" si="2"/>
        <v>1008</v>
      </c>
      <c r="G167" s="18"/>
    </row>
    <row r="168" ht="22.5" customHeight="1">
      <c r="A168" s="12" t="s">
        <v>177</v>
      </c>
      <c r="B168" s="12">
        <v>16.0</v>
      </c>
      <c r="C168" s="12">
        <f>IF($A168="", "", IFERROR(VLOOKUP($A168, Stock_New!$A:$M, 4, FALSE), ""))</f>
        <v>75</v>
      </c>
      <c r="D168" s="12">
        <f>IF($A168="", "", IFERROR(VLOOKUP($A168, Stock_New!$A:$M, 6, FALSE), ""))</f>
        <v>90</v>
      </c>
      <c r="E168" s="12">
        <f t="shared" si="1"/>
        <v>15</v>
      </c>
      <c r="F168" s="12">
        <f t="shared" si="2"/>
        <v>240</v>
      </c>
      <c r="G168" s="18"/>
    </row>
    <row r="169" ht="22.5" customHeight="1">
      <c r="A169" s="12" t="s">
        <v>740</v>
      </c>
      <c r="B169" s="12">
        <v>1.0</v>
      </c>
      <c r="C169" s="12">
        <f>IF($A169="", "", IFERROR(VLOOKUP($A169, Stock_New!$A:$M, 4, FALSE), ""))</f>
        <v>137.5</v>
      </c>
      <c r="D169" s="12">
        <f>IF($A169="", "", IFERROR(VLOOKUP($A169, Stock_New!$A:$M, 6, FALSE), ""))</f>
        <v>165</v>
      </c>
      <c r="E169" s="12">
        <f t="shared" si="1"/>
        <v>27.5</v>
      </c>
      <c r="F169" s="12">
        <f t="shared" si="2"/>
        <v>27.5</v>
      </c>
      <c r="G169" s="18"/>
    </row>
    <row r="170" ht="22.5" customHeight="1">
      <c r="A170" s="12" t="s">
        <v>372</v>
      </c>
      <c r="B170" s="12">
        <v>3.0</v>
      </c>
      <c r="C170" s="12">
        <f>IF($A170="", "", IFERROR(VLOOKUP($A170, Stock_New!$A:$M, 4, FALSE), ""))</f>
        <v>180</v>
      </c>
      <c r="D170" s="12">
        <f>IF($A170="", "", IFERROR(VLOOKUP($A170, Stock_New!$A:$M, 6, FALSE), ""))</f>
        <v>216</v>
      </c>
      <c r="E170" s="12">
        <f t="shared" si="1"/>
        <v>36</v>
      </c>
      <c r="F170" s="12">
        <f t="shared" si="2"/>
        <v>108</v>
      </c>
      <c r="G170" s="18"/>
    </row>
    <row r="171" ht="22.5" customHeight="1">
      <c r="A171" s="12" t="s">
        <v>726</v>
      </c>
      <c r="B171" s="12">
        <v>6.0</v>
      </c>
      <c r="C171" s="12">
        <f>IF($A171="", "", IFERROR(VLOOKUP($A171, Stock_New!$A:$M, 4, FALSE), ""))</f>
        <v>30</v>
      </c>
      <c r="D171" s="12">
        <f>IF($A171="", "", IFERROR(VLOOKUP($A171, Stock_New!$A:$M, 6, FALSE), ""))</f>
        <v>36</v>
      </c>
      <c r="E171" s="12">
        <f t="shared" si="1"/>
        <v>6</v>
      </c>
      <c r="F171" s="12">
        <f t="shared" si="2"/>
        <v>36</v>
      </c>
      <c r="G171" s="18"/>
    </row>
    <row r="172" ht="22.5" customHeight="1">
      <c r="A172" s="12" t="s">
        <v>753</v>
      </c>
      <c r="B172" s="12">
        <v>15.0</v>
      </c>
      <c r="C172" s="12">
        <f>IF($A172="", "", IFERROR(VLOOKUP($A172, Stock_New!$A:$M, 4, FALSE), ""))</f>
        <v>7.083333333</v>
      </c>
      <c r="D172" s="12">
        <f>IF($A172="", "", IFERROR(VLOOKUP($A172, Stock_New!$A:$M, 6, FALSE), ""))</f>
        <v>8.5</v>
      </c>
      <c r="E172" s="12">
        <f t="shared" si="1"/>
        <v>1.416666667</v>
      </c>
      <c r="F172" s="12">
        <f t="shared" si="2"/>
        <v>21.25</v>
      </c>
      <c r="G172" s="18"/>
    </row>
    <row r="173" ht="22.5" customHeight="1">
      <c r="A173" s="12" t="s">
        <v>756</v>
      </c>
      <c r="B173" s="12">
        <v>18.285714285714285</v>
      </c>
      <c r="C173" s="12">
        <f>IF($A173="", "", IFERROR(VLOOKUP($A173, Stock_New!$A:$M, 4, FALSE), ""))</f>
        <v>30</v>
      </c>
      <c r="D173" s="12">
        <f>IF($A173="", "", IFERROR(VLOOKUP($A173, Stock_New!$A:$M, 6, FALSE), ""))</f>
        <v>36</v>
      </c>
      <c r="E173" s="12">
        <f t="shared" si="1"/>
        <v>6</v>
      </c>
      <c r="F173" s="12">
        <f t="shared" si="2"/>
        <v>109.7142857</v>
      </c>
      <c r="G173" s="18"/>
    </row>
    <row r="174" ht="22.5" customHeight="1">
      <c r="A174" s="12" t="s">
        <v>326</v>
      </c>
      <c r="B174" s="12">
        <v>1.0</v>
      </c>
      <c r="C174" s="12">
        <f>IF($A174="", "", IFERROR(VLOOKUP($A174, Stock_New!$A:$M, 4, FALSE), ""))</f>
        <v>275</v>
      </c>
      <c r="D174" s="12">
        <f>IF($A174="", "", IFERROR(VLOOKUP($A174, Stock_New!$A:$M, 6, FALSE), ""))</f>
        <v>330</v>
      </c>
      <c r="E174" s="12">
        <f t="shared" si="1"/>
        <v>55</v>
      </c>
      <c r="F174" s="12">
        <f t="shared" si="2"/>
        <v>55</v>
      </c>
      <c r="G174" s="18"/>
    </row>
    <row r="175" ht="22.5" customHeight="1">
      <c r="A175" s="12" t="s">
        <v>265</v>
      </c>
      <c r="B175" s="12">
        <v>1.0</v>
      </c>
      <c r="C175" s="12">
        <f>IF($A175="", "", IFERROR(VLOOKUP($A175, Stock_New!$A:$M, 4, FALSE), ""))</f>
        <v>145</v>
      </c>
      <c r="D175" s="12">
        <f>IF($A175="", "", IFERROR(VLOOKUP($A175, Stock_New!$A:$M, 6, FALSE), ""))</f>
        <v>174</v>
      </c>
      <c r="E175" s="12">
        <f t="shared" si="1"/>
        <v>29</v>
      </c>
      <c r="F175" s="12">
        <f t="shared" si="2"/>
        <v>29</v>
      </c>
      <c r="G175" s="18"/>
    </row>
    <row r="176" ht="22.5" customHeight="1">
      <c r="A176" s="12" t="s">
        <v>764</v>
      </c>
      <c r="B176" s="12">
        <v>1.0</v>
      </c>
      <c r="C176" s="12">
        <f>IF($A176="", "", IFERROR(VLOOKUP($A176, Stock_New!$A:$M, 4, FALSE), ""))</f>
        <v>136.5</v>
      </c>
      <c r="D176" s="12">
        <f>IF($A176="", "", IFERROR(VLOOKUP($A176, Stock_New!$A:$M, 6, FALSE), ""))</f>
        <v>163.8</v>
      </c>
      <c r="E176" s="12">
        <f t="shared" si="1"/>
        <v>27.3</v>
      </c>
      <c r="F176" s="12">
        <f t="shared" si="2"/>
        <v>27.3</v>
      </c>
      <c r="G176" s="18"/>
    </row>
    <row r="177" ht="22.5" customHeight="1">
      <c r="A177" s="12" t="s">
        <v>748</v>
      </c>
      <c r="B177" s="12">
        <v>4.0</v>
      </c>
      <c r="C177" s="12">
        <f>IF($A177="", "", IFERROR(VLOOKUP($A177, Stock_New!$A:$M, 4, FALSE), ""))</f>
        <v>75</v>
      </c>
      <c r="D177" s="12">
        <f>IF($A177="", "", IFERROR(VLOOKUP($A177, Stock_New!$A:$M, 6, FALSE), ""))</f>
        <v>90</v>
      </c>
      <c r="E177" s="12">
        <f t="shared" si="1"/>
        <v>15</v>
      </c>
      <c r="F177" s="12">
        <f t="shared" si="2"/>
        <v>60</v>
      </c>
      <c r="G177" s="18"/>
    </row>
    <row r="178" ht="22.5" customHeight="1">
      <c r="A178" s="12" t="s">
        <v>418</v>
      </c>
      <c r="B178" s="12">
        <v>2.0</v>
      </c>
      <c r="C178" s="12">
        <f>IF($A178="", "", IFERROR(VLOOKUP($A178, Stock_New!$A:$M, 4, FALSE), ""))</f>
        <v>185</v>
      </c>
      <c r="D178" s="12">
        <f>IF($A178="", "", IFERROR(VLOOKUP($A178, Stock_New!$A:$M, 6, FALSE), ""))</f>
        <v>222</v>
      </c>
      <c r="E178" s="12">
        <f t="shared" si="1"/>
        <v>37</v>
      </c>
      <c r="F178" s="12">
        <f t="shared" si="2"/>
        <v>74</v>
      </c>
      <c r="G178" s="18"/>
    </row>
    <row r="179" ht="22.5" customHeight="1">
      <c r="A179" s="12" t="s">
        <v>415</v>
      </c>
      <c r="B179" s="12">
        <v>4.0</v>
      </c>
      <c r="C179" s="12">
        <f>IF($A179="", "", IFERROR(VLOOKUP($A179, Stock_New!$A:$M, 4, FALSE), ""))</f>
        <v>225</v>
      </c>
      <c r="D179" s="12">
        <f>IF($A179="", "", IFERROR(VLOOKUP($A179, Stock_New!$A:$M, 6, FALSE), ""))</f>
        <v>270</v>
      </c>
      <c r="E179" s="12">
        <f t="shared" si="1"/>
        <v>45</v>
      </c>
      <c r="F179" s="12">
        <f t="shared" si="2"/>
        <v>180</v>
      </c>
      <c r="G179" s="18"/>
    </row>
    <row r="180" ht="22.5" customHeight="1">
      <c r="A180" s="12" t="s">
        <v>775</v>
      </c>
      <c r="B180" s="12">
        <v>3.0</v>
      </c>
      <c r="C180" s="12">
        <f>IF($A180="", "", IFERROR(VLOOKUP($A180, Stock_New!$A:$M, 4, FALSE), ""))</f>
        <v>94</v>
      </c>
      <c r="D180" s="12">
        <f>IF($A180="", "", IFERROR(VLOOKUP($A180, Stock_New!$A:$M, 6, FALSE), ""))</f>
        <v>112.8</v>
      </c>
      <c r="E180" s="12">
        <f t="shared" si="1"/>
        <v>18.8</v>
      </c>
      <c r="F180" s="12">
        <f t="shared" si="2"/>
        <v>56.4</v>
      </c>
      <c r="G180" s="18"/>
    </row>
    <row r="181" ht="22.5" customHeight="1">
      <c r="A181" s="12" t="s">
        <v>778</v>
      </c>
      <c r="B181" s="12">
        <v>1.0</v>
      </c>
      <c r="C181" s="12">
        <f>IF($A181="", "", IFERROR(VLOOKUP($A181, Stock_New!$A:$M, 4, FALSE), ""))</f>
        <v>100</v>
      </c>
      <c r="D181" s="12">
        <f>IF($A181="", "", IFERROR(VLOOKUP($A181, Stock_New!$A:$M, 6, FALSE), ""))</f>
        <v>120</v>
      </c>
      <c r="E181" s="12">
        <f t="shared" si="1"/>
        <v>20</v>
      </c>
      <c r="F181" s="12">
        <f t="shared" si="2"/>
        <v>20</v>
      </c>
      <c r="G181" s="18"/>
    </row>
    <row r="182" ht="22.5" customHeight="1">
      <c r="A182" s="12" t="s">
        <v>220</v>
      </c>
      <c r="B182" s="12">
        <v>13.666666666666668</v>
      </c>
      <c r="C182" s="12">
        <f>IF($A182="", "", IFERROR(VLOOKUP($A182, Stock_New!$A:$M, 4, FALSE), ""))</f>
        <v>85</v>
      </c>
      <c r="D182" s="12">
        <f>IF($A182="", "", IFERROR(VLOOKUP($A182, Stock_New!$A:$M, 6, FALSE), ""))</f>
        <v>102</v>
      </c>
      <c r="E182" s="12">
        <f t="shared" si="1"/>
        <v>17</v>
      </c>
      <c r="F182" s="12">
        <f t="shared" si="2"/>
        <v>232.3333333</v>
      </c>
      <c r="G182" s="18"/>
    </row>
    <row r="183" ht="22.5" customHeight="1">
      <c r="A183" s="12" t="s">
        <v>784</v>
      </c>
      <c r="B183" s="12">
        <v>1.0</v>
      </c>
      <c r="C183" s="12">
        <f>IF($A183="", "", IFERROR(VLOOKUP($A183, Stock_New!$A:$M, 4, FALSE), ""))</f>
        <v>63</v>
      </c>
      <c r="D183" s="12">
        <f>IF($A183="", "", IFERROR(VLOOKUP($A183, Stock_New!$A:$M, 6, FALSE), ""))</f>
        <v>75.6</v>
      </c>
      <c r="E183" s="12">
        <f t="shared" si="1"/>
        <v>12.6</v>
      </c>
      <c r="F183" s="12">
        <f t="shared" si="2"/>
        <v>12.6</v>
      </c>
      <c r="G183" s="18"/>
    </row>
    <row r="184" ht="22.5" customHeight="1">
      <c r="A184" s="12" t="s">
        <v>787</v>
      </c>
      <c r="B184" s="12">
        <v>3.0</v>
      </c>
      <c r="C184" s="12">
        <f>IF($A184="", "", IFERROR(VLOOKUP($A184, Stock_New!$A:$M, 4, FALSE), ""))</f>
        <v>135</v>
      </c>
      <c r="D184" s="12">
        <f>IF($A184="", "", IFERROR(VLOOKUP($A184, Stock_New!$A:$M, 6, FALSE), ""))</f>
        <v>162</v>
      </c>
      <c r="E184" s="12">
        <f t="shared" si="1"/>
        <v>27</v>
      </c>
      <c r="F184" s="12">
        <f t="shared" si="2"/>
        <v>81</v>
      </c>
      <c r="G184" s="18"/>
    </row>
    <row r="185" ht="22.5" customHeight="1">
      <c r="A185" s="12" t="s">
        <v>790</v>
      </c>
      <c r="B185" s="12">
        <v>1.0</v>
      </c>
      <c r="C185" s="12">
        <f>IF($A185="", "", IFERROR(VLOOKUP($A185, Stock_New!$A:$M, 4, FALSE), ""))</f>
        <v>135</v>
      </c>
      <c r="D185" s="12">
        <f>IF($A185="", "", IFERROR(VLOOKUP($A185, Stock_New!$A:$M, 6, FALSE), ""))</f>
        <v>162</v>
      </c>
      <c r="E185" s="12">
        <f t="shared" si="1"/>
        <v>27</v>
      </c>
      <c r="F185" s="12">
        <f t="shared" si="2"/>
        <v>27</v>
      </c>
      <c r="G185" s="18"/>
    </row>
    <row r="186" ht="22.5" customHeight="1">
      <c r="A186" s="12" t="s">
        <v>793</v>
      </c>
      <c r="B186" s="12">
        <v>2.0</v>
      </c>
      <c r="C186" s="12">
        <f>IF($A186="", "", IFERROR(VLOOKUP($A186, Stock_New!$A:$M, 4, FALSE), ""))</f>
        <v>126</v>
      </c>
      <c r="D186" s="12">
        <f>IF($A186="", "", IFERROR(VLOOKUP($A186, Stock_New!$A:$M, 6, FALSE), ""))</f>
        <v>151.2</v>
      </c>
      <c r="E186" s="12">
        <f t="shared" si="1"/>
        <v>25.2</v>
      </c>
      <c r="F186" s="12">
        <f t="shared" si="2"/>
        <v>50.4</v>
      </c>
      <c r="G186" s="18"/>
    </row>
    <row r="187" ht="22.5" customHeight="1">
      <c r="A187" s="12" t="s">
        <v>522</v>
      </c>
      <c r="B187" s="12">
        <v>1.0</v>
      </c>
      <c r="C187" s="12">
        <f>IF($A187="", "", IFERROR(VLOOKUP($A187, Stock_New!$A:$M, 4, FALSE), ""))</f>
        <v>180</v>
      </c>
      <c r="D187" s="12">
        <f>IF($A187="", "", IFERROR(VLOOKUP($A187, Stock_New!$A:$M, 6, FALSE), ""))</f>
        <v>216</v>
      </c>
      <c r="E187" s="12">
        <f t="shared" si="1"/>
        <v>36</v>
      </c>
      <c r="F187" s="12">
        <f t="shared" si="2"/>
        <v>36</v>
      </c>
      <c r="G187" s="18"/>
    </row>
    <row r="188" ht="22.5" customHeight="1">
      <c r="A188" s="12" t="s">
        <v>714</v>
      </c>
      <c r="B188" s="12">
        <v>1.0</v>
      </c>
      <c r="C188" s="12">
        <f>IF($A188="", "", IFERROR(VLOOKUP($A188, Stock_New!$A:$M, 4, FALSE), ""))</f>
        <v>154</v>
      </c>
      <c r="D188" s="12">
        <f>IF($A188="", "", IFERROR(VLOOKUP($A188, Stock_New!$A:$M, 6, FALSE), ""))</f>
        <v>184.8</v>
      </c>
      <c r="E188" s="12">
        <f t="shared" si="1"/>
        <v>30.8</v>
      </c>
      <c r="F188" s="12">
        <f t="shared" si="2"/>
        <v>30.8</v>
      </c>
      <c r="G188" s="18"/>
    </row>
    <row r="189" ht="22.5" customHeight="1">
      <c r="A189" s="12" t="s">
        <v>800</v>
      </c>
      <c r="B189" s="12">
        <v>5.0</v>
      </c>
      <c r="C189" s="12">
        <f>IF($A189="", "", IFERROR(VLOOKUP($A189, Stock_New!$A:$M, 4, FALSE), ""))</f>
        <v>11.25</v>
      </c>
      <c r="D189" s="12">
        <f>IF($A189="", "", IFERROR(VLOOKUP($A189, Stock_New!$A:$M, 6, FALSE), ""))</f>
        <v>13.5</v>
      </c>
      <c r="E189" s="12">
        <f t="shared" si="1"/>
        <v>2.25</v>
      </c>
      <c r="F189" s="12">
        <f t="shared" si="2"/>
        <v>11.25</v>
      </c>
      <c r="G189" s="18"/>
    </row>
    <row r="190" ht="22.5" customHeight="1">
      <c r="A190" s="12" t="s">
        <v>802</v>
      </c>
      <c r="B190" s="12">
        <v>7.000000000000001</v>
      </c>
      <c r="C190" s="12">
        <f>IF($A190="", "", IFERROR(VLOOKUP($A190, Stock_New!$A:$M, 4, FALSE), ""))</f>
        <v>53.33</v>
      </c>
      <c r="D190" s="12">
        <f>IF($A190="", "", IFERROR(VLOOKUP($A190, Stock_New!$A:$M, 6, FALSE), ""))</f>
        <v>64</v>
      </c>
      <c r="E190" s="12">
        <f t="shared" si="1"/>
        <v>10.67</v>
      </c>
      <c r="F190" s="12">
        <f t="shared" si="2"/>
        <v>74.69</v>
      </c>
      <c r="G190" s="18"/>
    </row>
    <row r="191" ht="22.5" customHeight="1">
      <c r="A191" s="12" t="s">
        <v>808</v>
      </c>
      <c r="B191" s="12">
        <v>2.0</v>
      </c>
      <c r="C191" s="12">
        <f>IF($A191="", "", IFERROR(VLOOKUP($A191, Stock_New!$A:$M, 4, FALSE), ""))</f>
        <v>63</v>
      </c>
      <c r="D191" s="12">
        <f>IF($A191="", "", IFERROR(VLOOKUP($A191, Stock_New!$A:$M, 6, FALSE), ""))</f>
        <v>75.6</v>
      </c>
      <c r="E191" s="12">
        <f t="shared" si="1"/>
        <v>12.6</v>
      </c>
      <c r="F191" s="12">
        <f t="shared" si="2"/>
        <v>25.2</v>
      </c>
      <c r="G191" s="18"/>
    </row>
    <row r="192" ht="22.5" customHeight="1">
      <c r="A192" s="12" t="s">
        <v>653</v>
      </c>
      <c r="B192" s="12">
        <v>3.0</v>
      </c>
      <c r="C192" s="12">
        <f>IF($A192="", "", IFERROR(VLOOKUP($A192, Stock_New!$A:$M, 4, FALSE), ""))</f>
        <v>165.5</v>
      </c>
      <c r="D192" s="12">
        <f>IF($A192="", "", IFERROR(VLOOKUP($A192, Stock_New!$A:$M, 6, FALSE), ""))</f>
        <v>198.6</v>
      </c>
      <c r="E192" s="12">
        <f t="shared" si="1"/>
        <v>33.1</v>
      </c>
      <c r="F192" s="12">
        <f t="shared" si="2"/>
        <v>99.3</v>
      </c>
      <c r="G192" s="18"/>
    </row>
    <row r="193" ht="22.5" customHeight="1">
      <c r="A193" s="12" t="s">
        <v>812</v>
      </c>
      <c r="B193" s="12">
        <v>80.0</v>
      </c>
      <c r="C193" s="12" t="str">
        <f>IF($A193="", "", IFERROR(VLOOKUP($A193, Stock_New!$A:$M, 4, FALSE), ""))</f>
        <v/>
      </c>
      <c r="D193" s="12" t="str">
        <f>IF($A193="", "", IFERROR(VLOOKUP($A193, Stock_New!$A:$M, 6, FALSE), ""))</f>
        <v/>
      </c>
      <c r="E193" s="12">
        <f t="shared" si="1"/>
        <v>0</v>
      </c>
      <c r="F193" s="12">
        <f t="shared" si="2"/>
        <v>0</v>
      </c>
      <c r="G193" s="18"/>
    </row>
    <row r="194" ht="22.5" customHeight="1">
      <c r="A194" s="12" t="s">
        <v>815</v>
      </c>
      <c r="B194" s="12">
        <v>1.0</v>
      </c>
      <c r="C194" s="12">
        <f>IF($A194="", "", IFERROR(VLOOKUP($A194, Stock_New!$A:$M, 4, FALSE), ""))</f>
        <v>137</v>
      </c>
      <c r="D194" s="12">
        <f>IF($A194="", "", IFERROR(VLOOKUP($A194, Stock_New!$A:$M, 6, FALSE), ""))</f>
        <v>164.4</v>
      </c>
      <c r="E194" s="12">
        <f t="shared" si="1"/>
        <v>27.4</v>
      </c>
      <c r="F194" s="12">
        <f t="shared" si="2"/>
        <v>27.4</v>
      </c>
      <c r="G194" s="18"/>
    </row>
    <row r="195" ht="22.5" customHeight="1">
      <c r="A195" s="12" t="s">
        <v>801</v>
      </c>
      <c r="B195" s="12">
        <v>2.0</v>
      </c>
      <c r="C195" s="12">
        <f>IF($A195="", "", IFERROR(VLOOKUP($A195, Stock_New!$A:$M, 4, FALSE), ""))</f>
        <v>145</v>
      </c>
      <c r="D195" s="12">
        <f>IF($A195="", "", IFERROR(VLOOKUP($A195, Stock_New!$A:$M, 6, FALSE), ""))</f>
        <v>174</v>
      </c>
      <c r="E195" s="12">
        <f t="shared" si="1"/>
        <v>29</v>
      </c>
      <c r="F195" s="12">
        <f t="shared" si="2"/>
        <v>58</v>
      </c>
      <c r="G195" s="18"/>
    </row>
    <row r="196" ht="22.5" customHeight="1">
      <c r="A196" s="12" t="s">
        <v>820</v>
      </c>
      <c r="B196" s="12">
        <v>1.0</v>
      </c>
      <c r="C196" s="12">
        <f>IF($A196="", "", IFERROR(VLOOKUP($A196, Stock_New!$A:$M, 4, FALSE), ""))</f>
        <v>126</v>
      </c>
      <c r="D196" s="12">
        <f>IF($A196="", "", IFERROR(VLOOKUP($A196, Stock_New!$A:$M, 6, FALSE), ""))</f>
        <v>151.2</v>
      </c>
      <c r="E196" s="12">
        <f t="shared" si="1"/>
        <v>25.2</v>
      </c>
      <c r="F196" s="12">
        <f t="shared" si="2"/>
        <v>25.2</v>
      </c>
      <c r="G196" s="18"/>
    </row>
    <row r="197" ht="22.5" customHeight="1">
      <c r="A197" s="12" t="s">
        <v>816</v>
      </c>
      <c r="B197" s="12">
        <v>2.0</v>
      </c>
      <c r="C197" s="12">
        <f>IF($A197="", "", IFERROR(VLOOKUP($A197, Stock_New!$A:$M, 4, FALSE), ""))</f>
        <v>141</v>
      </c>
      <c r="D197" s="12">
        <f>IF($A197="", "", IFERROR(VLOOKUP($A197, Stock_New!$A:$M, 6, FALSE), ""))</f>
        <v>169.2</v>
      </c>
      <c r="E197" s="12">
        <f t="shared" si="1"/>
        <v>28.2</v>
      </c>
      <c r="F197" s="12">
        <f t="shared" si="2"/>
        <v>56.4</v>
      </c>
      <c r="G197" s="18"/>
    </row>
    <row r="198" ht="22.5" customHeight="1">
      <c r="A198" s="12" t="s">
        <v>828</v>
      </c>
      <c r="B198" s="12">
        <v>1.0</v>
      </c>
      <c r="C198" s="12">
        <f>IF($A198="", "", IFERROR(VLOOKUP($A198, Stock_New!$A:$M, 4, FALSE), ""))</f>
        <v>130</v>
      </c>
      <c r="D198" s="12">
        <f>IF($A198="", "", IFERROR(VLOOKUP($A198, Stock_New!$A:$M, 6, FALSE), ""))</f>
        <v>156</v>
      </c>
      <c r="E198" s="12">
        <f t="shared" si="1"/>
        <v>26</v>
      </c>
      <c r="F198" s="12">
        <f t="shared" si="2"/>
        <v>26</v>
      </c>
      <c r="G198" s="18"/>
    </row>
    <row r="199" ht="22.5" customHeight="1">
      <c r="A199" s="12" t="s">
        <v>325</v>
      </c>
      <c r="B199" s="12">
        <v>3.0</v>
      </c>
      <c r="C199" s="12">
        <f>IF($A199="", "", IFERROR(VLOOKUP($A199, Stock_New!$A:$M, 4, FALSE), ""))</f>
        <v>95</v>
      </c>
      <c r="D199" s="12">
        <f>IF($A199="", "", IFERROR(VLOOKUP($A199, Stock_New!$A:$M, 6, FALSE), ""))</f>
        <v>114</v>
      </c>
      <c r="E199" s="12">
        <f t="shared" si="1"/>
        <v>19</v>
      </c>
      <c r="F199" s="12">
        <f t="shared" si="2"/>
        <v>57</v>
      </c>
      <c r="G199" s="18"/>
    </row>
    <row r="200" ht="22.5" customHeight="1">
      <c r="A200" s="12" t="s">
        <v>500</v>
      </c>
      <c r="B200" s="12">
        <v>5.222222222222222</v>
      </c>
      <c r="C200" s="12">
        <f>IF($A200="", "", IFERROR(VLOOKUP($A200, Stock_New!$A:$M, 4, FALSE), ""))</f>
        <v>125</v>
      </c>
      <c r="D200" s="12">
        <f>IF($A200="", "", IFERROR(VLOOKUP($A200, Stock_New!$A:$M, 6, FALSE), ""))</f>
        <v>150</v>
      </c>
      <c r="E200" s="12">
        <f t="shared" si="1"/>
        <v>25</v>
      </c>
      <c r="F200" s="12">
        <f t="shared" si="2"/>
        <v>130.5555556</v>
      </c>
      <c r="G200" s="18"/>
    </row>
    <row r="201" ht="22.5" customHeight="1">
      <c r="A201" s="12" t="s">
        <v>837</v>
      </c>
      <c r="B201" s="12">
        <v>7.0</v>
      </c>
      <c r="C201" s="12">
        <f>IF($A201="", "", IFERROR(VLOOKUP($A201, Stock_New!$A:$M, 4, FALSE), ""))</f>
        <v>17</v>
      </c>
      <c r="D201" s="12">
        <f>IF($A201="", "", IFERROR(VLOOKUP($A201, Stock_New!$A:$M, 6, FALSE), ""))</f>
        <v>20.4</v>
      </c>
      <c r="E201" s="12">
        <f t="shared" si="1"/>
        <v>3.4</v>
      </c>
      <c r="F201" s="12">
        <f t="shared" si="2"/>
        <v>23.8</v>
      </c>
      <c r="G201" s="18"/>
    </row>
    <row r="202" ht="22.5" customHeight="1">
      <c r="A202" s="12" t="s">
        <v>841</v>
      </c>
      <c r="B202" s="12">
        <v>4.0</v>
      </c>
      <c r="C202" s="12">
        <f>IF($A202="", "", IFERROR(VLOOKUP($A202, Stock_New!$A:$M, 4, FALSE), ""))</f>
        <v>15</v>
      </c>
      <c r="D202" s="12">
        <f>IF($A202="", "", IFERROR(VLOOKUP($A202, Stock_New!$A:$M, 6, FALSE), ""))</f>
        <v>18</v>
      </c>
      <c r="E202" s="12">
        <f t="shared" si="1"/>
        <v>3</v>
      </c>
      <c r="F202" s="12">
        <f t="shared" si="2"/>
        <v>12</v>
      </c>
      <c r="G202" s="18"/>
    </row>
    <row r="203" ht="22.5" customHeight="1">
      <c r="A203" s="12" t="s">
        <v>272</v>
      </c>
      <c r="B203" s="12">
        <v>1.0</v>
      </c>
      <c r="C203" s="12">
        <f>IF($A203="", "", IFERROR(VLOOKUP($A203, Stock_New!$A:$M, 4, FALSE), ""))</f>
        <v>300</v>
      </c>
      <c r="D203" s="12">
        <f>IF($A203="", "", IFERROR(VLOOKUP($A203, Stock_New!$A:$M, 6, FALSE), ""))</f>
        <v>360</v>
      </c>
      <c r="E203" s="12">
        <f t="shared" si="1"/>
        <v>60</v>
      </c>
      <c r="F203" s="12">
        <f t="shared" si="2"/>
        <v>60</v>
      </c>
      <c r="G203" s="18"/>
    </row>
    <row r="204" ht="22.5" customHeight="1">
      <c r="A204" s="12" t="s">
        <v>845</v>
      </c>
      <c r="B204" s="12">
        <v>1.0</v>
      </c>
      <c r="C204" s="12">
        <f>IF($A204="", "", IFERROR(VLOOKUP($A204, Stock_New!$A:$M, 4, FALSE), ""))</f>
        <v>115</v>
      </c>
      <c r="D204" s="12">
        <f>IF($A204="", "", IFERROR(VLOOKUP($A204, Stock_New!$A:$M, 6, FALSE), ""))</f>
        <v>138</v>
      </c>
      <c r="E204" s="12">
        <f t="shared" si="1"/>
        <v>23</v>
      </c>
      <c r="F204" s="12">
        <f t="shared" si="2"/>
        <v>23</v>
      </c>
      <c r="G204" s="18"/>
    </row>
    <row r="205" ht="22.5" customHeight="1">
      <c r="A205" s="12" t="s">
        <v>848</v>
      </c>
      <c r="B205" s="12">
        <v>2.0</v>
      </c>
      <c r="C205" s="12" t="str">
        <f>IF($A205="", "", IFERROR(VLOOKUP($A205, Stock_New!$A:$M, 4, FALSE), ""))</f>
        <v/>
      </c>
      <c r="D205" s="12" t="str">
        <f>IF($A205="", "", IFERROR(VLOOKUP($A205, Stock_New!$A:$M, 6, FALSE), ""))</f>
        <v/>
      </c>
      <c r="E205" s="12">
        <f t="shared" si="1"/>
        <v>0</v>
      </c>
      <c r="F205" s="12">
        <f t="shared" si="2"/>
        <v>0</v>
      </c>
      <c r="G205" s="18"/>
    </row>
    <row r="206" ht="22.5" customHeight="1">
      <c r="A206" s="12" t="s">
        <v>852</v>
      </c>
      <c r="B206" s="12">
        <v>8.0</v>
      </c>
      <c r="C206" s="12" t="str">
        <f>IF($A206="", "", IFERROR(VLOOKUP($A206, Stock_New!$A:$M, 4, FALSE), ""))</f>
        <v/>
      </c>
      <c r="D206" s="12" t="str">
        <f>IF($A206="", "", IFERROR(VLOOKUP($A206, Stock_New!$A:$M, 6, FALSE), ""))</f>
        <v/>
      </c>
      <c r="E206" s="12">
        <f t="shared" si="1"/>
        <v>0</v>
      </c>
      <c r="F206" s="12">
        <f t="shared" si="2"/>
        <v>0</v>
      </c>
      <c r="G206" s="18"/>
    </row>
    <row r="207" ht="22.5" customHeight="1">
      <c r="A207" s="12" t="s">
        <v>856</v>
      </c>
      <c r="B207" s="12">
        <v>43.0</v>
      </c>
      <c r="C207" s="12">
        <f>IF($A207="", "", IFERROR(VLOOKUP($A207, Stock_New!$A:$M, 4, FALSE), ""))</f>
        <v>4.58</v>
      </c>
      <c r="D207" s="12">
        <f>IF($A207="", "", IFERROR(VLOOKUP($A207, Stock_New!$A:$M, 6, FALSE), ""))</f>
        <v>5.5</v>
      </c>
      <c r="E207" s="12">
        <f t="shared" si="1"/>
        <v>0.92</v>
      </c>
      <c r="F207" s="12">
        <f t="shared" si="2"/>
        <v>39.56</v>
      </c>
      <c r="G207" s="18"/>
    </row>
    <row r="208" ht="22.5" customHeight="1">
      <c r="A208" s="12" t="s">
        <v>858</v>
      </c>
      <c r="B208" s="12">
        <v>37.0</v>
      </c>
      <c r="C208" s="12">
        <f>IF($A208="", "", IFERROR(VLOOKUP($A208, Stock_New!$A:$M, 4, FALSE), ""))</f>
        <v>10.8452381</v>
      </c>
      <c r="D208" s="12">
        <f>IF($A208="", "", IFERROR(VLOOKUP($A208, Stock_New!$A:$M, 6, FALSE), ""))</f>
        <v>13.01428571</v>
      </c>
      <c r="E208" s="12">
        <f t="shared" si="1"/>
        <v>2.169047619</v>
      </c>
      <c r="F208" s="12">
        <f t="shared" si="2"/>
        <v>80.2547619</v>
      </c>
      <c r="G208" s="18"/>
    </row>
    <row r="209" ht="22.5" customHeight="1">
      <c r="A209" s="12" t="s">
        <v>861</v>
      </c>
      <c r="B209" s="12">
        <v>6.0</v>
      </c>
      <c r="C209" s="12">
        <f>IF($A209="", "", IFERROR(VLOOKUP($A209, Stock_New!$A:$M, 4, FALSE), ""))</f>
        <v>23.33</v>
      </c>
      <c r="D209" s="12">
        <f>IF($A209="", "", IFERROR(VLOOKUP($A209, Stock_New!$A:$M, 6, FALSE), ""))</f>
        <v>28</v>
      </c>
      <c r="E209" s="12">
        <f t="shared" si="1"/>
        <v>4.67</v>
      </c>
      <c r="F209" s="12">
        <f t="shared" si="2"/>
        <v>28.02</v>
      </c>
      <c r="G209" s="18"/>
    </row>
    <row r="210" ht="22.5" customHeight="1">
      <c r="A210" s="12" t="s">
        <v>863</v>
      </c>
      <c r="B210" s="12">
        <v>1.0</v>
      </c>
      <c r="C210" s="12">
        <f>IF($A210="", "", IFERROR(VLOOKUP($A210, Stock_New!$A:$M, 4, FALSE), ""))</f>
        <v>30</v>
      </c>
      <c r="D210" s="12">
        <f>IF($A210="", "", IFERROR(VLOOKUP($A210, Stock_New!$A:$M, 6, FALSE), ""))</f>
        <v>36</v>
      </c>
      <c r="E210" s="12">
        <f t="shared" si="1"/>
        <v>6</v>
      </c>
      <c r="F210" s="12">
        <f t="shared" si="2"/>
        <v>6</v>
      </c>
      <c r="G210" s="18"/>
    </row>
    <row r="211" ht="22.5" customHeight="1">
      <c r="A211" s="12" t="s">
        <v>865</v>
      </c>
      <c r="B211" s="12">
        <v>1.0</v>
      </c>
      <c r="C211" s="12" t="str">
        <f>IF($A211="", "", IFERROR(VLOOKUP($A211, Stock_New!$A:$M, 4, FALSE), ""))</f>
        <v/>
      </c>
      <c r="D211" s="12" t="str">
        <f>IF($A211="", "", IFERROR(VLOOKUP($A211, Stock_New!$A:$M, 6, FALSE), ""))</f>
        <v/>
      </c>
      <c r="E211" s="12">
        <f t="shared" si="1"/>
        <v>0</v>
      </c>
      <c r="F211" s="12">
        <f t="shared" si="2"/>
        <v>0</v>
      </c>
      <c r="G211" s="18"/>
    </row>
    <row r="212" ht="22.5" customHeight="1">
      <c r="A212" s="12" t="s">
        <v>586</v>
      </c>
      <c r="B212" s="12">
        <v>1.0</v>
      </c>
      <c r="C212" s="12">
        <f>IF($A212="", "", IFERROR(VLOOKUP($A212, Stock_New!$A:$M, 4, FALSE), ""))</f>
        <v>34</v>
      </c>
      <c r="D212" s="12">
        <f>IF($A212="", "", IFERROR(VLOOKUP($A212, Stock_New!$A:$M, 6, FALSE), ""))</f>
        <v>40.8</v>
      </c>
      <c r="E212" s="12">
        <f t="shared" si="1"/>
        <v>6.8</v>
      </c>
      <c r="F212" s="12">
        <f t="shared" si="2"/>
        <v>6.8</v>
      </c>
      <c r="G212" s="18"/>
    </row>
    <row r="213" ht="22.5" customHeight="1">
      <c r="A213" s="12" t="s">
        <v>871</v>
      </c>
      <c r="B213" s="12">
        <v>4.0</v>
      </c>
      <c r="C213" s="12">
        <f>IF($A213="", "", IFERROR(VLOOKUP($A213, Stock_New!$A:$M, 4, FALSE), ""))</f>
        <v>93</v>
      </c>
      <c r="D213" s="12">
        <f>IF($A213="", "", IFERROR(VLOOKUP($A213, Stock_New!$A:$M, 6, FALSE), ""))</f>
        <v>111.6</v>
      </c>
      <c r="E213" s="12">
        <f t="shared" si="1"/>
        <v>18.6</v>
      </c>
      <c r="F213" s="12">
        <f t="shared" si="2"/>
        <v>74.4</v>
      </c>
      <c r="G213" s="18"/>
    </row>
    <row r="214" ht="22.5" customHeight="1">
      <c r="A214" s="12" t="s">
        <v>788</v>
      </c>
      <c r="B214" s="12">
        <v>6.0</v>
      </c>
      <c r="C214" s="12">
        <f>IF($A214="", "", IFERROR(VLOOKUP($A214, Stock_New!$A:$M, 4, FALSE), ""))</f>
        <v>88.75</v>
      </c>
      <c r="D214" s="12">
        <f>IF($A214="", "", IFERROR(VLOOKUP($A214, Stock_New!$A:$M, 6, FALSE), ""))</f>
        <v>106.5</v>
      </c>
      <c r="E214" s="12">
        <f t="shared" si="1"/>
        <v>17.75</v>
      </c>
      <c r="F214" s="12">
        <f t="shared" si="2"/>
        <v>106.5</v>
      </c>
      <c r="G214" s="18"/>
    </row>
    <row r="215" ht="22.5" customHeight="1">
      <c r="A215" s="12" t="s">
        <v>693</v>
      </c>
      <c r="B215" s="12">
        <v>4.0</v>
      </c>
      <c r="C215" s="12">
        <f>IF($A215="", "", IFERROR(VLOOKUP($A215, Stock_New!$A:$M, 4, FALSE), ""))</f>
        <v>160</v>
      </c>
      <c r="D215" s="12">
        <f>IF($A215="", "", IFERROR(VLOOKUP($A215, Stock_New!$A:$M, 6, FALSE), ""))</f>
        <v>192</v>
      </c>
      <c r="E215" s="12">
        <f t="shared" si="1"/>
        <v>32</v>
      </c>
      <c r="F215" s="12">
        <f t="shared" si="2"/>
        <v>128</v>
      </c>
      <c r="G215" s="18"/>
    </row>
    <row r="216" ht="22.5" customHeight="1">
      <c r="A216" s="12" t="s">
        <v>879</v>
      </c>
      <c r="B216" s="12">
        <v>5.0</v>
      </c>
      <c r="C216" s="12">
        <f>IF($A216="", "", IFERROR(VLOOKUP($A216, Stock_New!$A:$M, 4, FALSE), ""))</f>
        <v>3.25</v>
      </c>
      <c r="D216" s="12">
        <f>IF($A216="", "", IFERROR(VLOOKUP($A216, Stock_New!$A:$M, 6, FALSE), ""))</f>
        <v>3.9</v>
      </c>
      <c r="E216" s="12">
        <f t="shared" si="1"/>
        <v>0.65</v>
      </c>
      <c r="F216" s="12">
        <f t="shared" si="2"/>
        <v>3.25</v>
      </c>
      <c r="G216" s="18"/>
    </row>
    <row r="217" ht="22.5" customHeight="1">
      <c r="A217" s="12" t="s">
        <v>882</v>
      </c>
      <c r="B217" s="12">
        <v>3.0</v>
      </c>
      <c r="C217" s="12">
        <f>IF($A217="", "", IFERROR(VLOOKUP($A217, Stock_New!$A:$M, 4, FALSE), ""))</f>
        <v>12.5</v>
      </c>
      <c r="D217" s="12">
        <f>IF($A217="", "", IFERROR(VLOOKUP($A217, Stock_New!$A:$M, 6, FALSE), ""))</f>
        <v>15</v>
      </c>
      <c r="E217" s="12">
        <f t="shared" si="1"/>
        <v>2.5</v>
      </c>
      <c r="F217" s="12">
        <f t="shared" si="2"/>
        <v>7.5</v>
      </c>
      <c r="G217" s="18"/>
    </row>
    <row r="218" ht="22.5" customHeight="1">
      <c r="A218" s="12" t="s">
        <v>885</v>
      </c>
      <c r="B218" s="12">
        <v>6.0</v>
      </c>
      <c r="C218" s="12">
        <f>IF($A218="", "", IFERROR(VLOOKUP($A218, Stock_New!$A:$M, 4, FALSE), ""))</f>
        <v>135</v>
      </c>
      <c r="D218" s="12">
        <f>IF($A218="", "", IFERROR(VLOOKUP($A218, Stock_New!$A:$M, 6, FALSE), ""))</f>
        <v>162</v>
      </c>
      <c r="E218" s="12">
        <f t="shared" si="1"/>
        <v>27</v>
      </c>
      <c r="F218" s="12">
        <f t="shared" si="2"/>
        <v>162</v>
      </c>
      <c r="G218" s="18"/>
    </row>
    <row r="219" ht="22.5" customHeight="1">
      <c r="A219" s="12" t="s">
        <v>888</v>
      </c>
      <c r="B219" s="12">
        <v>2.0</v>
      </c>
      <c r="C219" s="12">
        <f>IF($A219="", "", IFERROR(VLOOKUP($A219, Stock_New!$A:$M, 4, FALSE), ""))</f>
        <v>129</v>
      </c>
      <c r="D219" s="12">
        <f>IF($A219="", "", IFERROR(VLOOKUP($A219, Stock_New!$A:$M, 6, FALSE), ""))</f>
        <v>154.8</v>
      </c>
      <c r="E219" s="12">
        <f t="shared" si="1"/>
        <v>25.8</v>
      </c>
      <c r="F219" s="12">
        <f t="shared" si="2"/>
        <v>51.6</v>
      </c>
      <c r="G219" s="18"/>
    </row>
    <row r="220" ht="22.5" customHeight="1">
      <c r="A220" s="12" t="s">
        <v>761</v>
      </c>
      <c r="B220" s="12">
        <v>1.0</v>
      </c>
      <c r="C220" s="12">
        <f>IF($A220="", "", IFERROR(VLOOKUP($A220, Stock_New!$A:$M, 4, FALSE), ""))</f>
        <v>150</v>
      </c>
      <c r="D220" s="12">
        <f>IF($A220="", "", IFERROR(VLOOKUP($A220, Stock_New!$A:$M, 6, FALSE), ""))</f>
        <v>180</v>
      </c>
      <c r="E220" s="12">
        <f t="shared" si="1"/>
        <v>30</v>
      </c>
      <c r="F220" s="12">
        <f t="shared" si="2"/>
        <v>30</v>
      </c>
      <c r="G220" s="18"/>
    </row>
    <row r="221" ht="22.5" customHeight="1">
      <c r="A221" s="12" t="s">
        <v>323</v>
      </c>
      <c r="B221" s="12">
        <v>1.0</v>
      </c>
      <c r="C221" s="12">
        <f>IF($A221="", "", IFERROR(VLOOKUP($A221, Stock_New!$A:$M, 4, FALSE), ""))</f>
        <v>275</v>
      </c>
      <c r="D221" s="12">
        <f>IF($A221="", "", IFERROR(VLOOKUP($A221, Stock_New!$A:$M, 6, FALSE), ""))</f>
        <v>330</v>
      </c>
      <c r="E221" s="12">
        <f t="shared" si="1"/>
        <v>55</v>
      </c>
      <c r="F221" s="12">
        <f t="shared" si="2"/>
        <v>55</v>
      </c>
      <c r="G221" s="18"/>
    </row>
    <row r="222" ht="22.5" customHeight="1">
      <c r="A222" s="12" t="s">
        <v>662</v>
      </c>
      <c r="B222" s="12">
        <v>8.0</v>
      </c>
      <c r="C222" s="12">
        <f>IF($A222="", "", IFERROR(VLOOKUP($A222, Stock_New!$A:$M, 4, FALSE), ""))</f>
        <v>50</v>
      </c>
      <c r="D222" s="12">
        <f>IF($A222="", "", IFERROR(VLOOKUP($A222, Stock_New!$A:$M, 6, FALSE), ""))</f>
        <v>60</v>
      </c>
      <c r="E222" s="12">
        <f t="shared" si="1"/>
        <v>10</v>
      </c>
      <c r="F222" s="12">
        <f t="shared" si="2"/>
        <v>80</v>
      </c>
      <c r="G222" s="18"/>
    </row>
    <row r="223" ht="22.5" customHeight="1">
      <c r="A223" s="12" t="s">
        <v>898</v>
      </c>
      <c r="B223" s="12">
        <v>75.0</v>
      </c>
      <c r="C223" s="12" t="str">
        <f>IF($A223="", "", IFERROR(VLOOKUP($A223, Stock_New!$A:$M, 4, FALSE), ""))</f>
        <v/>
      </c>
      <c r="D223" s="12" t="str">
        <f>IF($A223="", "", IFERROR(VLOOKUP($A223, Stock_New!$A:$M, 6, FALSE), ""))</f>
        <v/>
      </c>
      <c r="E223" s="12">
        <f t="shared" si="1"/>
        <v>0</v>
      </c>
      <c r="F223" s="12">
        <f t="shared" si="2"/>
        <v>0</v>
      </c>
      <c r="G223" s="18"/>
    </row>
    <row r="224" ht="22.5" customHeight="1">
      <c r="A224" s="12" t="s">
        <v>902</v>
      </c>
      <c r="B224" s="12">
        <v>13.0</v>
      </c>
      <c r="C224" s="12">
        <f>IF($A224="", "", IFERROR(VLOOKUP($A224, Stock_New!$A:$M, 4, FALSE), ""))</f>
        <v>90.29</v>
      </c>
      <c r="D224" s="12">
        <f>IF($A224="", "", IFERROR(VLOOKUP($A224, Stock_New!$A:$M, 6, FALSE), ""))</f>
        <v>108.35</v>
      </c>
      <c r="E224" s="12">
        <f t="shared" si="1"/>
        <v>18.06</v>
      </c>
      <c r="F224" s="12">
        <f t="shared" si="2"/>
        <v>234.78</v>
      </c>
      <c r="G224" s="18"/>
    </row>
    <row r="225" ht="22.5" customHeight="1">
      <c r="A225" s="12" t="s">
        <v>906</v>
      </c>
      <c r="B225" s="12">
        <v>1.0</v>
      </c>
      <c r="C225" s="12">
        <f>IF($A225="", "", IFERROR(VLOOKUP($A225, Stock_New!$A:$M, 4, FALSE), ""))</f>
        <v>5</v>
      </c>
      <c r="D225" s="12">
        <f>IF($A225="", "", IFERROR(VLOOKUP($A225, Stock_New!$A:$M, 6, FALSE), ""))</f>
        <v>6</v>
      </c>
      <c r="E225" s="12">
        <f t="shared" si="1"/>
        <v>1</v>
      </c>
      <c r="F225" s="12">
        <f t="shared" si="2"/>
        <v>1</v>
      </c>
      <c r="G225" s="18"/>
    </row>
    <row r="226" ht="22.5" customHeight="1">
      <c r="A226" s="12" t="s">
        <v>908</v>
      </c>
      <c r="B226" s="12">
        <v>0.4</v>
      </c>
      <c r="C226" s="12">
        <f>IF($A226="", "", IFERROR(VLOOKUP($A226, Stock_New!$A:$M, 4, FALSE), ""))</f>
        <v>35</v>
      </c>
      <c r="D226" s="12">
        <f>IF($A226="", "", IFERROR(VLOOKUP($A226, Stock_New!$A:$M, 6, FALSE), ""))</f>
        <v>42</v>
      </c>
      <c r="E226" s="12">
        <f t="shared" si="1"/>
        <v>7</v>
      </c>
      <c r="F226" s="12">
        <f t="shared" si="2"/>
        <v>2.8</v>
      </c>
      <c r="G226" s="18"/>
    </row>
    <row r="227" ht="22.5" customHeight="1">
      <c r="A227" s="12" t="s">
        <v>689</v>
      </c>
      <c r="B227" s="12">
        <v>7.0</v>
      </c>
      <c r="C227" s="12">
        <f>IF($A227="", "", IFERROR(VLOOKUP($A227, Stock_New!$A:$M, 4, FALSE), ""))</f>
        <v>130</v>
      </c>
      <c r="D227" s="12">
        <f>IF($A227="", "", IFERROR(VLOOKUP($A227, Stock_New!$A:$M, 6, FALSE), ""))</f>
        <v>156</v>
      </c>
      <c r="E227" s="12">
        <f t="shared" si="1"/>
        <v>26</v>
      </c>
      <c r="F227" s="12">
        <f t="shared" si="2"/>
        <v>182</v>
      </c>
      <c r="G227" s="18"/>
    </row>
    <row r="228" ht="22.5" customHeight="1">
      <c r="A228" s="12" t="s">
        <v>330</v>
      </c>
      <c r="B228" s="12">
        <v>19.0</v>
      </c>
      <c r="C228" s="12">
        <f>IF($A228="", "", IFERROR(VLOOKUP($A228, Stock_New!$A:$M, 4, FALSE), ""))</f>
        <v>25.83333333</v>
      </c>
      <c r="D228" s="12">
        <f>IF($A228="", "", IFERROR(VLOOKUP($A228, Stock_New!$A:$M, 6, FALSE), ""))</f>
        <v>31</v>
      </c>
      <c r="E228" s="12">
        <f t="shared" si="1"/>
        <v>5.166666667</v>
      </c>
      <c r="F228" s="12">
        <f t="shared" si="2"/>
        <v>98.16666667</v>
      </c>
      <c r="G228" s="18"/>
    </row>
    <row r="229" ht="22.5" customHeight="1">
      <c r="A229" s="12" t="s">
        <v>35</v>
      </c>
      <c r="B229" s="12">
        <v>1.0</v>
      </c>
      <c r="C229" s="12">
        <f>IF($A229="", "", IFERROR(VLOOKUP($A229, Stock_New!$A:$M, 4, FALSE), ""))</f>
        <v>1499</v>
      </c>
      <c r="D229" s="12">
        <f>IF($A229="", "", IFERROR(VLOOKUP($A229, Stock_New!$A:$M, 6, FALSE), ""))</f>
        <v>1798.8</v>
      </c>
      <c r="E229" s="12">
        <f t="shared" si="1"/>
        <v>299.8</v>
      </c>
      <c r="F229" s="12">
        <f t="shared" si="2"/>
        <v>299.8</v>
      </c>
      <c r="G229" s="18"/>
    </row>
    <row r="230" ht="22.5" customHeight="1">
      <c r="A230" s="12" t="s">
        <v>637</v>
      </c>
      <c r="B230" s="12">
        <v>3.0</v>
      </c>
      <c r="C230" s="12">
        <f>IF($A230="", "", IFERROR(VLOOKUP($A230, Stock_New!$A:$M, 4, FALSE), ""))</f>
        <v>167</v>
      </c>
      <c r="D230" s="12">
        <f>IF($A230="", "", IFERROR(VLOOKUP($A230, Stock_New!$A:$M, 6, FALSE), ""))</f>
        <v>200.4</v>
      </c>
      <c r="E230" s="12">
        <f t="shared" si="1"/>
        <v>33.4</v>
      </c>
      <c r="F230" s="12">
        <f t="shared" si="2"/>
        <v>100.2</v>
      </c>
      <c r="G230" s="18"/>
    </row>
    <row r="231" ht="22.5" customHeight="1">
      <c r="A231" s="12" t="s">
        <v>918</v>
      </c>
      <c r="B231" s="12">
        <v>6.0</v>
      </c>
      <c r="C231" s="12" t="str">
        <f>IF($A231="", "", IFERROR(VLOOKUP($A231, Stock_New!$A:$M, 4, FALSE), ""))</f>
        <v/>
      </c>
      <c r="D231" s="12" t="str">
        <f>IF($A231="", "", IFERROR(VLOOKUP($A231, Stock_New!$A:$M, 6, FALSE), ""))</f>
        <v/>
      </c>
      <c r="E231" s="12">
        <f t="shared" si="1"/>
        <v>0</v>
      </c>
      <c r="F231" s="12">
        <f t="shared" si="2"/>
        <v>0</v>
      </c>
      <c r="G231" s="18"/>
    </row>
    <row r="232" ht="22.5" customHeight="1">
      <c r="A232" s="12" t="s">
        <v>334</v>
      </c>
      <c r="B232" s="12">
        <v>1.0</v>
      </c>
      <c r="C232" s="12">
        <f>IF($A232="", "", IFERROR(VLOOKUP($A232, Stock_New!$A:$M, 4, FALSE), ""))</f>
        <v>255</v>
      </c>
      <c r="D232" s="12">
        <f>IF($A232="", "", IFERROR(VLOOKUP($A232, Stock_New!$A:$M, 6, FALSE), ""))</f>
        <v>306</v>
      </c>
      <c r="E232" s="12">
        <f t="shared" si="1"/>
        <v>51</v>
      </c>
      <c r="F232" s="12">
        <f t="shared" si="2"/>
        <v>51</v>
      </c>
      <c r="G232" s="18"/>
    </row>
    <row r="233" ht="22.5" customHeight="1">
      <c r="A233" s="12" t="s">
        <v>159</v>
      </c>
      <c r="B233" s="12">
        <v>4.0</v>
      </c>
      <c r="C233" s="12">
        <f>IF($A233="", "", IFERROR(VLOOKUP($A233, Stock_New!$A:$M, 4, FALSE), ""))</f>
        <v>233.33</v>
      </c>
      <c r="D233" s="12">
        <f>IF($A233="", "", IFERROR(VLOOKUP($A233, Stock_New!$A:$M, 6, FALSE), ""))</f>
        <v>280</v>
      </c>
      <c r="E233" s="12">
        <f t="shared" si="1"/>
        <v>46.67</v>
      </c>
      <c r="F233" s="12">
        <f t="shared" si="2"/>
        <v>186.68</v>
      </c>
      <c r="G233" s="18"/>
    </row>
    <row r="234" ht="22.5" customHeight="1">
      <c r="A234" s="12" t="s">
        <v>91</v>
      </c>
      <c r="B234" s="12">
        <v>20.0</v>
      </c>
      <c r="C234" s="12">
        <f>IF($A234="", "", IFERROR(VLOOKUP($A234, Stock_New!$A:$M, 4, FALSE), ""))</f>
        <v>35</v>
      </c>
      <c r="D234" s="12">
        <f>IF($A234="", "", IFERROR(VLOOKUP($A234, Stock_New!$A:$M, 6, FALSE), ""))</f>
        <v>42</v>
      </c>
      <c r="E234" s="12">
        <f t="shared" si="1"/>
        <v>7</v>
      </c>
      <c r="F234" s="12">
        <f t="shared" si="2"/>
        <v>140</v>
      </c>
      <c r="G234" s="18"/>
    </row>
    <row r="235" ht="22.5" customHeight="1">
      <c r="A235" s="12" t="s">
        <v>933</v>
      </c>
      <c r="B235" s="12">
        <v>8.0</v>
      </c>
      <c r="C235" s="12">
        <f>IF($A235="", "", IFERROR(VLOOKUP($A235, Stock_New!$A:$M, 4, FALSE), ""))</f>
        <v>10</v>
      </c>
      <c r="D235" s="12">
        <f>IF($A235="", "", IFERROR(VLOOKUP($A235, Stock_New!$A:$M, 6, FALSE), ""))</f>
        <v>12</v>
      </c>
      <c r="E235" s="12">
        <f t="shared" si="1"/>
        <v>2</v>
      </c>
      <c r="F235" s="12">
        <f t="shared" si="2"/>
        <v>16</v>
      </c>
      <c r="G235" s="18"/>
    </row>
    <row r="236" ht="22.5" customHeight="1">
      <c r="A236" s="12" t="s">
        <v>309</v>
      </c>
      <c r="B236" s="12">
        <v>43.0</v>
      </c>
      <c r="C236" s="12">
        <f>IF($A236="", "", IFERROR(VLOOKUP($A236, Stock_New!$A:$M, 4, FALSE), ""))</f>
        <v>20</v>
      </c>
      <c r="D236" s="12">
        <f>IF($A236="", "", IFERROR(VLOOKUP($A236, Stock_New!$A:$M, 6, FALSE), ""))</f>
        <v>24</v>
      </c>
      <c r="E236" s="12">
        <f t="shared" si="1"/>
        <v>4</v>
      </c>
      <c r="F236" s="12">
        <f t="shared" si="2"/>
        <v>172</v>
      </c>
      <c r="G236" s="18"/>
    </row>
    <row r="237" ht="22.5" customHeight="1">
      <c r="A237" s="12" t="s">
        <v>941</v>
      </c>
      <c r="B237" s="12">
        <v>3.0</v>
      </c>
      <c r="C237" s="12">
        <f>IF($A237="", "", IFERROR(VLOOKUP($A237, Stock_New!$A:$M, 4, FALSE), ""))</f>
        <v>11.25</v>
      </c>
      <c r="D237" s="12">
        <f>IF($A237="", "", IFERROR(VLOOKUP($A237, Stock_New!$A:$M, 6, FALSE), ""))</f>
        <v>13.5</v>
      </c>
      <c r="E237" s="12">
        <f t="shared" si="1"/>
        <v>2.25</v>
      </c>
      <c r="F237" s="12">
        <f t="shared" si="2"/>
        <v>6.75</v>
      </c>
      <c r="G237" s="18"/>
    </row>
    <row r="238" ht="22.5" customHeight="1">
      <c r="A238" s="12" t="s">
        <v>593</v>
      </c>
      <c r="B238" s="12">
        <v>16.0</v>
      </c>
      <c r="C238" s="12">
        <f>IF($A238="", "", IFERROR(VLOOKUP($A238, Stock_New!$A:$M, 4, FALSE), ""))</f>
        <v>55</v>
      </c>
      <c r="D238" s="12">
        <f>IF($A238="", "", IFERROR(VLOOKUP($A238, Stock_New!$A:$M, 6, FALSE), ""))</f>
        <v>66</v>
      </c>
      <c r="E238" s="12">
        <f t="shared" si="1"/>
        <v>11</v>
      </c>
      <c r="F238" s="12">
        <f t="shared" si="2"/>
        <v>176</v>
      </c>
      <c r="G238" s="18"/>
    </row>
    <row r="239" ht="22.5" customHeight="1">
      <c r="A239" s="12" t="s">
        <v>946</v>
      </c>
      <c r="B239" s="12">
        <v>13.6</v>
      </c>
      <c r="C239" s="12">
        <f>IF($A239="", "", IFERROR(VLOOKUP($A239, Stock_New!$A:$M, 4, FALSE), ""))</f>
        <v>75</v>
      </c>
      <c r="D239" s="12">
        <f>IF($A239="", "", IFERROR(VLOOKUP($A239, Stock_New!$A:$M, 6, FALSE), ""))</f>
        <v>90</v>
      </c>
      <c r="E239" s="12">
        <f t="shared" si="1"/>
        <v>15</v>
      </c>
      <c r="F239" s="12">
        <f t="shared" si="2"/>
        <v>204</v>
      </c>
      <c r="G239" s="18"/>
    </row>
    <row r="240" ht="22.5" customHeight="1">
      <c r="A240" s="12" t="s">
        <v>528</v>
      </c>
      <c r="B240" s="12">
        <v>1.0</v>
      </c>
      <c r="C240" s="12">
        <f>IF($A240="", "", IFERROR(VLOOKUP($A240, Stock_New!$A:$M, 4, FALSE), ""))</f>
        <v>180</v>
      </c>
      <c r="D240" s="12">
        <f>IF($A240="", "", IFERROR(VLOOKUP($A240, Stock_New!$A:$M, 6, FALSE), ""))</f>
        <v>216</v>
      </c>
      <c r="E240" s="12">
        <f t="shared" si="1"/>
        <v>36</v>
      </c>
      <c r="F240" s="12">
        <f t="shared" si="2"/>
        <v>36</v>
      </c>
      <c r="G240" s="18"/>
    </row>
    <row r="241" ht="22.5" customHeight="1">
      <c r="A241" s="12" t="s">
        <v>950</v>
      </c>
      <c r="B241" s="12">
        <v>2.0</v>
      </c>
      <c r="C241" s="12">
        <f>IF($A241="", "", IFERROR(VLOOKUP($A241, Stock_New!$A:$M, 4, FALSE), ""))</f>
        <v>72</v>
      </c>
      <c r="D241" s="12">
        <f>IF($A241="", "", IFERROR(VLOOKUP($A241, Stock_New!$A:$M, 6, FALSE), ""))</f>
        <v>86.4</v>
      </c>
      <c r="E241" s="12">
        <f t="shared" si="1"/>
        <v>14.4</v>
      </c>
      <c r="F241" s="12">
        <f t="shared" si="2"/>
        <v>28.8</v>
      </c>
      <c r="G241" s="18"/>
    </row>
    <row r="242" ht="22.5" customHeight="1">
      <c r="A242" s="12" t="s">
        <v>953</v>
      </c>
      <c r="B242" s="12">
        <v>3.0</v>
      </c>
      <c r="C242" s="12">
        <f>IF($A242="", "", IFERROR(VLOOKUP($A242, Stock_New!$A:$M, 4, FALSE), ""))</f>
        <v>94</v>
      </c>
      <c r="D242" s="12">
        <f>IF($A242="", "", IFERROR(VLOOKUP($A242, Stock_New!$A:$M, 6, FALSE), ""))</f>
        <v>112.8</v>
      </c>
      <c r="E242" s="12">
        <f t="shared" si="1"/>
        <v>18.8</v>
      </c>
      <c r="F242" s="12">
        <f t="shared" si="2"/>
        <v>56.4</v>
      </c>
      <c r="G242" s="18"/>
    </row>
    <row r="243" ht="22.5" customHeight="1">
      <c r="A243" s="12" t="s">
        <v>236</v>
      </c>
      <c r="B243" s="12">
        <v>4.0</v>
      </c>
      <c r="C243" s="12">
        <f>IF($A243="", "", IFERROR(VLOOKUP($A243, Stock_New!$A:$M, 4, FALSE), ""))</f>
        <v>175</v>
      </c>
      <c r="D243" s="12">
        <f>IF($A243="", "", IFERROR(VLOOKUP($A243, Stock_New!$A:$M, 6, FALSE), ""))</f>
        <v>210</v>
      </c>
      <c r="E243" s="12">
        <f t="shared" si="1"/>
        <v>35</v>
      </c>
      <c r="F243" s="12">
        <f t="shared" si="2"/>
        <v>140</v>
      </c>
      <c r="G243" s="18"/>
    </row>
    <row r="244" ht="22.5" customHeight="1">
      <c r="A244" s="12" t="s">
        <v>634</v>
      </c>
      <c r="B244" s="12">
        <v>2.0</v>
      </c>
      <c r="C244" s="12">
        <f>IF($A244="", "", IFERROR(VLOOKUP($A244, Stock_New!$A:$M, 4, FALSE), ""))</f>
        <v>167</v>
      </c>
      <c r="D244" s="12">
        <f>IF($A244="", "", IFERROR(VLOOKUP($A244, Stock_New!$A:$M, 6, FALSE), ""))</f>
        <v>200.4</v>
      </c>
      <c r="E244" s="12">
        <f t="shared" si="1"/>
        <v>33.4</v>
      </c>
      <c r="F244" s="12">
        <f t="shared" si="2"/>
        <v>66.8</v>
      </c>
      <c r="G244" s="18"/>
    </row>
    <row r="245" ht="22.5" customHeight="1">
      <c r="A245" s="12" t="s">
        <v>960</v>
      </c>
      <c r="B245" s="12">
        <v>4.0</v>
      </c>
      <c r="C245" s="12">
        <f>IF($A245="", "", IFERROR(VLOOKUP($A245, Stock_New!$A:$M, 4, FALSE), ""))</f>
        <v>80</v>
      </c>
      <c r="D245" s="12">
        <f>IF($A245="", "", IFERROR(VLOOKUP($A245, Stock_New!$A:$M, 6, FALSE), ""))</f>
        <v>96</v>
      </c>
      <c r="E245" s="12">
        <f t="shared" si="1"/>
        <v>16</v>
      </c>
      <c r="F245" s="12">
        <f t="shared" si="2"/>
        <v>64</v>
      </c>
      <c r="G245" s="18"/>
    </row>
    <row r="246" ht="22.5" customHeight="1">
      <c r="A246" s="12" t="s">
        <v>963</v>
      </c>
      <c r="B246" s="12">
        <v>4.0</v>
      </c>
      <c r="C246" s="12">
        <f>IF($A246="", "", IFERROR(VLOOKUP($A246, Stock_New!$A:$M, 4, FALSE), ""))</f>
        <v>18.75</v>
      </c>
      <c r="D246" s="12">
        <f>IF($A246="", "", IFERROR(VLOOKUP($A246, Stock_New!$A:$M, 6, FALSE), ""))</f>
        <v>19.3125</v>
      </c>
      <c r="E246" s="12">
        <f t="shared" si="1"/>
        <v>0.5625</v>
      </c>
      <c r="F246" s="12">
        <f t="shared" si="2"/>
        <v>2.25</v>
      </c>
      <c r="G246" s="18"/>
    </row>
    <row r="247" ht="22.5" customHeight="1">
      <c r="A247" s="12" t="s">
        <v>643</v>
      </c>
      <c r="B247" s="12">
        <v>2.0</v>
      </c>
      <c r="C247" s="12">
        <f>IF($A247="", "", IFERROR(VLOOKUP($A247, Stock_New!$A:$M, 4, FALSE), ""))</f>
        <v>166</v>
      </c>
      <c r="D247" s="12">
        <f>IF($A247="", "", IFERROR(VLOOKUP($A247, Stock_New!$A:$M, 6, FALSE), ""))</f>
        <v>199.2</v>
      </c>
      <c r="E247" s="12">
        <f t="shared" si="1"/>
        <v>33.2</v>
      </c>
      <c r="F247" s="12">
        <f t="shared" si="2"/>
        <v>66.4</v>
      </c>
      <c r="G247" s="18"/>
    </row>
    <row r="248" ht="22.5" customHeight="1">
      <c r="A248" s="12" t="s">
        <v>347</v>
      </c>
      <c r="B248" s="12">
        <v>1.0</v>
      </c>
      <c r="C248" s="12">
        <f>IF($A248="", "", IFERROR(VLOOKUP($A248, Stock_New!$A:$M, 4, FALSE), ""))</f>
        <v>20</v>
      </c>
      <c r="D248" s="12">
        <f>IF($A248="", "", IFERROR(VLOOKUP($A248, Stock_New!$A:$M, 6, FALSE), ""))</f>
        <v>24</v>
      </c>
      <c r="E248" s="12">
        <f t="shared" si="1"/>
        <v>4</v>
      </c>
      <c r="F248" s="12">
        <f t="shared" si="2"/>
        <v>4</v>
      </c>
      <c r="G248" s="18"/>
    </row>
    <row r="249" ht="22.5" customHeight="1">
      <c r="A249" s="12" t="s">
        <v>975</v>
      </c>
      <c r="B249" s="12">
        <v>1.0</v>
      </c>
      <c r="C249" s="12">
        <f>IF($A249="", "", IFERROR(VLOOKUP($A249, Stock_New!$A:$M, 4, FALSE), ""))</f>
        <v>49</v>
      </c>
      <c r="D249" s="12">
        <f>IF($A249="", "", IFERROR(VLOOKUP($A249, Stock_New!$A:$M, 6, FALSE), ""))</f>
        <v>58.8</v>
      </c>
      <c r="E249" s="12">
        <f t="shared" si="1"/>
        <v>9.8</v>
      </c>
      <c r="F249" s="12">
        <f t="shared" si="2"/>
        <v>9.8</v>
      </c>
      <c r="G249" s="18"/>
    </row>
    <row r="250" ht="22.5" customHeight="1">
      <c r="A250" s="12" t="s">
        <v>245</v>
      </c>
      <c r="B250" s="12">
        <v>11.0</v>
      </c>
      <c r="C250" s="12">
        <f>IF($A250="", "", IFERROR(VLOOKUP($A250, Stock_New!$A:$M, 4, FALSE), ""))</f>
        <v>150</v>
      </c>
      <c r="D250" s="12">
        <f>IF($A250="", "", IFERROR(VLOOKUP($A250, Stock_New!$A:$M, 6, FALSE), ""))</f>
        <v>180</v>
      </c>
      <c r="E250" s="12">
        <f t="shared" si="1"/>
        <v>30</v>
      </c>
      <c r="F250" s="12">
        <f t="shared" si="2"/>
        <v>330</v>
      </c>
      <c r="G250" s="18"/>
    </row>
    <row r="251" ht="22.5" customHeight="1">
      <c r="A251" s="12" t="s">
        <v>766</v>
      </c>
      <c r="B251" s="12">
        <v>2.0</v>
      </c>
      <c r="C251" s="12">
        <f>IF($A251="", "", IFERROR(VLOOKUP($A251, Stock_New!$A:$M, 4, FALSE), ""))</f>
        <v>150</v>
      </c>
      <c r="D251" s="12">
        <f>IF($A251="", "", IFERROR(VLOOKUP($A251, Stock_New!$A:$M, 6, FALSE), ""))</f>
        <v>180</v>
      </c>
      <c r="E251" s="12">
        <f t="shared" si="1"/>
        <v>30</v>
      </c>
      <c r="F251" s="12">
        <f t="shared" si="2"/>
        <v>60</v>
      </c>
      <c r="G251" s="18"/>
    </row>
    <row r="252" ht="22.5" customHeight="1">
      <c r="A252" s="12" t="s">
        <v>983</v>
      </c>
      <c r="B252" s="12">
        <v>1.0</v>
      </c>
      <c r="C252" s="12">
        <f>IF($A252="", "", IFERROR(VLOOKUP($A252, Stock_New!$A:$M, 4, FALSE), ""))</f>
        <v>75</v>
      </c>
      <c r="D252" s="12">
        <f>IF($A252="", "", IFERROR(VLOOKUP($A252, Stock_New!$A:$M, 6, FALSE), ""))</f>
        <v>90</v>
      </c>
      <c r="E252" s="12">
        <f t="shared" si="1"/>
        <v>15</v>
      </c>
      <c r="F252" s="12">
        <f t="shared" si="2"/>
        <v>15</v>
      </c>
      <c r="G252" s="18"/>
    </row>
    <row r="253" ht="22.5" customHeight="1">
      <c r="A253" s="12" t="s">
        <v>987</v>
      </c>
      <c r="B253" s="12">
        <v>3.0</v>
      </c>
      <c r="C253" s="12">
        <f>IF($A253="", "", IFERROR(VLOOKUP($A253, Stock_New!$A:$M, 4, FALSE), ""))</f>
        <v>19</v>
      </c>
      <c r="D253" s="12">
        <f>IF($A253="", "", IFERROR(VLOOKUP($A253, Stock_New!$A:$M, 6, FALSE), ""))</f>
        <v>22.8</v>
      </c>
      <c r="E253" s="12">
        <f t="shared" si="1"/>
        <v>3.8</v>
      </c>
      <c r="F253" s="12">
        <f t="shared" si="2"/>
        <v>11.4</v>
      </c>
      <c r="G253" s="18"/>
    </row>
    <row r="254" ht="22.5" customHeight="1">
      <c r="A254" s="12" t="s">
        <v>846</v>
      </c>
      <c r="B254" s="12">
        <v>1.0</v>
      </c>
      <c r="C254" s="12">
        <f>IF($A254="", "", IFERROR(VLOOKUP($A254, Stock_New!$A:$M, 4, FALSE), ""))</f>
        <v>137.5</v>
      </c>
      <c r="D254" s="12">
        <f>IF($A254="", "", IFERROR(VLOOKUP($A254, Stock_New!$A:$M, 6, FALSE), ""))</f>
        <v>165</v>
      </c>
      <c r="E254" s="12">
        <f t="shared" si="1"/>
        <v>27.5</v>
      </c>
      <c r="F254" s="12">
        <f t="shared" si="2"/>
        <v>27.5</v>
      </c>
      <c r="G254" s="18"/>
    </row>
    <row r="255" ht="22.5" customHeight="1">
      <c r="A255" s="12" t="s">
        <v>913</v>
      </c>
      <c r="B255" s="12">
        <v>1.0</v>
      </c>
      <c r="C255" s="12">
        <f>IF($A255="", "", IFERROR(VLOOKUP($A255, Stock_New!$A:$M, 4, FALSE), ""))</f>
        <v>130</v>
      </c>
      <c r="D255" s="12">
        <f>IF($A255="", "", IFERROR(VLOOKUP($A255, Stock_New!$A:$M, 6, FALSE), ""))</f>
        <v>156</v>
      </c>
      <c r="E255" s="12">
        <f t="shared" si="1"/>
        <v>26</v>
      </c>
      <c r="F255" s="12">
        <f t="shared" si="2"/>
        <v>26</v>
      </c>
      <c r="G255" s="18"/>
    </row>
    <row r="256" ht="22.5" customHeight="1">
      <c r="A256" s="12" t="s">
        <v>410</v>
      </c>
      <c r="B256" s="12">
        <v>2.0</v>
      </c>
      <c r="C256" s="12">
        <f>IF($A256="", "", IFERROR(VLOOKUP($A256, Stock_New!$A:$M, 4, FALSE), ""))</f>
        <v>225</v>
      </c>
      <c r="D256" s="12">
        <f>IF($A256="", "", IFERROR(VLOOKUP($A256, Stock_New!$A:$M, 6, FALSE), ""))</f>
        <v>270</v>
      </c>
      <c r="E256" s="12">
        <f t="shared" si="1"/>
        <v>45</v>
      </c>
      <c r="F256" s="12">
        <f t="shared" si="2"/>
        <v>90</v>
      </c>
      <c r="G256" s="18"/>
    </row>
    <row r="257" ht="22.5" customHeight="1">
      <c r="A257" s="12" t="s">
        <v>1000</v>
      </c>
      <c r="B257" s="12">
        <v>6.0</v>
      </c>
      <c r="C257" s="12">
        <f>IF($A257="", "", IFERROR(VLOOKUP($A257, Stock_New!$A:$M, 4, FALSE), ""))</f>
        <v>11</v>
      </c>
      <c r="D257" s="12">
        <f>IF($A257="", "", IFERROR(VLOOKUP($A257, Stock_New!$A:$M, 6, FALSE), ""))</f>
        <v>13.2</v>
      </c>
      <c r="E257" s="12">
        <f t="shared" si="1"/>
        <v>2.2</v>
      </c>
      <c r="F257" s="12">
        <f t="shared" si="2"/>
        <v>13.2</v>
      </c>
      <c r="G257" s="18"/>
    </row>
    <row r="258" ht="22.5" customHeight="1">
      <c r="A258" s="12" t="s">
        <v>98</v>
      </c>
      <c r="B258" s="12">
        <v>1.0</v>
      </c>
      <c r="C258" s="12">
        <f>IF($A258="", "", IFERROR(VLOOKUP($A258, Stock_New!$A:$M, 4, FALSE), ""))</f>
        <v>575</v>
      </c>
      <c r="D258" s="12">
        <f>IF($A258="", "", IFERROR(VLOOKUP($A258, Stock_New!$A:$M, 6, FALSE), ""))</f>
        <v>690</v>
      </c>
      <c r="E258" s="12">
        <f t="shared" si="1"/>
        <v>115</v>
      </c>
      <c r="F258" s="12">
        <f t="shared" si="2"/>
        <v>115</v>
      </c>
      <c r="G258" s="18"/>
    </row>
    <row r="259" ht="22.5" customHeight="1">
      <c r="A259" s="12" t="s">
        <v>1004</v>
      </c>
      <c r="B259" s="12">
        <v>4.0</v>
      </c>
      <c r="C259" s="12">
        <f>IF($A259="", "", IFERROR(VLOOKUP($A259, Stock_New!$A:$M, 4, FALSE), ""))</f>
        <v>65</v>
      </c>
      <c r="D259" s="12">
        <f>IF($A259="", "", IFERROR(VLOOKUP($A259, Stock_New!$A:$M, 6, FALSE), ""))</f>
        <v>78</v>
      </c>
      <c r="E259" s="12">
        <f t="shared" si="1"/>
        <v>13</v>
      </c>
      <c r="F259" s="12">
        <f t="shared" si="2"/>
        <v>52</v>
      </c>
      <c r="G259" s="18"/>
    </row>
    <row r="260" ht="22.5" customHeight="1">
      <c r="A260" s="12" t="s">
        <v>71</v>
      </c>
      <c r="B260" s="12">
        <v>1.0</v>
      </c>
      <c r="C260" s="12">
        <f>IF($A260="", "", IFERROR(VLOOKUP($A260, Stock_New!$A:$M, 4, FALSE), ""))</f>
        <v>330</v>
      </c>
      <c r="D260" s="12">
        <f>IF($A260="", "", IFERROR(VLOOKUP($A260, Stock_New!$A:$M, 6, FALSE), ""))</f>
        <v>396</v>
      </c>
      <c r="E260" s="12">
        <f t="shared" si="1"/>
        <v>66</v>
      </c>
      <c r="F260" s="12">
        <f t="shared" si="2"/>
        <v>66</v>
      </c>
      <c r="G260" s="18"/>
    </row>
    <row r="261" ht="22.5" customHeight="1">
      <c r="A261" s="12" t="s">
        <v>248</v>
      </c>
      <c r="B261" s="12">
        <v>6.0</v>
      </c>
      <c r="C261" s="12">
        <f>IF($A261="", "", IFERROR(VLOOKUP($A261, Stock_New!$A:$M, 4, FALSE), ""))</f>
        <v>100</v>
      </c>
      <c r="D261" s="12">
        <f>IF($A261="", "", IFERROR(VLOOKUP($A261, Stock_New!$A:$M, 6, FALSE), ""))</f>
        <v>120</v>
      </c>
      <c r="E261" s="12">
        <f t="shared" si="1"/>
        <v>20</v>
      </c>
      <c r="F261" s="12">
        <f t="shared" si="2"/>
        <v>120</v>
      </c>
      <c r="G261" s="18"/>
    </row>
    <row r="262" ht="22.5" customHeight="1">
      <c r="A262" s="12" t="s">
        <v>1011</v>
      </c>
      <c r="B262" s="12">
        <v>1.0</v>
      </c>
      <c r="C262" s="12">
        <f>IF($A262="", "", IFERROR(VLOOKUP($A262, Stock_New!$A:$M, 4, FALSE), ""))</f>
        <v>65</v>
      </c>
      <c r="D262" s="12">
        <f>IF($A262="", "", IFERROR(VLOOKUP($A262, Stock_New!$A:$M, 6, FALSE), ""))</f>
        <v>78</v>
      </c>
      <c r="E262" s="12">
        <f t="shared" si="1"/>
        <v>13</v>
      </c>
      <c r="F262" s="12">
        <f t="shared" si="2"/>
        <v>13</v>
      </c>
      <c r="G262" s="18"/>
    </row>
    <row r="263" ht="22.5" customHeight="1">
      <c r="A263" s="12" t="s">
        <v>1014</v>
      </c>
      <c r="B263" s="12">
        <v>3.0</v>
      </c>
      <c r="C263" s="12">
        <f>IF($A263="", "", IFERROR(VLOOKUP($A263, Stock_New!$A:$M, 4, FALSE), ""))</f>
        <v>50</v>
      </c>
      <c r="D263" s="12">
        <f>IF($A263="", "", IFERROR(VLOOKUP($A263, Stock_New!$A:$M, 6, FALSE), ""))</f>
        <v>60</v>
      </c>
      <c r="E263" s="12">
        <f t="shared" si="1"/>
        <v>10</v>
      </c>
      <c r="F263" s="12">
        <f t="shared" si="2"/>
        <v>30</v>
      </c>
      <c r="G263" s="18"/>
    </row>
    <row r="264" ht="22.5" customHeight="1">
      <c r="A264" s="12" t="s">
        <v>559</v>
      </c>
      <c r="B264" s="12">
        <v>15.0</v>
      </c>
      <c r="C264" s="12">
        <f>IF($A264="", "", IFERROR(VLOOKUP($A264, Stock_New!$A:$M, 4, FALSE), ""))</f>
        <v>32.33333333</v>
      </c>
      <c r="D264" s="12">
        <f>IF($A264="", "", IFERROR(VLOOKUP($A264, Stock_New!$A:$M, 6, FALSE), ""))</f>
        <v>38.8</v>
      </c>
      <c r="E264" s="12">
        <f t="shared" si="1"/>
        <v>6.466666667</v>
      </c>
      <c r="F264" s="12">
        <f t="shared" si="2"/>
        <v>97</v>
      </c>
      <c r="G264" s="18"/>
    </row>
    <row r="265" ht="22.5" customHeight="1">
      <c r="A265" s="12" t="s">
        <v>554</v>
      </c>
      <c r="B265" s="12">
        <v>33.0</v>
      </c>
      <c r="C265" s="12">
        <f>IF($A265="", "", IFERROR(VLOOKUP($A265, Stock_New!$A:$M, 4, FALSE), ""))</f>
        <v>23.22222222</v>
      </c>
      <c r="D265" s="12">
        <f>IF($A265="", "", IFERROR(VLOOKUP($A265, Stock_New!$A:$M, 6, FALSE), ""))</f>
        <v>27.86666667</v>
      </c>
      <c r="E265" s="12">
        <f t="shared" si="1"/>
        <v>4.644444444</v>
      </c>
      <c r="F265" s="12">
        <f t="shared" si="2"/>
        <v>153.2666667</v>
      </c>
      <c r="G265" s="18"/>
    </row>
    <row r="266" ht="22.5" customHeight="1">
      <c r="A266" s="12" t="s">
        <v>700</v>
      </c>
      <c r="B266" s="12">
        <v>1.0</v>
      </c>
      <c r="C266" s="12">
        <f>IF($A266="", "", IFERROR(VLOOKUP($A266, Stock_New!$A:$M, 4, FALSE), ""))</f>
        <v>159</v>
      </c>
      <c r="D266" s="12">
        <f>IF($A266="", "", IFERROR(VLOOKUP($A266, Stock_New!$A:$M, 6, FALSE), ""))</f>
        <v>190.8</v>
      </c>
      <c r="E266" s="12">
        <f t="shared" si="1"/>
        <v>31.8</v>
      </c>
      <c r="F266" s="12">
        <f t="shared" si="2"/>
        <v>31.8</v>
      </c>
      <c r="G266" s="18"/>
    </row>
    <row r="267" ht="22.5" customHeight="1">
      <c r="A267" s="12" t="s">
        <v>768</v>
      </c>
      <c r="B267" s="12">
        <v>3.0</v>
      </c>
      <c r="C267" s="12">
        <f>IF($A267="", "", IFERROR(VLOOKUP($A267, Stock_New!$A:$M, 4, FALSE), ""))</f>
        <v>30</v>
      </c>
      <c r="D267" s="12">
        <f>IF($A267="", "", IFERROR(VLOOKUP($A267, Stock_New!$A:$M, 6, FALSE), ""))</f>
        <v>36</v>
      </c>
      <c r="E267" s="12">
        <f t="shared" si="1"/>
        <v>6</v>
      </c>
      <c r="F267" s="12">
        <f t="shared" si="2"/>
        <v>18</v>
      </c>
      <c r="G267" s="18"/>
    </row>
    <row r="268" ht="22.5" customHeight="1">
      <c r="A268" s="12" t="s">
        <v>936</v>
      </c>
      <c r="B268" s="12">
        <v>3.0</v>
      </c>
      <c r="C268" s="12">
        <f>IF($A268="", "", IFERROR(VLOOKUP($A268, Stock_New!$A:$M, 4, FALSE), ""))</f>
        <v>28</v>
      </c>
      <c r="D268" s="12">
        <f>IF($A268="", "", IFERROR(VLOOKUP($A268, Stock_New!$A:$M, 6, FALSE), ""))</f>
        <v>33.6</v>
      </c>
      <c r="E268" s="12">
        <f t="shared" si="1"/>
        <v>5.6</v>
      </c>
      <c r="F268" s="12">
        <f t="shared" si="2"/>
        <v>16.8</v>
      </c>
      <c r="G268" s="18"/>
    </row>
    <row r="269" ht="22.5" customHeight="1">
      <c r="A269" s="12" t="s">
        <v>1029</v>
      </c>
      <c r="B269" s="12">
        <v>3.0</v>
      </c>
      <c r="C269" s="12" t="str">
        <f>IF($A269="", "", IFERROR(VLOOKUP($A269, Stock_New!$A:$M, 4, FALSE), ""))</f>
        <v/>
      </c>
      <c r="D269" s="12" t="str">
        <f>IF($A269="", "", IFERROR(VLOOKUP($A269, Stock_New!$A:$M, 6, FALSE), ""))</f>
        <v/>
      </c>
      <c r="E269" s="12">
        <f t="shared" si="1"/>
        <v>0</v>
      </c>
      <c r="F269" s="12">
        <f t="shared" si="2"/>
        <v>0</v>
      </c>
      <c r="G269" s="18"/>
    </row>
    <row r="270" ht="22.5" customHeight="1">
      <c r="A270" s="12" t="s">
        <v>806</v>
      </c>
      <c r="B270" s="12">
        <v>0.8571428571428571</v>
      </c>
      <c r="C270" s="12">
        <f>IF($A270="", "", IFERROR(VLOOKUP($A270, Stock_New!$A:$M, 4, FALSE), ""))</f>
        <v>140</v>
      </c>
      <c r="D270" s="12">
        <f>IF($A270="", "", IFERROR(VLOOKUP($A270, Stock_New!$A:$M, 6, FALSE), ""))</f>
        <v>168</v>
      </c>
      <c r="E270" s="12">
        <f t="shared" si="1"/>
        <v>28</v>
      </c>
      <c r="F270" s="12">
        <f t="shared" si="2"/>
        <v>24</v>
      </c>
      <c r="G270" s="18"/>
    </row>
    <row r="271" ht="22.5" customHeight="1">
      <c r="A271" s="12" t="s">
        <v>216</v>
      </c>
      <c r="B271" s="12">
        <v>1.7999999999999998</v>
      </c>
      <c r="C271" s="12">
        <f>IF($A271="", "", IFERROR(VLOOKUP($A271, Stock_New!$A:$M, 4, FALSE), ""))</f>
        <v>50</v>
      </c>
      <c r="D271" s="12">
        <f>IF($A271="", "", IFERROR(VLOOKUP($A271, Stock_New!$A:$M, 6, FALSE), ""))</f>
        <v>60</v>
      </c>
      <c r="E271" s="12">
        <f t="shared" si="1"/>
        <v>10</v>
      </c>
      <c r="F271" s="12">
        <f t="shared" si="2"/>
        <v>18</v>
      </c>
      <c r="G271" s="18"/>
    </row>
    <row r="272" ht="22.5" customHeight="1">
      <c r="A272" s="12" t="s">
        <v>640</v>
      </c>
      <c r="B272" s="12">
        <v>5.0</v>
      </c>
      <c r="C272" s="12">
        <f>IF($A272="", "", IFERROR(VLOOKUP($A272, Stock_New!$A:$M, 4, FALSE), ""))</f>
        <v>167</v>
      </c>
      <c r="D272" s="12">
        <f>IF($A272="", "", IFERROR(VLOOKUP($A272, Stock_New!$A:$M, 6, FALSE), ""))</f>
        <v>200.4</v>
      </c>
      <c r="E272" s="12">
        <f t="shared" si="1"/>
        <v>33.4</v>
      </c>
      <c r="F272" s="12">
        <f t="shared" si="2"/>
        <v>167</v>
      </c>
      <c r="G272" s="18"/>
    </row>
    <row r="273" ht="22.5" customHeight="1">
      <c r="A273" s="12" t="s">
        <v>830</v>
      </c>
      <c r="B273" s="12">
        <v>1.0</v>
      </c>
      <c r="C273" s="12">
        <f>IF($A273="", "", IFERROR(VLOOKUP($A273, Stock_New!$A:$M, 4, FALSE), ""))</f>
        <v>10</v>
      </c>
      <c r="D273" s="12">
        <f>IF($A273="", "", IFERROR(VLOOKUP($A273, Stock_New!$A:$M, 6, FALSE), ""))</f>
        <v>12</v>
      </c>
      <c r="E273" s="12">
        <f t="shared" si="1"/>
        <v>2</v>
      </c>
      <c r="F273" s="12">
        <f t="shared" si="2"/>
        <v>2</v>
      </c>
      <c r="G273" s="18"/>
    </row>
    <row r="274" ht="22.5" customHeight="1">
      <c r="A274" s="12" t="s">
        <v>741</v>
      </c>
      <c r="B274" s="12">
        <v>0.6000000000000001</v>
      </c>
      <c r="C274" s="12">
        <f>IF($A274="", "", IFERROR(VLOOKUP($A274, Stock_New!$A:$M, 4, FALSE), ""))</f>
        <v>150</v>
      </c>
      <c r="D274" s="12">
        <f>IF($A274="", "", IFERROR(VLOOKUP($A274, Stock_New!$A:$M, 6, FALSE), ""))</f>
        <v>180</v>
      </c>
      <c r="E274" s="12">
        <f t="shared" si="1"/>
        <v>30</v>
      </c>
      <c r="F274" s="12">
        <f t="shared" si="2"/>
        <v>18</v>
      </c>
      <c r="G274" s="18"/>
    </row>
    <row r="275" ht="22.5" customHeight="1">
      <c r="A275" s="12" t="s">
        <v>385</v>
      </c>
      <c r="B275" s="12">
        <v>2.0</v>
      </c>
      <c r="C275" s="12">
        <f>IF($A275="", "", IFERROR(VLOOKUP($A275, Stock_New!$A:$M, 4, FALSE), ""))</f>
        <v>229.5</v>
      </c>
      <c r="D275" s="12">
        <f>IF($A275="", "", IFERROR(VLOOKUP($A275, Stock_New!$A:$M, 6, FALSE), ""))</f>
        <v>275.4</v>
      </c>
      <c r="E275" s="12">
        <f t="shared" si="1"/>
        <v>45.9</v>
      </c>
      <c r="F275" s="12">
        <f t="shared" si="2"/>
        <v>91.8</v>
      </c>
      <c r="G275" s="18"/>
    </row>
    <row r="276" ht="22.5" customHeight="1">
      <c r="A276" s="12" t="s">
        <v>1049</v>
      </c>
      <c r="B276" s="12">
        <v>6.0</v>
      </c>
      <c r="C276" s="12">
        <f>IF($A276="", "", IFERROR(VLOOKUP($A276, Stock_New!$A:$M, 4, FALSE), ""))</f>
        <v>95</v>
      </c>
      <c r="D276" s="12">
        <f>IF($A276="", "", IFERROR(VLOOKUP($A276, Stock_New!$A:$M, 6, FALSE), ""))</f>
        <v>114</v>
      </c>
      <c r="E276" s="12">
        <f t="shared" si="1"/>
        <v>19</v>
      </c>
      <c r="F276" s="12">
        <f t="shared" si="2"/>
        <v>114</v>
      </c>
      <c r="G276" s="18"/>
    </row>
    <row r="277" ht="22.5" customHeight="1">
      <c r="A277" s="12" t="s">
        <v>577</v>
      </c>
      <c r="B277" s="12">
        <v>3.0</v>
      </c>
      <c r="C277" s="12">
        <f>IF($A277="", "", IFERROR(VLOOKUP($A277, Stock_New!$A:$M, 4, FALSE), ""))</f>
        <v>175</v>
      </c>
      <c r="D277" s="12">
        <f>IF($A277="", "", IFERROR(VLOOKUP($A277, Stock_New!$A:$M, 6, FALSE), ""))</f>
        <v>210</v>
      </c>
      <c r="E277" s="12">
        <f t="shared" si="1"/>
        <v>35</v>
      </c>
      <c r="F277" s="12">
        <f t="shared" si="2"/>
        <v>105</v>
      </c>
      <c r="G277" s="18"/>
    </row>
    <row r="278" ht="22.5" customHeight="1">
      <c r="A278" s="12" t="s">
        <v>1055</v>
      </c>
      <c r="B278" s="12">
        <v>13.0</v>
      </c>
      <c r="C278" s="12">
        <f>IF($A278="", "", IFERROR(VLOOKUP($A278, Stock_New!$A:$M, 4, FALSE), ""))</f>
        <v>12.5</v>
      </c>
      <c r="D278" s="12">
        <f>IF($A278="", "", IFERROR(VLOOKUP($A278, Stock_New!$A:$M, 6, FALSE), ""))</f>
        <v>15</v>
      </c>
      <c r="E278" s="12">
        <f t="shared" si="1"/>
        <v>2.5</v>
      </c>
      <c r="F278" s="12">
        <f t="shared" si="2"/>
        <v>32.5</v>
      </c>
      <c r="G278" s="18"/>
    </row>
    <row r="279" ht="22.5" customHeight="1">
      <c r="A279" s="12" t="s">
        <v>868</v>
      </c>
      <c r="B279" s="12">
        <v>1.0</v>
      </c>
      <c r="C279" s="12">
        <f>IF($A279="", "", IFERROR(VLOOKUP($A279, Stock_New!$A:$M, 4, FALSE), ""))</f>
        <v>125</v>
      </c>
      <c r="D279" s="12">
        <f>IF($A279="", "", IFERROR(VLOOKUP($A279, Stock_New!$A:$M, 6, FALSE), ""))</f>
        <v>150</v>
      </c>
      <c r="E279" s="12">
        <f t="shared" si="1"/>
        <v>25</v>
      </c>
      <c r="F279" s="12">
        <f t="shared" si="2"/>
        <v>25</v>
      </c>
      <c r="G279" s="18"/>
    </row>
    <row r="280" ht="22.5" customHeight="1">
      <c r="A280" s="12" t="s">
        <v>289</v>
      </c>
      <c r="B280" s="12">
        <v>1.0</v>
      </c>
      <c r="C280" s="12">
        <f>IF($A280="", "", IFERROR(VLOOKUP($A280, Stock_New!$A:$M, 4, FALSE), ""))</f>
        <v>90.23809524</v>
      </c>
      <c r="D280" s="12">
        <f>IF($A280="", "", IFERROR(VLOOKUP($A280, Stock_New!$A:$M, 6, FALSE), ""))</f>
        <v>108.2857143</v>
      </c>
      <c r="E280" s="12">
        <f t="shared" si="1"/>
        <v>18.04761905</v>
      </c>
      <c r="F280" s="12">
        <f t="shared" si="2"/>
        <v>18.04761905</v>
      </c>
      <c r="G280" s="18"/>
    </row>
    <row r="281" ht="22.5" customHeight="1">
      <c r="A281" s="12" t="s">
        <v>462</v>
      </c>
      <c r="B281" s="12">
        <v>2.0</v>
      </c>
      <c r="C281" s="12">
        <f>IF($A281="", "", IFERROR(VLOOKUP($A281, Stock_New!$A:$M, 4, FALSE), ""))</f>
        <v>210</v>
      </c>
      <c r="D281" s="12">
        <f>IF($A281="", "", IFERROR(VLOOKUP($A281, Stock_New!$A:$M, 6, FALSE), ""))</f>
        <v>252</v>
      </c>
      <c r="E281" s="12">
        <f t="shared" si="1"/>
        <v>42</v>
      </c>
      <c r="F281" s="12">
        <f t="shared" si="2"/>
        <v>84</v>
      </c>
      <c r="G281" s="18"/>
    </row>
    <row r="282" ht="22.5" customHeight="1">
      <c r="A282" s="12" t="s">
        <v>1021</v>
      </c>
      <c r="B282" s="12">
        <v>1.0</v>
      </c>
      <c r="C282" s="12">
        <f>IF($A282="", "", IFERROR(VLOOKUP($A282, Stock_New!$A:$M, 4, FALSE), ""))</f>
        <v>115</v>
      </c>
      <c r="D282" s="12">
        <f>IF($A282="", "", IFERROR(VLOOKUP($A282, Stock_New!$A:$M, 6, FALSE), ""))</f>
        <v>138</v>
      </c>
      <c r="E282" s="12">
        <f t="shared" si="1"/>
        <v>23</v>
      </c>
      <c r="F282" s="12">
        <f t="shared" si="2"/>
        <v>23</v>
      </c>
      <c r="G282" s="18"/>
    </row>
    <row r="283" ht="22.5" customHeight="1">
      <c r="A283" s="12" t="s">
        <v>100</v>
      </c>
      <c r="B283" s="12">
        <v>4.0</v>
      </c>
      <c r="C283" s="12">
        <f>IF($A283="", "", IFERROR(VLOOKUP($A283, Stock_New!$A:$M, 4, FALSE), ""))</f>
        <v>412.5</v>
      </c>
      <c r="D283" s="12">
        <f>IF($A283="", "", IFERROR(VLOOKUP($A283, Stock_New!$A:$M, 6, FALSE), ""))</f>
        <v>495</v>
      </c>
      <c r="E283" s="12">
        <f t="shared" si="1"/>
        <v>82.5</v>
      </c>
      <c r="F283" s="12">
        <f t="shared" si="2"/>
        <v>330</v>
      </c>
      <c r="G283" s="18"/>
    </row>
    <row r="284" ht="22.5" customHeight="1">
      <c r="A284" s="12" t="s">
        <v>123</v>
      </c>
      <c r="B284" s="12">
        <v>2.0</v>
      </c>
      <c r="C284" s="12">
        <f>IF($A284="", "", IFERROR(VLOOKUP($A284, Stock_New!$A:$M, 4, FALSE), ""))</f>
        <v>490</v>
      </c>
      <c r="D284" s="12">
        <f>IF($A284="", "", IFERROR(VLOOKUP($A284, Stock_New!$A:$M, 6, FALSE), ""))</f>
        <v>588</v>
      </c>
      <c r="E284" s="12">
        <f t="shared" si="1"/>
        <v>98</v>
      </c>
      <c r="F284" s="12">
        <f t="shared" si="2"/>
        <v>196</v>
      </c>
      <c r="G284" s="18"/>
    </row>
    <row r="285" ht="22.5" customHeight="1">
      <c r="A285" s="12" t="s">
        <v>190</v>
      </c>
      <c r="B285" s="12">
        <v>2.0</v>
      </c>
      <c r="C285" s="12">
        <f>IF($A285="", "", IFERROR(VLOOKUP($A285, Stock_New!$A:$M, 4, FALSE), ""))</f>
        <v>350</v>
      </c>
      <c r="D285" s="12">
        <f>IF($A285="", "", IFERROR(VLOOKUP($A285, Stock_New!$A:$M, 6, FALSE), ""))</f>
        <v>420</v>
      </c>
      <c r="E285" s="12">
        <f t="shared" si="1"/>
        <v>70</v>
      </c>
      <c r="F285" s="12">
        <f t="shared" si="2"/>
        <v>140</v>
      </c>
      <c r="G285" s="18"/>
    </row>
    <row r="286" ht="22.5" customHeight="1">
      <c r="A286" s="12" t="s">
        <v>685</v>
      </c>
      <c r="B286" s="12">
        <v>1.0</v>
      </c>
      <c r="C286" s="12">
        <f>IF($A286="", "", IFERROR(VLOOKUP($A286, Stock_New!$A:$M, 4, FALSE), ""))</f>
        <v>160</v>
      </c>
      <c r="D286" s="12">
        <f>IF($A286="", "", IFERROR(VLOOKUP($A286, Stock_New!$A:$M, 6, FALSE), ""))</f>
        <v>192</v>
      </c>
      <c r="E286" s="12">
        <f t="shared" si="1"/>
        <v>32</v>
      </c>
      <c r="F286" s="12">
        <f t="shared" si="2"/>
        <v>32</v>
      </c>
      <c r="G286" s="18"/>
    </row>
    <row r="287" ht="22.5" customHeight="1">
      <c r="A287" s="12" t="s">
        <v>1079</v>
      </c>
      <c r="B287" s="12">
        <v>5.0</v>
      </c>
      <c r="C287" s="12">
        <f>IF($A287="", "", IFERROR(VLOOKUP($A287, Stock_New!$A:$M, 4, FALSE), ""))</f>
        <v>90</v>
      </c>
      <c r="D287" s="12">
        <f>IF($A287="", "", IFERROR(VLOOKUP($A287, Stock_New!$A:$M, 6, FALSE), ""))</f>
        <v>108</v>
      </c>
      <c r="E287" s="12">
        <f t="shared" si="1"/>
        <v>18</v>
      </c>
      <c r="F287" s="12">
        <f t="shared" si="2"/>
        <v>90</v>
      </c>
      <c r="G287" s="18"/>
    </row>
    <row r="288" ht="22.5" customHeight="1">
      <c r="A288" s="12" t="s">
        <v>1043</v>
      </c>
      <c r="B288" s="12">
        <v>15.0</v>
      </c>
      <c r="C288" s="12">
        <f>IF($A288="", "", IFERROR(VLOOKUP($A288, Stock_New!$A:$M, 4, FALSE), ""))</f>
        <v>85</v>
      </c>
      <c r="D288" s="12">
        <f>IF($A288="", "", IFERROR(VLOOKUP($A288, Stock_New!$A:$M, 6, FALSE), ""))</f>
        <v>102</v>
      </c>
      <c r="E288" s="12">
        <f t="shared" si="1"/>
        <v>17</v>
      </c>
      <c r="F288" s="12">
        <f t="shared" si="2"/>
        <v>255</v>
      </c>
      <c r="G288" s="18"/>
    </row>
    <row r="289" ht="22.5" customHeight="1">
      <c r="A289" s="12" t="s">
        <v>46</v>
      </c>
      <c r="B289" s="12">
        <v>5.0</v>
      </c>
      <c r="C289" s="12">
        <f>IF($A289="", "", IFERROR(VLOOKUP($A289, Stock_New!$A:$M, 4, FALSE), ""))</f>
        <v>96.88</v>
      </c>
      <c r="D289" s="12">
        <f>IF($A289="", "", IFERROR(VLOOKUP($A289, Stock_New!$A:$M, 6, FALSE), ""))</f>
        <v>116.256</v>
      </c>
      <c r="E289" s="12">
        <f t="shared" si="1"/>
        <v>19.376</v>
      </c>
      <c r="F289" s="12">
        <f t="shared" si="2"/>
        <v>96.88</v>
      </c>
      <c r="G289" s="18"/>
    </row>
    <row r="290" ht="22.5" customHeight="1">
      <c r="A290" s="12" t="s">
        <v>826</v>
      </c>
      <c r="B290" s="12">
        <v>2.0</v>
      </c>
      <c r="C290" s="12">
        <f>IF($A290="", "", IFERROR(VLOOKUP($A290, Stock_New!$A:$M, 4, FALSE), ""))</f>
        <v>140</v>
      </c>
      <c r="D290" s="12">
        <f>IF($A290="", "", IFERROR(VLOOKUP($A290, Stock_New!$A:$M, 6, FALSE), ""))</f>
        <v>168</v>
      </c>
      <c r="E290" s="12">
        <f t="shared" si="1"/>
        <v>28</v>
      </c>
      <c r="F290" s="12">
        <f t="shared" si="2"/>
        <v>56</v>
      </c>
      <c r="G290" s="18"/>
    </row>
    <row r="291" ht="22.5" customHeight="1">
      <c r="A291" s="12" t="s">
        <v>839</v>
      </c>
      <c r="B291" s="12">
        <v>2.0</v>
      </c>
      <c r="C291" s="12">
        <f>IF($A291="", "", IFERROR(VLOOKUP($A291, Stock_New!$A:$M, 4, FALSE), ""))</f>
        <v>139</v>
      </c>
      <c r="D291" s="12">
        <f>IF($A291="", "", IFERROR(VLOOKUP($A291, Stock_New!$A:$M, 6, FALSE), ""))</f>
        <v>166.8</v>
      </c>
      <c r="E291" s="12">
        <f t="shared" si="1"/>
        <v>27.8</v>
      </c>
      <c r="F291" s="12">
        <f t="shared" si="2"/>
        <v>55.6</v>
      </c>
      <c r="G291" s="18"/>
    </row>
    <row r="292" ht="22.5" customHeight="1">
      <c r="A292" s="12" t="s">
        <v>646</v>
      </c>
      <c r="B292" s="12">
        <v>1.0</v>
      </c>
      <c r="C292" s="12">
        <f>IF($A292="", "", IFERROR(VLOOKUP($A292, Stock_New!$A:$M, 4, FALSE), ""))</f>
        <v>166</v>
      </c>
      <c r="D292" s="12">
        <f>IF($A292="", "", IFERROR(VLOOKUP($A292, Stock_New!$A:$M, 6, FALSE), ""))</f>
        <v>199.2</v>
      </c>
      <c r="E292" s="12">
        <f t="shared" si="1"/>
        <v>33.2</v>
      </c>
      <c r="F292" s="12">
        <f t="shared" si="2"/>
        <v>33.2</v>
      </c>
      <c r="G292" s="18"/>
    </row>
    <row r="293" ht="22.5" customHeight="1">
      <c r="A293" s="12" t="s">
        <v>923</v>
      </c>
      <c r="B293" s="12">
        <v>3.0</v>
      </c>
      <c r="C293" s="12">
        <f>IF($A293="", "", IFERROR(VLOOKUP($A293, Stock_New!$A:$M, 4, FALSE), ""))</f>
        <v>129</v>
      </c>
      <c r="D293" s="12">
        <f>IF($A293="", "", IFERROR(VLOOKUP($A293, Stock_New!$A:$M, 6, FALSE), ""))</f>
        <v>154.8</v>
      </c>
      <c r="E293" s="12">
        <f t="shared" si="1"/>
        <v>25.8</v>
      </c>
      <c r="F293" s="12">
        <f t="shared" si="2"/>
        <v>77.4</v>
      </c>
      <c r="G293" s="18"/>
    </row>
    <row r="294" ht="22.5" customHeight="1">
      <c r="A294" s="12" t="s">
        <v>1097</v>
      </c>
      <c r="B294" s="12">
        <v>2.0</v>
      </c>
      <c r="C294" s="12" t="str">
        <f>IF($A294="", "", IFERROR(VLOOKUP($A294, Stock_New!$A:$M, 4, FALSE), ""))</f>
        <v/>
      </c>
      <c r="D294" s="12" t="str">
        <f>IF($A294="", "", IFERROR(VLOOKUP($A294, Stock_New!$A:$M, 6, FALSE), ""))</f>
        <v/>
      </c>
      <c r="E294" s="12">
        <f t="shared" si="1"/>
        <v>0</v>
      </c>
      <c r="F294" s="12">
        <f t="shared" si="2"/>
        <v>0</v>
      </c>
      <c r="G294" s="18"/>
    </row>
    <row r="295" ht="22.5" customHeight="1">
      <c r="A295" s="12" t="s">
        <v>962</v>
      </c>
      <c r="B295" s="12">
        <v>2.0</v>
      </c>
      <c r="C295" s="12">
        <f>IF($A295="", "", IFERROR(VLOOKUP($A295, Stock_New!$A:$M, 4, FALSE), ""))</f>
        <v>125</v>
      </c>
      <c r="D295" s="12">
        <f>IF($A295="", "", IFERROR(VLOOKUP($A295, Stock_New!$A:$M, 6, FALSE), ""))</f>
        <v>150</v>
      </c>
      <c r="E295" s="12">
        <f t="shared" si="1"/>
        <v>25</v>
      </c>
      <c r="F295" s="12">
        <f t="shared" si="2"/>
        <v>50</v>
      </c>
      <c r="G295" s="18"/>
    </row>
    <row r="296" ht="22.5" customHeight="1">
      <c r="A296" s="12" t="s">
        <v>1035</v>
      </c>
      <c r="B296" s="12">
        <v>2.0</v>
      </c>
      <c r="C296" s="12">
        <f>IF($A296="", "", IFERROR(VLOOKUP($A296, Stock_New!$A:$M, 4, FALSE), ""))</f>
        <v>89.75</v>
      </c>
      <c r="D296" s="12">
        <f>IF($A296="", "", IFERROR(VLOOKUP($A296, Stock_New!$A:$M, 6, FALSE), ""))</f>
        <v>107.7</v>
      </c>
      <c r="E296" s="12">
        <f t="shared" si="1"/>
        <v>17.95</v>
      </c>
      <c r="F296" s="12">
        <f t="shared" si="2"/>
        <v>35.9</v>
      </c>
      <c r="G296" s="18"/>
    </row>
    <row r="297" ht="22.5" customHeight="1">
      <c r="A297" s="12" t="s">
        <v>352</v>
      </c>
      <c r="B297" s="12">
        <v>4.0</v>
      </c>
      <c r="C297" s="12">
        <f>IF($A297="", "", IFERROR(VLOOKUP($A297, Stock_New!$A:$M, 4, FALSE), ""))</f>
        <v>32</v>
      </c>
      <c r="D297" s="12">
        <f>IF($A297="", "", IFERROR(VLOOKUP($A297, Stock_New!$A:$M, 6, FALSE), ""))</f>
        <v>38.4</v>
      </c>
      <c r="E297" s="12">
        <f t="shared" si="1"/>
        <v>6.4</v>
      </c>
      <c r="F297" s="12">
        <f t="shared" si="2"/>
        <v>25.6</v>
      </c>
      <c r="G297" s="18"/>
    </row>
    <row r="298" ht="22.5" customHeight="1">
      <c r="A298" s="12" t="s">
        <v>797</v>
      </c>
      <c r="B298" s="12">
        <v>1.0</v>
      </c>
      <c r="C298" s="12">
        <f>IF($A298="", "", IFERROR(VLOOKUP($A298, Stock_New!$A:$M, 4, FALSE), ""))</f>
        <v>145</v>
      </c>
      <c r="D298" s="12">
        <f>IF($A298="", "", IFERROR(VLOOKUP($A298, Stock_New!$A:$M, 6, FALSE), ""))</f>
        <v>174</v>
      </c>
      <c r="E298" s="12">
        <f t="shared" si="1"/>
        <v>29</v>
      </c>
      <c r="F298" s="12">
        <f t="shared" si="2"/>
        <v>29</v>
      </c>
      <c r="G298" s="18"/>
    </row>
    <row r="299" ht="22.5" customHeight="1">
      <c r="A299" s="12" t="s">
        <v>851</v>
      </c>
      <c r="B299" s="12">
        <v>1.0</v>
      </c>
      <c r="C299" s="12">
        <f>IF($A299="", "", IFERROR(VLOOKUP($A299, Stock_New!$A:$M, 4, FALSE), ""))</f>
        <v>137</v>
      </c>
      <c r="D299" s="12">
        <f>IF($A299="", "", IFERROR(VLOOKUP($A299, Stock_New!$A:$M, 6, FALSE), ""))</f>
        <v>164.4</v>
      </c>
      <c r="E299" s="12">
        <f t="shared" si="1"/>
        <v>27.4</v>
      </c>
      <c r="F299" s="12">
        <f t="shared" si="2"/>
        <v>27.4</v>
      </c>
      <c r="G299" s="18"/>
    </row>
    <row r="300" ht="22.5" customHeight="1">
      <c r="A300" s="12" t="s">
        <v>1114</v>
      </c>
      <c r="B300" s="12">
        <v>3.0</v>
      </c>
      <c r="C300" s="12">
        <f>IF($A300="", "", IFERROR(VLOOKUP($A300, Stock_New!$A:$M, 4, FALSE), ""))</f>
        <v>88</v>
      </c>
      <c r="D300" s="12">
        <f>IF($A300="", "", IFERROR(VLOOKUP($A300, Stock_New!$A:$M, 6, FALSE), ""))</f>
        <v>105.6</v>
      </c>
      <c r="E300" s="12">
        <f t="shared" si="1"/>
        <v>17.6</v>
      </c>
      <c r="F300" s="12">
        <f t="shared" si="2"/>
        <v>52.8</v>
      </c>
      <c r="G300" s="18"/>
    </row>
    <row r="301" ht="22.5" customHeight="1">
      <c r="A301" s="12" t="s">
        <v>648</v>
      </c>
      <c r="B301" s="12">
        <v>5.0</v>
      </c>
      <c r="C301" s="12">
        <f>IF($A301="", "", IFERROR(VLOOKUP($A301, Stock_New!$A:$M, 4, FALSE), ""))</f>
        <v>150</v>
      </c>
      <c r="D301" s="12">
        <f>IF($A301="", "", IFERROR(VLOOKUP($A301, Stock_New!$A:$M, 6, FALSE), ""))</f>
        <v>180</v>
      </c>
      <c r="E301" s="12">
        <f t="shared" si="1"/>
        <v>30</v>
      </c>
      <c r="F301" s="12">
        <f t="shared" si="2"/>
        <v>150</v>
      </c>
      <c r="G301" s="18"/>
    </row>
    <row r="302" ht="22.5" customHeight="1">
      <c r="A302" s="12" t="s">
        <v>746</v>
      </c>
      <c r="B302" s="12">
        <v>1.0</v>
      </c>
      <c r="C302" s="12">
        <f>IF($A302="", "", IFERROR(VLOOKUP($A302, Stock_New!$A:$M, 4, FALSE), ""))</f>
        <v>150</v>
      </c>
      <c r="D302" s="12">
        <f>IF($A302="", "", IFERROR(VLOOKUP($A302, Stock_New!$A:$M, 6, FALSE), ""))</f>
        <v>180</v>
      </c>
      <c r="E302" s="12">
        <f t="shared" si="1"/>
        <v>30</v>
      </c>
      <c r="F302" s="12">
        <f t="shared" si="2"/>
        <v>30</v>
      </c>
      <c r="G302" s="18"/>
    </row>
    <row r="303" ht="22.5" customHeight="1">
      <c r="A303" s="12" t="s">
        <v>363</v>
      </c>
      <c r="B303" s="12">
        <v>1.8888888888888893</v>
      </c>
      <c r="C303" s="12">
        <f>IF($A303="", "", IFERROR(VLOOKUP($A303, Stock_New!$A:$M, 4, FALSE), ""))</f>
        <v>110</v>
      </c>
      <c r="D303" s="12">
        <f>IF($A303="", "", IFERROR(VLOOKUP($A303, Stock_New!$A:$M, 6, FALSE), ""))</f>
        <v>132</v>
      </c>
      <c r="E303" s="12">
        <f t="shared" si="1"/>
        <v>22</v>
      </c>
      <c r="F303" s="12">
        <f t="shared" si="2"/>
        <v>41.55555556</v>
      </c>
      <c r="G303" s="18"/>
    </row>
    <row r="304" ht="22.5" customHeight="1">
      <c r="A304" s="12" t="s">
        <v>1124</v>
      </c>
      <c r="B304" s="12">
        <v>4.0</v>
      </c>
      <c r="C304" s="12" t="str">
        <f>IF($A304="", "", IFERROR(VLOOKUP($A304, Stock_New!$A:$M, 4, FALSE), ""))</f>
        <v/>
      </c>
      <c r="D304" s="12" t="str">
        <f>IF($A304="", "", IFERROR(VLOOKUP($A304, Stock_New!$A:$M, 6, FALSE), ""))</f>
        <v/>
      </c>
      <c r="E304" s="12">
        <f t="shared" si="1"/>
        <v>0</v>
      </c>
      <c r="F304" s="12">
        <f t="shared" si="2"/>
        <v>0</v>
      </c>
      <c r="G304" s="18"/>
    </row>
    <row r="305" ht="22.5" customHeight="1">
      <c r="A305" s="12" t="s">
        <v>395</v>
      </c>
      <c r="B305" s="12">
        <v>2.4166666666666665</v>
      </c>
      <c r="C305" s="12">
        <f>IF($A305="", "", IFERROR(VLOOKUP($A305, Stock_New!$A:$M, 4, FALSE), ""))</f>
        <v>50</v>
      </c>
      <c r="D305" s="12">
        <f>IF($A305="", "", IFERROR(VLOOKUP($A305, Stock_New!$A:$M, 6, FALSE), ""))</f>
        <v>60</v>
      </c>
      <c r="E305" s="12">
        <f t="shared" si="1"/>
        <v>10</v>
      </c>
      <c r="F305" s="12">
        <f t="shared" si="2"/>
        <v>24.16666667</v>
      </c>
      <c r="G305" s="18"/>
    </row>
    <row r="306" ht="22.5" customHeight="1">
      <c r="A306" s="12" t="s">
        <v>1129</v>
      </c>
      <c r="B306" s="12">
        <v>3.0</v>
      </c>
      <c r="C306" s="12">
        <f>IF($A306="", "", IFERROR(VLOOKUP($A306, Stock_New!$A:$M, 4, FALSE), ""))</f>
        <v>8</v>
      </c>
      <c r="D306" s="12">
        <f>IF($A306="", "", IFERROR(VLOOKUP($A306, Stock_New!$A:$M, 6, FALSE), ""))</f>
        <v>9.6</v>
      </c>
      <c r="E306" s="12">
        <f t="shared" si="1"/>
        <v>1.6</v>
      </c>
      <c r="F306" s="12">
        <f t="shared" si="2"/>
        <v>4.8</v>
      </c>
      <c r="G306" s="18"/>
    </row>
    <row r="307" ht="22.5" customHeight="1">
      <c r="A307" s="12" t="s">
        <v>111</v>
      </c>
      <c r="B307" s="12">
        <v>2.0</v>
      </c>
      <c r="C307" s="12">
        <f>IF($A307="", "", IFERROR(VLOOKUP($A307, Stock_New!$A:$M, 4, FALSE), ""))</f>
        <v>200</v>
      </c>
      <c r="D307" s="12">
        <f>IF($A307="", "", IFERROR(VLOOKUP($A307, Stock_New!$A:$M, 6, FALSE), ""))</f>
        <v>240</v>
      </c>
      <c r="E307" s="12">
        <f t="shared" si="1"/>
        <v>40</v>
      </c>
      <c r="F307" s="12">
        <f t="shared" si="2"/>
        <v>80</v>
      </c>
      <c r="G307" s="18"/>
    </row>
    <row r="308" ht="22.5" customHeight="1">
      <c r="A308" s="12" t="s">
        <v>982</v>
      </c>
      <c r="B308" s="12">
        <v>3.0</v>
      </c>
      <c r="C308" s="12">
        <f>IF($A308="", "", IFERROR(VLOOKUP($A308, Stock_New!$A:$M, 4, FALSE), ""))</f>
        <v>125</v>
      </c>
      <c r="D308" s="12">
        <f>IF($A308="", "", IFERROR(VLOOKUP($A308, Stock_New!$A:$M, 6, FALSE), ""))</f>
        <v>150</v>
      </c>
      <c r="E308" s="12">
        <f t="shared" si="1"/>
        <v>25</v>
      </c>
      <c r="F308" s="12">
        <f t="shared" si="2"/>
        <v>75</v>
      </c>
      <c r="G308" s="18"/>
    </row>
    <row r="309" ht="22.5" customHeight="1">
      <c r="A309" s="12" t="s">
        <v>599</v>
      </c>
      <c r="B309" s="12">
        <v>2.0</v>
      </c>
      <c r="C309" s="12">
        <f>IF($A309="", "", IFERROR(VLOOKUP($A309, Stock_New!$A:$M, 4, FALSE), ""))</f>
        <v>125</v>
      </c>
      <c r="D309" s="12">
        <f>IF($A309="", "", IFERROR(VLOOKUP($A309, Stock_New!$A:$M, 6, FALSE), ""))</f>
        <v>150</v>
      </c>
      <c r="E309" s="12">
        <f t="shared" si="1"/>
        <v>25</v>
      </c>
      <c r="F309" s="12">
        <f t="shared" si="2"/>
        <v>50</v>
      </c>
      <c r="G309" s="18"/>
    </row>
    <row r="310" ht="22.5" customHeight="1">
      <c r="A310" s="12" t="s">
        <v>649</v>
      </c>
      <c r="B310" s="12">
        <v>1.0</v>
      </c>
      <c r="C310" s="12">
        <f>IF($A310="", "", IFERROR(VLOOKUP($A310, Stock_New!$A:$M, 4, FALSE), ""))</f>
        <v>166</v>
      </c>
      <c r="D310" s="12">
        <f>IF($A310="", "", IFERROR(VLOOKUP($A310, Stock_New!$A:$M, 6, FALSE), ""))</f>
        <v>199.2</v>
      </c>
      <c r="E310" s="12">
        <f t="shared" si="1"/>
        <v>33.2</v>
      </c>
      <c r="F310" s="12">
        <f t="shared" si="2"/>
        <v>33.2</v>
      </c>
      <c r="G310" s="18"/>
    </row>
    <row r="311" ht="22.5" customHeight="1">
      <c r="A311" s="12" t="s">
        <v>893</v>
      </c>
      <c r="B311" s="12">
        <v>1.0</v>
      </c>
      <c r="C311" s="12">
        <f>IF($A311="", "", IFERROR(VLOOKUP($A311, Stock_New!$A:$M, 4, FALSE), ""))</f>
        <v>135</v>
      </c>
      <c r="D311" s="12">
        <f>IF($A311="", "", IFERROR(VLOOKUP($A311, Stock_New!$A:$M, 6, FALSE), ""))</f>
        <v>162</v>
      </c>
      <c r="E311" s="12">
        <f t="shared" si="1"/>
        <v>27</v>
      </c>
      <c r="F311" s="12">
        <f t="shared" si="2"/>
        <v>27</v>
      </c>
      <c r="G311" s="18"/>
    </row>
    <row r="312" ht="22.5" customHeight="1">
      <c r="A312" s="12" t="s">
        <v>1087</v>
      </c>
      <c r="B312" s="12">
        <v>10.0</v>
      </c>
      <c r="C312" s="12">
        <f>IF($A312="", "", IFERROR(VLOOKUP($A312, Stock_New!$A:$M, 4, FALSE), ""))</f>
        <v>11</v>
      </c>
      <c r="D312" s="12">
        <f>IF($A312="", "", IFERROR(VLOOKUP($A312, Stock_New!$A:$M, 6, FALSE), ""))</f>
        <v>13.2</v>
      </c>
      <c r="E312" s="12">
        <f t="shared" si="1"/>
        <v>2.2</v>
      </c>
      <c r="F312" s="12">
        <f t="shared" si="2"/>
        <v>22</v>
      </c>
      <c r="G312" s="18"/>
    </row>
    <row r="313" ht="22.5" customHeight="1">
      <c r="A313" s="12" t="s">
        <v>1146</v>
      </c>
      <c r="B313" s="12">
        <v>7.0</v>
      </c>
      <c r="C313" s="12">
        <f>IF($A313="", "", IFERROR(VLOOKUP($A313, Stock_New!$A:$M, 4, FALSE), ""))</f>
        <v>17.5</v>
      </c>
      <c r="D313" s="12">
        <f>IF($A313="", "", IFERROR(VLOOKUP($A313, Stock_New!$A:$M, 6, FALSE), ""))</f>
        <v>21</v>
      </c>
      <c r="E313" s="12">
        <f t="shared" si="1"/>
        <v>3.5</v>
      </c>
      <c r="F313" s="12">
        <f t="shared" si="2"/>
        <v>24.5</v>
      </c>
      <c r="G313" s="18"/>
    </row>
    <row r="314" ht="22.5" customHeight="1">
      <c r="A314" s="12" t="s">
        <v>997</v>
      </c>
      <c r="B314" s="12">
        <v>1.0</v>
      </c>
      <c r="C314" s="12">
        <f>IF($A314="", "", IFERROR(VLOOKUP($A314, Stock_New!$A:$M, 4, FALSE), ""))</f>
        <v>112</v>
      </c>
      <c r="D314" s="12">
        <f>IF($A314="", "", IFERROR(VLOOKUP($A314, Stock_New!$A:$M, 6, FALSE), ""))</f>
        <v>134.4</v>
      </c>
      <c r="E314" s="12">
        <f t="shared" si="1"/>
        <v>22.4</v>
      </c>
      <c r="F314" s="12">
        <f t="shared" si="2"/>
        <v>22.4</v>
      </c>
      <c r="G314" s="18"/>
    </row>
    <row r="315" ht="22.5" customHeight="1">
      <c r="A315" s="12" t="s">
        <v>1152</v>
      </c>
      <c r="B315" s="12">
        <v>3.0</v>
      </c>
      <c r="C315" s="12">
        <f>IF($A315="", "", IFERROR(VLOOKUP($A315, Stock_New!$A:$M, 4, FALSE), ""))</f>
        <v>15</v>
      </c>
      <c r="D315" s="12">
        <f>IF($A315="", "", IFERROR(VLOOKUP($A315, Stock_New!$A:$M, 6, FALSE), ""))</f>
        <v>18</v>
      </c>
      <c r="E315" s="12">
        <f t="shared" si="1"/>
        <v>3</v>
      </c>
      <c r="F315" s="12">
        <f t="shared" si="2"/>
        <v>9</v>
      </c>
      <c r="G315" s="18"/>
    </row>
    <row r="316">
      <c r="A316" s="3" t="s">
        <v>1155</v>
      </c>
      <c r="B316" s="3">
        <v>3.0</v>
      </c>
      <c r="G316" s="102"/>
    </row>
    <row r="317">
      <c r="A317" s="3" t="s">
        <v>1156</v>
      </c>
      <c r="B317" s="3">
        <v>30.0</v>
      </c>
      <c r="G317" s="102"/>
    </row>
    <row r="318">
      <c r="A318" s="3" t="s">
        <v>1073</v>
      </c>
      <c r="B318" s="3">
        <v>2.0</v>
      </c>
      <c r="G318" s="102"/>
    </row>
    <row r="319">
      <c r="A319" s="3" t="s">
        <v>1157</v>
      </c>
      <c r="B319" s="3">
        <v>2.0</v>
      </c>
      <c r="G319" s="102"/>
    </row>
    <row r="320">
      <c r="A320" s="3" t="s">
        <v>196</v>
      </c>
      <c r="B320" s="3">
        <v>1.0</v>
      </c>
      <c r="G320" s="102"/>
    </row>
    <row r="321">
      <c r="A321" s="3" t="s">
        <v>735</v>
      </c>
      <c r="B321" s="3">
        <v>1.0</v>
      </c>
      <c r="G321" s="102"/>
    </row>
    <row r="322">
      <c r="A322" s="3" t="s">
        <v>769</v>
      </c>
      <c r="B322" s="3">
        <v>1.0</v>
      </c>
      <c r="G322" s="102"/>
    </row>
    <row r="323">
      <c r="A323" s="3" t="s">
        <v>480</v>
      </c>
      <c r="B323" s="3">
        <v>2.0</v>
      </c>
      <c r="G323" s="102"/>
    </row>
    <row r="324">
      <c r="A324" s="3" t="s">
        <v>590</v>
      </c>
      <c r="B324" s="3">
        <v>6.0</v>
      </c>
      <c r="G324" s="102"/>
    </row>
    <row r="325">
      <c r="A325" s="3" t="s">
        <v>872</v>
      </c>
      <c r="B325" s="3">
        <v>1.0</v>
      </c>
      <c r="G325" s="102"/>
    </row>
    <row r="326">
      <c r="A326" s="3" t="s">
        <v>1030</v>
      </c>
      <c r="B326" s="3">
        <v>1.0</v>
      </c>
      <c r="G326" s="102"/>
    </row>
    <row r="327">
      <c r="A327" s="3" t="s">
        <v>563</v>
      </c>
      <c r="B327" s="3">
        <v>1.0</v>
      </c>
      <c r="G327" s="102"/>
    </row>
    <row r="328">
      <c r="A328" s="3" t="s">
        <v>583</v>
      </c>
      <c r="B328" s="3">
        <v>1.0</v>
      </c>
      <c r="G328" s="102"/>
    </row>
    <row r="329">
      <c r="A329" s="3" t="s">
        <v>336</v>
      </c>
      <c r="B329" s="3">
        <v>10.0</v>
      </c>
      <c r="G329" s="102"/>
    </row>
    <row r="330">
      <c r="A330" s="3" t="s">
        <v>402</v>
      </c>
      <c r="B330" s="3">
        <v>1.0</v>
      </c>
      <c r="G330" s="102"/>
    </row>
    <row r="331">
      <c r="A331" s="3" t="s">
        <v>1159</v>
      </c>
      <c r="B331" s="3">
        <v>1.0</v>
      </c>
      <c r="G331" s="102"/>
    </row>
    <row r="332">
      <c r="A332" s="3" t="s">
        <v>200</v>
      </c>
      <c r="B332" s="3">
        <v>3.0</v>
      </c>
      <c r="G332" s="102"/>
    </row>
    <row r="333">
      <c r="A333" s="3" t="s">
        <v>193</v>
      </c>
      <c r="B333" s="3">
        <v>1.0</v>
      </c>
      <c r="G333" s="102"/>
    </row>
    <row r="334">
      <c r="A334" s="3" t="s">
        <v>1006</v>
      </c>
      <c r="B334" s="3">
        <v>5.0</v>
      </c>
      <c r="G334" s="102"/>
    </row>
    <row r="335">
      <c r="A335" s="3" t="s">
        <v>1160</v>
      </c>
      <c r="B335" s="3">
        <v>1.0</v>
      </c>
      <c r="G335" s="102"/>
    </row>
    <row r="336">
      <c r="A336" s="3" t="s">
        <v>1161</v>
      </c>
      <c r="B336" s="3">
        <v>10.0</v>
      </c>
      <c r="G336" s="102"/>
    </row>
    <row r="337">
      <c r="A337" s="3" t="s">
        <v>1162</v>
      </c>
      <c r="B337" s="3">
        <v>6.0</v>
      </c>
      <c r="G337" s="102"/>
    </row>
    <row r="338">
      <c r="A338" s="3" t="s">
        <v>120</v>
      </c>
      <c r="B338" s="3">
        <v>1.0</v>
      </c>
      <c r="G338" s="102"/>
    </row>
    <row r="339">
      <c r="A339" s="3" t="s">
        <v>670</v>
      </c>
      <c r="B339" s="3">
        <v>15.0</v>
      </c>
      <c r="G339" s="102"/>
    </row>
    <row r="340">
      <c r="A340" s="3" t="s">
        <v>674</v>
      </c>
      <c r="B340" s="3">
        <v>1.0</v>
      </c>
      <c r="G340" s="102"/>
    </row>
    <row r="341">
      <c r="A341" s="3" t="s">
        <v>711</v>
      </c>
      <c r="B341" s="3">
        <v>1.0</v>
      </c>
      <c r="G341" s="102"/>
    </row>
    <row r="342">
      <c r="A342" s="3" t="s">
        <v>1163</v>
      </c>
      <c r="B342" s="3">
        <v>2.2777777777777777</v>
      </c>
      <c r="G342" s="102"/>
    </row>
    <row r="343">
      <c r="A343" s="3" t="s">
        <v>1126</v>
      </c>
      <c r="B343" s="3">
        <v>1.0</v>
      </c>
      <c r="G343" s="102"/>
    </row>
    <row r="344">
      <c r="A344" s="3" t="s">
        <v>479</v>
      </c>
      <c r="B344" s="3">
        <v>1.0</v>
      </c>
      <c r="G344" s="102"/>
    </row>
    <row r="345">
      <c r="A345" s="3" t="s">
        <v>930</v>
      </c>
      <c r="B345" s="3">
        <v>8.0</v>
      </c>
      <c r="G345" s="102"/>
    </row>
    <row r="346">
      <c r="A346" s="3" t="s">
        <v>445</v>
      </c>
      <c r="B346" s="3">
        <v>1.0</v>
      </c>
      <c r="G346" s="102"/>
    </row>
    <row r="347">
      <c r="A347" s="3" t="s">
        <v>1166</v>
      </c>
      <c r="B347" s="3">
        <v>2.0</v>
      </c>
      <c r="G347" s="102"/>
    </row>
    <row r="348">
      <c r="A348" s="3" t="s">
        <v>381</v>
      </c>
      <c r="B348" s="3">
        <v>1.0</v>
      </c>
      <c r="G348" s="102"/>
    </row>
    <row r="349">
      <c r="A349" s="3" t="s">
        <v>211</v>
      </c>
      <c r="B349" s="3">
        <v>1.0</v>
      </c>
      <c r="G349" s="102"/>
    </row>
    <row r="350">
      <c r="A350" s="3" t="s">
        <v>1167</v>
      </c>
      <c r="B350" s="3">
        <v>1.0</v>
      </c>
      <c r="G350" s="102"/>
    </row>
    <row r="351">
      <c r="A351" s="3" t="s">
        <v>1168</v>
      </c>
      <c r="B351" s="3">
        <v>3.0</v>
      </c>
      <c r="G351" s="102"/>
    </row>
    <row r="352">
      <c r="A352" s="3" t="s">
        <v>117</v>
      </c>
      <c r="B352" s="3">
        <v>1.0</v>
      </c>
      <c r="G352" s="102"/>
    </row>
    <row r="353">
      <c r="A353" s="3" t="s">
        <v>718</v>
      </c>
      <c r="B353" s="3">
        <v>1.0</v>
      </c>
      <c r="G353" s="102"/>
    </row>
    <row r="354">
      <c r="A354" s="3" t="s">
        <v>722</v>
      </c>
      <c r="B354" s="3">
        <v>1.0</v>
      </c>
      <c r="G354" s="102"/>
    </row>
    <row r="355">
      <c r="A355" s="3" t="s">
        <v>609</v>
      </c>
      <c r="B355" s="3">
        <v>2.0</v>
      </c>
      <c r="G355" s="102"/>
    </row>
    <row r="356">
      <c r="A356" s="3" t="s">
        <v>781</v>
      </c>
      <c r="B356" s="3">
        <v>1.0</v>
      </c>
      <c r="G356" s="102"/>
    </row>
    <row r="357">
      <c r="A357" s="3" t="s">
        <v>360</v>
      </c>
      <c r="B357" s="3">
        <v>1.0</v>
      </c>
      <c r="G357" s="102"/>
    </row>
    <row r="358">
      <c r="A358" s="3" t="s">
        <v>252</v>
      </c>
      <c r="B358" s="3">
        <v>22.0</v>
      </c>
      <c r="G358" s="102"/>
    </row>
    <row r="359">
      <c r="A359" s="3" t="s">
        <v>737</v>
      </c>
      <c r="B359" s="3">
        <v>1.0</v>
      </c>
      <c r="G359" s="102"/>
    </row>
    <row r="360">
      <c r="A360" s="3" t="s">
        <v>1050</v>
      </c>
      <c r="B360" s="3">
        <v>1.0</v>
      </c>
      <c r="G360" s="102"/>
    </row>
    <row r="361">
      <c r="A361" s="3" t="s">
        <v>1121</v>
      </c>
      <c r="B361" s="3">
        <v>1.0</v>
      </c>
      <c r="G361" s="102"/>
    </row>
    <row r="362">
      <c r="A362" s="3" t="s">
        <v>1170</v>
      </c>
      <c r="B362" s="3">
        <v>1.0</v>
      </c>
      <c r="G362" s="102"/>
    </row>
    <row r="363">
      <c r="A363" s="3" t="s">
        <v>776</v>
      </c>
      <c r="B363" s="3">
        <v>1.0</v>
      </c>
      <c r="G363" s="102"/>
    </row>
    <row r="364">
      <c r="A364" s="3" t="s">
        <v>303</v>
      </c>
      <c r="B364" s="3">
        <v>5.0</v>
      </c>
      <c r="G364" s="102"/>
    </row>
    <row r="365">
      <c r="A365" s="3" t="s">
        <v>635</v>
      </c>
      <c r="B365" s="3">
        <v>1.0</v>
      </c>
      <c r="G365" s="102"/>
    </row>
    <row r="366">
      <c r="A366" s="3" t="s">
        <v>1123</v>
      </c>
      <c r="B366" s="3">
        <v>1.0</v>
      </c>
      <c r="G366" s="102"/>
    </row>
    <row r="367">
      <c r="A367" s="3" t="s">
        <v>683</v>
      </c>
      <c r="B367" s="3">
        <v>1.0</v>
      </c>
      <c r="G367" s="102"/>
    </row>
    <row r="368">
      <c r="A368" s="3" t="s">
        <v>482</v>
      </c>
      <c r="B368" s="3">
        <v>3.0</v>
      </c>
      <c r="G368" s="102"/>
    </row>
    <row r="369">
      <c r="A369" s="3" t="s">
        <v>920</v>
      </c>
      <c r="B369" s="3">
        <v>3.0</v>
      </c>
      <c r="G369" s="102"/>
    </row>
    <row r="370">
      <c r="A370" s="3" t="s">
        <v>1151</v>
      </c>
      <c r="B370" s="3">
        <v>2.0</v>
      </c>
      <c r="G370" s="102"/>
    </row>
    <row r="371">
      <c r="A371" s="3" t="s">
        <v>792</v>
      </c>
      <c r="B371" s="3">
        <v>1.0</v>
      </c>
      <c r="G371" s="102"/>
    </row>
    <row r="372">
      <c r="A372" s="3" t="s">
        <v>1063</v>
      </c>
      <c r="B372" s="3">
        <v>1.0</v>
      </c>
      <c r="G372" s="102"/>
    </row>
    <row r="373">
      <c r="A373" s="3" t="s">
        <v>222</v>
      </c>
      <c r="B373" s="3">
        <v>1.0</v>
      </c>
      <c r="G373" s="102"/>
    </row>
    <row r="374">
      <c r="A374" s="3" t="s">
        <v>749</v>
      </c>
      <c r="B374" s="3">
        <v>2.0</v>
      </c>
      <c r="G374" s="102"/>
    </row>
    <row r="375">
      <c r="A375" s="3" t="s">
        <v>652</v>
      </c>
      <c r="B375" s="3">
        <v>1.0</v>
      </c>
      <c r="G375" s="102"/>
    </row>
    <row r="376">
      <c r="A376" s="3" t="s">
        <v>619</v>
      </c>
      <c r="B376" s="3">
        <v>0.5</v>
      </c>
      <c r="G376" s="102"/>
    </row>
    <row r="377">
      <c r="A377" s="3" t="s">
        <v>1173</v>
      </c>
      <c r="B377" s="3">
        <v>3.6</v>
      </c>
      <c r="G377" s="102"/>
    </row>
    <row r="378">
      <c r="A378" s="3" t="s">
        <v>803</v>
      </c>
      <c r="B378" s="3">
        <v>1.0</v>
      </c>
      <c r="G378" s="102"/>
    </row>
    <row r="379">
      <c r="A379" s="3" t="s">
        <v>1067</v>
      </c>
      <c r="B379" s="3">
        <v>0.6111111111111112</v>
      </c>
      <c r="G379" s="102"/>
    </row>
    <row r="380">
      <c r="A380" s="3" t="s">
        <v>298</v>
      </c>
      <c r="B380" s="3">
        <v>1.0</v>
      </c>
      <c r="G380" s="102"/>
    </row>
    <row r="381">
      <c r="A381" s="3" t="s">
        <v>1174</v>
      </c>
      <c r="B381" s="3">
        <v>1.0</v>
      </c>
      <c r="G381" s="102"/>
    </row>
    <row r="382">
      <c r="A382" s="3" t="s">
        <v>142</v>
      </c>
      <c r="B382" s="3">
        <v>1.0</v>
      </c>
      <c r="G382" s="102"/>
    </row>
    <row r="383">
      <c r="A383" s="3" t="s">
        <v>151</v>
      </c>
      <c r="B383" s="3">
        <v>1.0</v>
      </c>
      <c r="G383" s="102"/>
    </row>
    <row r="384">
      <c r="A384" s="3" t="s">
        <v>1175</v>
      </c>
      <c r="B384" s="3">
        <v>0.5</v>
      </c>
      <c r="G384" s="102"/>
    </row>
    <row r="385">
      <c r="A385" s="3" t="s">
        <v>1176</v>
      </c>
      <c r="B385" s="3">
        <v>1.0</v>
      </c>
      <c r="G385" s="102"/>
    </row>
    <row r="386">
      <c r="B386" s="3" t="s">
        <v>503</v>
      </c>
      <c r="G386" s="102"/>
    </row>
    <row r="387">
      <c r="B387" s="3" t="s">
        <v>503</v>
      </c>
      <c r="G387" s="102"/>
    </row>
    <row r="388">
      <c r="B388" s="3" t="s">
        <v>503</v>
      </c>
      <c r="G388" s="102"/>
    </row>
    <row r="389">
      <c r="B389" s="3" t="s">
        <v>503</v>
      </c>
      <c r="G389" s="102"/>
    </row>
    <row r="390">
      <c r="B390" s="3" t="s">
        <v>503</v>
      </c>
      <c r="G390" s="102"/>
    </row>
    <row r="391">
      <c r="B391" s="3" t="s">
        <v>503</v>
      </c>
      <c r="G391" s="102"/>
    </row>
    <row r="392">
      <c r="B392" s="3" t="s">
        <v>503</v>
      </c>
      <c r="G392" s="102"/>
    </row>
    <row r="393">
      <c r="B393" s="3" t="s">
        <v>503</v>
      </c>
      <c r="G393" s="102"/>
    </row>
    <row r="394">
      <c r="B394" s="3" t="s">
        <v>503</v>
      </c>
      <c r="G394" s="102"/>
    </row>
    <row r="395">
      <c r="B395" s="3" t="s">
        <v>503</v>
      </c>
      <c r="G395" s="102"/>
    </row>
    <row r="396">
      <c r="B396" s="3" t="s">
        <v>503</v>
      </c>
      <c r="G396" s="102"/>
    </row>
    <row r="397">
      <c r="B397" s="3" t="s">
        <v>503</v>
      </c>
      <c r="G397" s="102"/>
    </row>
    <row r="398">
      <c r="B398" s="3" t="s">
        <v>503</v>
      </c>
      <c r="G398" s="102"/>
    </row>
    <row r="399">
      <c r="B399" s="3" t="s">
        <v>503</v>
      </c>
      <c r="G399" s="102"/>
    </row>
    <row r="400">
      <c r="B400" s="3" t="s">
        <v>503</v>
      </c>
      <c r="G400" s="102"/>
    </row>
  </sheetData>
  <drawing ns1:id="rId1"/>
  <tableParts count="1">
    <tablePart ns1:id="rId3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15.5"/>
    <col customWidth="1" min="3" max="3" width="15.0"/>
    <col customWidth="1" min="4" max="4" width="22.5"/>
    <col customWidth="1" min="5" max="5" width="14.88"/>
    <col customWidth="1" min="6" max="6" width="20.63"/>
    <col customWidth="1" min="7" max="7" width="14.0"/>
    <col customWidth="1" min="8" max="8" width="19.63"/>
    <col customWidth="1" min="9" max="9" width="15.0"/>
    <col customWidth="1" min="10" max="10" width="20.25"/>
    <col customWidth="1" min="11" max="11" width="17.38"/>
    <col customWidth="1" min="12" max="12" width="22.75"/>
    <col customWidth="1" min="13" max="13" width="20.88"/>
    <col customWidth="1" min="14" max="14" width="20.5"/>
  </cols>
  <sheetData>
    <row r="1" ht="22.5" customHeight="1">
      <c r="A1" s="5" t="s">
        <v>5</v>
      </c>
      <c r="B1" s="6" t="s">
        <v>9</v>
      </c>
      <c r="C1" s="6" t="s">
        <v>11</v>
      </c>
      <c r="D1" s="6" t="s">
        <v>13</v>
      </c>
      <c r="E1" s="8" t="s">
        <v>15</v>
      </c>
      <c r="F1" s="6" t="s">
        <v>18</v>
      </c>
      <c r="G1" s="6" t="s">
        <v>21</v>
      </c>
      <c r="H1" s="6" t="s">
        <v>23</v>
      </c>
      <c r="I1" s="6" t="s">
        <v>24</v>
      </c>
      <c r="J1" s="6" t="s">
        <v>25</v>
      </c>
      <c r="K1" s="6" t="s">
        <v>26</v>
      </c>
      <c r="L1" s="5" t="s">
        <v>27</v>
      </c>
      <c r="M1" s="5" t="s">
        <v>20</v>
      </c>
    </row>
    <row r="2" ht="22.5" customHeight="1">
      <c r="A2" s="10" t="s">
        <v>28</v>
      </c>
      <c r="B2" s="10" t="s">
        <v>30</v>
      </c>
      <c r="C2" s="10" t="s">
        <v>31</v>
      </c>
      <c r="D2" s="8">
        <v>1599.0</v>
      </c>
      <c r="E2" s="8">
        <v>1.0</v>
      </c>
      <c r="F2" s="13">
        <v>1918.8</v>
      </c>
      <c r="G2" s="14">
        <v>45856.0</v>
      </c>
      <c r="H2" s="13">
        <v>1.0</v>
      </c>
      <c r="I2" s="13">
        <v>0.0</v>
      </c>
      <c r="J2" s="13">
        <v>1599.0</v>
      </c>
      <c r="K2" s="13">
        <v>0.0</v>
      </c>
      <c r="L2" s="15"/>
      <c r="M2" s="17">
        <v>1599.0</v>
      </c>
    </row>
    <row r="3" ht="22.5" customHeight="1">
      <c r="A3" s="10" t="s">
        <v>32</v>
      </c>
      <c r="B3" s="10" t="s">
        <v>30</v>
      </c>
      <c r="C3" s="10" t="s">
        <v>31</v>
      </c>
      <c r="D3" s="8">
        <v>1599.0</v>
      </c>
      <c r="E3" s="8">
        <v>1.0</v>
      </c>
      <c r="F3" s="13">
        <v>1918.8</v>
      </c>
      <c r="G3" s="14">
        <v>45856.0</v>
      </c>
      <c r="H3" s="13">
        <v>1.0</v>
      </c>
      <c r="I3" s="13">
        <v>0.0</v>
      </c>
      <c r="J3" s="13">
        <v>1599.0</v>
      </c>
      <c r="K3" s="13">
        <v>0.0</v>
      </c>
      <c r="L3" s="15"/>
      <c r="M3" s="17">
        <v>1599.0</v>
      </c>
    </row>
    <row r="4" ht="22.5" customHeight="1">
      <c r="A4" s="10" t="s">
        <v>33</v>
      </c>
      <c r="B4" s="10" t="s">
        <v>30</v>
      </c>
      <c r="C4" s="10" t="s">
        <v>31</v>
      </c>
      <c r="D4" s="8">
        <v>1499.0</v>
      </c>
      <c r="E4" s="8">
        <v>1.0</v>
      </c>
      <c r="F4" s="13">
        <v>1798.8</v>
      </c>
      <c r="G4" s="14">
        <v>45856.0</v>
      </c>
      <c r="H4" s="13">
        <v>1.0</v>
      </c>
      <c r="I4" s="13">
        <v>0.0</v>
      </c>
      <c r="J4" s="13">
        <v>1499.0</v>
      </c>
      <c r="K4" s="13">
        <v>0.0</v>
      </c>
      <c r="L4" s="15"/>
      <c r="M4" s="17">
        <v>1499.0</v>
      </c>
    </row>
    <row r="5" ht="22.5" customHeight="1">
      <c r="A5" s="10" t="s">
        <v>35</v>
      </c>
      <c r="B5" s="10" t="s">
        <v>30</v>
      </c>
      <c r="C5" s="10" t="s">
        <v>31</v>
      </c>
      <c r="D5" s="8">
        <v>1499.0</v>
      </c>
      <c r="E5" s="8">
        <v>0.0</v>
      </c>
      <c r="F5" s="13">
        <v>1798.8</v>
      </c>
      <c r="G5" s="14">
        <v>46090.0</v>
      </c>
      <c r="H5" s="13">
        <v>1.0</v>
      </c>
      <c r="I5" s="13">
        <v>1.0</v>
      </c>
      <c r="J5" s="13">
        <v>1499.0</v>
      </c>
      <c r="K5" s="13">
        <v>1500.0</v>
      </c>
      <c r="L5" s="15"/>
      <c r="M5" s="17">
        <v>0.0</v>
      </c>
    </row>
    <row r="6" ht="22.5" customHeight="1">
      <c r="A6" s="10" t="s">
        <v>37</v>
      </c>
      <c r="B6" s="10" t="s">
        <v>30</v>
      </c>
      <c r="C6" s="10" t="s">
        <v>31</v>
      </c>
      <c r="D6" s="8">
        <v>1399.0</v>
      </c>
      <c r="E6" s="8">
        <v>2.0</v>
      </c>
      <c r="F6" s="13">
        <v>1678.8</v>
      </c>
      <c r="G6" s="14">
        <v>45856.0</v>
      </c>
      <c r="H6" s="13">
        <v>2.0</v>
      </c>
      <c r="I6" s="13">
        <v>0.0</v>
      </c>
      <c r="J6" s="13">
        <v>2798.0</v>
      </c>
      <c r="K6" s="13">
        <v>0.0</v>
      </c>
      <c r="L6" s="15"/>
      <c r="M6" s="17">
        <v>2798.0</v>
      </c>
    </row>
    <row r="7" ht="22.5" customHeight="1">
      <c r="A7" s="10" t="s">
        <v>39</v>
      </c>
      <c r="B7" s="10" t="s">
        <v>30</v>
      </c>
      <c r="C7" s="10" t="s">
        <v>31</v>
      </c>
      <c r="D7" s="8">
        <v>1299.0</v>
      </c>
      <c r="E7" s="8">
        <v>1.0</v>
      </c>
      <c r="F7" s="13">
        <v>1558.8</v>
      </c>
      <c r="G7" s="14">
        <v>45856.0</v>
      </c>
      <c r="H7" s="13">
        <v>1.0</v>
      </c>
      <c r="I7" s="13">
        <v>0.0</v>
      </c>
      <c r="J7" s="13">
        <v>1299.0</v>
      </c>
      <c r="K7" s="13">
        <v>0.0</v>
      </c>
      <c r="L7" s="15"/>
      <c r="M7" s="17">
        <v>1299.0</v>
      </c>
    </row>
    <row r="8" ht="22.5" customHeight="1">
      <c r="A8" s="10" t="s">
        <v>42</v>
      </c>
      <c r="B8" s="10" t="s">
        <v>30</v>
      </c>
      <c r="C8" s="10" t="s">
        <v>31</v>
      </c>
      <c r="D8" s="8">
        <v>1299.0</v>
      </c>
      <c r="E8" s="8">
        <v>1.0</v>
      </c>
      <c r="F8" s="13">
        <v>1558.8</v>
      </c>
      <c r="G8" s="14">
        <v>45856.0</v>
      </c>
      <c r="H8" s="13">
        <v>1.0</v>
      </c>
      <c r="I8" s="13">
        <v>0.0</v>
      </c>
      <c r="J8" s="13">
        <v>1299.0</v>
      </c>
      <c r="K8" s="13">
        <v>0.0</v>
      </c>
      <c r="L8" s="15"/>
      <c r="M8" s="17">
        <v>1299.0</v>
      </c>
    </row>
    <row r="9" ht="22.5" customHeight="1">
      <c r="A9" s="10" t="s">
        <v>44</v>
      </c>
      <c r="B9" s="10" t="s">
        <v>30</v>
      </c>
      <c r="C9" s="10" t="s">
        <v>31</v>
      </c>
      <c r="D9" s="8">
        <v>1250.0</v>
      </c>
      <c r="E9" s="8">
        <v>1.0</v>
      </c>
      <c r="F9" s="13">
        <v>1500.0</v>
      </c>
      <c r="G9" s="14">
        <v>45856.0</v>
      </c>
      <c r="H9" s="13">
        <v>1.0</v>
      </c>
      <c r="I9" s="13">
        <v>0.0</v>
      </c>
      <c r="J9" s="13">
        <v>1250.0</v>
      </c>
      <c r="K9" s="13">
        <v>0.0</v>
      </c>
      <c r="L9" s="15"/>
      <c r="M9" s="17">
        <v>1250.0</v>
      </c>
    </row>
    <row r="10" ht="22.5" customHeight="1">
      <c r="A10" s="10" t="s">
        <v>47</v>
      </c>
      <c r="B10" s="10" t="s">
        <v>30</v>
      </c>
      <c r="C10" s="10" t="s">
        <v>31</v>
      </c>
      <c r="D10" s="8">
        <v>1100.0</v>
      </c>
      <c r="E10" s="8">
        <v>2.0</v>
      </c>
      <c r="F10" s="13">
        <v>1320.0</v>
      </c>
      <c r="G10" s="14">
        <v>45856.0</v>
      </c>
      <c r="H10" s="13">
        <v>2.0</v>
      </c>
      <c r="I10" s="13">
        <v>0.0</v>
      </c>
      <c r="J10" s="13">
        <v>2200.0</v>
      </c>
      <c r="K10" s="13">
        <v>0.0</v>
      </c>
      <c r="L10" s="15"/>
      <c r="M10" s="17">
        <v>2200.0</v>
      </c>
    </row>
    <row r="11" ht="22.5" customHeight="1">
      <c r="A11" s="10" t="s">
        <v>49</v>
      </c>
      <c r="B11" s="10" t="s">
        <v>50</v>
      </c>
      <c r="C11" s="10" t="s">
        <v>51</v>
      </c>
      <c r="D11" s="8">
        <v>1100.0</v>
      </c>
      <c r="E11" s="8">
        <v>1.0</v>
      </c>
      <c r="F11" s="13">
        <v>1320.0</v>
      </c>
      <c r="G11" s="14">
        <v>45987.0</v>
      </c>
      <c r="H11" s="13">
        <v>1.0</v>
      </c>
      <c r="I11" s="13">
        <v>0.0</v>
      </c>
      <c r="J11" s="13">
        <v>1100.0</v>
      </c>
      <c r="K11" s="13">
        <v>0.0</v>
      </c>
      <c r="L11" s="15"/>
      <c r="M11" s="17">
        <v>1100.0</v>
      </c>
    </row>
    <row r="12" ht="22.5" customHeight="1">
      <c r="A12" s="10" t="s">
        <v>56</v>
      </c>
      <c r="B12" s="10" t="s">
        <v>30</v>
      </c>
      <c r="C12" s="10" t="s">
        <v>31</v>
      </c>
      <c r="D12" s="8">
        <v>999.0</v>
      </c>
      <c r="E12" s="8">
        <v>1.0</v>
      </c>
      <c r="F12" s="13">
        <v>1198.8</v>
      </c>
      <c r="G12" s="14">
        <v>45856.0</v>
      </c>
      <c r="H12" s="13">
        <v>1.0</v>
      </c>
      <c r="I12" s="13">
        <v>0.0</v>
      </c>
      <c r="J12" s="13">
        <v>999.0</v>
      </c>
      <c r="K12" s="13">
        <v>0.0</v>
      </c>
      <c r="L12" s="15"/>
      <c r="M12" s="17">
        <v>999.0</v>
      </c>
    </row>
    <row r="13" ht="22.5" customHeight="1">
      <c r="A13" s="10" t="s">
        <v>65</v>
      </c>
      <c r="B13" s="10" t="s">
        <v>30</v>
      </c>
      <c r="C13" s="10" t="s">
        <v>31</v>
      </c>
      <c r="D13" s="8">
        <v>999.0</v>
      </c>
      <c r="E13" s="8">
        <v>1.0</v>
      </c>
      <c r="F13" s="13">
        <v>1198.8</v>
      </c>
      <c r="G13" s="14">
        <v>45856.0</v>
      </c>
      <c r="H13" s="13">
        <v>1.0</v>
      </c>
      <c r="I13" s="13">
        <v>0.0</v>
      </c>
      <c r="J13" s="13">
        <v>999.0</v>
      </c>
      <c r="K13" s="13">
        <v>0.0</v>
      </c>
      <c r="L13" s="15"/>
      <c r="M13" s="17">
        <v>999.0</v>
      </c>
    </row>
    <row r="14" ht="22.5" customHeight="1">
      <c r="A14" s="10" t="s">
        <v>69</v>
      </c>
      <c r="B14" s="10" t="s">
        <v>30</v>
      </c>
      <c r="C14" s="10" t="s">
        <v>31</v>
      </c>
      <c r="D14" s="8">
        <v>750.0</v>
      </c>
      <c r="E14" s="8">
        <v>1.0</v>
      </c>
      <c r="F14" s="13">
        <v>900.0</v>
      </c>
      <c r="G14" s="14">
        <v>45835.0</v>
      </c>
      <c r="H14" s="13">
        <v>1.0</v>
      </c>
      <c r="I14" s="13">
        <v>0.0</v>
      </c>
      <c r="J14" s="13">
        <v>750.0</v>
      </c>
      <c r="K14" s="13">
        <v>0.0</v>
      </c>
      <c r="L14" s="15"/>
      <c r="M14" s="17">
        <v>750.0</v>
      </c>
    </row>
    <row r="15" ht="22.5" customHeight="1">
      <c r="A15" s="10" t="s">
        <v>67</v>
      </c>
      <c r="B15" s="10" t="s">
        <v>68</v>
      </c>
      <c r="C15" s="10" t="s">
        <v>31</v>
      </c>
      <c r="D15" s="8">
        <v>725.0</v>
      </c>
      <c r="E15" s="8">
        <v>1.0</v>
      </c>
      <c r="F15" s="13">
        <v>870.0</v>
      </c>
      <c r="G15" s="14">
        <v>45812.0</v>
      </c>
      <c r="H15" s="13">
        <v>1.0</v>
      </c>
      <c r="I15" s="13">
        <v>0.0</v>
      </c>
      <c r="J15" s="13">
        <v>725.0</v>
      </c>
      <c r="K15" s="13">
        <v>0.0</v>
      </c>
      <c r="L15" s="15"/>
      <c r="M15" s="17">
        <v>725.0</v>
      </c>
    </row>
    <row r="16" ht="22.5" customHeight="1">
      <c r="A16" s="10" t="s">
        <v>75</v>
      </c>
      <c r="B16" s="10" t="s">
        <v>30</v>
      </c>
      <c r="C16" s="10" t="s">
        <v>31</v>
      </c>
      <c r="D16" s="8">
        <v>725.0</v>
      </c>
      <c r="E16" s="8">
        <v>1.0</v>
      </c>
      <c r="F16" s="13">
        <v>870.0</v>
      </c>
      <c r="G16" s="6" t="s">
        <v>72</v>
      </c>
      <c r="H16" s="13">
        <v>2.0</v>
      </c>
      <c r="I16" s="13">
        <v>1.0</v>
      </c>
      <c r="J16" s="13">
        <v>1450.0</v>
      </c>
      <c r="K16" s="13">
        <v>934.53</v>
      </c>
      <c r="L16" s="15"/>
      <c r="M16" s="17">
        <v>725.0</v>
      </c>
    </row>
    <row r="17" ht="22.5" customHeight="1">
      <c r="A17" s="10" t="s">
        <v>78</v>
      </c>
      <c r="B17" s="10" t="s">
        <v>50</v>
      </c>
      <c r="C17" s="10" t="s">
        <v>31</v>
      </c>
      <c r="D17" s="8">
        <v>725.0</v>
      </c>
      <c r="E17" s="8">
        <v>1.0</v>
      </c>
      <c r="F17" s="13">
        <v>870.0</v>
      </c>
      <c r="G17" s="14">
        <v>45812.0</v>
      </c>
      <c r="H17" s="13">
        <v>1.0</v>
      </c>
      <c r="I17" s="13">
        <v>0.0</v>
      </c>
      <c r="J17" s="13">
        <v>725.0</v>
      </c>
      <c r="K17" s="13">
        <v>0.0</v>
      </c>
      <c r="L17" s="15"/>
      <c r="M17" s="17">
        <v>725.0</v>
      </c>
    </row>
    <row r="18" ht="22.5" customHeight="1">
      <c r="A18" s="10" t="s">
        <v>81</v>
      </c>
      <c r="B18" s="10" t="s">
        <v>30</v>
      </c>
      <c r="C18" s="10" t="s">
        <v>31</v>
      </c>
      <c r="D18" s="8">
        <v>625.0</v>
      </c>
      <c r="E18" s="8">
        <v>0.0</v>
      </c>
      <c r="F18" s="13">
        <v>750.0</v>
      </c>
      <c r="G18" s="14">
        <v>45945.0</v>
      </c>
      <c r="H18" s="13">
        <v>1.0</v>
      </c>
      <c r="I18" s="13">
        <v>1.0</v>
      </c>
      <c r="J18" s="13">
        <v>625.0</v>
      </c>
      <c r="K18" s="13">
        <v>800.0</v>
      </c>
      <c r="L18" s="15"/>
      <c r="M18" s="17">
        <v>0.0</v>
      </c>
    </row>
    <row r="19" ht="22.5" customHeight="1">
      <c r="A19" s="10" t="s">
        <v>85</v>
      </c>
      <c r="B19" s="10" t="s">
        <v>30</v>
      </c>
      <c r="C19" s="10" t="s">
        <v>31</v>
      </c>
      <c r="D19" s="8">
        <v>598.33</v>
      </c>
      <c r="E19" s="8">
        <v>1.0</v>
      </c>
      <c r="F19" s="13">
        <v>718.0</v>
      </c>
      <c r="G19" s="14">
        <v>46089.0</v>
      </c>
      <c r="H19" s="13">
        <v>3.0</v>
      </c>
      <c r="I19" s="13">
        <v>2.0</v>
      </c>
      <c r="J19" s="13">
        <v>1795.0</v>
      </c>
      <c r="K19" s="13">
        <v>1524.6</v>
      </c>
      <c r="L19" s="15"/>
      <c r="M19" s="17">
        <v>598.33</v>
      </c>
    </row>
    <row r="20" ht="22.5" customHeight="1">
      <c r="A20" s="10" t="s">
        <v>88</v>
      </c>
      <c r="B20" s="10" t="s">
        <v>30</v>
      </c>
      <c r="C20" s="10" t="s">
        <v>31</v>
      </c>
      <c r="D20" s="8">
        <v>575.0</v>
      </c>
      <c r="E20" s="8">
        <v>0.0</v>
      </c>
      <c r="F20" s="13">
        <v>690.0</v>
      </c>
      <c r="G20" s="14">
        <v>45898.0</v>
      </c>
      <c r="H20" s="13">
        <v>1.0</v>
      </c>
      <c r="I20" s="13">
        <v>1.0</v>
      </c>
      <c r="J20" s="13">
        <v>575.0</v>
      </c>
      <c r="K20" s="13">
        <v>700.0</v>
      </c>
      <c r="L20" s="15"/>
      <c r="M20" s="17">
        <v>0.0</v>
      </c>
    </row>
    <row r="21" ht="22.5" customHeight="1">
      <c r="A21" s="10" t="s">
        <v>94</v>
      </c>
      <c r="B21" s="10" t="s">
        <v>50</v>
      </c>
      <c r="C21" s="10" t="s">
        <v>31</v>
      </c>
      <c r="D21" s="8">
        <v>575.0</v>
      </c>
      <c r="E21" s="8">
        <v>0.0</v>
      </c>
      <c r="F21" s="13">
        <v>690.0</v>
      </c>
      <c r="G21" s="14">
        <v>46037.85650991898</v>
      </c>
      <c r="H21" s="13">
        <v>1.0</v>
      </c>
      <c r="I21" s="13">
        <v>1.0</v>
      </c>
      <c r="J21" s="13">
        <v>575.0</v>
      </c>
      <c r="K21" s="13">
        <v>600.0</v>
      </c>
      <c r="L21" s="15"/>
      <c r="M21" s="17">
        <v>0.0</v>
      </c>
    </row>
    <row r="22" ht="22.5" customHeight="1">
      <c r="A22" s="10" t="s">
        <v>98</v>
      </c>
      <c r="B22" s="10" t="s">
        <v>50</v>
      </c>
      <c r="C22" s="10" t="s">
        <v>31</v>
      </c>
      <c r="D22" s="8">
        <v>575.0</v>
      </c>
      <c r="E22" s="8">
        <v>0.0</v>
      </c>
      <c r="F22" s="13">
        <v>690.0</v>
      </c>
      <c r="G22" s="14">
        <v>46095.936369953706</v>
      </c>
      <c r="H22" s="13">
        <v>1.0</v>
      </c>
      <c r="I22" s="13">
        <v>1.0</v>
      </c>
      <c r="J22" s="13">
        <v>575.0</v>
      </c>
      <c r="K22" s="13">
        <v>600.0</v>
      </c>
      <c r="L22" s="15"/>
      <c r="M22" s="17">
        <v>0.0</v>
      </c>
    </row>
    <row r="23" ht="22.5" customHeight="1">
      <c r="A23" s="10" t="s">
        <v>102</v>
      </c>
      <c r="B23" s="10" t="s">
        <v>50</v>
      </c>
      <c r="C23" s="10" t="s">
        <v>31</v>
      </c>
      <c r="D23" s="8">
        <v>562.5</v>
      </c>
      <c r="E23" s="8">
        <v>0.0</v>
      </c>
      <c r="F23" s="13">
        <v>675.0</v>
      </c>
      <c r="G23" s="14">
        <v>46095.93636908565</v>
      </c>
      <c r="H23" s="13">
        <v>2.0</v>
      </c>
      <c r="I23" s="13">
        <v>2.0</v>
      </c>
      <c r="J23" s="13">
        <v>1125.0</v>
      </c>
      <c r="K23" s="13">
        <v>1374.29</v>
      </c>
      <c r="L23" s="15"/>
      <c r="M23" s="17">
        <v>0.0</v>
      </c>
    </row>
    <row r="24" ht="22.5" customHeight="1">
      <c r="A24" s="10" t="s">
        <v>105</v>
      </c>
      <c r="B24" s="10" t="s">
        <v>30</v>
      </c>
      <c r="C24" s="10" t="s">
        <v>31</v>
      </c>
      <c r="D24" s="8">
        <v>525.0</v>
      </c>
      <c r="E24" s="8">
        <v>1.0</v>
      </c>
      <c r="F24" s="13">
        <v>630.0</v>
      </c>
      <c r="G24" s="14">
        <v>45835.0</v>
      </c>
      <c r="H24" s="13">
        <v>1.0</v>
      </c>
      <c r="I24" s="13">
        <v>0.0</v>
      </c>
      <c r="J24" s="13">
        <v>525.0</v>
      </c>
      <c r="K24" s="13">
        <v>0.0</v>
      </c>
      <c r="L24" s="15"/>
      <c r="M24" s="17">
        <v>525.0</v>
      </c>
    </row>
    <row r="25" ht="22.5" customHeight="1">
      <c r="A25" s="10" t="s">
        <v>108</v>
      </c>
      <c r="B25" s="10" t="s">
        <v>110</v>
      </c>
      <c r="C25" s="10" t="s">
        <v>31</v>
      </c>
      <c r="D25" s="8">
        <v>525.0</v>
      </c>
      <c r="E25" s="8">
        <v>0.0</v>
      </c>
      <c r="F25" s="13">
        <v>630.0</v>
      </c>
      <c r="G25" s="14">
        <v>45957.0</v>
      </c>
      <c r="H25" s="13">
        <v>1.0</v>
      </c>
      <c r="I25" s="13">
        <v>1.0</v>
      </c>
      <c r="J25" s="13">
        <v>525.0</v>
      </c>
      <c r="K25" s="13">
        <v>630.0</v>
      </c>
      <c r="L25" s="15"/>
      <c r="M25" s="17">
        <v>0.0</v>
      </c>
    </row>
    <row r="26" ht="22.5" customHeight="1">
      <c r="A26" s="10" t="s">
        <v>114</v>
      </c>
      <c r="B26" s="10" t="s">
        <v>50</v>
      </c>
      <c r="C26" s="10" t="s">
        <v>51</v>
      </c>
      <c r="D26" s="8">
        <v>500.0</v>
      </c>
      <c r="E26" s="8">
        <v>1.0</v>
      </c>
      <c r="F26" s="13">
        <v>600.0</v>
      </c>
      <c r="G26" s="14">
        <v>45987.0</v>
      </c>
      <c r="H26" s="13">
        <v>1.0</v>
      </c>
      <c r="I26" s="13">
        <v>0.0</v>
      </c>
      <c r="J26" s="13">
        <v>500.0</v>
      </c>
      <c r="K26" s="13">
        <v>0.0</v>
      </c>
      <c r="L26" s="15"/>
      <c r="M26" s="17">
        <v>500.0</v>
      </c>
    </row>
    <row r="27" ht="22.5" customHeight="1">
      <c r="A27" s="19" t="s">
        <v>117</v>
      </c>
      <c r="B27" s="19" t="s">
        <v>118</v>
      </c>
      <c r="C27" s="19" t="s">
        <v>119</v>
      </c>
      <c r="D27" s="33">
        <v>499.0</v>
      </c>
      <c r="E27" s="33">
        <v>0.0</v>
      </c>
      <c r="F27" s="17">
        <v>598.8</v>
      </c>
      <c r="G27" s="34">
        <v>46160.0</v>
      </c>
      <c r="H27" s="17">
        <v>1.0</v>
      </c>
      <c r="I27" s="17">
        <v>1.0</v>
      </c>
      <c r="J27" s="17">
        <v>499.0</v>
      </c>
      <c r="K27" s="17">
        <v>650.0</v>
      </c>
      <c r="L27" s="5"/>
      <c r="M27" s="17">
        <v>499.0</v>
      </c>
    </row>
    <row r="28" ht="22.5" customHeight="1">
      <c r="A28" s="10" t="s">
        <v>123</v>
      </c>
      <c r="B28" s="10" t="s">
        <v>124</v>
      </c>
      <c r="C28" s="10" t="s">
        <v>125</v>
      </c>
      <c r="D28" s="8">
        <v>490.0</v>
      </c>
      <c r="E28" s="8">
        <v>0.0</v>
      </c>
      <c r="F28" s="13">
        <v>588.0</v>
      </c>
      <c r="G28" s="14">
        <v>46100.0</v>
      </c>
      <c r="H28" s="13">
        <v>2.0</v>
      </c>
      <c r="I28" s="13">
        <v>2.0</v>
      </c>
      <c r="J28" s="13">
        <v>980.0</v>
      </c>
      <c r="K28" s="13">
        <v>1250.0</v>
      </c>
      <c r="L28" s="15"/>
      <c r="M28" s="17">
        <v>0.0</v>
      </c>
    </row>
    <row r="29" ht="22.5" customHeight="1">
      <c r="A29" s="19" t="s">
        <v>129</v>
      </c>
      <c r="B29" s="19" t="s">
        <v>118</v>
      </c>
      <c r="C29" s="19" t="s">
        <v>119</v>
      </c>
      <c r="D29" s="33">
        <v>490.0</v>
      </c>
      <c r="E29" s="33">
        <v>1.0</v>
      </c>
      <c r="F29" s="17">
        <v>588.0</v>
      </c>
      <c r="G29" s="34">
        <v>46116.0</v>
      </c>
      <c r="H29" s="17">
        <v>1.0</v>
      </c>
      <c r="I29" s="17">
        <v>0.0</v>
      </c>
      <c r="J29" s="17">
        <v>490.0</v>
      </c>
      <c r="K29" s="17">
        <v>0.0</v>
      </c>
      <c r="L29" s="5"/>
      <c r="M29" s="17">
        <v>490.0</v>
      </c>
    </row>
    <row r="30" ht="22.5" customHeight="1">
      <c r="A30" s="10" t="s">
        <v>131</v>
      </c>
      <c r="B30" s="10" t="s">
        <v>50</v>
      </c>
      <c r="C30" s="10" t="s">
        <v>31</v>
      </c>
      <c r="D30" s="8">
        <v>475.0</v>
      </c>
      <c r="E30" s="8">
        <v>1.0</v>
      </c>
      <c r="F30" s="13">
        <v>570.0</v>
      </c>
      <c r="G30" s="14">
        <v>45812.0</v>
      </c>
      <c r="H30" s="13">
        <v>1.0</v>
      </c>
      <c r="I30" s="13">
        <v>0.0</v>
      </c>
      <c r="J30" s="13">
        <v>475.0</v>
      </c>
      <c r="K30" s="13">
        <v>0.0</v>
      </c>
      <c r="L30" s="15"/>
      <c r="M30" s="17">
        <v>475.0</v>
      </c>
    </row>
    <row r="31" ht="22.5" customHeight="1">
      <c r="A31" s="10" t="s">
        <v>135</v>
      </c>
      <c r="B31" s="10" t="s">
        <v>30</v>
      </c>
      <c r="C31" s="10" t="s">
        <v>136</v>
      </c>
      <c r="D31" s="8">
        <v>450.0</v>
      </c>
      <c r="E31" s="8">
        <v>12.0</v>
      </c>
      <c r="F31" s="13">
        <v>540.0</v>
      </c>
      <c r="G31" s="14">
        <v>45979.0</v>
      </c>
      <c r="H31" s="13">
        <v>12.0</v>
      </c>
      <c r="I31" s="13">
        <v>0.0</v>
      </c>
      <c r="J31" s="13">
        <v>5400.0</v>
      </c>
      <c r="K31" s="13">
        <v>0.0</v>
      </c>
      <c r="L31" s="15"/>
      <c r="M31" s="17">
        <v>5400.0</v>
      </c>
    </row>
    <row r="32" ht="22.5" customHeight="1">
      <c r="A32" s="10" t="s">
        <v>140</v>
      </c>
      <c r="B32" s="10" t="s">
        <v>50</v>
      </c>
      <c r="C32" s="10" t="s">
        <v>31</v>
      </c>
      <c r="D32" s="8">
        <v>440.0</v>
      </c>
      <c r="E32" s="8">
        <v>2.0</v>
      </c>
      <c r="F32" s="13">
        <v>528.0</v>
      </c>
      <c r="G32" s="14">
        <v>45904.0</v>
      </c>
      <c r="H32" s="13">
        <v>2.0</v>
      </c>
      <c r="I32" s="13">
        <v>0.0</v>
      </c>
      <c r="J32" s="13">
        <v>880.0</v>
      </c>
      <c r="K32" s="13">
        <v>0.0</v>
      </c>
      <c r="L32" s="15"/>
      <c r="M32" s="17">
        <v>880.0</v>
      </c>
    </row>
    <row r="33" ht="22.5" customHeight="1">
      <c r="A33" s="10" t="s">
        <v>143</v>
      </c>
      <c r="B33" s="10" t="s">
        <v>68</v>
      </c>
      <c r="C33" s="10" t="s">
        <v>31</v>
      </c>
      <c r="D33" s="8">
        <v>425.0</v>
      </c>
      <c r="E33" s="8">
        <v>2.0</v>
      </c>
      <c r="F33" s="13">
        <v>510.0</v>
      </c>
      <c r="G33" s="14">
        <v>45856.0</v>
      </c>
      <c r="H33" s="13">
        <v>2.0</v>
      </c>
      <c r="I33" s="13">
        <v>0.0</v>
      </c>
      <c r="J33" s="13">
        <v>850.0</v>
      </c>
      <c r="K33" s="13">
        <v>0.0</v>
      </c>
      <c r="L33" s="15"/>
      <c r="M33" s="17">
        <v>850.0</v>
      </c>
    </row>
    <row r="34" ht="22.5" customHeight="1">
      <c r="A34" s="10" t="s">
        <v>146</v>
      </c>
      <c r="B34" s="10" t="s">
        <v>68</v>
      </c>
      <c r="C34" s="10" t="s">
        <v>31</v>
      </c>
      <c r="D34" s="8">
        <f>330+90</f>
        <v>420</v>
      </c>
      <c r="E34" s="8">
        <v>1.0</v>
      </c>
      <c r="F34" s="13">
        <v>612.0</v>
      </c>
      <c r="G34" s="14">
        <v>45835.0</v>
      </c>
      <c r="H34" s="13">
        <v>1.0</v>
      </c>
      <c r="I34" s="13">
        <v>0.0</v>
      </c>
      <c r="J34" s="13">
        <v>510.0</v>
      </c>
      <c r="K34" s="13">
        <v>0.0</v>
      </c>
      <c r="L34" s="15"/>
      <c r="M34" s="17">
        <v>510.0</v>
      </c>
    </row>
    <row r="35" ht="22.5" customHeight="1">
      <c r="A35" s="10" t="s">
        <v>76</v>
      </c>
      <c r="B35" s="10" t="s">
        <v>68</v>
      </c>
      <c r="C35" s="10" t="s">
        <v>31</v>
      </c>
      <c r="D35" s="8">
        <v>415.0</v>
      </c>
      <c r="E35" s="8">
        <v>1.0</v>
      </c>
      <c r="F35" s="13">
        <v>498.0</v>
      </c>
      <c r="G35" s="14">
        <v>45812.0</v>
      </c>
      <c r="H35" s="13">
        <v>1.0</v>
      </c>
      <c r="I35" s="13">
        <v>0.0</v>
      </c>
      <c r="J35" s="13">
        <v>415.0</v>
      </c>
      <c r="K35" s="13">
        <v>0.0</v>
      </c>
      <c r="L35" s="15"/>
      <c r="M35" s="17">
        <v>415.0</v>
      </c>
    </row>
    <row r="36" ht="22.5" customHeight="1">
      <c r="A36" s="19" t="s">
        <v>100</v>
      </c>
      <c r="B36" s="19" t="s">
        <v>50</v>
      </c>
      <c r="C36" s="19" t="s">
        <v>154</v>
      </c>
      <c r="D36" s="33">
        <v>412.5</v>
      </c>
      <c r="E36" s="33">
        <v>4.0</v>
      </c>
      <c r="F36" s="17">
        <v>495.0</v>
      </c>
      <c r="G36" s="34">
        <v>46116.0</v>
      </c>
      <c r="H36" s="5">
        <v>8.0</v>
      </c>
      <c r="I36" s="17">
        <v>4.0</v>
      </c>
      <c r="J36" s="5">
        <v>3300.0</v>
      </c>
      <c r="K36" s="17">
        <v>2000.0</v>
      </c>
      <c r="L36" s="5"/>
      <c r="M36" s="17">
        <v>1650.0</v>
      </c>
    </row>
    <row r="37" ht="22.5" customHeight="1">
      <c r="A37" s="10" t="s">
        <v>158</v>
      </c>
      <c r="B37" s="10" t="s">
        <v>50</v>
      </c>
      <c r="C37" s="10" t="s">
        <v>31</v>
      </c>
      <c r="D37" s="8">
        <v>400.0</v>
      </c>
      <c r="E37" s="8">
        <v>0.0</v>
      </c>
      <c r="F37" s="13">
        <v>480.0</v>
      </c>
      <c r="G37" s="14">
        <v>45919.0</v>
      </c>
      <c r="H37" s="13">
        <v>1.0</v>
      </c>
      <c r="I37" s="13">
        <v>1.0</v>
      </c>
      <c r="J37" s="13">
        <v>400.0</v>
      </c>
      <c r="K37" s="13">
        <v>480.0</v>
      </c>
      <c r="L37" s="15"/>
      <c r="M37" s="17">
        <v>0.0</v>
      </c>
    </row>
    <row r="38" ht="22.5" customHeight="1">
      <c r="A38" s="10" t="s">
        <v>161</v>
      </c>
      <c r="B38" s="10" t="s">
        <v>50</v>
      </c>
      <c r="C38" s="10" t="s">
        <v>31</v>
      </c>
      <c r="D38" s="8">
        <v>400.0</v>
      </c>
      <c r="E38" s="8">
        <v>1.0</v>
      </c>
      <c r="F38" s="13">
        <v>480.0</v>
      </c>
      <c r="G38" s="14">
        <v>45812.0</v>
      </c>
      <c r="H38" s="13">
        <v>1.0</v>
      </c>
      <c r="I38" s="13">
        <v>0.0</v>
      </c>
      <c r="J38" s="13">
        <v>400.0</v>
      </c>
      <c r="K38" s="13">
        <v>0.0</v>
      </c>
      <c r="L38" s="15"/>
      <c r="M38" s="17">
        <v>400.0</v>
      </c>
    </row>
    <row r="39" ht="22.5" customHeight="1">
      <c r="A39" s="19" t="s">
        <v>166</v>
      </c>
      <c r="B39" s="19" t="s">
        <v>167</v>
      </c>
      <c r="C39" s="19" t="s">
        <v>154</v>
      </c>
      <c r="D39" s="33">
        <v>400.0</v>
      </c>
      <c r="E39" s="33">
        <v>3.0</v>
      </c>
      <c r="F39" s="17">
        <v>480.0</v>
      </c>
      <c r="G39" s="34">
        <v>46095.0</v>
      </c>
      <c r="H39" s="5">
        <v>3.0</v>
      </c>
      <c r="I39" s="17">
        <v>0.0</v>
      </c>
      <c r="J39" s="5">
        <v>1200.0</v>
      </c>
      <c r="K39" s="17">
        <v>0.0</v>
      </c>
      <c r="L39" s="5"/>
      <c r="M39" s="17">
        <v>1200.0</v>
      </c>
    </row>
    <row r="40" ht="22.5" customHeight="1">
      <c r="A40" s="10" t="s">
        <v>171</v>
      </c>
      <c r="B40" s="10" t="s">
        <v>68</v>
      </c>
      <c r="C40" s="10" t="s">
        <v>31</v>
      </c>
      <c r="D40" s="8">
        <v>385.0</v>
      </c>
      <c r="E40" s="8">
        <v>0.0</v>
      </c>
      <c r="F40" s="13">
        <v>462.0</v>
      </c>
      <c r="G40" s="14">
        <v>45901.0</v>
      </c>
      <c r="H40" s="13">
        <v>1.0</v>
      </c>
      <c r="I40" s="13">
        <v>1.0</v>
      </c>
      <c r="J40" s="13">
        <v>385.0</v>
      </c>
      <c r="K40" s="13">
        <v>490.0</v>
      </c>
      <c r="L40" s="15"/>
      <c r="M40" s="17">
        <v>0.0</v>
      </c>
    </row>
    <row r="41" ht="22.5" customHeight="1">
      <c r="A41" s="10" t="s">
        <v>175</v>
      </c>
      <c r="B41" s="10" t="s">
        <v>50</v>
      </c>
      <c r="C41" s="10" t="s">
        <v>31</v>
      </c>
      <c r="D41" s="8">
        <v>375.0</v>
      </c>
      <c r="E41" s="8">
        <v>1.0</v>
      </c>
      <c r="F41" s="13">
        <v>450.0</v>
      </c>
      <c r="G41" s="14">
        <v>45929.0</v>
      </c>
      <c r="H41" s="13">
        <v>1.0</v>
      </c>
      <c r="I41" s="13">
        <v>0.0</v>
      </c>
      <c r="J41" s="13">
        <v>375.0</v>
      </c>
      <c r="K41" s="13">
        <v>0.0</v>
      </c>
      <c r="L41" s="15"/>
      <c r="M41" s="17">
        <v>375.0</v>
      </c>
    </row>
    <row r="42" ht="22.5" customHeight="1">
      <c r="A42" s="10" t="s">
        <v>148</v>
      </c>
      <c r="B42" s="10" t="s">
        <v>180</v>
      </c>
      <c r="C42" s="10" t="s">
        <v>31</v>
      </c>
      <c r="D42" s="8">
        <v>365.0</v>
      </c>
      <c r="E42" s="8">
        <v>0.0</v>
      </c>
      <c r="F42" s="13">
        <v>438.0</v>
      </c>
      <c r="G42" s="6" t="s">
        <v>72</v>
      </c>
      <c r="H42" s="13">
        <v>1.0</v>
      </c>
      <c r="I42" s="13">
        <v>1.0</v>
      </c>
      <c r="J42" s="13">
        <v>365.0</v>
      </c>
      <c r="K42" s="13">
        <v>789.61</v>
      </c>
      <c r="L42" s="15"/>
      <c r="M42" s="17">
        <v>0.0</v>
      </c>
    </row>
    <row r="43" ht="22.5" customHeight="1">
      <c r="A43" s="10" t="s">
        <v>182</v>
      </c>
      <c r="B43" s="10" t="s">
        <v>30</v>
      </c>
      <c r="C43" s="10" t="s">
        <v>31</v>
      </c>
      <c r="D43" s="8">
        <v>355.0</v>
      </c>
      <c r="E43" s="8">
        <v>2.0</v>
      </c>
      <c r="F43" s="13">
        <v>426.0</v>
      </c>
      <c r="G43" s="14">
        <v>45835.0</v>
      </c>
      <c r="H43" s="13">
        <v>2.0</v>
      </c>
      <c r="I43" s="13">
        <v>0.0</v>
      </c>
      <c r="J43" s="13">
        <v>710.0</v>
      </c>
      <c r="K43" s="13">
        <v>0.0</v>
      </c>
      <c r="L43" s="15"/>
      <c r="M43" s="17">
        <v>710.0</v>
      </c>
    </row>
    <row r="44" ht="22.5" customHeight="1">
      <c r="A44" s="10" t="s">
        <v>187</v>
      </c>
      <c r="B44" s="10" t="s">
        <v>30</v>
      </c>
      <c r="C44" s="10" t="s">
        <v>136</v>
      </c>
      <c r="D44" s="8">
        <v>350.0</v>
      </c>
      <c r="E44" s="8">
        <v>9.0</v>
      </c>
      <c r="F44" s="13">
        <v>420.0</v>
      </c>
      <c r="G44" s="14">
        <v>46100.0</v>
      </c>
      <c r="H44" s="13">
        <v>12.0</v>
      </c>
      <c r="I44" s="13">
        <v>3.0</v>
      </c>
      <c r="J44" s="13">
        <v>4200.0</v>
      </c>
      <c r="K44" s="13">
        <v>1300.0</v>
      </c>
      <c r="L44" s="15"/>
      <c r="M44" s="17">
        <v>3150.0</v>
      </c>
    </row>
    <row r="45" ht="22.5" customHeight="1">
      <c r="A45" s="10" t="s">
        <v>190</v>
      </c>
      <c r="B45" s="10" t="s">
        <v>30</v>
      </c>
      <c r="C45" s="10" t="s">
        <v>51</v>
      </c>
      <c r="D45" s="8">
        <v>350.0</v>
      </c>
      <c r="E45" s="8">
        <v>0.0</v>
      </c>
      <c r="F45" s="13">
        <v>420.0</v>
      </c>
      <c r="G45" s="14">
        <v>46097.0</v>
      </c>
      <c r="H45" s="13">
        <v>2.0</v>
      </c>
      <c r="I45" s="13">
        <v>2.0</v>
      </c>
      <c r="J45" s="13">
        <v>700.0</v>
      </c>
      <c r="K45" s="13">
        <v>800.0</v>
      </c>
      <c r="L45" s="15"/>
      <c r="M45" s="17">
        <v>0.0</v>
      </c>
    </row>
    <row r="46" ht="22.5" customHeight="1">
      <c r="A46" s="10" t="s">
        <v>196</v>
      </c>
      <c r="B46" s="10" t="s">
        <v>124</v>
      </c>
      <c r="C46" s="10" t="s">
        <v>125</v>
      </c>
      <c r="D46" s="8">
        <v>338.0</v>
      </c>
      <c r="E46" s="8">
        <v>0.0</v>
      </c>
      <c r="F46" s="13">
        <v>405.6</v>
      </c>
      <c r="G46" s="14">
        <v>46107.0</v>
      </c>
      <c r="H46" s="13">
        <v>1.0</v>
      </c>
      <c r="I46" s="13">
        <v>1.0</v>
      </c>
      <c r="J46" s="13">
        <v>338.0</v>
      </c>
      <c r="K46" s="13">
        <v>500.0</v>
      </c>
      <c r="L46" s="15"/>
      <c r="M46" s="17">
        <v>338.0</v>
      </c>
    </row>
    <row r="47" ht="22.5" customHeight="1">
      <c r="A47" s="10" t="s">
        <v>201</v>
      </c>
      <c r="B47" s="10" t="s">
        <v>124</v>
      </c>
      <c r="C47" s="10" t="s">
        <v>125</v>
      </c>
      <c r="D47" s="8">
        <v>338.0</v>
      </c>
      <c r="E47" s="8">
        <v>1.0</v>
      </c>
      <c r="F47" s="13">
        <v>405.6</v>
      </c>
      <c r="G47" s="14">
        <v>46099.0</v>
      </c>
      <c r="H47" s="13">
        <v>1.0</v>
      </c>
      <c r="I47" s="13">
        <v>0.0</v>
      </c>
      <c r="J47" s="13">
        <v>338.0</v>
      </c>
      <c r="K47" s="13">
        <v>0.0</v>
      </c>
      <c r="L47" s="15"/>
      <c r="M47" s="17">
        <v>338.0</v>
      </c>
    </row>
    <row r="48" ht="22.5" customHeight="1">
      <c r="A48" s="19" t="s">
        <v>205</v>
      </c>
      <c r="B48" s="19" t="s">
        <v>207</v>
      </c>
      <c r="C48" s="19" t="s">
        <v>119</v>
      </c>
      <c r="D48" s="33">
        <v>338.0</v>
      </c>
      <c r="E48" s="33">
        <v>1.0</v>
      </c>
      <c r="F48" s="17">
        <v>405.6</v>
      </c>
      <c r="G48" s="34">
        <v>46165.0</v>
      </c>
      <c r="H48" s="5">
        <v>1.0</v>
      </c>
      <c r="I48" s="5">
        <v>0.0</v>
      </c>
      <c r="J48" s="17">
        <v>338.0</v>
      </c>
      <c r="K48" s="17">
        <v>0.0</v>
      </c>
      <c r="L48" s="19"/>
      <c r="M48" s="17"/>
    </row>
    <row r="49" ht="22.5" customHeight="1">
      <c r="A49" s="19" t="s">
        <v>211</v>
      </c>
      <c r="B49" s="19" t="s">
        <v>207</v>
      </c>
      <c r="C49" s="19" t="s">
        <v>119</v>
      </c>
      <c r="D49" s="33">
        <v>338.0</v>
      </c>
      <c r="E49" s="33">
        <v>0.0</v>
      </c>
      <c r="F49" s="17">
        <v>405.6</v>
      </c>
      <c r="G49" s="34">
        <v>46159.0</v>
      </c>
      <c r="H49" s="5">
        <v>1.0</v>
      </c>
      <c r="I49" s="5">
        <v>1.0</v>
      </c>
      <c r="J49" s="17">
        <v>338.0</v>
      </c>
      <c r="K49" s="17">
        <v>500.0</v>
      </c>
      <c r="L49" s="19"/>
      <c r="M49" s="17"/>
    </row>
    <row r="50" ht="22.5" customHeight="1">
      <c r="A50" s="19" t="s">
        <v>215</v>
      </c>
      <c r="B50" s="19" t="s">
        <v>207</v>
      </c>
      <c r="C50" s="19" t="s">
        <v>119</v>
      </c>
      <c r="D50" s="33">
        <v>338.0</v>
      </c>
      <c r="E50" s="33">
        <v>1.0</v>
      </c>
      <c r="F50" s="17">
        <v>405.6</v>
      </c>
      <c r="G50" s="34">
        <v>46165.0</v>
      </c>
      <c r="H50" s="5">
        <v>1.0</v>
      </c>
      <c r="I50" s="5">
        <v>0.0</v>
      </c>
      <c r="J50" s="17">
        <v>338.0</v>
      </c>
      <c r="K50" s="17">
        <v>0.0</v>
      </c>
      <c r="L50" s="19"/>
      <c r="M50" s="17"/>
    </row>
    <row r="51" ht="22.5" customHeight="1">
      <c r="A51" s="19" t="s">
        <v>218</v>
      </c>
      <c r="B51" s="19" t="s">
        <v>207</v>
      </c>
      <c r="C51" s="19" t="s">
        <v>119</v>
      </c>
      <c r="D51" s="33">
        <v>338.0</v>
      </c>
      <c r="E51" s="33">
        <v>1.0</v>
      </c>
      <c r="F51" s="17">
        <v>405.6</v>
      </c>
      <c r="G51" s="34">
        <v>46165.0</v>
      </c>
      <c r="H51" s="5">
        <v>1.0</v>
      </c>
      <c r="I51" s="5">
        <v>0.0</v>
      </c>
      <c r="J51" s="17">
        <v>338.0</v>
      </c>
      <c r="K51" s="17">
        <v>0.0</v>
      </c>
      <c r="L51" s="19"/>
      <c r="M51" s="17"/>
    </row>
    <row r="52" ht="22.5" customHeight="1">
      <c r="A52" s="19" t="s">
        <v>222</v>
      </c>
      <c r="B52" s="19" t="s">
        <v>207</v>
      </c>
      <c r="C52" s="19" t="s">
        <v>119</v>
      </c>
      <c r="D52" s="33">
        <v>338.0</v>
      </c>
      <c r="E52" s="33">
        <v>0.0</v>
      </c>
      <c r="F52" s="17">
        <v>405.6</v>
      </c>
      <c r="G52" s="34">
        <v>46166.0</v>
      </c>
      <c r="H52" s="5">
        <v>1.0</v>
      </c>
      <c r="I52" s="5">
        <v>1.0</v>
      </c>
      <c r="J52" s="17">
        <v>338.0</v>
      </c>
      <c r="K52" s="17">
        <v>500.0</v>
      </c>
      <c r="L52" s="19"/>
      <c r="M52" s="17"/>
    </row>
    <row r="53" ht="22.5" customHeight="1">
      <c r="A53" s="10" t="s">
        <v>71</v>
      </c>
      <c r="B53" s="10" t="s">
        <v>50</v>
      </c>
      <c r="C53" s="6" t="s">
        <v>54</v>
      </c>
      <c r="D53" s="8">
        <v>330.0</v>
      </c>
      <c r="E53" s="8">
        <v>1.0</v>
      </c>
      <c r="F53" s="13">
        <v>396.0</v>
      </c>
      <c r="G53" s="36">
        <v>7350945.0</v>
      </c>
      <c r="H53" s="6">
        <v>2.0</v>
      </c>
      <c r="I53" s="13">
        <v>1.0</v>
      </c>
      <c r="J53" s="13">
        <v>660.0</v>
      </c>
      <c r="K53" s="13">
        <v>450.0</v>
      </c>
      <c r="L53" s="6" t="s">
        <v>228</v>
      </c>
      <c r="M53" s="17">
        <v>330.0</v>
      </c>
    </row>
    <row r="54" ht="22.5" customHeight="1">
      <c r="A54" s="10" t="s">
        <v>82</v>
      </c>
      <c r="B54" s="10" t="s">
        <v>68</v>
      </c>
      <c r="C54" s="10" t="s">
        <v>31</v>
      </c>
      <c r="D54" s="8">
        <v>325.0</v>
      </c>
      <c r="E54" s="8">
        <v>1.0</v>
      </c>
      <c r="F54" s="13">
        <v>390.0</v>
      </c>
      <c r="G54" s="14">
        <v>45812.0</v>
      </c>
      <c r="H54" s="13">
        <v>1.0</v>
      </c>
      <c r="I54" s="13">
        <v>0.0</v>
      </c>
      <c r="J54" s="13">
        <v>325.0</v>
      </c>
      <c r="K54" s="13">
        <v>0.0</v>
      </c>
      <c r="L54" s="15"/>
      <c r="M54" s="17">
        <v>325.0</v>
      </c>
    </row>
    <row r="55" ht="22.5" customHeight="1">
      <c r="A55" s="10" t="s">
        <v>232</v>
      </c>
      <c r="B55" s="10" t="s">
        <v>50</v>
      </c>
      <c r="C55" s="10" t="s">
        <v>31</v>
      </c>
      <c r="D55" s="8">
        <v>325.0</v>
      </c>
      <c r="E55" s="8">
        <v>0.0</v>
      </c>
      <c r="F55" s="13">
        <v>390.0</v>
      </c>
      <c r="G55" s="14">
        <v>46099.0</v>
      </c>
      <c r="H55" s="13">
        <v>2.0</v>
      </c>
      <c r="I55" s="13">
        <v>2.0</v>
      </c>
      <c r="J55" s="13">
        <v>650.0</v>
      </c>
      <c r="K55" s="13">
        <v>789.73</v>
      </c>
      <c r="L55" s="15"/>
      <c r="M55" s="17">
        <v>0.0</v>
      </c>
    </row>
    <row r="56" ht="22.5" customHeight="1">
      <c r="A56" s="10" t="s">
        <v>212</v>
      </c>
      <c r="B56" s="10" t="s">
        <v>50</v>
      </c>
      <c r="C56" s="10" t="s">
        <v>31</v>
      </c>
      <c r="D56" s="8">
        <v>325.0</v>
      </c>
      <c r="E56" s="8">
        <v>0.0</v>
      </c>
      <c r="F56" s="13">
        <v>390.0</v>
      </c>
      <c r="G56" s="14">
        <v>45999.0</v>
      </c>
      <c r="H56" s="13">
        <v>2.0</v>
      </c>
      <c r="I56" s="13">
        <v>2.0</v>
      </c>
      <c r="J56" s="13">
        <v>650.0</v>
      </c>
      <c r="K56" s="13">
        <v>814.58</v>
      </c>
      <c r="L56" s="15"/>
      <c r="M56" s="17">
        <v>0.0</v>
      </c>
    </row>
    <row r="57" ht="22.5" customHeight="1">
      <c r="A57" s="10" t="s">
        <v>239</v>
      </c>
      <c r="B57" s="10" t="s">
        <v>224</v>
      </c>
      <c r="C57" s="10" t="s">
        <v>31</v>
      </c>
      <c r="D57" s="8">
        <v>325.0</v>
      </c>
      <c r="E57" s="8">
        <v>2.0</v>
      </c>
      <c r="F57" s="13">
        <v>390.0</v>
      </c>
      <c r="G57" s="14">
        <v>45845.0</v>
      </c>
      <c r="H57" s="13">
        <v>2.0</v>
      </c>
      <c r="I57" s="13">
        <v>0.0</v>
      </c>
      <c r="J57" s="13">
        <v>650.0</v>
      </c>
      <c r="K57" s="13">
        <v>0.0</v>
      </c>
      <c r="L57" s="15"/>
      <c r="M57" s="17">
        <v>650.0</v>
      </c>
    </row>
    <row r="58" ht="22.5" customHeight="1">
      <c r="A58" s="10" t="s">
        <v>242</v>
      </c>
      <c r="B58" s="10" t="s">
        <v>30</v>
      </c>
      <c r="C58" s="10" t="s">
        <v>31</v>
      </c>
      <c r="D58" s="8">
        <v>325.0</v>
      </c>
      <c r="E58" s="8">
        <v>1.0</v>
      </c>
      <c r="F58" s="13">
        <v>390.0</v>
      </c>
      <c r="G58" s="14">
        <v>45856.0</v>
      </c>
      <c r="H58" s="13">
        <v>1.0</v>
      </c>
      <c r="I58" s="13">
        <v>0.0</v>
      </c>
      <c r="J58" s="13">
        <v>325.0</v>
      </c>
      <c r="K58" s="13">
        <v>0.0</v>
      </c>
      <c r="L58" s="15"/>
      <c r="M58" s="17">
        <v>325.0</v>
      </c>
    </row>
    <row r="59" ht="22.5" customHeight="1">
      <c r="A59" s="10" t="s">
        <v>246</v>
      </c>
      <c r="B59" s="10" t="s">
        <v>30</v>
      </c>
      <c r="C59" s="10" t="s">
        <v>31</v>
      </c>
      <c r="D59" s="8">
        <v>325.0</v>
      </c>
      <c r="E59" s="8">
        <v>0.0</v>
      </c>
      <c r="F59" s="13">
        <v>390.0</v>
      </c>
      <c r="G59" s="14">
        <v>46088.0</v>
      </c>
      <c r="H59" s="13">
        <v>2.0</v>
      </c>
      <c r="I59" s="13">
        <v>2.0</v>
      </c>
      <c r="J59" s="13">
        <v>650.0</v>
      </c>
      <c r="K59" s="13">
        <v>700.0</v>
      </c>
      <c r="L59" s="15"/>
      <c r="M59" s="17">
        <v>0.0</v>
      </c>
    </row>
    <row r="60" ht="22.5" customHeight="1">
      <c r="A60" s="10" t="s">
        <v>249</v>
      </c>
      <c r="B60" s="10" t="s">
        <v>30</v>
      </c>
      <c r="C60" s="10" t="s">
        <v>31</v>
      </c>
      <c r="D60" s="8">
        <v>325.0</v>
      </c>
      <c r="E60" s="8">
        <v>2.0</v>
      </c>
      <c r="F60" s="13">
        <v>390.0</v>
      </c>
      <c r="G60" s="14">
        <v>45945.0</v>
      </c>
      <c r="H60" s="13">
        <v>2.0</v>
      </c>
      <c r="I60" s="13">
        <v>0.0</v>
      </c>
      <c r="J60" s="13">
        <v>650.0</v>
      </c>
      <c r="K60" s="13">
        <v>0.0</v>
      </c>
      <c r="L60" s="15"/>
      <c r="M60" s="17">
        <v>650.0</v>
      </c>
    </row>
    <row r="61" ht="22.5" customHeight="1">
      <c r="A61" s="19" t="s">
        <v>77</v>
      </c>
      <c r="B61" s="19" t="s">
        <v>50</v>
      </c>
      <c r="C61" s="5" t="s">
        <v>54</v>
      </c>
      <c r="D61" s="33">
        <v>315.0</v>
      </c>
      <c r="E61" s="33">
        <v>0.0</v>
      </c>
      <c r="F61" s="17">
        <v>378.0</v>
      </c>
      <c r="G61" s="34">
        <v>46152.0</v>
      </c>
      <c r="H61" s="5">
        <v>1.0</v>
      </c>
      <c r="I61" s="17">
        <v>6.0</v>
      </c>
      <c r="J61" s="17">
        <v>315.0</v>
      </c>
      <c r="K61" s="17">
        <v>2280.0</v>
      </c>
      <c r="L61" s="5" t="s">
        <v>257</v>
      </c>
      <c r="M61" s="17">
        <v>0.0</v>
      </c>
    </row>
    <row r="62" ht="22.5" customHeight="1">
      <c r="A62" s="10" t="s">
        <v>230</v>
      </c>
      <c r="B62" s="10" t="s">
        <v>50</v>
      </c>
      <c r="C62" s="10" t="s">
        <v>31</v>
      </c>
      <c r="D62" s="8">
        <v>310.0</v>
      </c>
      <c r="E62" s="8">
        <v>0.0</v>
      </c>
      <c r="F62" s="13">
        <v>372.0</v>
      </c>
      <c r="G62" s="6" t="s">
        <v>72</v>
      </c>
      <c r="H62" s="13">
        <v>1.0</v>
      </c>
      <c r="I62" s="13">
        <v>1.0</v>
      </c>
      <c r="J62" s="13">
        <v>310.0</v>
      </c>
      <c r="K62" s="13">
        <v>450.0</v>
      </c>
      <c r="L62" s="15"/>
      <c r="M62" s="17">
        <v>0.0</v>
      </c>
    </row>
    <row r="63" ht="22.5" customHeight="1">
      <c r="A63" s="10" t="s">
        <v>261</v>
      </c>
      <c r="B63" s="10" t="s">
        <v>50</v>
      </c>
      <c r="C63" s="10" t="s">
        <v>31</v>
      </c>
      <c r="D63" s="8">
        <v>310.0</v>
      </c>
      <c r="E63" s="8">
        <v>1.0</v>
      </c>
      <c r="F63" s="13">
        <v>372.0</v>
      </c>
      <c r="G63" s="14">
        <v>45835.0</v>
      </c>
      <c r="H63" s="13">
        <v>1.0</v>
      </c>
      <c r="I63" s="13">
        <v>0.0</v>
      </c>
      <c r="J63" s="13">
        <v>310.0</v>
      </c>
      <c r="K63" s="13">
        <v>0.0</v>
      </c>
      <c r="L63" s="15"/>
      <c r="M63" s="17">
        <v>310.0</v>
      </c>
    </row>
    <row r="64" ht="22.5" customHeight="1">
      <c r="A64" s="10" t="s">
        <v>264</v>
      </c>
      <c r="B64" s="10" t="s">
        <v>68</v>
      </c>
      <c r="C64" s="10" t="s">
        <v>31</v>
      </c>
      <c r="D64" s="8">
        <v>310.0</v>
      </c>
      <c r="E64" s="8">
        <v>0.0</v>
      </c>
      <c r="F64" s="13">
        <v>372.0</v>
      </c>
      <c r="G64" s="14">
        <v>45899.0</v>
      </c>
      <c r="H64" s="13">
        <v>1.0</v>
      </c>
      <c r="I64" s="13">
        <v>1.0</v>
      </c>
      <c r="J64" s="13">
        <v>310.0</v>
      </c>
      <c r="K64" s="13">
        <v>374.74</v>
      </c>
      <c r="L64" s="15"/>
      <c r="M64" s="17">
        <v>0.0</v>
      </c>
    </row>
    <row r="65" ht="22.5" customHeight="1">
      <c r="A65" s="10" t="s">
        <v>87</v>
      </c>
      <c r="B65" s="10" t="s">
        <v>68</v>
      </c>
      <c r="C65" s="10" t="s">
        <v>31</v>
      </c>
      <c r="D65" s="8">
        <v>300.0</v>
      </c>
      <c r="E65" s="8">
        <v>1.0</v>
      </c>
      <c r="F65" s="13">
        <v>360.0</v>
      </c>
      <c r="G65" s="14">
        <v>45812.0</v>
      </c>
      <c r="H65" s="13">
        <v>1.0</v>
      </c>
      <c r="I65" s="13">
        <v>0.0</v>
      </c>
      <c r="J65" s="13">
        <v>300.0</v>
      </c>
      <c r="K65" s="13">
        <v>0.0</v>
      </c>
      <c r="L65" s="15"/>
      <c r="M65" s="17">
        <v>300.0</v>
      </c>
    </row>
    <row r="66" ht="22.5" customHeight="1">
      <c r="A66" s="10" t="s">
        <v>122</v>
      </c>
      <c r="B66" s="10" t="s">
        <v>138</v>
      </c>
      <c r="C66" s="10" t="s">
        <v>31</v>
      </c>
      <c r="D66" s="8">
        <v>300.0</v>
      </c>
      <c r="E66" s="8">
        <v>0.0</v>
      </c>
      <c r="F66" s="13">
        <v>360.0</v>
      </c>
      <c r="G66" s="14">
        <v>45998.011027141205</v>
      </c>
      <c r="H66" s="13">
        <v>2.0</v>
      </c>
      <c r="I66" s="13">
        <v>2.0</v>
      </c>
      <c r="J66" s="13">
        <v>600.0</v>
      </c>
      <c r="K66" s="13">
        <v>779.6</v>
      </c>
      <c r="L66" s="15"/>
      <c r="M66" s="17">
        <v>0.0</v>
      </c>
    </row>
    <row r="67" ht="22.5" customHeight="1">
      <c r="A67" s="10" t="s">
        <v>272</v>
      </c>
      <c r="B67" s="10" t="s">
        <v>30</v>
      </c>
      <c r="C67" s="10" t="s">
        <v>31</v>
      </c>
      <c r="D67" s="8">
        <v>300.0</v>
      </c>
      <c r="E67" s="8">
        <v>1.0</v>
      </c>
      <c r="F67" s="13">
        <v>360.0</v>
      </c>
      <c r="G67" s="14">
        <v>46075.0</v>
      </c>
      <c r="H67" s="13">
        <v>2.0</v>
      </c>
      <c r="I67" s="13">
        <v>1.0</v>
      </c>
      <c r="J67" s="13">
        <v>600.0</v>
      </c>
      <c r="K67" s="13">
        <v>300.0</v>
      </c>
      <c r="L67" s="15"/>
      <c r="M67" s="17">
        <v>300.0</v>
      </c>
    </row>
    <row r="68" ht="22.5" customHeight="1">
      <c r="A68" s="19" t="s">
        <v>275</v>
      </c>
      <c r="B68" s="19" t="s">
        <v>167</v>
      </c>
      <c r="C68" s="19" t="s">
        <v>154</v>
      </c>
      <c r="D68" s="33">
        <v>300.0</v>
      </c>
      <c r="E68" s="33">
        <v>2.0</v>
      </c>
      <c r="F68" s="17">
        <v>360.0</v>
      </c>
      <c r="G68" s="34">
        <v>46095.0</v>
      </c>
      <c r="H68" s="5">
        <v>2.0</v>
      </c>
      <c r="I68" s="17">
        <v>0.0</v>
      </c>
      <c r="J68" s="5">
        <v>600.0</v>
      </c>
      <c r="K68" s="17">
        <v>0.0</v>
      </c>
      <c r="L68" s="5"/>
      <c r="M68" s="17">
        <v>600.0</v>
      </c>
    </row>
    <row r="69" ht="22.5" customHeight="1">
      <c r="A69" s="19" t="s">
        <v>279</v>
      </c>
      <c r="B69" s="19" t="s">
        <v>280</v>
      </c>
      <c r="C69" s="19" t="s">
        <v>119</v>
      </c>
      <c r="D69" s="33">
        <v>300.0</v>
      </c>
      <c r="E69" s="33">
        <v>2.0</v>
      </c>
      <c r="F69" s="17">
        <v>360.0</v>
      </c>
      <c r="G69" s="34">
        <v>46083.0</v>
      </c>
      <c r="H69" s="5">
        <v>2.0</v>
      </c>
      <c r="I69" s="17">
        <v>0.0</v>
      </c>
      <c r="J69" s="17">
        <v>600.0</v>
      </c>
      <c r="K69" s="17">
        <v>0.0</v>
      </c>
      <c r="L69" s="5"/>
      <c r="M69" s="17">
        <v>600.0</v>
      </c>
    </row>
    <row r="70" ht="22.5" customHeight="1">
      <c r="A70" s="19" t="s">
        <v>142</v>
      </c>
      <c r="B70" s="19" t="s">
        <v>50</v>
      </c>
      <c r="C70" s="19" t="s">
        <v>51</v>
      </c>
      <c r="D70" s="33">
        <v>300.0</v>
      </c>
      <c r="E70" s="33">
        <v>0.0</v>
      </c>
      <c r="F70" s="17">
        <v>360.0</v>
      </c>
      <c r="G70" s="34">
        <v>46168.0</v>
      </c>
      <c r="H70" s="5">
        <v>1.0</v>
      </c>
      <c r="I70" s="17">
        <v>1.0</v>
      </c>
      <c r="J70" s="17">
        <v>300.0</v>
      </c>
      <c r="K70" s="17">
        <v>375.0</v>
      </c>
      <c r="L70" s="5"/>
      <c r="M70" s="17">
        <v>300.0</v>
      </c>
    </row>
    <row r="71" ht="22.5" customHeight="1">
      <c r="A71" s="19" t="s">
        <v>285</v>
      </c>
      <c r="B71" s="19" t="s">
        <v>286</v>
      </c>
      <c r="C71" s="19" t="s">
        <v>51</v>
      </c>
      <c r="D71" s="33">
        <v>300.0</v>
      </c>
      <c r="E71" s="33">
        <v>2.0</v>
      </c>
      <c r="F71" s="17">
        <v>360.0</v>
      </c>
      <c r="G71" s="34">
        <v>46095.0</v>
      </c>
      <c r="H71" s="5">
        <v>2.0</v>
      </c>
      <c r="I71" s="17">
        <v>0.0</v>
      </c>
      <c r="J71" s="5">
        <v>600.0</v>
      </c>
      <c r="K71" s="17">
        <v>0.0</v>
      </c>
      <c r="L71" s="5"/>
      <c r="M71" s="17">
        <v>600.0</v>
      </c>
    </row>
    <row r="72" ht="22.5" customHeight="1">
      <c r="A72" s="19" t="s">
        <v>290</v>
      </c>
      <c r="B72" s="19" t="s">
        <v>50</v>
      </c>
      <c r="C72" s="19" t="s">
        <v>154</v>
      </c>
      <c r="D72" s="33">
        <v>300.0</v>
      </c>
      <c r="E72" s="33">
        <v>1.0</v>
      </c>
      <c r="F72" s="17">
        <v>360.0</v>
      </c>
      <c r="G72" s="34">
        <v>46154.0</v>
      </c>
      <c r="H72" s="5">
        <v>1.0</v>
      </c>
      <c r="I72" s="5">
        <v>0.0</v>
      </c>
      <c r="J72" s="17">
        <v>300.0</v>
      </c>
      <c r="K72" s="17">
        <v>0.0</v>
      </c>
      <c r="L72" s="19"/>
      <c r="M72" s="17"/>
    </row>
    <row r="73" ht="22.5" customHeight="1">
      <c r="A73" s="10" t="s">
        <v>92</v>
      </c>
      <c r="B73" s="10" t="s">
        <v>93</v>
      </c>
      <c r="C73" s="10" t="s">
        <v>31</v>
      </c>
      <c r="D73" s="8">
        <v>295.0</v>
      </c>
      <c r="E73" s="8">
        <v>2.0</v>
      </c>
      <c r="F73" s="13">
        <v>354.0</v>
      </c>
      <c r="G73" s="14">
        <v>45812.0</v>
      </c>
      <c r="H73" s="13">
        <v>2.0</v>
      </c>
      <c r="I73" s="13">
        <v>0.0</v>
      </c>
      <c r="J73" s="13">
        <v>590.0</v>
      </c>
      <c r="K73" s="13">
        <v>0.0</v>
      </c>
      <c r="L73" s="15"/>
      <c r="M73" s="17">
        <v>590.0</v>
      </c>
    </row>
    <row r="74" ht="22.5" customHeight="1">
      <c r="A74" s="11" t="s">
        <v>264</v>
      </c>
      <c r="B74" s="10" t="s">
        <v>68</v>
      </c>
      <c r="C74" s="15"/>
      <c r="D74" s="8">
        <v>290.0</v>
      </c>
      <c r="E74" s="8">
        <v>1.0</v>
      </c>
      <c r="F74" s="15"/>
      <c r="G74" s="15"/>
      <c r="H74" s="15"/>
      <c r="I74" s="15"/>
      <c r="J74" s="15"/>
      <c r="K74" s="15"/>
      <c r="L74" s="15"/>
      <c r="M74" s="17">
        <v>290.0</v>
      </c>
    </row>
    <row r="75" ht="22.5" customHeight="1">
      <c r="A75" s="19" t="s">
        <v>298</v>
      </c>
      <c r="B75" s="19" t="s">
        <v>30</v>
      </c>
      <c r="C75" s="19" t="s">
        <v>119</v>
      </c>
      <c r="D75" s="33">
        <v>290.0</v>
      </c>
      <c r="E75" s="33">
        <v>1.0</v>
      </c>
      <c r="F75" s="17">
        <v>348.0</v>
      </c>
      <c r="G75" s="34">
        <v>46168.0</v>
      </c>
      <c r="H75" s="17">
        <v>2.0</v>
      </c>
      <c r="I75" s="17">
        <v>1.0</v>
      </c>
      <c r="J75" s="17">
        <v>580.0</v>
      </c>
      <c r="K75" s="17">
        <v>400.0</v>
      </c>
      <c r="L75" s="5"/>
      <c r="M75" s="17">
        <v>580.0</v>
      </c>
    </row>
    <row r="76" ht="22.5" customHeight="1">
      <c r="A76" s="19" t="s">
        <v>300</v>
      </c>
      <c r="B76" s="19" t="s">
        <v>110</v>
      </c>
      <c r="C76" s="19" t="s">
        <v>119</v>
      </c>
      <c r="D76" s="33">
        <v>288.0</v>
      </c>
      <c r="E76" s="33">
        <v>1.0</v>
      </c>
      <c r="F76" s="17">
        <v>345.6</v>
      </c>
      <c r="G76" s="34">
        <v>46067.0</v>
      </c>
      <c r="H76" s="5">
        <v>1.0</v>
      </c>
      <c r="I76" s="17">
        <v>0.0</v>
      </c>
      <c r="J76" s="17">
        <v>288.0</v>
      </c>
      <c r="K76" s="17">
        <v>0.0</v>
      </c>
      <c r="L76" s="5"/>
      <c r="M76" s="17">
        <v>288.0</v>
      </c>
    </row>
    <row r="77" ht="22.5" customHeight="1">
      <c r="A77" s="10" t="s">
        <v>128</v>
      </c>
      <c r="B77" s="10" t="s">
        <v>50</v>
      </c>
      <c r="C77" s="10" t="s">
        <v>31</v>
      </c>
      <c r="D77" s="8">
        <v>275.0</v>
      </c>
      <c r="E77" s="8">
        <v>4.0</v>
      </c>
      <c r="F77" s="13">
        <v>330.0</v>
      </c>
      <c r="G77" s="14">
        <v>45998.01100756944</v>
      </c>
      <c r="H77" s="13">
        <v>5.0</v>
      </c>
      <c r="I77" s="13">
        <v>1.0</v>
      </c>
      <c r="J77" s="13">
        <v>1375.0</v>
      </c>
      <c r="K77" s="13">
        <v>329.77</v>
      </c>
      <c r="L77" s="15"/>
      <c r="M77" s="17">
        <v>1100.0</v>
      </c>
    </row>
    <row r="78" ht="22.5" customHeight="1">
      <c r="A78" s="10" t="s">
        <v>307</v>
      </c>
      <c r="B78" s="10" t="s">
        <v>68</v>
      </c>
      <c r="C78" s="10" t="s">
        <v>31</v>
      </c>
      <c r="D78" s="8">
        <v>275.0</v>
      </c>
      <c r="E78" s="8">
        <v>0.0</v>
      </c>
      <c r="F78" s="13">
        <v>330.0</v>
      </c>
      <c r="G78" s="14">
        <v>45835.0</v>
      </c>
      <c r="H78" s="13">
        <v>1.0</v>
      </c>
      <c r="I78" s="13">
        <v>0.0</v>
      </c>
      <c r="J78" s="13">
        <v>275.0</v>
      </c>
      <c r="K78" s="13">
        <v>0.0</v>
      </c>
      <c r="L78" s="6" t="s">
        <v>312</v>
      </c>
      <c r="M78" s="17">
        <v>0.0</v>
      </c>
    </row>
    <row r="79" ht="22.5" customHeight="1">
      <c r="A79" s="10" t="s">
        <v>314</v>
      </c>
      <c r="B79" s="10" t="s">
        <v>50</v>
      </c>
      <c r="C79" s="10" t="s">
        <v>31</v>
      </c>
      <c r="D79" s="8">
        <v>275.0</v>
      </c>
      <c r="E79" s="8">
        <v>3.0</v>
      </c>
      <c r="F79" s="13">
        <v>330.0</v>
      </c>
      <c r="G79" s="14">
        <v>45845.0</v>
      </c>
      <c r="H79" s="13">
        <v>3.0</v>
      </c>
      <c r="I79" s="13">
        <v>0.0</v>
      </c>
      <c r="J79" s="13">
        <v>825.0</v>
      </c>
      <c r="K79" s="13">
        <v>0.0</v>
      </c>
      <c r="L79" s="15"/>
      <c r="M79" s="17">
        <v>825.0</v>
      </c>
    </row>
    <row r="80" ht="22.5" customHeight="1">
      <c r="A80" s="10" t="s">
        <v>319</v>
      </c>
      <c r="B80" s="10" t="s">
        <v>238</v>
      </c>
      <c r="C80" s="10" t="s">
        <v>31</v>
      </c>
      <c r="D80" s="8">
        <v>275.0</v>
      </c>
      <c r="E80" s="8">
        <v>0.0</v>
      </c>
      <c r="F80" s="13">
        <v>330.0</v>
      </c>
      <c r="G80" s="6" t="s">
        <v>321</v>
      </c>
      <c r="H80" s="13">
        <v>1.0</v>
      </c>
      <c r="I80" s="13">
        <v>1.0</v>
      </c>
      <c r="J80" s="13">
        <v>275.0</v>
      </c>
      <c r="K80" s="13">
        <v>400.0</v>
      </c>
      <c r="L80" s="15"/>
      <c r="M80" s="17">
        <v>0.0</v>
      </c>
    </row>
    <row r="81" ht="22.5" customHeight="1">
      <c r="A81" s="10" t="s">
        <v>323</v>
      </c>
      <c r="B81" s="10" t="s">
        <v>185</v>
      </c>
      <c r="C81" s="10" t="s">
        <v>31</v>
      </c>
      <c r="D81" s="8">
        <v>275.0</v>
      </c>
      <c r="E81" s="8">
        <v>0.0</v>
      </c>
      <c r="F81" s="13">
        <v>330.0</v>
      </c>
      <c r="G81" s="14">
        <v>46088.0</v>
      </c>
      <c r="H81" s="13">
        <v>1.0</v>
      </c>
      <c r="I81" s="13">
        <v>1.0</v>
      </c>
      <c r="J81" s="13">
        <v>275.0</v>
      </c>
      <c r="K81" s="13">
        <v>330.0</v>
      </c>
      <c r="L81" s="15"/>
      <c r="M81" s="17">
        <v>0.0</v>
      </c>
    </row>
    <row r="82" ht="22.5" customHeight="1">
      <c r="A82" s="10" t="s">
        <v>326</v>
      </c>
      <c r="B82" s="10" t="s">
        <v>327</v>
      </c>
      <c r="C82" s="10" t="s">
        <v>31</v>
      </c>
      <c r="D82" s="8">
        <v>275.0</v>
      </c>
      <c r="E82" s="8">
        <v>0.0</v>
      </c>
      <c r="F82" s="13">
        <v>330.0</v>
      </c>
      <c r="G82" s="14">
        <v>46057.0</v>
      </c>
      <c r="H82" s="13">
        <v>1.0</v>
      </c>
      <c r="I82" s="13">
        <v>1.0</v>
      </c>
      <c r="J82" s="13">
        <v>275.0</v>
      </c>
      <c r="K82" s="13">
        <v>300.0</v>
      </c>
      <c r="L82" s="15"/>
      <c r="M82" s="17">
        <v>0.0</v>
      </c>
    </row>
    <row r="83" ht="22.5" customHeight="1">
      <c r="A83" s="19" t="s">
        <v>331</v>
      </c>
      <c r="B83" s="19" t="s">
        <v>224</v>
      </c>
      <c r="C83" s="19" t="s">
        <v>119</v>
      </c>
      <c r="D83" s="33">
        <v>255.0</v>
      </c>
      <c r="E83" s="33">
        <v>5.0</v>
      </c>
      <c r="F83" s="17">
        <v>306.0</v>
      </c>
      <c r="G83" s="34">
        <v>46067.0</v>
      </c>
      <c r="H83" s="5">
        <v>5.0</v>
      </c>
      <c r="I83" s="17">
        <v>0.0</v>
      </c>
      <c r="J83" s="17">
        <v>1275.0</v>
      </c>
      <c r="K83" s="17">
        <v>0.0</v>
      </c>
      <c r="L83" s="5"/>
      <c r="M83" s="17">
        <v>1275.0</v>
      </c>
    </row>
    <row r="84" ht="22.5" customHeight="1">
      <c r="A84" s="19" t="s">
        <v>334</v>
      </c>
      <c r="B84" s="19" t="s">
        <v>280</v>
      </c>
      <c r="C84" s="19" t="s">
        <v>119</v>
      </c>
      <c r="D84" s="33">
        <v>255.0</v>
      </c>
      <c r="E84" s="33">
        <v>1.0</v>
      </c>
      <c r="F84" s="17">
        <v>306.0</v>
      </c>
      <c r="G84" s="34">
        <v>46090.0</v>
      </c>
      <c r="H84" s="5">
        <v>2.0</v>
      </c>
      <c r="I84" s="17">
        <v>1.0</v>
      </c>
      <c r="J84" s="17">
        <v>510.0</v>
      </c>
      <c r="K84" s="17">
        <v>350.0</v>
      </c>
      <c r="L84" s="5"/>
      <c r="M84" s="17">
        <v>255.0</v>
      </c>
    </row>
    <row r="85" ht="22.5" customHeight="1">
      <c r="A85" s="10" t="s">
        <v>274</v>
      </c>
      <c r="B85" s="10" t="s">
        <v>50</v>
      </c>
      <c r="C85" s="10" t="s">
        <v>31</v>
      </c>
      <c r="D85" s="8">
        <v>250.0</v>
      </c>
      <c r="E85" s="8">
        <v>0.0</v>
      </c>
      <c r="F85" s="13">
        <v>300.0</v>
      </c>
      <c r="G85" s="14">
        <v>45899.0</v>
      </c>
      <c r="H85" s="13">
        <v>1.0</v>
      </c>
      <c r="I85" s="13">
        <v>1.0</v>
      </c>
      <c r="J85" s="13">
        <v>250.0</v>
      </c>
      <c r="K85" s="13">
        <v>299.79</v>
      </c>
      <c r="L85" s="15"/>
      <c r="M85" s="17">
        <v>0.0</v>
      </c>
    </row>
    <row r="86" ht="22.5" customHeight="1">
      <c r="A86" s="10" t="s">
        <v>338</v>
      </c>
      <c r="B86" s="10" t="s">
        <v>339</v>
      </c>
      <c r="C86" s="10" t="s">
        <v>51</v>
      </c>
      <c r="D86" s="8">
        <v>250.0</v>
      </c>
      <c r="E86" s="8">
        <v>1.0</v>
      </c>
      <c r="F86" s="13">
        <v>300.0</v>
      </c>
      <c r="G86" s="14">
        <v>45987.0</v>
      </c>
      <c r="H86" s="13">
        <v>1.0</v>
      </c>
      <c r="I86" s="13">
        <v>0.0</v>
      </c>
      <c r="J86" s="13">
        <v>250.0</v>
      </c>
      <c r="K86" s="13">
        <v>0.0</v>
      </c>
      <c r="L86" s="15"/>
      <c r="M86" s="17">
        <v>250.0</v>
      </c>
    </row>
    <row r="87" ht="22.5" customHeight="1">
      <c r="A87" s="10" t="s">
        <v>342</v>
      </c>
      <c r="B87" s="10" t="s">
        <v>339</v>
      </c>
      <c r="C87" s="10" t="s">
        <v>51</v>
      </c>
      <c r="D87" s="8">
        <v>250.0</v>
      </c>
      <c r="E87" s="8">
        <v>1.0</v>
      </c>
      <c r="F87" s="13">
        <v>300.0</v>
      </c>
      <c r="G87" s="14">
        <v>45987.0</v>
      </c>
      <c r="H87" s="13">
        <v>1.0</v>
      </c>
      <c r="I87" s="13">
        <v>0.0</v>
      </c>
      <c r="J87" s="13">
        <v>250.0</v>
      </c>
      <c r="K87" s="13">
        <v>0.0</v>
      </c>
      <c r="L87" s="15"/>
      <c r="M87" s="17">
        <v>250.0</v>
      </c>
    </row>
    <row r="88" ht="22.5" customHeight="1">
      <c r="A88" s="19" t="s">
        <v>345</v>
      </c>
      <c r="B88" s="19" t="s">
        <v>167</v>
      </c>
      <c r="C88" s="19" t="s">
        <v>154</v>
      </c>
      <c r="D88" s="33">
        <v>250.0</v>
      </c>
      <c r="E88" s="33">
        <v>2.0</v>
      </c>
      <c r="F88" s="17">
        <v>300.0</v>
      </c>
      <c r="G88" s="34">
        <v>46095.0</v>
      </c>
      <c r="H88" s="5">
        <v>2.0</v>
      </c>
      <c r="I88" s="17">
        <v>0.0</v>
      </c>
      <c r="J88" s="5">
        <v>500.0</v>
      </c>
      <c r="K88" s="17">
        <v>0.0</v>
      </c>
      <c r="L88" s="5"/>
      <c r="M88" s="17">
        <v>500.0</v>
      </c>
    </row>
    <row r="89" ht="22.5" customHeight="1">
      <c r="A89" s="19" t="s">
        <v>349</v>
      </c>
      <c r="B89" s="19" t="s">
        <v>224</v>
      </c>
      <c r="C89" s="19" t="s">
        <v>119</v>
      </c>
      <c r="D89" s="33">
        <v>250.0</v>
      </c>
      <c r="E89" s="33">
        <v>3.0</v>
      </c>
      <c r="F89" s="17">
        <v>300.0</v>
      </c>
      <c r="G89" s="34">
        <v>46067.0</v>
      </c>
      <c r="H89" s="5">
        <v>3.0</v>
      </c>
      <c r="I89" s="17">
        <v>0.0</v>
      </c>
      <c r="J89" s="17">
        <v>750.0</v>
      </c>
      <c r="K89" s="17">
        <v>0.0</v>
      </c>
      <c r="L89" s="5"/>
      <c r="M89" s="17">
        <v>750.0</v>
      </c>
    </row>
    <row r="90" ht="22.5" customHeight="1">
      <c r="A90" s="10" t="s">
        <v>353</v>
      </c>
      <c r="B90" s="10" t="s">
        <v>354</v>
      </c>
      <c r="C90" s="10" t="s">
        <v>125</v>
      </c>
      <c r="D90" s="8">
        <v>250.0</v>
      </c>
      <c r="E90" s="8">
        <v>3.0</v>
      </c>
      <c r="F90" s="13">
        <v>300.0</v>
      </c>
      <c r="G90" s="14">
        <v>46099.0</v>
      </c>
      <c r="H90" s="13">
        <v>3.0</v>
      </c>
      <c r="I90" s="13">
        <v>0.0</v>
      </c>
      <c r="J90" s="13">
        <v>750.0</v>
      </c>
      <c r="K90" s="13">
        <v>0.0</v>
      </c>
      <c r="L90" s="15"/>
      <c r="M90" s="17">
        <v>750.0</v>
      </c>
    </row>
    <row r="91" ht="22.5" customHeight="1">
      <c r="A91" s="19" t="s">
        <v>358</v>
      </c>
      <c r="B91" s="19" t="s">
        <v>50</v>
      </c>
      <c r="C91" s="19" t="s">
        <v>154</v>
      </c>
      <c r="D91" s="33">
        <v>250.0</v>
      </c>
      <c r="E91" s="33">
        <v>2.0</v>
      </c>
      <c r="F91" s="17">
        <v>300.0</v>
      </c>
      <c r="G91" s="34">
        <v>46154.0</v>
      </c>
      <c r="H91" s="5">
        <v>2.0</v>
      </c>
      <c r="I91" s="5">
        <v>0.0</v>
      </c>
      <c r="J91" s="17">
        <v>500.0</v>
      </c>
      <c r="K91" s="17">
        <v>0.0</v>
      </c>
      <c r="L91" s="19"/>
      <c r="M91" s="17"/>
    </row>
    <row r="92" ht="22.5" customHeight="1">
      <c r="A92" s="19" t="s">
        <v>360</v>
      </c>
      <c r="B92" s="19" t="s">
        <v>362</v>
      </c>
      <c r="C92" s="19" t="s">
        <v>119</v>
      </c>
      <c r="D92" s="33">
        <v>245.0</v>
      </c>
      <c r="E92" s="33">
        <v>0.0</v>
      </c>
      <c r="F92" s="17">
        <v>294.0</v>
      </c>
      <c r="G92" s="34">
        <v>46160.0</v>
      </c>
      <c r="H92" s="5">
        <v>1.0</v>
      </c>
      <c r="I92" s="17">
        <v>1.0</v>
      </c>
      <c r="J92" s="17">
        <v>245.0</v>
      </c>
      <c r="K92" s="17">
        <v>320.0</v>
      </c>
      <c r="L92" s="5"/>
      <c r="M92" s="17">
        <v>245.0</v>
      </c>
    </row>
    <row r="93" ht="22.5" customHeight="1">
      <c r="A93" s="19" t="s">
        <v>367</v>
      </c>
      <c r="B93" s="19" t="s">
        <v>224</v>
      </c>
      <c r="C93" s="19" t="s">
        <v>119</v>
      </c>
      <c r="D93" s="33">
        <v>242.0</v>
      </c>
      <c r="E93" s="33">
        <v>5.0</v>
      </c>
      <c r="F93" s="17">
        <v>290.4</v>
      </c>
      <c r="G93" s="34">
        <v>46067.0</v>
      </c>
      <c r="H93" s="5">
        <v>5.0</v>
      </c>
      <c r="I93" s="17">
        <v>0.0</v>
      </c>
      <c r="J93" s="17">
        <v>1210.0</v>
      </c>
      <c r="K93" s="17">
        <v>0.0</v>
      </c>
      <c r="L93" s="5"/>
      <c r="M93" s="17">
        <v>1210.0</v>
      </c>
    </row>
    <row r="94" ht="22.5" customHeight="1">
      <c r="A94" s="19" t="s">
        <v>370</v>
      </c>
      <c r="B94" s="19" t="s">
        <v>50</v>
      </c>
      <c r="C94" s="19" t="s">
        <v>51</v>
      </c>
      <c r="D94" s="33">
        <v>240.0</v>
      </c>
      <c r="E94" s="33">
        <v>1.0</v>
      </c>
      <c r="F94" s="17">
        <v>288.0</v>
      </c>
      <c r="G94" s="34">
        <v>46083.0</v>
      </c>
      <c r="H94" s="5">
        <v>1.0</v>
      </c>
      <c r="I94" s="17">
        <v>0.0</v>
      </c>
      <c r="J94" s="17">
        <v>240.0</v>
      </c>
      <c r="K94" s="17">
        <v>0.0</v>
      </c>
      <c r="L94" s="5"/>
      <c r="M94" s="17">
        <v>240.0</v>
      </c>
    </row>
    <row r="95" ht="22.5" customHeight="1">
      <c r="A95" s="10" t="s">
        <v>374</v>
      </c>
      <c r="B95" s="10" t="s">
        <v>50</v>
      </c>
      <c r="C95" s="10" t="s">
        <v>31</v>
      </c>
      <c r="D95" s="8">
        <v>235.0</v>
      </c>
      <c r="E95" s="8">
        <v>0.0</v>
      </c>
      <c r="F95" s="13">
        <v>282.0</v>
      </c>
      <c r="G95" s="14">
        <v>45998.01103079861</v>
      </c>
      <c r="H95" s="13">
        <v>1.0</v>
      </c>
      <c r="I95" s="13">
        <v>1.0</v>
      </c>
      <c r="J95" s="13">
        <v>235.0</v>
      </c>
      <c r="K95" s="13">
        <v>284.86</v>
      </c>
      <c r="L95" s="15"/>
      <c r="M95" s="17">
        <v>0.0</v>
      </c>
    </row>
    <row r="96" ht="22.5" customHeight="1">
      <c r="A96" s="10" t="s">
        <v>221</v>
      </c>
      <c r="B96" s="10" t="s">
        <v>68</v>
      </c>
      <c r="C96" s="10" t="s">
        <v>31</v>
      </c>
      <c r="D96" s="8">
        <v>235.0</v>
      </c>
      <c r="E96" s="8">
        <v>1.0</v>
      </c>
      <c r="F96" s="13">
        <v>282.0</v>
      </c>
      <c r="G96" s="14">
        <v>45924.0</v>
      </c>
      <c r="H96" s="13">
        <v>3.0</v>
      </c>
      <c r="I96" s="13">
        <v>2.0</v>
      </c>
      <c r="J96" s="13">
        <v>705.0</v>
      </c>
      <c r="K96" s="13">
        <v>699.65</v>
      </c>
      <c r="L96" s="15"/>
      <c r="M96" s="17">
        <v>235.0</v>
      </c>
    </row>
    <row r="97" ht="22.5" customHeight="1">
      <c r="A97" s="19" t="s">
        <v>159</v>
      </c>
      <c r="B97" s="19" t="s">
        <v>50</v>
      </c>
      <c r="C97" s="19" t="s">
        <v>154</v>
      </c>
      <c r="D97" s="33">
        <v>233.33</v>
      </c>
      <c r="E97" s="33">
        <v>2.0</v>
      </c>
      <c r="F97" s="17">
        <v>280.0</v>
      </c>
      <c r="G97" s="34">
        <v>46152.0</v>
      </c>
      <c r="H97" s="5">
        <v>6.0</v>
      </c>
      <c r="I97" s="17">
        <v>4.0</v>
      </c>
      <c r="J97" s="17">
        <v>1400.0</v>
      </c>
      <c r="K97" s="17">
        <v>1135.0</v>
      </c>
      <c r="L97" s="5"/>
      <c r="M97" s="17">
        <v>699.99</v>
      </c>
    </row>
    <row r="98" ht="22.5" customHeight="1">
      <c r="A98" s="19" t="s">
        <v>383</v>
      </c>
      <c r="B98" s="19" t="s">
        <v>224</v>
      </c>
      <c r="C98" s="19" t="s">
        <v>119</v>
      </c>
      <c r="D98" s="33">
        <v>229.5</v>
      </c>
      <c r="E98" s="33">
        <v>2.0</v>
      </c>
      <c r="F98" s="17">
        <v>275.4</v>
      </c>
      <c r="G98" s="34">
        <v>46083.0</v>
      </c>
      <c r="H98" s="5">
        <v>2.0</v>
      </c>
      <c r="I98" s="17">
        <v>0.0</v>
      </c>
      <c r="J98" s="17">
        <v>459.0</v>
      </c>
      <c r="K98" s="17">
        <v>0.0</v>
      </c>
      <c r="L98" s="5"/>
      <c r="M98" s="17">
        <v>459.0</v>
      </c>
    </row>
    <row r="99" ht="22.5" customHeight="1">
      <c r="A99" s="19" t="s">
        <v>385</v>
      </c>
      <c r="B99" s="19" t="s">
        <v>224</v>
      </c>
      <c r="C99" s="19" t="s">
        <v>119</v>
      </c>
      <c r="D99" s="33">
        <v>229.5</v>
      </c>
      <c r="E99" s="33">
        <v>0.0</v>
      </c>
      <c r="F99" s="17">
        <v>275.4</v>
      </c>
      <c r="G99" s="34">
        <v>46136.04166666667</v>
      </c>
      <c r="H99" s="5">
        <v>2.0</v>
      </c>
      <c r="I99" s="17">
        <v>2.0</v>
      </c>
      <c r="J99" s="17">
        <v>459.0</v>
      </c>
      <c r="K99" s="17">
        <v>570.0</v>
      </c>
      <c r="L99" s="5"/>
      <c r="M99" s="17">
        <v>229.5</v>
      </c>
    </row>
    <row r="100" ht="22.5" customHeight="1">
      <c r="A100" s="19" t="s">
        <v>387</v>
      </c>
      <c r="B100" s="19" t="s">
        <v>388</v>
      </c>
      <c r="C100" s="19" t="s">
        <v>119</v>
      </c>
      <c r="D100" s="33">
        <v>227.0</v>
      </c>
      <c r="E100" s="33">
        <v>1.0</v>
      </c>
      <c r="F100" s="17">
        <v>272.4</v>
      </c>
      <c r="G100" s="34">
        <v>46154.0</v>
      </c>
      <c r="H100" s="5">
        <v>1.0</v>
      </c>
      <c r="I100" s="5">
        <v>0.0</v>
      </c>
      <c r="J100" s="17">
        <v>227.0</v>
      </c>
      <c r="K100" s="17">
        <v>0.0</v>
      </c>
      <c r="L100" s="19"/>
      <c r="M100" s="17"/>
    </row>
    <row r="101" ht="22.5" customHeight="1">
      <c r="A101" s="10" t="s">
        <v>304</v>
      </c>
      <c r="B101" s="10" t="s">
        <v>50</v>
      </c>
      <c r="C101" s="10" t="s">
        <v>31</v>
      </c>
      <c r="D101" s="8">
        <v>225.0</v>
      </c>
      <c r="E101" s="8">
        <v>1.0</v>
      </c>
      <c r="F101" s="13">
        <v>270.0</v>
      </c>
      <c r="G101" s="14">
        <v>45999.0</v>
      </c>
      <c r="H101" s="13">
        <v>1.0</v>
      </c>
      <c r="I101" s="6">
        <v>0.0</v>
      </c>
      <c r="J101" s="13">
        <v>225.0</v>
      </c>
      <c r="K101" s="6">
        <v>0.0</v>
      </c>
      <c r="L101" s="15"/>
      <c r="M101" s="17">
        <v>225.0</v>
      </c>
    </row>
    <row r="102" ht="22.5" customHeight="1">
      <c r="A102" s="10" t="s">
        <v>241</v>
      </c>
      <c r="B102" s="10" t="s">
        <v>68</v>
      </c>
      <c r="C102" s="10" t="s">
        <v>31</v>
      </c>
      <c r="D102" s="8">
        <v>225.0</v>
      </c>
      <c r="E102" s="8">
        <v>0.0</v>
      </c>
      <c r="F102" s="13">
        <v>270.0</v>
      </c>
      <c r="G102" s="6" t="s">
        <v>72</v>
      </c>
      <c r="H102" s="13">
        <v>1.0</v>
      </c>
      <c r="I102" s="13">
        <v>1.0</v>
      </c>
      <c r="J102" s="13">
        <v>225.0</v>
      </c>
      <c r="K102" s="13">
        <v>300.0</v>
      </c>
      <c r="L102" s="15"/>
      <c r="M102" s="17">
        <v>0.0</v>
      </c>
    </row>
    <row r="103" ht="22.5" customHeight="1">
      <c r="A103" s="10" t="s">
        <v>357</v>
      </c>
      <c r="B103" s="10" t="s">
        <v>185</v>
      </c>
      <c r="C103" s="10" t="s">
        <v>31</v>
      </c>
      <c r="D103" s="8">
        <v>225.0</v>
      </c>
      <c r="E103" s="8">
        <v>0.0</v>
      </c>
      <c r="F103" s="13">
        <v>270.0</v>
      </c>
      <c r="G103" s="14">
        <v>46023.83748457176</v>
      </c>
      <c r="H103" s="13">
        <v>5.0</v>
      </c>
      <c r="I103" s="13">
        <v>5.0</v>
      </c>
      <c r="J103" s="13">
        <v>1125.0</v>
      </c>
      <c r="K103" s="13">
        <v>1549.81</v>
      </c>
      <c r="L103" s="15"/>
      <c r="M103" s="17">
        <v>0.0</v>
      </c>
    </row>
    <row r="104" ht="22.5" customHeight="1">
      <c r="A104" s="10" t="s">
        <v>274</v>
      </c>
      <c r="B104" s="10" t="s">
        <v>224</v>
      </c>
      <c r="C104" s="10" t="s">
        <v>31</v>
      </c>
      <c r="D104" s="8">
        <v>225.0</v>
      </c>
      <c r="E104" s="8">
        <v>3.0</v>
      </c>
      <c r="F104" s="13">
        <v>270.0</v>
      </c>
      <c r="G104" s="14">
        <v>45904.0</v>
      </c>
      <c r="H104" s="13">
        <v>3.0</v>
      </c>
      <c r="I104" s="13">
        <v>0.0</v>
      </c>
      <c r="J104" s="13">
        <v>675.0</v>
      </c>
      <c r="K104" s="13">
        <v>0.0</v>
      </c>
      <c r="L104" s="15"/>
      <c r="M104" s="17">
        <v>675.0</v>
      </c>
    </row>
    <row r="105" ht="22.5" customHeight="1">
      <c r="A105" s="10" t="s">
        <v>402</v>
      </c>
      <c r="B105" s="10" t="s">
        <v>185</v>
      </c>
      <c r="C105" s="10" t="s">
        <v>31</v>
      </c>
      <c r="D105" s="8">
        <v>225.0</v>
      </c>
      <c r="E105" s="8">
        <v>5.0</v>
      </c>
      <c r="F105" s="13">
        <v>270.0</v>
      </c>
      <c r="G105" s="14">
        <v>46136.04166666667</v>
      </c>
      <c r="H105" s="13">
        <v>6.0</v>
      </c>
      <c r="I105" s="13">
        <v>1.0</v>
      </c>
      <c r="J105" s="13">
        <v>1350.0</v>
      </c>
      <c r="K105" s="13">
        <v>420.0</v>
      </c>
      <c r="L105" s="15"/>
      <c r="M105" s="17">
        <v>1350.0</v>
      </c>
    </row>
    <row r="106" ht="22.5" customHeight="1">
      <c r="A106" s="10" t="s">
        <v>406</v>
      </c>
      <c r="B106" s="10" t="s">
        <v>339</v>
      </c>
      <c r="C106" s="10" t="s">
        <v>51</v>
      </c>
      <c r="D106" s="8">
        <v>225.0</v>
      </c>
      <c r="E106" s="8">
        <v>1.0</v>
      </c>
      <c r="F106" s="13">
        <v>270.0</v>
      </c>
      <c r="G106" s="14">
        <v>45987.0</v>
      </c>
      <c r="H106" s="13">
        <v>1.0</v>
      </c>
      <c r="I106" s="13">
        <v>0.0</v>
      </c>
      <c r="J106" s="13">
        <v>225.0</v>
      </c>
      <c r="K106" s="13">
        <v>0.0</v>
      </c>
      <c r="L106" s="15"/>
      <c r="M106" s="17">
        <v>225.0</v>
      </c>
    </row>
    <row r="107" ht="22.5" customHeight="1">
      <c r="A107" s="19" t="s">
        <v>410</v>
      </c>
      <c r="B107" s="19" t="s">
        <v>411</v>
      </c>
      <c r="C107" s="19" t="s">
        <v>154</v>
      </c>
      <c r="D107" s="33">
        <v>225.0</v>
      </c>
      <c r="E107" s="33">
        <v>0.0</v>
      </c>
      <c r="F107" s="17">
        <v>270.0</v>
      </c>
      <c r="G107" s="34">
        <v>44997.0</v>
      </c>
      <c r="H107" s="5">
        <v>2.0</v>
      </c>
      <c r="I107" s="17">
        <v>2.0</v>
      </c>
      <c r="J107" s="17">
        <v>450.0</v>
      </c>
      <c r="K107" s="17">
        <v>540.0</v>
      </c>
      <c r="L107" s="5"/>
      <c r="M107" s="17">
        <v>0.0</v>
      </c>
    </row>
    <row r="108" ht="22.5" customHeight="1">
      <c r="A108" s="19" t="s">
        <v>415</v>
      </c>
      <c r="B108" s="19" t="s">
        <v>224</v>
      </c>
      <c r="C108" s="19" t="s">
        <v>119</v>
      </c>
      <c r="D108" s="33">
        <v>225.0</v>
      </c>
      <c r="E108" s="33">
        <v>4.0</v>
      </c>
      <c r="F108" s="17">
        <v>270.0</v>
      </c>
      <c r="G108" s="34">
        <v>46070.0</v>
      </c>
      <c r="H108" s="5">
        <v>8.0</v>
      </c>
      <c r="I108" s="17">
        <v>4.0</v>
      </c>
      <c r="J108" s="17">
        <v>1800.0</v>
      </c>
      <c r="K108" s="17">
        <v>1095.0</v>
      </c>
      <c r="L108" s="5"/>
      <c r="M108" s="17">
        <v>900.0</v>
      </c>
    </row>
    <row r="109" ht="22.5" customHeight="1">
      <c r="A109" s="19" t="s">
        <v>419</v>
      </c>
      <c r="B109" s="19" t="s">
        <v>68</v>
      </c>
      <c r="C109" s="19" t="s">
        <v>51</v>
      </c>
      <c r="D109" s="33">
        <v>225.0</v>
      </c>
      <c r="E109" s="33">
        <v>2.0</v>
      </c>
      <c r="F109" s="17">
        <v>270.0</v>
      </c>
      <c r="G109" s="34">
        <v>46083.0</v>
      </c>
      <c r="H109" s="5">
        <v>2.0</v>
      </c>
      <c r="I109" s="17">
        <v>0.0</v>
      </c>
      <c r="J109" s="17">
        <v>450.0</v>
      </c>
      <c r="K109" s="17">
        <v>0.0</v>
      </c>
      <c r="L109" s="5"/>
      <c r="M109" s="17">
        <v>450.0</v>
      </c>
    </row>
    <row r="110" ht="22.5" customHeight="1">
      <c r="A110" s="19" t="s">
        <v>423</v>
      </c>
      <c r="B110" s="19" t="s">
        <v>68</v>
      </c>
      <c r="C110" s="19" t="s">
        <v>51</v>
      </c>
      <c r="D110" s="33">
        <v>225.0</v>
      </c>
      <c r="E110" s="33">
        <v>2.0</v>
      </c>
      <c r="F110" s="17">
        <v>270.0</v>
      </c>
      <c r="G110" s="34">
        <v>46083.0</v>
      </c>
      <c r="H110" s="5">
        <v>2.0</v>
      </c>
      <c r="I110" s="17">
        <v>0.0</v>
      </c>
      <c r="J110" s="17">
        <v>450.0</v>
      </c>
      <c r="K110" s="17">
        <v>0.0</v>
      </c>
      <c r="L110" s="5"/>
      <c r="M110" s="17">
        <v>450.0</v>
      </c>
    </row>
    <row r="111" ht="22.5" customHeight="1">
      <c r="A111" s="11" t="s">
        <v>426</v>
      </c>
      <c r="B111" s="19" t="s">
        <v>286</v>
      </c>
      <c r="C111" s="19" t="s">
        <v>51</v>
      </c>
      <c r="D111" s="33">
        <v>225.0</v>
      </c>
      <c r="E111" s="33">
        <v>1.0</v>
      </c>
      <c r="F111" s="5">
        <v>225.0</v>
      </c>
      <c r="G111" s="34">
        <v>46095.0</v>
      </c>
      <c r="H111" s="5">
        <v>2.0</v>
      </c>
      <c r="I111" s="17">
        <v>0.0</v>
      </c>
      <c r="J111" s="5">
        <v>350.0</v>
      </c>
      <c r="K111" s="17">
        <v>0.0</v>
      </c>
      <c r="L111" s="5"/>
      <c r="M111" s="17">
        <v>350.0</v>
      </c>
    </row>
    <row r="112" ht="22.5" customHeight="1">
      <c r="A112" s="10" t="s">
        <v>429</v>
      </c>
      <c r="B112" s="10" t="s">
        <v>30</v>
      </c>
      <c r="C112" s="10" t="s">
        <v>31</v>
      </c>
      <c r="D112" s="8">
        <v>220.0</v>
      </c>
      <c r="E112" s="8">
        <v>3.0</v>
      </c>
      <c r="F112" s="13">
        <v>264.0</v>
      </c>
      <c r="G112" s="14">
        <v>45812.0</v>
      </c>
      <c r="H112" s="13">
        <v>3.0</v>
      </c>
      <c r="I112" s="13">
        <v>0.0</v>
      </c>
      <c r="J112" s="13">
        <v>660.0</v>
      </c>
      <c r="K112" s="13">
        <v>0.0</v>
      </c>
      <c r="L112" s="15"/>
      <c r="M112" s="17">
        <v>660.0</v>
      </c>
    </row>
    <row r="113" ht="22.5" customHeight="1">
      <c r="A113" s="10" t="s">
        <v>84</v>
      </c>
      <c r="B113" s="10" t="s">
        <v>68</v>
      </c>
      <c r="C113" s="10" t="s">
        <v>31</v>
      </c>
      <c r="D113" s="8">
        <v>220.0</v>
      </c>
      <c r="E113" s="8">
        <v>0.0</v>
      </c>
      <c r="F113" s="13">
        <v>264.0</v>
      </c>
      <c r="G113" s="6" t="s">
        <v>72</v>
      </c>
      <c r="H113" s="13">
        <v>1.0</v>
      </c>
      <c r="I113" s="13">
        <v>1.0</v>
      </c>
      <c r="J113" s="13">
        <v>220.0</v>
      </c>
      <c r="K113" s="13">
        <v>252.0</v>
      </c>
      <c r="L113" s="15"/>
      <c r="M113" s="17">
        <v>0.0</v>
      </c>
    </row>
    <row r="114" ht="22.5" customHeight="1">
      <c r="A114" s="19" t="s">
        <v>435</v>
      </c>
      <c r="B114" s="19" t="s">
        <v>339</v>
      </c>
      <c r="C114" s="19" t="s">
        <v>436</v>
      </c>
      <c r="D114" s="33">
        <v>220.0</v>
      </c>
      <c r="E114" s="33">
        <v>0.0</v>
      </c>
      <c r="F114" s="17">
        <v>264.0</v>
      </c>
      <c r="G114" s="37">
        <v>46007.0</v>
      </c>
      <c r="H114" s="17">
        <v>6.0</v>
      </c>
      <c r="I114" s="17">
        <v>0.0</v>
      </c>
      <c r="J114" s="17">
        <v>1320.0</v>
      </c>
      <c r="K114" s="17">
        <v>0.0</v>
      </c>
      <c r="L114" s="5" t="s">
        <v>441</v>
      </c>
      <c r="M114" s="17">
        <v>0.0</v>
      </c>
    </row>
    <row r="115" ht="22.5" customHeight="1">
      <c r="A115" s="10" t="s">
        <v>397</v>
      </c>
      <c r="B115" s="10" t="s">
        <v>68</v>
      </c>
      <c r="C115" s="10" t="s">
        <v>31</v>
      </c>
      <c r="D115" s="8">
        <v>215.0</v>
      </c>
      <c r="E115" s="8">
        <v>0.0</v>
      </c>
      <c r="F115" s="13">
        <v>258.0</v>
      </c>
      <c r="G115" s="14">
        <v>45998.01103162037</v>
      </c>
      <c r="H115" s="13">
        <v>1.0</v>
      </c>
      <c r="I115" s="13">
        <v>1.0</v>
      </c>
      <c r="J115" s="13">
        <v>215.0</v>
      </c>
      <c r="K115" s="13">
        <v>279.86</v>
      </c>
      <c r="L115" s="15"/>
      <c r="M115" s="17">
        <v>0.0</v>
      </c>
    </row>
    <row r="116" ht="22.5" customHeight="1">
      <c r="A116" s="19" t="s">
        <v>446</v>
      </c>
      <c r="B116" s="19" t="s">
        <v>388</v>
      </c>
      <c r="C116" s="19" t="s">
        <v>119</v>
      </c>
      <c r="D116" s="33">
        <v>212.5</v>
      </c>
      <c r="E116" s="33">
        <v>1.0</v>
      </c>
      <c r="F116" s="17">
        <v>255.0</v>
      </c>
      <c r="G116" s="34">
        <v>46154.0</v>
      </c>
      <c r="H116" s="5">
        <v>1.0</v>
      </c>
      <c r="I116" s="5">
        <v>0.0</v>
      </c>
      <c r="J116" s="17">
        <v>212.5</v>
      </c>
      <c r="K116" s="17">
        <v>0.0</v>
      </c>
      <c r="L116" s="19"/>
      <c r="M116" s="17"/>
    </row>
    <row r="117" ht="22.5" customHeight="1">
      <c r="A117" s="10" t="s">
        <v>153</v>
      </c>
      <c r="B117" s="10" t="s">
        <v>30</v>
      </c>
      <c r="C117" s="10" t="s">
        <v>31</v>
      </c>
      <c r="D117" s="8">
        <v>211.67</v>
      </c>
      <c r="E117" s="8">
        <v>2.0</v>
      </c>
      <c r="F117" s="13">
        <v>254.0</v>
      </c>
      <c r="G117" s="14">
        <v>46121.0</v>
      </c>
      <c r="H117" s="13">
        <v>6.0</v>
      </c>
      <c r="I117" s="13">
        <v>4.0</v>
      </c>
      <c r="J117" s="13">
        <v>1270.0</v>
      </c>
      <c r="K117" s="13">
        <v>1044.86</v>
      </c>
      <c r="L117" s="15"/>
      <c r="M117" s="17">
        <v>635.01</v>
      </c>
    </row>
    <row r="118" ht="22.5" customHeight="1">
      <c r="A118" s="10" t="s">
        <v>244</v>
      </c>
      <c r="B118" s="10" t="s">
        <v>50</v>
      </c>
      <c r="C118" s="10" t="s">
        <v>31</v>
      </c>
      <c r="D118" s="8">
        <v>210.0</v>
      </c>
      <c r="E118" s="8">
        <v>3.0</v>
      </c>
      <c r="F118" s="13">
        <v>252.0</v>
      </c>
      <c r="G118" s="6" t="s">
        <v>72</v>
      </c>
      <c r="H118" s="13">
        <v>4.0</v>
      </c>
      <c r="I118" s="13">
        <v>1.0</v>
      </c>
      <c r="J118" s="13">
        <v>840.0</v>
      </c>
      <c r="K118" s="13">
        <v>264.0</v>
      </c>
      <c r="L118" s="15"/>
      <c r="M118" s="17">
        <v>630.0</v>
      </c>
    </row>
    <row r="119" ht="22.5" customHeight="1">
      <c r="A119" s="10" t="s">
        <v>333</v>
      </c>
      <c r="B119" s="10" t="s">
        <v>30</v>
      </c>
      <c r="C119" s="10" t="s">
        <v>31</v>
      </c>
      <c r="D119" s="8">
        <v>210.0</v>
      </c>
      <c r="E119" s="8">
        <v>2.0</v>
      </c>
      <c r="F119" s="13">
        <v>252.0</v>
      </c>
      <c r="G119" s="14">
        <v>45835.0</v>
      </c>
      <c r="H119" s="13">
        <v>2.0</v>
      </c>
      <c r="I119" s="13">
        <v>0.0</v>
      </c>
      <c r="J119" s="13">
        <v>420.0</v>
      </c>
      <c r="K119" s="13">
        <v>0.0</v>
      </c>
      <c r="L119" s="15"/>
      <c r="M119" s="17">
        <v>420.0</v>
      </c>
    </row>
    <row r="120" ht="22.5" customHeight="1">
      <c r="A120" s="10" t="s">
        <v>456</v>
      </c>
      <c r="B120" s="10" t="s">
        <v>68</v>
      </c>
      <c r="C120" s="10" t="s">
        <v>31</v>
      </c>
      <c r="D120" s="8">
        <v>210.0</v>
      </c>
      <c r="E120" s="8">
        <v>3.0</v>
      </c>
      <c r="F120" s="13">
        <v>252.0</v>
      </c>
      <c r="G120" s="14">
        <v>45835.0</v>
      </c>
      <c r="H120" s="13">
        <v>3.0</v>
      </c>
      <c r="I120" s="13">
        <v>0.0</v>
      </c>
      <c r="J120" s="13">
        <v>630.0</v>
      </c>
      <c r="K120" s="13">
        <v>0.0</v>
      </c>
      <c r="L120" s="15"/>
      <c r="M120" s="17">
        <v>630.0</v>
      </c>
    </row>
    <row r="121" ht="22.5" customHeight="1">
      <c r="A121" s="10" t="s">
        <v>454</v>
      </c>
      <c r="B121" s="10" t="s">
        <v>185</v>
      </c>
      <c r="C121" s="10" t="s">
        <v>31</v>
      </c>
      <c r="D121" s="8">
        <v>210.0</v>
      </c>
      <c r="E121" s="8">
        <v>5.0</v>
      </c>
      <c r="F121" s="13">
        <v>252.0</v>
      </c>
      <c r="G121" s="14">
        <v>46114.0</v>
      </c>
      <c r="H121" s="13">
        <v>9.0</v>
      </c>
      <c r="I121" s="13">
        <v>3.5555555555555554</v>
      </c>
      <c r="J121" s="13">
        <v>1890.0</v>
      </c>
      <c r="K121" s="13">
        <v>1070.0</v>
      </c>
      <c r="L121" s="6" t="s">
        <v>461</v>
      </c>
      <c r="M121" s="17">
        <v>1166.6666666666665</v>
      </c>
    </row>
    <row r="122" ht="22.5" customHeight="1">
      <c r="A122" s="19" t="s">
        <v>462</v>
      </c>
      <c r="B122" s="19" t="s">
        <v>50</v>
      </c>
      <c r="C122" s="19" t="s">
        <v>154</v>
      </c>
      <c r="D122" s="33">
        <v>210.0</v>
      </c>
      <c r="E122" s="33">
        <v>0.0</v>
      </c>
      <c r="F122" s="17">
        <v>252.0</v>
      </c>
      <c r="G122" s="34">
        <v>46107.11438515046</v>
      </c>
      <c r="H122" s="5">
        <v>2.0</v>
      </c>
      <c r="I122" s="17">
        <v>2.0</v>
      </c>
      <c r="J122" s="17">
        <v>420.0</v>
      </c>
      <c r="K122" s="17">
        <v>470.0</v>
      </c>
      <c r="L122" s="5"/>
      <c r="M122" s="17">
        <v>0.0</v>
      </c>
    </row>
    <row r="123" ht="22.5" customHeight="1">
      <c r="A123" s="19" t="s">
        <v>77</v>
      </c>
      <c r="B123" s="19" t="s">
        <v>50</v>
      </c>
      <c r="C123" s="5" t="s">
        <v>54</v>
      </c>
      <c r="D123" s="33">
        <v>206.11111111111111</v>
      </c>
      <c r="E123" s="33">
        <v>0.0</v>
      </c>
      <c r="F123" s="17">
        <v>247.33333333333331</v>
      </c>
      <c r="G123" s="34">
        <v>46138.0</v>
      </c>
      <c r="H123" s="5">
        <v>9.0</v>
      </c>
      <c r="I123" s="17">
        <v>9.0</v>
      </c>
      <c r="J123" s="17">
        <v>1855.0</v>
      </c>
      <c r="K123" s="17">
        <v>3490.0</v>
      </c>
      <c r="L123" s="5" t="s">
        <v>257</v>
      </c>
      <c r="M123" s="17">
        <f>D123*E123</f>
        <v>0</v>
      </c>
    </row>
    <row r="124" ht="22.5" customHeight="1">
      <c r="A124" s="10" t="s">
        <v>214</v>
      </c>
      <c r="B124" s="10" t="s">
        <v>30</v>
      </c>
      <c r="C124" s="10" t="s">
        <v>31</v>
      </c>
      <c r="D124" s="8">
        <v>205.0</v>
      </c>
      <c r="E124" s="8">
        <v>0.0</v>
      </c>
      <c r="F124" s="13">
        <v>246.0</v>
      </c>
      <c r="G124" s="14">
        <v>45998.011042488426</v>
      </c>
      <c r="H124" s="13">
        <v>2.0</v>
      </c>
      <c r="I124" s="13">
        <v>2.0</v>
      </c>
      <c r="J124" s="13">
        <v>410.0</v>
      </c>
      <c r="K124" s="13">
        <v>524.73</v>
      </c>
      <c r="L124" s="15"/>
      <c r="M124" s="17">
        <v>0.0</v>
      </c>
    </row>
    <row r="125" ht="22.5" customHeight="1">
      <c r="A125" s="19" t="s">
        <v>454</v>
      </c>
      <c r="B125" s="19" t="s">
        <v>472</v>
      </c>
      <c r="C125" s="5" t="s">
        <v>54</v>
      </c>
      <c r="D125" s="33">
        <v>200.0</v>
      </c>
      <c r="E125" s="33">
        <v>1.0</v>
      </c>
      <c r="F125" s="17">
        <v>240.0</v>
      </c>
      <c r="G125" s="34">
        <v>46094.8037295949</v>
      </c>
      <c r="H125" s="5">
        <v>1.0</v>
      </c>
      <c r="I125" s="17">
        <v>0.0</v>
      </c>
      <c r="J125" s="5">
        <v>200.0</v>
      </c>
      <c r="K125" s="17">
        <v>0.0</v>
      </c>
      <c r="L125" s="5" t="s">
        <v>474</v>
      </c>
      <c r="M125" s="17">
        <v>200.0</v>
      </c>
    </row>
    <row r="126" ht="22.5" customHeight="1">
      <c r="A126" s="10" t="s">
        <v>111</v>
      </c>
      <c r="B126" s="10" t="s">
        <v>50</v>
      </c>
      <c r="C126" s="10" t="s">
        <v>154</v>
      </c>
      <c r="D126" s="8">
        <v>200.0</v>
      </c>
      <c r="E126" s="8">
        <v>2.0</v>
      </c>
      <c r="F126" s="13">
        <v>240.0</v>
      </c>
      <c r="G126" s="14">
        <v>46142.87410427083</v>
      </c>
      <c r="H126" s="13">
        <v>4.0</v>
      </c>
      <c r="I126" s="13">
        <v>2.0</v>
      </c>
      <c r="J126" s="13">
        <v>800.0</v>
      </c>
      <c r="K126" s="13">
        <v>450.0</v>
      </c>
      <c r="L126" s="15"/>
      <c r="M126" s="17">
        <v>600.0</v>
      </c>
    </row>
    <row r="127" ht="22.5" customHeight="1">
      <c r="A127" s="10" t="s">
        <v>479</v>
      </c>
      <c r="B127" s="10" t="s">
        <v>50</v>
      </c>
      <c r="C127" s="10" t="s">
        <v>154</v>
      </c>
      <c r="D127" s="8">
        <v>200.0</v>
      </c>
      <c r="E127" s="8">
        <v>0.0</v>
      </c>
      <c r="F127" s="13">
        <v>240.0</v>
      </c>
      <c r="G127" s="14">
        <v>46155.0</v>
      </c>
      <c r="H127" s="13">
        <v>1.0</v>
      </c>
      <c r="I127" s="13">
        <v>1.0</v>
      </c>
      <c r="J127" s="13">
        <v>200.0</v>
      </c>
      <c r="K127" s="13">
        <v>300.0</v>
      </c>
      <c r="L127" s="15"/>
      <c r="M127" s="17">
        <v>200.0</v>
      </c>
    </row>
    <row r="128" ht="22.5" customHeight="1">
      <c r="A128" s="19" t="s">
        <v>482</v>
      </c>
      <c r="B128" s="19" t="s">
        <v>483</v>
      </c>
      <c r="C128" s="19" t="s">
        <v>484</v>
      </c>
      <c r="D128" s="33">
        <v>200.0</v>
      </c>
      <c r="E128" s="33">
        <v>0.0</v>
      </c>
      <c r="F128" s="17">
        <v>240.0</v>
      </c>
      <c r="G128" s="34">
        <v>46167.0</v>
      </c>
      <c r="H128" s="5">
        <v>3.0</v>
      </c>
      <c r="I128" s="5">
        <v>3.0</v>
      </c>
      <c r="J128" s="17">
        <v>600.0</v>
      </c>
      <c r="K128" s="17">
        <v>750.0</v>
      </c>
      <c r="L128" s="19"/>
      <c r="M128" s="17"/>
    </row>
    <row r="129" ht="22.5" customHeight="1">
      <c r="A129" s="10" t="s">
        <v>486</v>
      </c>
      <c r="B129" s="10" t="s">
        <v>50</v>
      </c>
      <c r="C129" s="10" t="s">
        <v>31</v>
      </c>
      <c r="D129" s="8">
        <v>195.0</v>
      </c>
      <c r="E129" s="8">
        <v>0.0</v>
      </c>
      <c r="F129" s="13">
        <v>234.0</v>
      </c>
      <c r="G129" s="14">
        <v>45971.0</v>
      </c>
      <c r="H129" s="13">
        <v>1.0</v>
      </c>
      <c r="I129" s="13">
        <v>1.0</v>
      </c>
      <c r="J129" s="13">
        <v>195.0</v>
      </c>
      <c r="K129" s="13">
        <v>235.0</v>
      </c>
      <c r="L129" s="15"/>
      <c r="M129" s="17">
        <v>0.0</v>
      </c>
    </row>
    <row r="130" ht="22.5" customHeight="1">
      <c r="A130" s="10" t="s">
        <v>178</v>
      </c>
      <c r="B130" s="10" t="s">
        <v>185</v>
      </c>
      <c r="C130" s="10" t="s">
        <v>31</v>
      </c>
      <c r="D130" s="8">
        <v>195.0</v>
      </c>
      <c r="E130" s="8">
        <v>0.0</v>
      </c>
      <c r="F130" s="13">
        <v>234.0</v>
      </c>
      <c r="G130" s="14">
        <v>46114.0</v>
      </c>
      <c r="H130" s="13">
        <v>2.0</v>
      </c>
      <c r="I130" s="13">
        <v>2.0</v>
      </c>
      <c r="J130" s="13">
        <v>390.0</v>
      </c>
      <c r="K130" s="13">
        <v>470.0</v>
      </c>
      <c r="L130" s="15"/>
      <c r="M130" s="17">
        <v>195.0</v>
      </c>
    </row>
    <row r="131" ht="22.5" customHeight="1">
      <c r="A131" s="10" t="s">
        <v>401</v>
      </c>
      <c r="B131" s="10" t="s">
        <v>68</v>
      </c>
      <c r="C131" s="10" t="s">
        <v>31</v>
      </c>
      <c r="D131" s="8">
        <v>195.0</v>
      </c>
      <c r="E131" s="8">
        <v>0.0</v>
      </c>
      <c r="F131" s="13">
        <v>234.0</v>
      </c>
      <c r="G131" s="14">
        <v>46011.0</v>
      </c>
      <c r="H131" s="13">
        <v>1.0</v>
      </c>
      <c r="I131" s="13">
        <v>1.0</v>
      </c>
      <c r="J131" s="13">
        <v>195.0</v>
      </c>
      <c r="K131" s="13">
        <v>200.0</v>
      </c>
      <c r="L131" s="15"/>
      <c r="M131" s="17">
        <v>0.0</v>
      </c>
    </row>
    <row r="132" ht="22.5" customHeight="1">
      <c r="A132" s="10" t="s">
        <v>55</v>
      </c>
      <c r="B132" s="10" t="s">
        <v>50</v>
      </c>
      <c r="C132" s="10" t="s">
        <v>31</v>
      </c>
      <c r="D132" s="8">
        <v>195.0</v>
      </c>
      <c r="E132" s="8">
        <v>0.0</v>
      </c>
      <c r="F132" s="13">
        <v>234.0</v>
      </c>
      <c r="G132" s="14">
        <v>45998.01100806713</v>
      </c>
      <c r="H132" s="13">
        <v>4.0</v>
      </c>
      <c r="I132" s="13">
        <v>4.0</v>
      </c>
      <c r="J132" s="13">
        <v>780.0</v>
      </c>
      <c r="K132" s="13">
        <v>894.63</v>
      </c>
      <c r="L132" s="15"/>
      <c r="M132" s="17">
        <v>0.0</v>
      </c>
    </row>
    <row r="133" ht="22.5" customHeight="1">
      <c r="A133" s="10" t="s">
        <v>412</v>
      </c>
      <c r="B133" s="10" t="s">
        <v>30</v>
      </c>
      <c r="C133" s="10" t="s">
        <v>31</v>
      </c>
      <c r="D133" s="8">
        <v>195.0</v>
      </c>
      <c r="E133" s="8">
        <v>1.0</v>
      </c>
      <c r="F133" s="13">
        <v>234.0</v>
      </c>
      <c r="G133" s="14">
        <v>46168.0</v>
      </c>
      <c r="H133" s="13">
        <v>9.0</v>
      </c>
      <c r="I133" s="13">
        <v>8.0</v>
      </c>
      <c r="J133" s="13">
        <v>1755.0</v>
      </c>
      <c r="K133" s="13">
        <v>1955.0</v>
      </c>
      <c r="L133" s="15"/>
      <c r="M133" s="17">
        <v>585.0</v>
      </c>
    </row>
    <row r="134" ht="22.5" customHeight="1">
      <c r="A134" s="19" t="s">
        <v>497</v>
      </c>
      <c r="B134" s="19" t="s">
        <v>498</v>
      </c>
      <c r="C134" s="19" t="s">
        <v>119</v>
      </c>
      <c r="D134" s="33">
        <v>195.0</v>
      </c>
      <c r="E134" s="33">
        <v>0.0</v>
      </c>
      <c r="F134" s="17">
        <v>234.0</v>
      </c>
      <c r="G134" s="34">
        <v>46053.0</v>
      </c>
      <c r="H134" s="5">
        <v>7.0</v>
      </c>
      <c r="I134" s="17">
        <v>7.0</v>
      </c>
      <c r="J134" s="17">
        <v>1365.0</v>
      </c>
      <c r="K134" s="17">
        <v>1630.0</v>
      </c>
      <c r="L134" s="5"/>
      <c r="M134" s="17">
        <v>0.0</v>
      </c>
    </row>
    <row r="135" ht="22.5" customHeight="1">
      <c r="A135" s="10" t="s">
        <v>407</v>
      </c>
      <c r="B135" s="10" t="s">
        <v>68</v>
      </c>
      <c r="C135" s="10" t="s">
        <v>31</v>
      </c>
      <c r="D135" s="8">
        <v>192.5</v>
      </c>
      <c r="E135" s="8">
        <v>2.0</v>
      </c>
      <c r="F135" s="13">
        <v>231.0</v>
      </c>
      <c r="G135" s="14">
        <v>45835.0</v>
      </c>
      <c r="H135" s="13">
        <v>2.0</v>
      </c>
      <c r="I135" s="13">
        <v>0.0</v>
      </c>
      <c r="J135" s="13">
        <v>385.0</v>
      </c>
      <c r="K135" s="13">
        <v>0.0</v>
      </c>
      <c r="L135" s="15"/>
      <c r="M135" s="17">
        <v>385.0</v>
      </c>
    </row>
    <row r="136" ht="22.5" customHeight="1">
      <c r="A136" s="10" t="s">
        <v>106</v>
      </c>
      <c r="B136" s="10" t="s">
        <v>50</v>
      </c>
      <c r="C136" s="10" t="s">
        <v>31</v>
      </c>
      <c r="D136" s="8">
        <v>189.29</v>
      </c>
      <c r="E136" s="8">
        <v>5.0</v>
      </c>
      <c r="F136" s="13">
        <v>227.15</v>
      </c>
      <c r="G136" s="6" t="s">
        <v>72</v>
      </c>
      <c r="H136" s="13">
        <v>7.0</v>
      </c>
      <c r="I136" s="13">
        <v>2.0</v>
      </c>
      <c r="J136" s="13">
        <v>1325.0</v>
      </c>
      <c r="K136" s="13">
        <v>490.0</v>
      </c>
      <c r="L136" s="15"/>
      <c r="M136" s="17">
        <v>946.4499999999999</v>
      </c>
    </row>
    <row r="137" ht="22.5" customHeight="1">
      <c r="A137" s="10" t="s">
        <v>418</v>
      </c>
      <c r="B137" s="10" t="s">
        <v>185</v>
      </c>
      <c r="C137" s="10" t="s">
        <v>31</v>
      </c>
      <c r="D137" s="8">
        <v>185.0</v>
      </c>
      <c r="E137" s="8">
        <v>1.0</v>
      </c>
      <c r="F137" s="13">
        <v>222.0</v>
      </c>
      <c r="G137" s="14">
        <v>46058.0</v>
      </c>
      <c r="H137" s="13">
        <v>3.0</v>
      </c>
      <c r="I137" s="13">
        <v>2.0</v>
      </c>
      <c r="J137" s="13">
        <v>840.0</v>
      </c>
      <c r="K137" s="13">
        <v>500.0</v>
      </c>
      <c r="L137" s="15"/>
      <c r="M137" s="17">
        <v>185.0</v>
      </c>
    </row>
    <row r="138" ht="22.5" customHeight="1">
      <c r="A138" s="38" t="s">
        <v>45</v>
      </c>
      <c r="B138" s="10" t="s">
        <v>68</v>
      </c>
      <c r="C138" s="10" t="s">
        <v>31</v>
      </c>
      <c r="D138" s="8">
        <v>185.0</v>
      </c>
      <c r="E138" s="8">
        <v>0.0</v>
      </c>
      <c r="F138" s="13">
        <v>222.0</v>
      </c>
      <c r="G138" s="6" t="s">
        <v>72</v>
      </c>
      <c r="H138" s="13"/>
      <c r="I138" s="13">
        <v>1.0</v>
      </c>
      <c r="J138" s="13"/>
      <c r="K138" s="13">
        <v>235.0</v>
      </c>
      <c r="L138" s="16"/>
      <c r="M138" s="17">
        <v>0.0</v>
      </c>
    </row>
    <row r="139" ht="22.5" customHeight="1">
      <c r="A139" s="10" t="s">
        <v>508</v>
      </c>
      <c r="B139" s="10" t="s">
        <v>50</v>
      </c>
      <c r="C139" s="10" t="s">
        <v>154</v>
      </c>
      <c r="D139" s="8">
        <v>185.0</v>
      </c>
      <c r="E139" s="8">
        <v>1.0</v>
      </c>
      <c r="F139" s="13">
        <v>222.0</v>
      </c>
      <c r="G139" s="14">
        <v>46099.0</v>
      </c>
      <c r="H139" s="13">
        <v>1.0</v>
      </c>
      <c r="I139" s="13">
        <v>0.0</v>
      </c>
      <c r="J139" s="13">
        <v>185.0</v>
      </c>
      <c r="K139" s="13">
        <v>0.0</v>
      </c>
      <c r="L139" s="15"/>
      <c r="M139" s="17">
        <v>185.0</v>
      </c>
    </row>
    <row r="140" ht="22.5" customHeight="1">
      <c r="A140" s="10" t="s">
        <v>104</v>
      </c>
      <c r="B140" s="10" t="s">
        <v>68</v>
      </c>
      <c r="C140" s="10" t="s">
        <v>31</v>
      </c>
      <c r="D140" s="8">
        <v>180.0</v>
      </c>
      <c r="E140" s="8">
        <v>1.0</v>
      </c>
      <c r="F140" s="13">
        <v>216.0</v>
      </c>
      <c r="G140" s="14">
        <v>45998.01100726852</v>
      </c>
      <c r="H140" s="13">
        <v>2.0</v>
      </c>
      <c r="I140" s="13">
        <v>1.0</v>
      </c>
      <c r="J140" s="13">
        <v>360.0</v>
      </c>
      <c r="K140" s="13">
        <v>234.84</v>
      </c>
      <c r="L140" s="15"/>
      <c r="M140" s="17">
        <v>180.0</v>
      </c>
    </row>
    <row r="141" ht="22.5" customHeight="1">
      <c r="A141" s="10" t="s">
        <v>372</v>
      </c>
      <c r="B141" s="10" t="s">
        <v>68</v>
      </c>
      <c r="C141" s="10" t="s">
        <v>31</v>
      </c>
      <c r="D141" s="8">
        <v>180.0</v>
      </c>
      <c r="E141" s="8">
        <v>0.0</v>
      </c>
      <c r="F141" s="13">
        <v>216.0</v>
      </c>
      <c r="G141" s="14">
        <v>46110.0</v>
      </c>
      <c r="H141" s="13">
        <v>3.0</v>
      </c>
      <c r="I141" s="13">
        <v>3.0</v>
      </c>
      <c r="J141" s="13">
        <v>540.0</v>
      </c>
      <c r="K141" s="13">
        <v>560.0</v>
      </c>
      <c r="L141" s="15"/>
      <c r="M141" s="17">
        <v>180.0</v>
      </c>
    </row>
    <row r="142" ht="22.5" customHeight="1">
      <c r="A142" s="10" t="s">
        <v>414</v>
      </c>
      <c r="B142" s="10" t="s">
        <v>68</v>
      </c>
      <c r="C142" s="10" t="s">
        <v>31</v>
      </c>
      <c r="D142" s="8">
        <v>180.0</v>
      </c>
      <c r="E142" s="8">
        <v>1.0</v>
      </c>
      <c r="F142" s="13">
        <v>216.0</v>
      </c>
      <c r="G142" s="14">
        <v>45835.0</v>
      </c>
      <c r="H142" s="13">
        <v>1.0</v>
      </c>
      <c r="I142" s="13">
        <v>0.0</v>
      </c>
      <c r="J142" s="13">
        <v>180.0</v>
      </c>
      <c r="K142" s="13">
        <v>0.0</v>
      </c>
      <c r="L142" s="15"/>
      <c r="M142" s="17">
        <v>180.0</v>
      </c>
    </row>
    <row r="143" ht="22.5" customHeight="1">
      <c r="A143" s="10" t="s">
        <v>519</v>
      </c>
      <c r="B143" s="10" t="s">
        <v>224</v>
      </c>
      <c r="C143" s="10" t="s">
        <v>119</v>
      </c>
      <c r="D143" s="8">
        <v>180.0</v>
      </c>
      <c r="E143" s="8">
        <v>1.0</v>
      </c>
      <c r="F143" s="13">
        <v>216.0</v>
      </c>
      <c r="G143" s="14">
        <v>46004.0</v>
      </c>
      <c r="H143" s="13">
        <v>1.0</v>
      </c>
      <c r="I143" s="13">
        <v>0.0</v>
      </c>
      <c r="J143" s="13">
        <v>180.0</v>
      </c>
      <c r="K143" s="13">
        <v>0.0</v>
      </c>
      <c r="L143" s="15"/>
      <c r="M143" s="17">
        <v>180.0</v>
      </c>
    </row>
    <row r="144" ht="22.5" customHeight="1">
      <c r="A144" s="19" t="s">
        <v>522</v>
      </c>
      <c r="B144" s="19" t="s">
        <v>30</v>
      </c>
      <c r="C144" s="19" t="s">
        <v>119</v>
      </c>
      <c r="D144" s="33">
        <v>180.0</v>
      </c>
      <c r="E144" s="33">
        <v>0.0</v>
      </c>
      <c r="F144" s="17">
        <v>216.0</v>
      </c>
      <c r="G144" s="34">
        <v>46066.0</v>
      </c>
      <c r="H144" s="5">
        <v>1.0</v>
      </c>
      <c r="I144" s="17">
        <v>1.0</v>
      </c>
      <c r="J144" s="17">
        <v>180.0</v>
      </c>
      <c r="K144" s="17">
        <v>220.0</v>
      </c>
      <c r="L144" s="5"/>
      <c r="M144" s="17">
        <v>0.0</v>
      </c>
    </row>
    <row r="145" ht="22.5" customHeight="1">
      <c r="A145" s="19" t="s">
        <v>528</v>
      </c>
      <c r="B145" s="19" t="s">
        <v>110</v>
      </c>
      <c r="C145" s="19" t="s">
        <v>119</v>
      </c>
      <c r="D145" s="33">
        <v>180.0</v>
      </c>
      <c r="E145" s="33">
        <v>1.0</v>
      </c>
      <c r="F145" s="17">
        <v>216.0</v>
      </c>
      <c r="G145" s="34">
        <v>44997.0</v>
      </c>
      <c r="H145" s="5">
        <v>2.0</v>
      </c>
      <c r="I145" s="17">
        <v>1.0</v>
      </c>
      <c r="J145" s="17">
        <v>360.0</v>
      </c>
      <c r="K145" s="17">
        <v>210.0</v>
      </c>
      <c r="L145" s="5"/>
      <c r="M145" s="17">
        <v>180.0</v>
      </c>
    </row>
    <row r="146" ht="22.5" customHeight="1">
      <c r="A146" s="19" t="s">
        <v>533</v>
      </c>
      <c r="B146" s="19" t="s">
        <v>472</v>
      </c>
      <c r="C146" s="19" t="s">
        <v>534</v>
      </c>
      <c r="D146" s="33">
        <v>180.0</v>
      </c>
      <c r="E146" s="33">
        <v>4.0</v>
      </c>
      <c r="F146" s="17">
        <v>216.0</v>
      </c>
      <c r="G146" s="34">
        <v>46067.0</v>
      </c>
      <c r="H146" s="5">
        <v>7.0</v>
      </c>
      <c r="I146" s="17">
        <v>0.0</v>
      </c>
      <c r="J146" s="17">
        <v>1260.0</v>
      </c>
      <c r="K146" s="17">
        <v>0.0</v>
      </c>
      <c r="L146" s="5" t="s">
        <v>535</v>
      </c>
      <c r="M146" s="17">
        <v>720.0</v>
      </c>
    </row>
    <row r="147" ht="22.5" customHeight="1">
      <c r="A147" s="19" t="s">
        <v>268</v>
      </c>
      <c r="B147" s="19" t="s">
        <v>30</v>
      </c>
      <c r="C147" s="19" t="s">
        <v>154</v>
      </c>
      <c r="D147" s="33">
        <v>178.75</v>
      </c>
      <c r="E147" s="33">
        <v>2.0</v>
      </c>
      <c r="F147" s="17">
        <v>214.5</v>
      </c>
      <c r="G147" s="34">
        <v>46167.0</v>
      </c>
      <c r="H147" s="5">
        <v>8.0</v>
      </c>
      <c r="I147" s="17">
        <v>6.0</v>
      </c>
      <c r="J147" s="17">
        <v>1430.0</v>
      </c>
      <c r="K147" s="17">
        <v>1400.0</v>
      </c>
      <c r="L147" s="5"/>
      <c r="M147" s="17">
        <v>893.75</v>
      </c>
    </row>
    <row r="148" ht="22.5" customHeight="1">
      <c r="A148" s="10" t="s">
        <v>541</v>
      </c>
      <c r="B148" s="10" t="s">
        <v>224</v>
      </c>
      <c r="C148" s="10" t="s">
        <v>119</v>
      </c>
      <c r="D148" s="8">
        <v>178.0</v>
      </c>
      <c r="E148" s="8">
        <v>1.0</v>
      </c>
      <c r="F148" s="13">
        <v>213.6</v>
      </c>
      <c r="G148" s="14">
        <v>46004.0</v>
      </c>
      <c r="H148" s="13">
        <v>1.0</v>
      </c>
      <c r="I148" s="13">
        <v>0.0</v>
      </c>
      <c r="J148" s="13">
        <v>178.0</v>
      </c>
      <c r="K148" s="13">
        <v>0.0</v>
      </c>
      <c r="L148" s="15"/>
      <c r="M148" s="17">
        <v>178.0</v>
      </c>
    </row>
    <row r="149" ht="22.5" customHeight="1">
      <c r="A149" s="10" t="s">
        <v>89</v>
      </c>
      <c r="B149" s="10" t="s">
        <v>68</v>
      </c>
      <c r="C149" s="10" t="s">
        <v>31</v>
      </c>
      <c r="D149" s="8">
        <v>175.0</v>
      </c>
      <c r="E149" s="8">
        <v>0.0</v>
      </c>
      <c r="F149" s="13">
        <v>210.0</v>
      </c>
      <c r="G149" s="6" t="s">
        <v>72</v>
      </c>
      <c r="H149" s="13">
        <v>1.0</v>
      </c>
      <c r="I149" s="13">
        <v>1.0</v>
      </c>
      <c r="J149" s="13">
        <v>175.0</v>
      </c>
      <c r="K149" s="13">
        <v>290.0</v>
      </c>
      <c r="L149" s="15"/>
      <c r="M149" s="17">
        <v>0.0</v>
      </c>
    </row>
    <row r="150" ht="22.5" customHeight="1">
      <c r="A150" s="10" t="s">
        <v>121</v>
      </c>
      <c r="B150" s="10" t="s">
        <v>68</v>
      </c>
      <c r="C150" s="10" t="s">
        <v>31</v>
      </c>
      <c r="D150" s="8">
        <v>175.0</v>
      </c>
      <c r="E150" s="8">
        <v>4.0</v>
      </c>
      <c r="F150" s="13">
        <v>210.0</v>
      </c>
      <c r="G150" s="14">
        <v>45812.0</v>
      </c>
      <c r="H150" s="13">
        <v>4.0</v>
      </c>
      <c r="I150" s="13">
        <v>0.0</v>
      </c>
      <c r="J150" s="13">
        <v>700.0</v>
      </c>
      <c r="K150" s="13">
        <v>0.0</v>
      </c>
      <c r="L150" s="15"/>
      <c r="M150" s="17">
        <v>700.0</v>
      </c>
    </row>
    <row r="151" ht="22.5" customHeight="1">
      <c r="A151" s="10" t="s">
        <v>184</v>
      </c>
      <c r="B151" s="10" t="s">
        <v>185</v>
      </c>
      <c r="C151" s="10" t="s">
        <v>31</v>
      </c>
      <c r="D151" s="8">
        <v>175.0</v>
      </c>
      <c r="E151" s="8">
        <v>2.0</v>
      </c>
      <c r="F151" s="13">
        <v>210.0</v>
      </c>
      <c r="G151" s="14">
        <v>45812.0</v>
      </c>
      <c r="H151" s="13">
        <v>2.0</v>
      </c>
      <c r="I151" s="13">
        <v>0.0</v>
      </c>
      <c r="J151" s="13">
        <v>350.0</v>
      </c>
      <c r="K151" s="13">
        <v>0.0</v>
      </c>
      <c r="L151" s="15"/>
      <c r="M151" s="17">
        <v>350.0</v>
      </c>
    </row>
    <row r="152" ht="22.5" customHeight="1">
      <c r="A152" s="10" t="s">
        <v>101</v>
      </c>
      <c r="B152" s="10" t="s">
        <v>30</v>
      </c>
      <c r="C152" s="10" t="s">
        <v>31</v>
      </c>
      <c r="D152" s="8">
        <v>175.0</v>
      </c>
      <c r="E152" s="8">
        <v>0.0</v>
      </c>
      <c r="F152" s="13">
        <v>210.0</v>
      </c>
      <c r="G152" s="14">
        <v>45898.0</v>
      </c>
      <c r="H152" s="13">
        <v>3.0</v>
      </c>
      <c r="I152" s="13">
        <v>3.0</v>
      </c>
      <c r="J152" s="13">
        <v>525.0</v>
      </c>
      <c r="K152" s="13">
        <v>640.0</v>
      </c>
      <c r="L152" s="15"/>
      <c r="M152" s="17">
        <v>0.0</v>
      </c>
    </row>
    <row r="153" ht="22.5" customHeight="1">
      <c r="A153" s="10" t="s">
        <v>83</v>
      </c>
      <c r="B153" s="10" t="s">
        <v>50</v>
      </c>
      <c r="C153" s="10" t="s">
        <v>31</v>
      </c>
      <c r="D153" s="8">
        <v>175.0</v>
      </c>
      <c r="E153" s="8">
        <v>3.0</v>
      </c>
      <c r="F153" s="13">
        <v>210.0</v>
      </c>
      <c r="G153" s="14">
        <v>46096.0</v>
      </c>
      <c r="H153" s="13">
        <v>6.0</v>
      </c>
      <c r="I153" s="13">
        <v>3.0</v>
      </c>
      <c r="J153" s="13">
        <v>1050.0</v>
      </c>
      <c r="K153" s="6">
        <v>675.0</v>
      </c>
      <c r="L153" s="15"/>
      <c r="M153" s="17">
        <v>525.0</v>
      </c>
    </row>
    <row r="154" ht="22.5" customHeight="1">
      <c r="A154" s="10" t="s">
        <v>373</v>
      </c>
      <c r="B154" s="10" t="s">
        <v>185</v>
      </c>
      <c r="C154" s="10" t="s">
        <v>31</v>
      </c>
      <c r="D154" s="8">
        <v>175.0</v>
      </c>
      <c r="E154" s="8">
        <v>3.0</v>
      </c>
      <c r="F154" s="13">
        <v>210.0</v>
      </c>
      <c r="G154" s="14">
        <v>45835.0</v>
      </c>
      <c r="H154" s="13">
        <v>3.0</v>
      </c>
      <c r="I154" s="13">
        <v>0.0</v>
      </c>
      <c r="J154" s="13">
        <v>525.0</v>
      </c>
      <c r="K154" s="13">
        <v>0.0</v>
      </c>
      <c r="L154" s="15"/>
      <c r="M154" s="17">
        <v>525.0</v>
      </c>
    </row>
    <row r="155" ht="22.5" customHeight="1">
      <c r="A155" s="10" t="s">
        <v>428</v>
      </c>
      <c r="B155" s="10" t="s">
        <v>68</v>
      </c>
      <c r="C155" s="10" t="s">
        <v>31</v>
      </c>
      <c r="D155" s="8">
        <v>175.0</v>
      </c>
      <c r="E155" s="8">
        <v>0.0</v>
      </c>
      <c r="F155" s="13">
        <v>210.0</v>
      </c>
      <c r="G155" s="14">
        <v>45945.0</v>
      </c>
      <c r="H155" s="13">
        <v>1.0</v>
      </c>
      <c r="I155" s="13">
        <v>1.0</v>
      </c>
      <c r="J155" s="13">
        <v>175.0</v>
      </c>
      <c r="K155" s="13">
        <v>250.0</v>
      </c>
      <c r="L155" s="15"/>
      <c r="M155" s="17">
        <v>0.0</v>
      </c>
    </row>
    <row r="156" ht="22.5" customHeight="1">
      <c r="A156" s="10" t="s">
        <v>521</v>
      </c>
      <c r="B156" s="10" t="s">
        <v>185</v>
      </c>
      <c r="C156" s="10" t="s">
        <v>31</v>
      </c>
      <c r="D156" s="8">
        <v>175.0</v>
      </c>
      <c r="E156" s="8">
        <v>0.0</v>
      </c>
      <c r="F156" s="13">
        <v>210.0</v>
      </c>
      <c r="G156" s="14">
        <v>45856.0</v>
      </c>
      <c r="H156" s="13">
        <v>1.0</v>
      </c>
      <c r="I156" s="6">
        <v>1.0</v>
      </c>
      <c r="J156" s="13">
        <v>175.0</v>
      </c>
      <c r="K156" s="13">
        <v>0.0</v>
      </c>
      <c r="L156" s="15"/>
      <c r="M156" s="17">
        <v>0.0</v>
      </c>
    </row>
    <row r="157" ht="22.5" customHeight="1">
      <c r="A157" s="10" t="s">
        <v>293</v>
      </c>
      <c r="B157" s="10" t="s">
        <v>185</v>
      </c>
      <c r="C157" s="10" t="s">
        <v>31</v>
      </c>
      <c r="D157" s="8">
        <v>175.0</v>
      </c>
      <c r="E157" s="8">
        <v>3.0</v>
      </c>
      <c r="F157" s="13">
        <v>210.0</v>
      </c>
      <c r="G157" s="14">
        <v>45896.0</v>
      </c>
      <c r="H157" s="13">
        <v>3.0</v>
      </c>
      <c r="I157" s="13">
        <v>0.0</v>
      </c>
      <c r="J157" s="13">
        <v>525.0</v>
      </c>
      <c r="K157" s="13">
        <v>0.0</v>
      </c>
      <c r="L157" s="15"/>
      <c r="M157" s="17">
        <v>525.0</v>
      </c>
    </row>
    <row r="158" ht="22.5" customHeight="1">
      <c r="A158" s="10" t="s">
        <v>489</v>
      </c>
      <c r="B158" s="10" t="s">
        <v>185</v>
      </c>
      <c r="C158" s="10" t="s">
        <v>31</v>
      </c>
      <c r="D158" s="8">
        <v>175.0</v>
      </c>
      <c r="E158" s="8">
        <v>0.0</v>
      </c>
      <c r="F158" s="13">
        <v>210.0</v>
      </c>
      <c r="G158" s="14">
        <v>45998.01103297454</v>
      </c>
      <c r="H158" s="13">
        <v>1.0</v>
      </c>
      <c r="I158" s="13">
        <v>1.0</v>
      </c>
      <c r="J158" s="13">
        <v>175.0</v>
      </c>
      <c r="K158" s="13">
        <v>199.86</v>
      </c>
      <c r="L158" s="15"/>
      <c r="M158" s="17">
        <v>0.0</v>
      </c>
    </row>
    <row r="159" ht="22.5" customHeight="1">
      <c r="A159" s="10" t="s">
        <v>562</v>
      </c>
      <c r="B159" s="10" t="s">
        <v>238</v>
      </c>
      <c r="C159" s="10" t="s">
        <v>31</v>
      </c>
      <c r="D159" s="8">
        <v>175.0</v>
      </c>
      <c r="E159" s="8">
        <v>1.0</v>
      </c>
      <c r="F159" s="13">
        <v>210.0</v>
      </c>
      <c r="G159" s="14">
        <v>46037.85651017361</v>
      </c>
      <c r="H159" s="13">
        <v>2.0</v>
      </c>
      <c r="I159" s="13">
        <v>1.0</v>
      </c>
      <c r="J159" s="13">
        <v>350.0</v>
      </c>
      <c r="K159" s="13">
        <v>200.0</v>
      </c>
      <c r="L159" s="15"/>
      <c r="M159" s="17">
        <v>175.0</v>
      </c>
    </row>
    <row r="160" ht="22.5" customHeight="1">
      <c r="A160" s="10" t="s">
        <v>563</v>
      </c>
      <c r="B160" s="10" t="s">
        <v>224</v>
      </c>
      <c r="C160" s="10" t="s">
        <v>119</v>
      </c>
      <c r="D160" s="8">
        <v>175.0</v>
      </c>
      <c r="E160" s="8">
        <v>0.0</v>
      </c>
      <c r="F160" s="13">
        <v>210.0</v>
      </c>
      <c r="G160" s="14">
        <v>46129.0</v>
      </c>
      <c r="H160" s="13">
        <v>1.0</v>
      </c>
      <c r="I160" s="13">
        <v>1.0</v>
      </c>
      <c r="J160" s="13">
        <v>175.0</v>
      </c>
      <c r="K160" s="13">
        <v>210.0</v>
      </c>
      <c r="L160" s="15"/>
      <c r="M160" s="17">
        <v>175.0</v>
      </c>
    </row>
    <row r="161" ht="22.5" customHeight="1">
      <c r="A161" s="19" t="s">
        <v>236</v>
      </c>
      <c r="B161" s="19" t="s">
        <v>568</v>
      </c>
      <c r="C161" s="19" t="s">
        <v>154</v>
      </c>
      <c r="D161" s="33">
        <v>175.0</v>
      </c>
      <c r="E161" s="33">
        <v>6.0</v>
      </c>
      <c r="F161" s="17">
        <v>210.0</v>
      </c>
      <c r="G161" s="34">
        <v>46095.0</v>
      </c>
      <c r="H161" s="5">
        <v>6.0</v>
      </c>
      <c r="I161" s="17">
        <v>0.0</v>
      </c>
      <c r="J161" s="5">
        <v>1050.0</v>
      </c>
      <c r="K161" s="17">
        <v>0.0</v>
      </c>
      <c r="L161" s="5"/>
      <c r="M161" s="17">
        <v>1050.0</v>
      </c>
    </row>
    <row r="162" ht="22.5" customHeight="1">
      <c r="A162" s="19" t="s">
        <v>571</v>
      </c>
      <c r="B162" s="19" t="s">
        <v>68</v>
      </c>
      <c r="C162" s="19" t="s">
        <v>51</v>
      </c>
      <c r="D162" s="33">
        <v>175.0</v>
      </c>
      <c r="E162" s="33">
        <v>2.0</v>
      </c>
      <c r="F162" s="17">
        <v>210.0</v>
      </c>
      <c r="G162" s="34">
        <v>46083.0</v>
      </c>
      <c r="H162" s="5">
        <v>2.0</v>
      </c>
      <c r="I162" s="17">
        <v>0.0</v>
      </c>
      <c r="J162" s="17">
        <v>350.0</v>
      </c>
      <c r="K162" s="17">
        <v>0.0</v>
      </c>
      <c r="L162" s="5"/>
      <c r="M162" s="17">
        <v>350.0</v>
      </c>
    </row>
    <row r="163" ht="22.5" customHeight="1">
      <c r="A163" s="11" t="s">
        <v>531</v>
      </c>
      <c r="B163" s="19" t="s">
        <v>286</v>
      </c>
      <c r="C163" s="19" t="s">
        <v>51</v>
      </c>
      <c r="D163" s="33">
        <v>175.0</v>
      </c>
      <c r="E163" s="33">
        <v>1.0</v>
      </c>
      <c r="F163" s="17">
        <v>210.0</v>
      </c>
      <c r="G163" s="34">
        <v>46095.0</v>
      </c>
      <c r="H163" s="5">
        <v>2.0</v>
      </c>
      <c r="I163" s="17">
        <v>0.0</v>
      </c>
      <c r="J163" s="5">
        <v>350.0</v>
      </c>
      <c r="K163" s="17">
        <v>0.0</v>
      </c>
      <c r="L163" s="5"/>
      <c r="M163" s="17">
        <v>350.0</v>
      </c>
    </row>
    <row r="164" ht="22.5" customHeight="1">
      <c r="A164" s="10" t="s">
        <v>577</v>
      </c>
      <c r="B164" s="10" t="s">
        <v>579</v>
      </c>
      <c r="C164" s="10" t="s">
        <v>125</v>
      </c>
      <c r="D164" s="8">
        <v>175.0</v>
      </c>
      <c r="E164" s="8">
        <v>0.0</v>
      </c>
      <c r="F164" s="13">
        <v>210.0</v>
      </c>
      <c r="G164" s="14">
        <v>46149.0</v>
      </c>
      <c r="H164" s="13">
        <v>3.0</v>
      </c>
      <c r="I164" s="13">
        <v>3.0</v>
      </c>
      <c r="J164" s="13">
        <v>525.0</v>
      </c>
      <c r="K164" s="13">
        <v>819.71</v>
      </c>
      <c r="L164" s="15"/>
      <c r="M164" s="17">
        <v>350.0</v>
      </c>
    </row>
    <row r="165" ht="22.5" customHeight="1">
      <c r="A165" s="19" t="s">
        <v>583</v>
      </c>
      <c r="B165" s="19" t="s">
        <v>327</v>
      </c>
      <c r="C165" s="19" t="s">
        <v>51</v>
      </c>
      <c r="D165" s="33">
        <v>175.0</v>
      </c>
      <c r="E165" s="33">
        <v>3.0</v>
      </c>
      <c r="F165" s="17">
        <v>210.0</v>
      </c>
      <c r="G165" s="34">
        <v>46132.0</v>
      </c>
      <c r="H165" s="17">
        <v>4.0</v>
      </c>
      <c r="I165" s="17">
        <v>1.0</v>
      </c>
      <c r="J165" s="17">
        <v>700.0</v>
      </c>
      <c r="K165" s="17">
        <v>250.0</v>
      </c>
      <c r="L165" s="5"/>
      <c r="M165" s="17">
        <v>700.0</v>
      </c>
    </row>
    <row r="166" ht="22.5" customHeight="1">
      <c r="A166" s="19" t="s">
        <v>208</v>
      </c>
      <c r="B166" s="19" t="s">
        <v>472</v>
      </c>
      <c r="C166" s="19" t="s">
        <v>51</v>
      </c>
      <c r="D166" s="33">
        <v>175.0</v>
      </c>
      <c r="E166" s="33">
        <v>4.0</v>
      </c>
      <c r="F166" s="17">
        <v>210.0</v>
      </c>
      <c r="G166" s="34">
        <v>46116.0</v>
      </c>
      <c r="H166" s="17">
        <v>4.0</v>
      </c>
      <c r="I166" s="17">
        <v>0.0</v>
      </c>
      <c r="J166" s="17">
        <v>700.0</v>
      </c>
      <c r="K166" s="17">
        <v>0.0</v>
      </c>
      <c r="L166" s="5"/>
      <c r="M166" s="17">
        <v>700.0</v>
      </c>
    </row>
    <row r="167" ht="22.5" customHeight="1">
      <c r="A167" s="19" t="s">
        <v>589</v>
      </c>
      <c r="B167" s="19" t="s">
        <v>472</v>
      </c>
      <c r="C167" s="19" t="s">
        <v>154</v>
      </c>
      <c r="D167" s="33">
        <v>175.0</v>
      </c>
      <c r="E167" s="33">
        <v>1.0</v>
      </c>
      <c r="F167" s="17">
        <v>210.0</v>
      </c>
      <c r="G167" s="34">
        <v>46165.0</v>
      </c>
      <c r="H167" s="5">
        <v>1.0</v>
      </c>
      <c r="I167" s="5">
        <v>0.0</v>
      </c>
      <c r="J167" s="17">
        <v>175.0</v>
      </c>
      <c r="K167" s="17">
        <v>0.0</v>
      </c>
      <c r="L167" s="19"/>
      <c r="M167" s="17"/>
    </row>
    <row r="168" ht="22.5" customHeight="1">
      <c r="A168" s="19" t="s">
        <v>120</v>
      </c>
      <c r="B168" s="19" t="s">
        <v>238</v>
      </c>
      <c r="C168" s="19" t="s">
        <v>436</v>
      </c>
      <c r="D168" s="33">
        <v>175.0</v>
      </c>
      <c r="E168" s="33">
        <v>9.0</v>
      </c>
      <c r="F168" s="17">
        <v>210.0</v>
      </c>
      <c r="G168" s="34">
        <v>46146.0</v>
      </c>
      <c r="H168" s="17">
        <v>10.0</v>
      </c>
      <c r="I168" s="17">
        <v>1.0</v>
      </c>
      <c r="J168" s="17">
        <v>1750.0</v>
      </c>
      <c r="K168" s="17">
        <v>250.0</v>
      </c>
      <c r="L168" s="5"/>
      <c r="M168" s="17">
        <v>1750.0</v>
      </c>
    </row>
    <row r="169" ht="22.5" customHeight="1">
      <c r="A169" s="19" t="s">
        <v>594</v>
      </c>
      <c r="B169" s="19" t="s">
        <v>595</v>
      </c>
      <c r="C169" s="19" t="s">
        <v>119</v>
      </c>
      <c r="D169" s="33">
        <v>175.0</v>
      </c>
      <c r="E169" s="33">
        <v>1.0</v>
      </c>
      <c r="F169" s="17">
        <v>210.0</v>
      </c>
      <c r="G169" s="34">
        <v>46165.0</v>
      </c>
      <c r="H169" s="5">
        <v>1.0</v>
      </c>
      <c r="I169" s="5">
        <v>0.0</v>
      </c>
      <c r="J169" s="17">
        <v>175.0</v>
      </c>
      <c r="K169" s="17">
        <v>0.0</v>
      </c>
      <c r="L169" s="19"/>
      <c r="M169" s="17"/>
    </row>
    <row r="170" ht="22.5" customHeight="1">
      <c r="A170" s="19" t="s">
        <v>38</v>
      </c>
      <c r="B170" s="19" t="s">
        <v>598</v>
      </c>
      <c r="C170" s="5" t="s">
        <v>54</v>
      </c>
      <c r="D170" s="33">
        <v>174.29999999999998</v>
      </c>
      <c r="E170" s="33">
        <v>1.0</v>
      </c>
      <c r="F170" s="17">
        <v>209.15999999999997</v>
      </c>
      <c r="G170" s="34">
        <v>46097.0</v>
      </c>
      <c r="H170" s="5">
        <v>3.0</v>
      </c>
      <c r="I170" s="17">
        <v>2.0</v>
      </c>
      <c r="J170" s="17">
        <v>174.29999999999998</v>
      </c>
      <c r="K170" s="17">
        <v>650.0</v>
      </c>
      <c r="L170" s="5" t="s">
        <v>600</v>
      </c>
      <c r="M170" s="17">
        <v>174.29999999999998</v>
      </c>
    </row>
    <row r="171" ht="22.5" customHeight="1">
      <c r="A171" s="10" t="s">
        <v>602</v>
      </c>
      <c r="B171" s="10" t="s">
        <v>224</v>
      </c>
      <c r="C171" s="10" t="s">
        <v>119</v>
      </c>
      <c r="D171" s="8">
        <v>174.0</v>
      </c>
      <c r="E171" s="8">
        <v>1.0</v>
      </c>
      <c r="F171" s="13">
        <v>208.8</v>
      </c>
      <c r="G171" s="14">
        <v>46004.0</v>
      </c>
      <c r="H171" s="13">
        <v>1.0</v>
      </c>
      <c r="I171" s="13">
        <v>0.0</v>
      </c>
      <c r="J171" s="13">
        <v>174.0</v>
      </c>
      <c r="K171" s="13">
        <v>0.0</v>
      </c>
      <c r="L171" s="15"/>
      <c r="M171" s="17">
        <v>174.0</v>
      </c>
    </row>
    <row r="172" ht="22.5" customHeight="1">
      <c r="A172" s="19" t="s">
        <v>604</v>
      </c>
      <c r="B172" s="19" t="s">
        <v>224</v>
      </c>
      <c r="C172" s="19" t="s">
        <v>119</v>
      </c>
      <c r="D172" s="33">
        <v>171.0</v>
      </c>
      <c r="E172" s="33">
        <v>2.0</v>
      </c>
      <c r="F172" s="17">
        <v>205.2</v>
      </c>
      <c r="G172" s="34">
        <v>46067.0</v>
      </c>
      <c r="H172" s="5">
        <v>2.0</v>
      </c>
      <c r="I172" s="17">
        <v>0.0</v>
      </c>
      <c r="J172" s="17">
        <v>342.0</v>
      </c>
      <c r="K172" s="17">
        <v>0.0</v>
      </c>
      <c r="L172" s="5"/>
      <c r="M172" s="17">
        <v>342.0</v>
      </c>
    </row>
    <row r="173" ht="22.5" customHeight="1">
      <c r="A173" s="10" t="s">
        <v>66</v>
      </c>
      <c r="B173" s="10" t="s">
        <v>68</v>
      </c>
      <c r="C173" s="10" t="s">
        <v>31</v>
      </c>
      <c r="D173" s="8">
        <v>170.0</v>
      </c>
      <c r="E173" s="8">
        <v>0.0</v>
      </c>
      <c r="F173" s="13">
        <v>204.0</v>
      </c>
      <c r="G173" s="6" t="s">
        <v>72</v>
      </c>
      <c r="H173" s="13">
        <v>1.0</v>
      </c>
      <c r="I173" s="13">
        <v>1.0</v>
      </c>
      <c r="J173" s="13">
        <v>170.0</v>
      </c>
      <c r="K173" s="13">
        <v>220.0</v>
      </c>
      <c r="L173" s="15"/>
      <c r="M173" s="17">
        <v>0.0</v>
      </c>
    </row>
    <row r="174" ht="22.5" customHeight="1">
      <c r="A174" s="10" t="s">
        <v>609</v>
      </c>
      <c r="B174" s="10" t="s">
        <v>30</v>
      </c>
      <c r="C174" s="10" t="s">
        <v>581</v>
      </c>
      <c r="D174" s="8">
        <v>170.0</v>
      </c>
      <c r="E174" s="8">
        <v>0.0</v>
      </c>
      <c r="F174" s="13">
        <v>204.0</v>
      </c>
      <c r="G174" s="14">
        <v>46168.0</v>
      </c>
      <c r="H174" s="13">
        <v>12.0</v>
      </c>
      <c r="I174" s="13">
        <v>14.0</v>
      </c>
      <c r="J174" s="13">
        <v>2040.0</v>
      </c>
      <c r="K174" s="13">
        <v>2919.86</v>
      </c>
      <c r="L174" s="15"/>
      <c r="M174" s="17">
        <v>0.0</v>
      </c>
    </row>
    <row r="175" ht="22.5" customHeight="1">
      <c r="A175" s="10" t="s">
        <v>260</v>
      </c>
      <c r="B175" s="10" t="s">
        <v>30</v>
      </c>
      <c r="C175" s="10" t="s">
        <v>31</v>
      </c>
      <c r="D175" s="8">
        <v>170.0</v>
      </c>
      <c r="E175" s="8">
        <v>2.0</v>
      </c>
      <c r="F175" s="13">
        <v>204.0</v>
      </c>
      <c r="G175" s="14">
        <v>45896.0</v>
      </c>
      <c r="H175" s="13">
        <v>3.0</v>
      </c>
      <c r="I175" s="13">
        <v>1.0</v>
      </c>
      <c r="J175" s="13">
        <v>510.0</v>
      </c>
      <c r="K175" s="13">
        <v>230.0</v>
      </c>
      <c r="L175" s="15"/>
      <c r="M175" s="17">
        <v>340.0</v>
      </c>
    </row>
    <row r="176" ht="22.5" customHeight="1">
      <c r="A176" s="10" t="s">
        <v>613</v>
      </c>
      <c r="B176" s="10" t="s">
        <v>327</v>
      </c>
      <c r="C176" s="10" t="s">
        <v>31</v>
      </c>
      <c r="D176" s="8">
        <v>170.0</v>
      </c>
      <c r="E176" s="8">
        <v>2.0</v>
      </c>
      <c r="F176" s="13">
        <v>204.0</v>
      </c>
      <c r="G176" s="14">
        <v>45929.0</v>
      </c>
      <c r="H176" s="13">
        <v>2.0</v>
      </c>
      <c r="I176" s="13">
        <v>0.0</v>
      </c>
      <c r="J176" s="13">
        <v>340.0</v>
      </c>
      <c r="K176" s="13">
        <v>0.0</v>
      </c>
      <c r="L176" s="15"/>
      <c r="M176" s="17">
        <v>340.0</v>
      </c>
    </row>
    <row r="177" ht="22.5" customHeight="1">
      <c r="A177" s="19" t="s">
        <v>616</v>
      </c>
      <c r="B177" s="19" t="s">
        <v>595</v>
      </c>
      <c r="C177" s="19" t="s">
        <v>119</v>
      </c>
      <c r="D177" s="33">
        <v>170.0</v>
      </c>
      <c r="E177" s="33">
        <v>3.0</v>
      </c>
      <c r="F177" s="17">
        <v>204.0</v>
      </c>
      <c r="G177" s="34">
        <v>46165.0</v>
      </c>
      <c r="H177" s="5">
        <v>3.0</v>
      </c>
      <c r="I177" s="5">
        <v>0.0</v>
      </c>
      <c r="J177" s="17">
        <v>510.0</v>
      </c>
      <c r="K177" s="17">
        <v>0.0</v>
      </c>
      <c r="L177" s="19"/>
      <c r="M177" s="17"/>
    </row>
    <row r="178" ht="22.5" customHeight="1">
      <c r="A178" s="19" t="s">
        <v>619</v>
      </c>
      <c r="B178" s="19" t="s">
        <v>68</v>
      </c>
      <c r="C178" s="5" t="s">
        <v>54</v>
      </c>
      <c r="D178" s="33">
        <v>168.33333333333331</v>
      </c>
      <c r="E178" s="33">
        <v>0.5</v>
      </c>
      <c r="F178" s="17">
        <v>201.99999999999997</v>
      </c>
      <c r="G178" s="34">
        <v>46167.0</v>
      </c>
      <c r="H178" s="5">
        <v>1.0</v>
      </c>
      <c r="I178" s="17">
        <v>0.5</v>
      </c>
      <c r="J178" s="17">
        <v>168.33333333333331</v>
      </c>
      <c r="K178" s="17">
        <v>200.0</v>
      </c>
      <c r="L178" s="5" t="s">
        <v>623</v>
      </c>
      <c r="M178" s="17">
        <v>168.33333333333331</v>
      </c>
    </row>
    <row r="179" ht="22.5" customHeight="1">
      <c r="A179" s="10" t="s">
        <v>530</v>
      </c>
      <c r="B179" s="10" t="s">
        <v>224</v>
      </c>
      <c r="C179" s="10" t="s">
        <v>119</v>
      </c>
      <c r="D179" s="8">
        <v>167.5</v>
      </c>
      <c r="E179" s="8">
        <v>0.0</v>
      </c>
      <c r="F179" s="13">
        <v>201.0</v>
      </c>
      <c r="G179" s="14">
        <v>46005.0</v>
      </c>
      <c r="H179" s="13">
        <v>1.0</v>
      </c>
      <c r="I179" s="13">
        <v>1.0</v>
      </c>
      <c r="J179" s="13">
        <v>167.5</v>
      </c>
      <c r="K179" s="13">
        <v>195.0</v>
      </c>
      <c r="L179" s="15"/>
      <c r="M179" s="17">
        <v>0.0</v>
      </c>
    </row>
    <row r="180" ht="22.5" customHeight="1">
      <c r="A180" s="19" t="s">
        <v>627</v>
      </c>
      <c r="B180" s="19" t="s">
        <v>362</v>
      </c>
      <c r="C180" s="19" t="s">
        <v>119</v>
      </c>
      <c r="D180" s="33">
        <v>167.5</v>
      </c>
      <c r="E180" s="33">
        <v>1.0</v>
      </c>
      <c r="F180" s="17">
        <v>201.0</v>
      </c>
      <c r="G180" s="34">
        <v>46067.0</v>
      </c>
      <c r="H180" s="5">
        <v>1.0</v>
      </c>
      <c r="I180" s="17">
        <v>0.0</v>
      </c>
      <c r="J180" s="17">
        <v>167.5</v>
      </c>
      <c r="K180" s="17">
        <v>0.0</v>
      </c>
      <c r="L180" s="5"/>
      <c r="M180" s="17">
        <v>167.5</v>
      </c>
    </row>
    <row r="181" ht="22.5" customHeight="1">
      <c r="A181" s="19" t="s">
        <v>631</v>
      </c>
      <c r="B181" s="19" t="s">
        <v>224</v>
      </c>
      <c r="C181" s="19" t="s">
        <v>119</v>
      </c>
      <c r="D181" s="33">
        <v>167.0</v>
      </c>
      <c r="E181" s="33">
        <v>2.0</v>
      </c>
      <c r="F181" s="17">
        <v>200.4</v>
      </c>
      <c r="G181" s="34">
        <v>46067.0</v>
      </c>
      <c r="H181" s="5">
        <v>2.0</v>
      </c>
      <c r="I181" s="17">
        <v>0.0</v>
      </c>
      <c r="J181" s="17">
        <v>334.0</v>
      </c>
      <c r="K181" s="17">
        <v>0.0</v>
      </c>
      <c r="L181" s="5"/>
      <c r="M181" s="17">
        <v>334.0</v>
      </c>
    </row>
    <row r="182" ht="22.5" customHeight="1">
      <c r="A182" s="19" t="s">
        <v>634</v>
      </c>
      <c r="B182" s="19" t="s">
        <v>30</v>
      </c>
      <c r="C182" s="19" t="s">
        <v>119</v>
      </c>
      <c r="D182" s="33">
        <v>167.0</v>
      </c>
      <c r="E182" s="33">
        <v>4.0</v>
      </c>
      <c r="F182" s="17">
        <v>200.4</v>
      </c>
      <c r="G182" s="34">
        <v>46116.0</v>
      </c>
      <c r="H182" s="5">
        <v>6.0</v>
      </c>
      <c r="I182" s="17">
        <v>2.0</v>
      </c>
      <c r="J182" s="17">
        <v>1002.0</v>
      </c>
      <c r="K182" s="17">
        <v>400.0</v>
      </c>
      <c r="L182" s="5"/>
      <c r="M182" s="17">
        <v>668.0</v>
      </c>
    </row>
    <row r="183" ht="22.5" customHeight="1">
      <c r="A183" s="19" t="s">
        <v>637</v>
      </c>
      <c r="B183" s="19" t="s">
        <v>30</v>
      </c>
      <c r="C183" s="19" t="s">
        <v>119</v>
      </c>
      <c r="D183" s="33">
        <v>167.0</v>
      </c>
      <c r="E183" s="33">
        <v>3.0</v>
      </c>
      <c r="F183" s="17">
        <v>200.4</v>
      </c>
      <c r="G183" s="34">
        <v>46124.0</v>
      </c>
      <c r="H183" s="5">
        <v>6.0</v>
      </c>
      <c r="I183" s="17">
        <v>3.0</v>
      </c>
      <c r="J183" s="17">
        <v>1002.0</v>
      </c>
      <c r="K183" s="17">
        <v>635.0</v>
      </c>
      <c r="L183" s="5"/>
      <c r="M183" s="17">
        <v>668.0</v>
      </c>
    </row>
    <row r="184" ht="22.5" customHeight="1">
      <c r="A184" s="19" t="s">
        <v>640</v>
      </c>
      <c r="B184" s="19" t="s">
        <v>30</v>
      </c>
      <c r="C184" s="19" t="s">
        <v>119</v>
      </c>
      <c r="D184" s="33">
        <v>167.0</v>
      </c>
      <c r="E184" s="33">
        <v>1.0</v>
      </c>
      <c r="F184" s="17">
        <v>200.4</v>
      </c>
      <c r="G184" s="34">
        <v>46162.0</v>
      </c>
      <c r="H184" s="5">
        <v>6.0</v>
      </c>
      <c r="I184" s="17">
        <v>5.0</v>
      </c>
      <c r="J184" s="17">
        <v>1002.0</v>
      </c>
      <c r="K184" s="17">
        <v>1059.58</v>
      </c>
      <c r="L184" s="5"/>
      <c r="M184" s="17">
        <v>835.0</v>
      </c>
    </row>
    <row r="185" ht="22.5" customHeight="1">
      <c r="A185" s="19" t="s">
        <v>643</v>
      </c>
      <c r="B185" s="19" t="s">
        <v>30</v>
      </c>
      <c r="C185" s="19" t="s">
        <v>119</v>
      </c>
      <c r="D185" s="33">
        <v>166.0</v>
      </c>
      <c r="E185" s="33">
        <v>0.0</v>
      </c>
      <c r="F185" s="17">
        <v>199.2</v>
      </c>
      <c r="G185" s="34">
        <v>46098.0</v>
      </c>
      <c r="H185" s="5">
        <v>1.0</v>
      </c>
      <c r="I185" s="17">
        <v>2.0</v>
      </c>
      <c r="J185" s="17">
        <v>166.0</v>
      </c>
      <c r="K185" s="17">
        <v>390.0</v>
      </c>
      <c r="L185" s="5"/>
      <c r="M185" s="17">
        <v>0.0</v>
      </c>
    </row>
    <row r="186" ht="22.5" customHeight="1">
      <c r="A186" s="19" t="s">
        <v>646</v>
      </c>
      <c r="B186" s="19" t="s">
        <v>30</v>
      </c>
      <c r="C186" s="19" t="s">
        <v>119</v>
      </c>
      <c r="D186" s="33">
        <v>166.0</v>
      </c>
      <c r="E186" s="33">
        <v>0.0</v>
      </c>
      <c r="F186" s="17">
        <v>199.2</v>
      </c>
      <c r="G186" s="34">
        <v>46107.114394212964</v>
      </c>
      <c r="H186" s="5">
        <v>1.0</v>
      </c>
      <c r="I186" s="17">
        <v>1.0</v>
      </c>
      <c r="J186" s="17">
        <v>166.0</v>
      </c>
      <c r="K186" s="17">
        <v>190.0</v>
      </c>
      <c r="L186" s="5"/>
      <c r="M186" s="17">
        <v>0.0</v>
      </c>
    </row>
    <row r="187" ht="22.5" customHeight="1">
      <c r="A187" s="10" t="s">
        <v>649</v>
      </c>
      <c r="B187" s="10" t="s">
        <v>483</v>
      </c>
      <c r="C187" s="10" t="s">
        <v>125</v>
      </c>
      <c r="D187" s="8">
        <v>166.0</v>
      </c>
      <c r="E187" s="8">
        <v>1.0</v>
      </c>
      <c r="F187" s="13">
        <v>199.2</v>
      </c>
      <c r="G187" s="14">
        <v>46100.0</v>
      </c>
      <c r="H187" s="13">
        <v>2.0</v>
      </c>
      <c r="I187" s="13">
        <v>1.0</v>
      </c>
      <c r="J187" s="13">
        <v>332.0</v>
      </c>
      <c r="K187" s="13">
        <v>100.0</v>
      </c>
      <c r="L187" s="15"/>
      <c r="M187" s="17">
        <v>166.0</v>
      </c>
    </row>
    <row r="188" ht="22.5" customHeight="1">
      <c r="A188" s="19" t="s">
        <v>653</v>
      </c>
      <c r="B188" s="19" t="s">
        <v>327</v>
      </c>
      <c r="C188" s="19" t="s">
        <v>119</v>
      </c>
      <c r="D188" s="33">
        <v>165.5</v>
      </c>
      <c r="E188" s="33">
        <v>0.0</v>
      </c>
      <c r="F188" s="17">
        <v>198.6</v>
      </c>
      <c r="G188" s="34">
        <v>46107.0</v>
      </c>
      <c r="H188" s="5">
        <v>3.0</v>
      </c>
      <c r="I188" s="17">
        <v>3.0</v>
      </c>
      <c r="J188" s="17">
        <v>496.5</v>
      </c>
      <c r="K188" s="17">
        <v>630.0</v>
      </c>
      <c r="L188" s="5"/>
      <c r="M188" s="17">
        <v>165.5</v>
      </c>
    </row>
    <row r="189" ht="22.5" customHeight="1">
      <c r="A189" s="10" t="s">
        <v>656</v>
      </c>
      <c r="B189" s="10" t="s">
        <v>224</v>
      </c>
      <c r="C189" s="10" t="s">
        <v>31</v>
      </c>
      <c r="D189" s="8">
        <v>165.0</v>
      </c>
      <c r="E189" s="8">
        <v>0.0</v>
      </c>
      <c r="F189" s="13">
        <v>198.0</v>
      </c>
      <c r="G189" s="14">
        <v>45899.0</v>
      </c>
      <c r="H189" s="13">
        <v>8.0</v>
      </c>
      <c r="I189" s="13">
        <v>8.0</v>
      </c>
      <c r="J189" s="13">
        <v>1320.0</v>
      </c>
      <c r="K189" s="13">
        <v>1719.26</v>
      </c>
      <c r="L189" s="15"/>
      <c r="M189" s="17">
        <v>0.0</v>
      </c>
    </row>
    <row r="190" ht="22.5" customHeight="1">
      <c r="A190" s="10" t="s">
        <v>234</v>
      </c>
      <c r="B190" s="10" t="s">
        <v>169</v>
      </c>
      <c r="C190" s="10" t="s">
        <v>31</v>
      </c>
      <c r="D190" s="8">
        <v>165.0</v>
      </c>
      <c r="E190" s="8">
        <v>0.0</v>
      </c>
      <c r="F190" s="13">
        <v>198.0</v>
      </c>
      <c r="G190" s="6" t="s">
        <v>72</v>
      </c>
      <c r="H190" s="13">
        <v>1.0</v>
      </c>
      <c r="I190" s="13">
        <v>1.0</v>
      </c>
      <c r="J190" s="13">
        <v>165.0</v>
      </c>
      <c r="K190" s="13">
        <v>335.0</v>
      </c>
      <c r="L190" s="15"/>
      <c r="M190" s="17">
        <v>0.0</v>
      </c>
    </row>
    <row r="191" ht="22.5" customHeight="1">
      <c r="A191" s="10" t="s">
        <v>505</v>
      </c>
      <c r="B191" s="10" t="s">
        <v>138</v>
      </c>
      <c r="C191" s="10" t="s">
        <v>576</v>
      </c>
      <c r="D191" s="8">
        <v>165.0</v>
      </c>
      <c r="E191" s="8">
        <v>8.0</v>
      </c>
      <c r="F191" s="13">
        <v>198.0</v>
      </c>
      <c r="G191" s="14">
        <v>46065.0</v>
      </c>
      <c r="H191" s="13">
        <v>12.0</v>
      </c>
      <c r="I191" s="13">
        <v>4.0</v>
      </c>
      <c r="J191" s="13">
        <v>1980.0</v>
      </c>
      <c r="K191" s="13">
        <v>700.0</v>
      </c>
      <c r="L191" s="15"/>
      <c r="M191" s="17">
        <v>1320.0</v>
      </c>
    </row>
    <row r="192" ht="22.5" customHeight="1">
      <c r="A192" s="10" t="s">
        <v>664</v>
      </c>
      <c r="B192" s="10" t="s">
        <v>224</v>
      </c>
      <c r="C192" s="10" t="s">
        <v>119</v>
      </c>
      <c r="D192" s="8">
        <v>165.0</v>
      </c>
      <c r="E192" s="8">
        <v>1.0</v>
      </c>
      <c r="F192" s="13">
        <v>198.0</v>
      </c>
      <c r="G192" s="14">
        <v>46004.0</v>
      </c>
      <c r="H192" s="13">
        <v>1.0</v>
      </c>
      <c r="I192" s="13">
        <v>0.0</v>
      </c>
      <c r="J192" s="13">
        <v>165.0</v>
      </c>
      <c r="K192" s="13">
        <v>0.0</v>
      </c>
      <c r="L192" s="15"/>
      <c r="M192" s="17">
        <v>165.0</v>
      </c>
    </row>
    <row r="193" ht="22.5" customHeight="1">
      <c r="A193" s="19" t="s">
        <v>666</v>
      </c>
      <c r="B193" s="19" t="s">
        <v>362</v>
      </c>
      <c r="C193" s="19" t="s">
        <v>119</v>
      </c>
      <c r="D193" s="33">
        <v>165.0</v>
      </c>
      <c r="E193" s="33">
        <v>1.0</v>
      </c>
      <c r="F193" s="17">
        <v>198.0</v>
      </c>
      <c r="G193" s="34">
        <v>46067.0</v>
      </c>
      <c r="H193" s="5">
        <v>1.0</v>
      </c>
      <c r="I193" s="17">
        <v>0.0</v>
      </c>
      <c r="J193" s="17">
        <v>165.0</v>
      </c>
      <c r="K193" s="17">
        <v>0.0</v>
      </c>
      <c r="L193" s="5"/>
      <c r="M193" s="17">
        <v>165.0</v>
      </c>
    </row>
    <row r="194" ht="22.5" customHeight="1">
      <c r="A194" s="10" t="s">
        <v>194</v>
      </c>
      <c r="B194" s="10" t="s">
        <v>238</v>
      </c>
      <c r="C194" s="10" t="s">
        <v>31</v>
      </c>
      <c r="D194" s="8">
        <v>164.17</v>
      </c>
      <c r="E194" s="8">
        <v>1.0</v>
      </c>
      <c r="F194" s="13">
        <v>197.0</v>
      </c>
      <c r="G194" s="14">
        <v>46110.0</v>
      </c>
      <c r="H194" s="13">
        <v>24.0</v>
      </c>
      <c r="I194" s="13">
        <v>24.0</v>
      </c>
      <c r="J194" s="13">
        <v>3940.0</v>
      </c>
      <c r="K194" s="13">
        <v>4728.7</v>
      </c>
      <c r="L194" s="15"/>
      <c r="M194" s="17">
        <v>328.34</v>
      </c>
    </row>
    <row r="195" ht="22.5" customHeight="1">
      <c r="A195" s="10" t="s">
        <v>671</v>
      </c>
      <c r="B195" s="10" t="s">
        <v>68</v>
      </c>
      <c r="C195" s="10" t="s">
        <v>31</v>
      </c>
      <c r="D195" s="8">
        <v>160.0</v>
      </c>
      <c r="E195" s="8">
        <v>2.0</v>
      </c>
      <c r="F195" s="13">
        <v>192.0</v>
      </c>
      <c r="G195" s="14">
        <v>45812.0</v>
      </c>
      <c r="H195" s="13">
        <v>2.0</v>
      </c>
      <c r="I195" s="13">
        <v>0.0</v>
      </c>
      <c r="J195" s="13">
        <v>320.0</v>
      </c>
      <c r="K195" s="13">
        <v>0.0</v>
      </c>
      <c r="L195" s="15"/>
      <c r="M195" s="17">
        <v>320.0</v>
      </c>
    </row>
    <row r="196" ht="22.5" customHeight="1">
      <c r="A196" s="10" t="s">
        <v>96</v>
      </c>
      <c r="B196" s="10" t="s">
        <v>68</v>
      </c>
      <c r="C196" s="10" t="s">
        <v>31</v>
      </c>
      <c r="D196" s="8">
        <v>160.0</v>
      </c>
      <c r="E196" s="8">
        <v>0.0</v>
      </c>
      <c r="F196" s="13">
        <v>192.0</v>
      </c>
      <c r="G196" s="6" t="s">
        <v>72</v>
      </c>
      <c r="H196" s="13">
        <v>1.0</v>
      </c>
      <c r="I196" s="13">
        <v>1.0</v>
      </c>
      <c r="J196" s="13">
        <v>160.0</v>
      </c>
      <c r="K196" s="13">
        <v>233.0</v>
      </c>
      <c r="L196" s="15"/>
      <c r="M196" s="17">
        <v>0.0</v>
      </c>
    </row>
    <row r="197" ht="22.5" customHeight="1">
      <c r="A197" s="10" t="s">
        <v>225</v>
      </c>
      <c r="B197" s="10" t="s">
        <v>50</v>
      </c>
      <c r="C197" s="10" t="s">
        <v>31</v>
      </c>
      <c r="D197" s="8">
        <v>160.0</v>
      </c>
      <c r="E197" s="8">
        <v>5.0</v>
      </c>
      <c r="F197" s="13">
        <v>192.0</v>
      </c>
      <c r="G197" s="14">
        <v>45998.011037118056</v>
      </c>
      <c r="H197" s="13">
        <v>7.0</v>
      </c>
      <c r="I197" s="13">
        <v>2.0</v>
      </c>
      <c r="J197" s="13">
        <v>1120.0</v>
      </c>
      <c r="K197" s="13">
        <v>400.0</v>
      </c>
      <c r="L197" s="15"/>
      <c r="M197" s="17">
        <v>800.0</v>
      </c>
    </row>
    <row r="198" ht="22.5" customHeight="1">
      <c r="A198" s="10" t="s">
        <v>677</v>
      </c>
      <c r="B198" s="10" t="s">
        <v>238</v>
      </c>
      <c r="C198" s="10" t="s">
        <v>31</v>
      </c>
      <c r="D198" s="8">
        <v>160.0</v>
      </c>
      <c r="E198" s="8">
        <v>2.0</v>
      </c>
      <c r="F198" s="13">
        <v>192.0</v>
      </c>
      <c r="G198" s="14">
        <v>45929.0</v>
      </c>
      <c r="H198" s="13">
        <v>2.0</v>
      </c>
      <c r="I198" s="13">
        <v>0.0</v>
      </c>
      <c r="J198" s="13">
        <v>320.0</v>
      </c>
      <c r="K198" s="13">
        <v>0.0</v>
      </c>
      <c r="L198" s="15"/>
      <c r="M198" s="17">
        <v>320.0</v>
      </c>
    </row>
    <row r="199" ht="22.5" customHeight="1">
      <c r="A199" s="10" t="s">
        <v>680</v>
      </c>
      <c r="B199" s="10" t="s">
        <v>681</v>
      </c>
      <c r="C199" s="10" t="s">
        <v>119</v>
      </c>
      <c r="D199" s="8">
        <v>160.0</v>
      </c>
      <c r="E199" s="8">
        <v>1.0</v>
      </c>
      <c r="F199" s="13">
        <v>192.0</v>
      </c>
      <c r="G199" s="14">
        <v>46004.0</v>
      </c>
      <c r="H199" s="13">
        <v>1.0</v>
      </c>
      <c r="I199" s="13">
        <v>0.0</v>
      </c>
      <c r="J199" s="13">
        <v>160.0</v>
      </c>
      <c r="K199" s="13">
        <v>0.0</v>
      </c>
      <c r="L199" s="15"/>
      <c r="M199" s="17">
        <v>160.0</v>
      </c>
    </row>
    <row r="200" ht="22.5" customHeight="1">
      <c r="A200" s="10" t="s">
        <v>683</v>
      </c>
      <c r="B200" s="10" t="s">
        <v>224</v>
      </c>
      <c r="C200" s="10" t="s">
        <v>119</v>
      </c>
      <c r="D200" s="8">
        <v>160.0</v>
      </c>
      <c r="E200" s="8">
        <v>0.0</v>
      </c>
      <c r="F200" s="13">
        <v>192.0</v>
      </c>
      <c r="G200" s="14">
        <v>46165.0</v>
      </c>
      <c r="H200" s="13">
        <v>1.0</v>
      </c>
      <c r="I200" s="13">
        <v>1.0</v>
      </c>
      <c r="J200" s="13">
        <v>160.0</v>
      </c>
      <c r="K200" s="13">
        <v>195.0</v>
      </c>
      <c r="L200" s="15"/>
      <c r="M200" s="17">
        <v>160.0</v>
      </c>
    </row>
    <row r="201" ht="22.5" customHeight="1">
      <c r="A201" s="10" t="s">
        <v>685</v>
      </c>
      <c r="B201" s="10" t="s">
        <v>224</v>
      </c>
      <c r="C201" s="10" t="s">
        <v>119</v>
      </c>
      <c r="D201" s="8">
        <v>160.0</v>
      </c>
      <c r="E201" s="8">
        <v>0.0</v>
      </c>
      <c r="F201" s="13">
        <v>192.0</v>
      </c>
      <c r="G201" s="14">
        <v>46097.0</v>
      </c>
      <c r="H201" s="13">
        <v>1.0</v>
      </c>
      <c r="I201" s="13">
        <v>1.0</v>
      </c>
      <c r="J201" s="13">
        <v>160.0</v>
      </c>
      <c r="K201" s="13">
        <v>165.0</v>
      </c>
      <c r="L201" s="15"/>
      <c r="M201" s="17">
        <v>0.0</v>
      </c>
    </row>
    <row r="202" ht="22.5" customHeight="1">
      <c r="A202" s="10" t="s">
        <v>688</v>
      </c>
      <c r="B202" s="10" t="s">
        <v>224</v>
      </c>
      <c r="C202" s="10" t="s">
        <v>119</v>
      </c>
      <c r="D202" s="8">
        <v>160.0</v>
      </c>
      <c r="E202" s="8">
        <v>2.0</v>
      </c>
      <c r="F202" s="13">
        <v>192.0</v>
      </c>
      <c r="G202" s="14">
        <v>46004.0</v>
      </c>
      <c r="H202" s="13">
        <v>2.0</v>
      </c>
      <c r="I202" s="13">
        <v>0.0</v>
      </c>
      <c r="J202" s="13">
        <v>320.0</v>
      </c>
      <c r="K202" s="13">
        <v>0.0</v>
      </c>
      <c r="L202" s="15"/>
      <c r="M202" s="17">
        <v>320.0</v>
      </c>
    </row>
    <row r="203" ht="22.5" customHeight="1">
      <c r="A203" s="19" t="s">
        <v>630</v>
      </c>
      <c r="B203" s="19" t="s">
        <v>30</v>
      </c>
      <c r="C203" s="19" t="s">
        <v>119</v>
      </c>
      <c r="D203" s="33">
        <v>160.0</v>
      </c>
      <c r="E203" s="33">
        <v>0.0</v>
      </c>
      <c r="F203" s="17">
        <v>192.0</v>
      </c>
      <c r="G203" s="34">
        <v>45676.0</v>
      </c>
      <c r="H203" s="5">
        <v>2.0</v>
      </c>
      <c r="I203" s="17">
        <v>2.0</v>
      </c>
      <c r="J203" s="17">
        <v>320.0</v>
      </c>
      <c r="K203" s="17">
        <v>400.0</v>
      </c>
      <c r="L203" s="5"/>
      <c r="M203" s="17">
        <v>0.0</v>
      </c>
    </row>
    <row r="204" ht="22.5" customHeight="1">
      <c r="A204" s="19" t="s">
        <v>693</v>
      </c>
      <c r="B204" s="19" t="s">
        <v>224</v>
      </c>
      <c r="C204" s="19" t="s">
        <v>119</v>
      </c>
      <c r="D204" s="33">
        <v>160.0</v>
      </c>
      <c r="E204" s="33">
        <v>2.0</v>
      </c>
      <c r="F204" s="17">
        <v>192.0</v>
      </c>
      <c r="G204" s="34">
        <v>46166.0</v>
      </c>
      <c r="H204" s="5">
        <v>6.0</v>
      </c>
      <c r="I204" s="17">
        <v>4.0</v>
      </c>
      <c r="J204" s="17">
        <v>960.0</v>
      </c>
      <c r="K204" s="17">
        <v>795.0</v>
      </c>
      <c r="L204" s="5"/>
      <c r="M204" s="17">
        <v>640.0</v>
      </c>
    </row>
    <row r="205" ht="22.5" customHeight="1">
      <c r="A205" s="19" t="s">
        <v>696</v>
      </c>
      <c r="B205" s="19" t="s">
        <v>472</v>
      </c>
      <c r="C205" s="19" t="s">
        <v>484</v>
      </c>
      <c r="D205" s="33">
        <v>160.0</v>
      </c>
      <c r="E205" s="33">
        <v>6.0</v>
      </c>
      <c r="F205" s="17">
        <v>192.0</v>
      </c>
      <c r="G205" s="34">
        <v>46165.0</v>
      </c>
      <c r="H205" s="5">
        <v>6.0</v>
      </c>
      <c r="I205" s="5">
        <v>0.0</v>
      </c>
      <c r="J205" s="17">
        <v>960.0</v>
      </c>
      <c r="K205" s="17">
        <v>0.0</v>
      </c>
      <c r="L205" s="19"/>
      <c r="M205" s="17"/>
    </row>
    <row r="206" ht="22.5" customHeight="1">
      <c r="A206" s="10" t="s">
        <v>700</v>
      </c>
      <c r="B206" s="10" t="s">
        <v>224</v>
      </c>
      <c r="C206" s="10" t="s">
        <v>119</v>
      </c>
      <c r="D206" s="8">
        <v>159.0</v>
      </c>
      <c r="E206" s="8">
        <v>0.0</v>
      </c>
      <c r="F206" s="13">
        <v>190.8</v>
      </c>
      <c r="G206" s="14">
        <v>46096.0</v>
      </c>
      <c r="H206" s="13">
        <v>1.0</v>
      </c>
      <c r="I206" s="13">
        <v>1.0</v>
      </c>
      <c r="J206" s="13">
        <v>159.0</v>
      </c>
      <c r="K206" s="13">
        <v>185.0</v>
      </c>
      <c r="L206" s="16"/>
      <c r="M206" s="17">
        <v>0.0</v>
      </c>
    </row>
    <row r="207" ht="22.5" customHeight="1">
      <c r="A207" s="10" t="s">
        <v>134</v>
      </c>
      <c r="B207" s="10" t="s">
        <v>68</v>
      </c>
      <c r="C207" s="10" t="s">
        <v>31</v>
      </c>
      <c r="D207" s="8">
        <v>155.0</v>
      </c>
      <c r="E207" s="8">
        <v>1.0</v>
      </c>
      <c r="F207" s="13">
        <v>186.0</v>
      </c>
      <c r="G207" s="14">
        <v>45812.0</v>
      </c>
      <c r="H207" s="13">
        <v>1.0</v>
      </c>
      <c r="I207" s="13">
        <v>0.0</v>
      </c>
      <c r="J207" s="13">
        <v>155.0</v>
      </c>
      <c r="K207" s="13">
        <v>0.0</v>
      </c>
      <c r="L207" s="15"/>
      <c r="M207" s="17">
        <v>155.0</v>
      </c>
    </row>
    <row r="208" ht="22.5" customHeight="1">
      <c r="A208" s="10" t="s">
        <v>206</v>
      </c>
      <c r="B208" s="10" t="s">
        <v>30</v>
      </c>
      <c r="C208" s="10" t="s">
        <v>31</v>
      </c>
      <c r="D208" s="8">
        <v>155.0</v>
      </c>
      <c r="E208" s="8">
        <v>1.0</v>
      </c>
      <c r="F208" s="13">
        <v>186.0</v>
      </c>
      <c r="G208" s="14">
        <v>46098.0</v>
      </c>
      <c r="H208" s="13">
        <v>6.0</v>
      </c>
      <c r="I208" s="13">
        <v>5.0</v>
      </c>
      <c r="J208" s="13">
        <v>930.0</v>
      </c>
      <c r="K208" s="13">
        <v>975.0</v>
      </c>
      <c r="L208" s="15"/>
      <c r="M208" s="17">
        <v>155.0</v>
      </c>
    </row>
    <row r="209" ht="22.5" customHeight="1">
      <c r="A209" s="10" t="s">
        <v>229</v>
      </c>
      <c r="B209" s="10" t="s">
        <v>30</v>
      </c>
      <c r="C209" s="10" t="s">
        <v>31</v>
      </c>
      <c r="D209" s="8">
        <v>155.0</v>
      </c>
      <c r="E209" s="8">
        <v>2.0</v>
      </c>
      <c r="F209" s="13">
        <v>186.0</v>
      </c>
      <c r="G209" s="14">
        <v>45812.0</v>
      </c>
      <c r="H209" s="13">
        <v>2.0</v>
      </c>
      <c r="I209" s="13">
        <v>0.0</v>
      </c>
      <c r="J209" s="13">
        <v>310.0</v>
      </c>
      <c r="K209" s="13">
        <v>0.0</v>
      </c>
      <c r="L209" s="15"/>
      <c r="M209" s="17">
        <v>310.0</v>
      </c>
    </row>
    <row r="210" ht="22.5" customHeight="1">
      <c r="A210" s="10" t="s">
        <v>379</v>
      </c>
      <c r="B210" s="10" t="s">
        <v>185</v>
      </c>
      <c r="C210" s="10" t="s">
        <v>31</v>
      </c>
      <c r="D210" s="8">
        <v>155.0</v>
      </c>
      <c r="E210" s="8">
        <v>1.0</v>
      </c>
      <c r="F210" s="13">
        <v>186.0</v>
      </c>
      <c r="G210" s="6" t="s">
        <v>321</v>
      </c>
      <c r="H210" s="13">
        <v>2.0</v>
      </c>
      <c r="I210" s="13">
        <v>1.0</v>
      </c>
      <c r="J210" s="13">
        <v>310.0</v>
      </c>
      <c r="K210" s="13">
        <v>200.0</v>
      </c>
      <c r="L210" s="15"/>
      <c r="M210" s="17">
        <v>155.0</v>
      </c>
    </row>
    <row r="211" ht="22.5" customHeight="1">
      <c r="A211" s="19" t="s">
        <v>711</v>
      </c>
      <c r="B211" s="19" t="s">
        <v>224</v>
      </c>
      <c r="C211" s="19" t="s">
        <v>119</v>
      </c>
      <c r="D211" s="33">
        <v>155.0</v>
      </c>
      <c r="E211" s="33">
        <v>0.0</v>
      </c>
      <c r="F211" s="17">
        <v>186.0</v>
      </c>
      <c r="G211" s="34">
        <v>46147.0</v>
      </c>
      <c r="H211" s="5">
        <v>1.0</v>
      </c>
      <c r="I211" s="17">
        <v>1.0</v>
      </c>
      <c r="J211" s="17">
        <v>155.0</v>
      </c>
      <c r="K211" s="17">
        <v>200.0</v>
      </c>
      <c r="L211" s="5"/>
      <c r="M211" s="17">
        <v>155.0</v>
      </c>
    </row>
    <row r="212" ht="22.5" customHeight="1">
      <c r="A212" s="19" t="s">
        <v>715</v>
      </c>
      <c r="B212" s="19" t="s">
        <v>118</v>
      </c>
      <c r="C212" s="19" t="s">
        <v>119</v>
      </c>
      <c r="D212" s="33">
        <v>155.0</v>
      </c>
      <c r="E212" s="33">
        <v>1.0</v>
      </c>
      <c r="F212" s="17">
        <v>186.0</v>
      </c>
      <c r="G212" s="34">
        <v>46116.0</v>
      </c>
      <c r="H212" s="17">
        <v>1.0</v>
      </c>
      <c r="I212" s="17">
        <v>0.0</v>
      </c>
      <c r="J212" s="17">
        <v>155.0</v>
      </c>
      <c r="K212" s="17">
        <v>0.0</v>
      </c>
      <c r="L212" s="5"/>
      <c r="M212" s="17">
        <v>155.0</v>
      </c>
    </row>
    <row r="213" ht="22.5" customHeight="1">
      <c r="A213" s="19" t="s">
        <v>718</v>
      </c>
      <c r="B213" s="19" t="s">
        <v>719</v>
      </c>
      <c r="C213" s="19" t="s">
        <v>119</v>
      </c>
      <c r="D213" s="33">
        <v>155.0</v>
      </c>
      <c r="E213" s="33">
        <v>1.0</v>
      </c>
      <c r="F213" s="17">
        <v>186.0</v>
      </c>
      <c r="G213" s="34">
        <v>46160.0</v>
      </c>
      <c r="H213" s="5">
        <v>2.0</v>
      </c>
      <c r="I213" s="5">
        <v>1.0</v>
      </c>
      <c r="J213" s="17">
        <v>310.0</v>
      </c>
      <c r="K213" s="17">
        <v>225.0</v>
      </c>
      <c r="L213" s="19"/>
      <c r="M213" s="17"/>
    </row>
    <row r="214" ht="22.5" customHeight="1">
      <c r="A214" s="19" t="s">
        <v>722</v>
      </c>
      <c r="B214" s="19" t="s">
        <v>719</v>
      </c>
      <c r="C214" s="19" t="s">
        <v>119</v>
      </c>
      <c r="D214" s="33">
        <v>155.0</v>
      </c>
      <c r="E214" s="33">
        <v>1.0</v>
      </c>
      <c r="F214" s="17">
        <v>186.0</v>
      </c>
      <c r="G214" s="34">
        <v>46160.0</v>
      </c>
      <c r="H214" s="5">
        <v>2.0</v>
      </c>
      <c r="I214" s="5">
        <v>1.0</v>
      </c>
      <c r="J214" s="17">
        <v>310.0</v>
      </c>
      <c r="K214" s="17">
        <v>225.0</v>
      </c>
      <c r="L214" s="19"/>
      <c r="M214" s="17"/>
    </row>
    <row r="215" ht="22.5" customHeight="1">
      <c r="A215" s="19" t="s">
        <v>714</v>
      </c>
      <c r="B215" s="19" t="s">
        <v>224</v>
      </c>
      <c r="C215" s="19" t="s">
        <v>119</v>
      </c>
      <c r="D215" s="33">
        <v>154.0</v>
      </c>
      <c r="E215" s="33">
        <v>0.0</v>
      </c>
      <c r="F215" s="17">
        <v>184.8</v>
      </c>
      <c r="G215" s="37">
        <v>46066.0</v>
      </c>
      <c r="H215" s="17">
        <v>1.0</v>
      </c>
      <c r="I215" s="17">
        <v>1.0</v>
      </c>
      <c r="J215" s="17">
        <v>154.0</v>
      </c>
      <c r="K215" s="17">
        <v>180.0</v>
      </c>
      <c r="L215" s="16"/>
      <c r="M215" s="17">
        <v>0.0</v>
      </c>
    </row>
    <row r="216" ht="22.5" customHeight="1">
      <c r="A216" s="51" t="s">
        <v>729</v>
      </c>
      <c r="B216" s="19" t="s">
        <v>362</v>
      </c>
      <c r="C216" s="19" t="s">
        <v>119</v>
      </c>
      <c r="D216" s="33">
        <v>154.0</v>
      </c>
      <c r="E216" s="33">
        <v>2.0</v>
      </c>
      <c r="F216" s="17">
        <v>184.8</v>
      </c>
      <c r="G216" s="34">
        <v>46067.0</v>
      </c>
      <c r="H216" s="5">
        <v>2.0</v>
      </c>
      <c r="I216" s="17">
        <v>0.0</v>
      </c>
      <c r="J216" s="17">
        <v>308.0</v>
      </c>
      <c r="K216" s="17">
        <v>0.0</v>
      </c>
      <c r="L216" s="5"/>
      <c r="M216" s="17">
        <v>308.0</v>
      </c>
    </row>
    <row r="217" ht="22.5" customHeight="1">
      <c r="A217" s="52" t="s">
        <v>555</v>
      </c>
      <c r="B217" s="10" t="s">
        <v>224</v>
      </c>
      <c r="C217" s="10" t="s">
        <v>119</v>
      </c>
      <c r="D217" s="8">
        <v>151.0</v>
      </c>
      <c r="E217" s="8">
        <v>0.0</v>
      </c>
      <c r="F217" s="13">
        <v>181.2</v>
      </c>
      <c r="G217" s="14">
        <v>46009.0</v>
      </c>
      <c r="H217" s="13">
        <v>1.0</v>
      </c>
      <c r="I217" s="13">
        <v>1.0</v>
      </c>
      <c r="J217" s="13">
        <v>151.0</v>
      </c>
      <c r="K217" s="13">
        <v>180.0</v>
      </c>
      <c r="L217" s="15"/>
      <c r="M217" s="17">
        <v>0.0</v>
      </c>
    </row>
    <row r="218" ht="22.5" customHeight="1">
      <c r="A218" s="19" t="s">
        <v>737</v>
      </c>
      <c r="B218" s="19" t="s">
        <v>362</v>
      </c>
      <c r="C218" s="19" t="s">
        <v>119</v>
      </c>
      <c r="D218" s="33">
        <v>151.0</v>
      </c>
      <c r="E218" s="33">
        <v>0.0</v>
      </c>
      <c r="F218" s="17">
        <v>181.2</v>
      </c>
      <c r="G218" s="34">
        <v>46162.0</v>
      </c>
      <c r="H218" s="5">
        <v>1.0</v>
      </c>
      <c r="I218" s="17">
        <v>1.0</v>
      </c>
      <c r="J218" s="17">
        <v>151.0</v>
      </c>
      <c r="K218" s="17">
        <v>185.0</v>
      </c>
      <c r="L218" s="5"/>
      <c r="M218" s="17">
        <v>151.0</v>
      </c>
    </row>
    <row r="219" ht="22.5" customHeight="1">
      <c r="A219" s="10" t="s">
        <v>311</v>
      </c>
      <c r="B219" s="10" t="s">
        <v>185</v>
      </c>
      <c r="C219" s="10" t="s">
        <v>31</v>
      </c>
      <c r="D219" s="8">
        <v>150.0</v>
      </c>
      <c r="E219" s="8">
        <v>1.0</v>
      </c>
      <c r="F219" s="13">
        <v>180.0</v>
      </c>
      <c r="G219" s="14">
        <v>45908.0</v>
      </c>
      <c r="H219" s="13">
        <v>2.0</v>
      </c>
      <c r="I219" s="13">
        <v>1.0</v>
      </c>
      <c r="J219" s="13">
        <v>300.0</v>
      </c>
      <c r="K219" s="13">
        <v>170.0</v>
      </c>
      <c r="L219" s="15"/>
      <c r="M219" s="17">
        <v>150.0</v>
      </c>
    </row>
    <row r="220" ht="22.5" customHeight="1">
      <c r="A220" s="57" t="s">
        <v>741</v>
      </c>
      <c r="B220" s="10" t="s">
        <v>472</v>
      </c>
      <c r="C220" s="10" t="s">
        <v>51</v>
      </c>
      <c r="D220" s="8">
        <v>150.0</v>
      </c>
      <c r="E220" s="8">
        <v>6.185714285714285</v>
      </c>
      <c r="F220" s="13">
        <v>180.0</v>
      </c>
      <c r="G220" s="14">
        <v>46162.0</v>
      </c>
      <c r="H220" s="13">
        <v>12.0</v>
      </c>
      <c r="I220" s="13">
        <v>4.6000000000000005</v>
      </c>
      <c r="J220" s="13">
        <v>1800.0</v>
      </c>
      <c r="K220" s="13">
        <v>720.0</v>
      </c>
      <c r="L220" s="6" t="s">
        <v>743</v>
      </c>
      <c r="M220" s="17">
        <v>987.8571428571428</v>
      </c>
    </row>
    <row r="221" ht="22.5" customHeight="1">
      <c r="A221" s="10" t="s">
        <v>704</v>
      </c>
      <c r="B221" s="10" t="s">
        <v>224</v>
      </c>
      <c r="C221" s="10" t="s">
        <v>119</v>
      </c>
      <c r="D221" s="8">
        <v>150.0</v>
      </c>
      <c r="E221" s="8">
        <v>1.0</v>
      </c>
      <c r="F221" s="13">
        <v>180.0</v>
      </c>
      <c r="G221" s="14">
        <v>46004.0</v>
      </c>
      <c r="H221" s="13">
        <v>1.0</v>
      </c>
      <c r="I221" s="13">
        <v>0.0</v>
      </c>
      <c r="J221" s="13">
        <v>150.0</v>
      </c>
      <c r="K221" s="13">
        <v>0.0</v>
      </c>
      <c r="L221" s="15"/>
      <c r="M221" s="17">
        <v>150.0</v>
      </c>
    </row>
    <row r="222" ht="22.5" customHeight="1">
      <c r="A222" s="10" t="s">
        <v>746</v>
      </c>
      <c r="B222" s="10" t="s">
        <v>224</v>
      </c>
      <c r="C222" s="10" t="s">
        <v>119</v>
      </c>
      <c r="D222" s="8">
        <v>150.0</v>
      </c>
      <c r="E222" s="8">
        <v>0.0</v>
      </c>
      <c r="F222" s="13">
        <v>180.0</v>
      </c>
      <c r="G222" s="14">
        <v>46099.0</v>
      </c>
      <c r="H222" s="13">
        <v>1.0</v>
      </c>
      <c r="I222" s="13">
        <v>1.0</v>
      </c>
      <c r="J222" s="13">
        <v>150.0</v>
      </c>
      <c r="K222" s="13">
        <v>175.0</v>
      </c>
      <c r="L222" s="15"/>
      <c r="M222" s="17">
        <v>0.0</v>
      </c>
    </row>
    <row r="223" ht="22.5" customHeight="1">
      <c r="A223" s="19" t="s">
        <v>749</v>
      </c>
      <c r="B223" s="19" t="s">
        <v>50</v>
      </c>
      <c r="C223" s="19" t="s">
        <v>436</v>
      </c>
      <c r="D223" s="33">
        <v>150.0</v>
      </c>
      <c r="E223" s="33">
        <v>0.0</v>
      </c>
      <c r="F223" s="17">
        <v>180.0</v>
      </c>
      <c r="G223" s="37">
        <v>46167.0</v>
      </c>
      <c r="H223" s="17">
        <v>2.0</v>
      </c>
      <c r="I223" s="17">
        <v>2.0</v>
      </c>
      <c r="J223" s="17">
        <v>300.0</v>
      </c>
      <c r="K223" s="17">
        <v>485.0</v>
      </c>
      <c r="L223" s="16"/>
      <c r="M223" s="17">
        <v>300.0</v>
      </c>
    </row>
    <row r="224" ht="22.5" customHeight="1">
      <c r="A224" s="19" t="s">
        <v>754</v>
      </c>
      <c r="B224" s="19" t="s">
        <v>30</v>
      </c>
      <c r="C224" s="19" t="s">
        <v>119</v>
      </c>
      <c r="D224" s="33">
        <v>150.0</v>
      </c>
      <c r="E224" s="33">
        <v>1.0</v>
      </c>
      <c r="F224" s="17">
        <v>180.0</v>
      </c>
      <c r="G224" s="34">
        <v>46018.0</v>
      </c>
      <c r="H224" s="5">
        <v>1.0</v>
      </c>
      <c r="I224" s="17">
        <v>0.0</v>
      </c>
      <c r="J224" s="17">
        <v>150.0</v>
      </c>
      <c r="K224" s="17">
        <v>0.0</v>
      </c>
      <c r="L224" s="5"/>
      <c r="M224" s="17">
        <v>150.0</v>
      </c>
    </row>
    <row r="225" ht="22.5" customHeight="1">
      <c r="A225" s="19" t="s">
        <v>236</v>
      </c>
      <c r="B225" s="19" t="s">
        <v>472</v>
      </c>
      <c r="C225" s="19" t="s">
        <v>154</v>
      </c>
      <c r="D225" s="33">
        <v>150.0</v>
      </c>
      <c r="E225" s="33">
        <v>0.0</v>
      </c>
      <c r="F225" s="17">
        <v>180.0</v>
      </c>
      <c r="G225" s="34">
        <v>46099.0</v>
      </c>
      <c r="H225" s="5">
        <v>4.0</v>
      </c>
      <c r="I225" s="17">
        <v>4.0</v>
      </c>
      <c r="J225" s="17">
        <v>600.0</v>
      </c>
      <c r="K225" s="17">
        <v>880.0</v>
      </c>
      <c r="L225" s="5"/>
      <c r="M225" s="17">
        <v>0.0</v>
      </c>
    </row>
    <row r="226" ht="22.5" customHeight="1">
      <c r="A226" s="10" t="s">
        <v>655</v>
      </c>
      <c r="B226" s="10" t="s">
        <v>30</v>
      </c>
      <c r="C226" s="10" t="s">
        <v>154</v>
      </c>
      <c r="D226" s="8">
        <v>150.0</v>
      </c>
      <c r="E226" s="8">
        <v>6.0</v>
      </c>
      <c r="F226" s="13">
        <v>180.0</v>
      </c>
      <c r="G226" s="14">
        <v>46099.0</v>
      </c>
      <c r="H226" s="13">
        <v>6.0</v>
      </c>
      <c r="I226" s="13">
        <v>0.0</v>
      </c>
      <c r="J226" s="13">
        <v>900.0</v>
      </c>
      <c r="K226" s="13">
        <v>0.0</v>
      </c>
      <c r="L226" s="15"/>
      <c r="M226" s="17">
        <v>900.0</v>
      </c>
    </row>
    <row r="227" ht="22.5" customHeight="1">
      <c r="A227" s="10" t="s">
        <v>648</v>
      </c>
      <c r="B227" s="10" t="s">
        <v>30</v>
      </c>
      <c r="C227" s="10" t="s">
        <v>154</v>
      </c>
      <c r="D227" s="8">
        <v>150.0</v>
      </c>
      <c r="E227" s="8">
        <v>1.0</v>
      </c>
      <c r="F227" s="13">
        <v>180.0</v>
      </c>
      <c r="G227" s="14">
        <v>46099.0</v>
      </c>
      <c r="H227" s="13">
        <v>6.0</v>
      </c>
      <c r="I227" s="13">
        <v>5.0</v>
      </c>
      <c r="J227" s="13">
        <v>900.0</v>
      </c>
      <c r="K227" s="13">
        <v>1000.0</v>
      </c>
      <c r="L227" s="15"/>
      <c r="M227" s="17">
        <v>450.0</v>
      </c>
    </row>
    <row r="228" ht="22.5" customHeight="1">
      <c r="A228" s="19" t="s">
        <v>761</v>
      </c>
      <c r="B228" s="19" t="s">
        <v>30</v>
      </c>
      <c r="C228" s="19" t="s">
        <v>119</v>
      </c>
      <c r="D228" s="33">
        <v>150.0</v>
      </c>
      <c r="E228" s="33">
        <v>1.0</v>
      </c>
      <c r="F228" s="17">
        <v>180.0</v>
      </c>
      <c r="G228" s="34">
        <v>46087.0</v>
      </c>
      <c r="H228" s="5">
        <v>2.0</v>
      </c>
      <c r="I228" s="17">
        <v>1.0</v>
      </c>
      <c r="J228" s="17">
        <v>300.0</v>
      </c>
      <c r="K228" s="17">
        <v>180.0</v>
      </c>
      <c r="L228" s="5"/>
      <c r="M228" s="17">
        <v>150.0</v>
      </c>
    </row>
    <row r="229" ht="22.5" customHeight="1">
      <c r="A229" s="19" t="s">
        <v>763</v>
      </c>
      <c r="B229" s="19" t="s">
        <v>30</v>
      </c>
      <c r="C229" s="19" t="s">
        <v>119</v>
      </c>
      <c r="D229" s="33">
        <v>150.0</v>
      </c>
      <c r="E229" s="33">
        <f>4</f>
        <v>4</v>
      </c>
      <c r="F229" s="17">
        <v>180.0</v>
      </c>
      <c r="G229" s="34">
        <v>46116.0</v>
      </c>
      <c r="H229" s="5">
        <v>4.0</v>
      </c>
      <c r="I229" s="17">
        <v>0.0</v>
      </c>
      <c r="J229" s="17">
        <v>600.0</v>
      </c>
      <c r="K229" s="17">
        <v>0.0</v>
      </c>
      <c r="L229" s="5"/>
      <c r="M229" s="17">
        <v>600.0</v>
      </c>
    </row>
    <row r="230" ht="22.5" customHeight="1">
      <c r="A230" s="19" t="s">
        <v>766</v>
      </c>
      <c r="B230" s="19" t="s">
        <v>30</v>
      </c>
      <c r="C230" s="19" t="s">
        <v>119</v>
      </c>
      <c r="D230" s="33">
        <v>150.0</v>
      </c>
      <c r="E230" s="33">
        <v>0.0</v>
      </c>
      <c r="F230" s="17">
        <v>180.0</v>
      </c>
      <c r="G230" s="34">
        <v>46100.0</v>
      </c>
      <c r="H230" s="5">
        <v>2.0</v>
      </c>
      <c r="I230" s="17">
        <v>2.0</v>
      </c>
      <c r="J230" s="17">
        <v>300.0</v>
      </c>
      <c r="K230" s="17">
        <v>360.0</v>
      </c>
      <c r="L230" s="5"/>
      <c r="M230" s="17">
        <v>0.0</v>
      </c>
    </row>
    <row r="231" ht="22.5" customHeight="1">
      <c r="A231" s="19" t="s">
        <v>769</v>
      </c>
      <c r="B231" s="19" t="s">
        <v>770</v>
      </c>
      <c r="C231" s="19" t="s">
        <v>51</v>
      </c>
      <c r="D231" s="33">
        <v>150.0</v>
      </c>
      <c r="E231" s="33">
        <v>1.0</v>
      </c>
      <c r="F231" s="17">
        <v>180.0</v>
      </c>
      <c r="G231" s="34">
        <v>46114.0</v>
      </c>
      <c r="H231" s="5">
        <v>2.0</v>
      </c>
      <c r="I231" s="17">
        <v>1.0</v>
      </c>
      <c r="J231" s="17">
        <v>300.0</v>
      </c>
      <c r="K231" s="17">
        <v>220.0</v>
      </c>
      <c r="L231" s="19"/>
      <c r="M231" s="17">
        <v>300.0</v>
      </c>
    </row>
    <row r="232" ht="22.5" customHeight="1">
      <c r="A232" s="10" t="s">
        <v>772</v>
      </c>
      <c r="B232" s="10" t="s">
        <v>472</v>
      </c>
      <c r="C232" s="10" t="s">
        <v>51</v>
      </c>
      <c r="D232" s="8">
        <v>150.0</v>
      </c>
      <c r="E232" s="8">
        <v>3.0</v>
      </c>
      <c r="F232" s="13">
        <v>180.0</v>
      </c>
      <c r="G232" s="14">
        <v>46095.0</v>
      </c>
      <c r="H232" s="13">
        <v>3.0</v>
      </c>
      <c r="I232" s="13">
        <v>0.0</v>
      </c>
      <c r="J232" s="13">
        <v>450.0</v>
      </c>
      <c r="K232" s="13">
        <v>0.0</v>
      </c>
      <c r="L232" s="15"/>
      <c r="M232" s="17">
        <v>450.0</v>
      </c>
    </row>
    <row r="233" ht="22.5" customHeight="1">
      <c r="A233" s="19" t="s">
        <v>566</v>
      </c>
      <c r="B233" s="19" t="s">
        <v>169</v>
      </c>
      <c r="C233" s="19" t="s">
        <v>154</v>
      </c>
      <c r="D233" s="33">
        <v>150.0</v>
      </c>
      <c r="E233" s="33">
        <v>2.0</v>
      </c>
      <c r="F233" s="17">
        <v>180.0</v>
      </c>
      <c r="G233" s="34">
        <v>46154.0</v>
      </c>
      <c r="H233" s="5">
        <v>2.0</v>
      </c>
      <c r="I233" s="5">
        <v>0.0</v>
      </c>
      <c r="J233" s="17">
        <v>300.0</v>
      </c>
      <c r="K233" s="17">
        <v>0.0</v>
      </c>
      <c r="L233" s="19"/>
      <c r="M233" s="17"/>
    </row>
    <row r="234" ht="22.5" customHeight="1">
      <c r="A234" s="19" t="s">
        <v>776</v>
      </c>
      <c r="B234" s="19" t="s">
        <v>30</v>
      </c>
      <c r="C234" s="19" t="s">
        <v>119</v>
      </c>
      <c r="D234" s="33">
        <v>150.0</v>
      </c>
      <c r="E234" s="33">
        <v>1.0</v>
      </c>
      <c r="F234" s="17">
        <v>180.0</v>
      </c>
      <c r="G234" s="34">
        <v>46163.0</v>
      </c>
      <c r="H234" s="17">
        <v>2.0</v>
      </c>
      <c r="I234" s="17">
        <v>1.0</v>
      </c>
      <c r="J234" s="17">
        <v>300.0</v>
      </c>
      <c r="K234" s="17">
        <v>180.0</v>
      </c>
      <c r="L234" s="5"/>
      <c r="M234" s="17">
        <v>300.0</v>
      </c>
    </row>
    <row r="235" ht="22.5" customHeight="1">
      <c r="A235" s="19" t="s">
        <v>779</v>
      </c>
      <c r="B235" s="19" t="s">
        <v>30</v>
      </c>
      <c r="C235" s="19" t="s">
        <v>119</v>
      </c>
      <c r="D235" s="33">
        <v>150.0</v>
      </c>
      <c r="E235" s="33">
        <v>2.0</v>
      </c>
      <c r="F235" s="17">
        <v>180.0</v>
      </c>
      <c r="G235" s="34">
        <v>46116.0</v>
      </c>
      <c r="H235" s="17">
        <v>2.0</v>
      </c>
      <c r="I235" s="17">
        <v>0.0</v>
      </c>
      <c r="J235" s="17">
        <v>300.0</v>
      </c>
      <c r="K235" s="17">
        <v>0.0</v>
      </c>
      <c r="L235" s="5"/>
      <c r="M235" s="17">
        <v>300.0</v>
      </c>
    </row>
    <row r="236" ht="22.5" customHeight="1">
      <c r="A236" s="19" t="s">
        <v>781</v>
      </c>
      <c r="B236" s="19" t="s">
        <v>169</v>
      </c>
      <c r="C236" s="19" t="s">
        <v>154</v>
      </c>
      <c r="D236" s="33">
        <v>150.0</v>
      </c>
      <c r="E236" s="33">
        <v>5.0</v>
      </c>
      <c r="F236" s="17">
        <v>180.0</v>
      </c>
      <c r="G236" s="34">
        <v>46160.0</v>
      </c>
      <c r="H236" s="17">
        <v>6.0</v>
      </c>
      <c r="I236" s="17">
        <v>1.0</v>
      </c>
      <c r="J236" s="17">
        <v>900.0</v>
      </c>
      <c r="K236" s="17">
        <v>180.0</v>
      </c>
      <c r="L236" s="5"/>
      <c r="M236" s="17">
        <v>900.0</v>
      </c>
    </row>
    <row r="237" ht="22.5" customHeight="1">
      <c r="A237" s="19" t="s">
        <v>245</v>
      </c>
      <c r="B237" s="19" t="s">
        <v>568</v>
      </c>
      <c r="C237" s="19" t="s">
        <v>154</v>
      </c>
      <c r="D237" s="33">
        <v>150.0</v>
      </c>
      <c r="E237" s="33">
        <v>7.0</v>
      </c>
      <c r="F237" s="17">
        <v>180.0</v>
      </c>
      <c r="G237" s="34">
        <v>46168.0</v>
      </c>
      <c r="H237" s="5">
        <v>18.0</v>
      </c>
      <c r="I237" s="17">
        <v>11.0</v>
      </c>
      <c r="J237" s="5">
        <v>2700.0</v>
      </c>
      <c r="K237" s="17">
        <v>2325.0</v>
      </c>
      <c r="L237" s="5"/>
      <c r="M237" s="17">
        <v>1950.0</v>
      </c>
    </row>
    <row r="238" ht="22.5" customHeight="1">
      <c r="A238" s="19" t="s">
        <v>785</v>
      </c>
      <c r="B238" s="19" t="s">
        <v>388</v>
      </c>
      <c r="C238" s="19" t="s">
        <v>484</v>
      </c>
      <c r="D238" s="33">
        <v>150.0</v>
      </c>
      <c r="E238" s="33">
        <v>2.0</v>
      </c>
      <c r="F238" s="17">
        <v>180.0</v>
      </c>
      <c r="G238" s="34">
        <v>46165.0</v>
      </c>
      <c r="H238" s="5">
        <v>2.0</v>
      </c>
      <c r="I238" s="5">
        <v>0.0</v>
      </c>
      <c r="J238" s="17">
        <v>300.0</v>
      </c>
      <c r="K238" s="17">
        <v>0.0</v>
      </c>
      <c r="L238" s="19"/>
      <c r="M238" s="17"/>
    </row>
    <row r="239" ht="22.5" customHeight="1">
      <c r="A239" s="10" t="s">
        <v>265</v>
      </c>
      <c r="B239" s="10" t="s">
        <v>185</v>
      </c>
      <c r="C239" s="10" t="s">
        <v>31</v>
      </c>
      <c r="D239" s="8">
        <v>145.0</v>
      </c>
      <c r="E239" s="8">
        <v>0.0</v>
      </c>
      <c r="F239" s="13">
        <v>174.0</v>
      </c>
      <c r="G239" s="14">
        <v>46057.0</v>
      </c>
      <c r="H239" s="13">
        <v>1.0</v>
      </c>
      <c r="I239" s="13">
        <v>1.0</v>
      </c>
      <c r="J239" s="13">
        <v>200.0</v>
      </c>
      <c r="K239" s="13">
        <v>175.0</v>
      </c>
      <c r="L239" s="15"/>
      <c r="M239" s="17">
        <v>0.0</v>
      </c>
    </row>
    <row r="240" ht="22.5" customHeight="1">
      <c r="A240" s="10" t="s">
        <v>250</v>
      </c>
      <c r="B240" s="10" t="s">
        <v>50</v>
      </c>
      <c r="C240" s="10" t="s">
        <v>31</v>
      </c>
      <c r="D240" s="8">
        <v>145.0</v>
      </c>
      <c r="E240" s="8">
        <v>2.0</v>
      </c>
      <c r="F240" s="13">
        <v>174.0</v>
      </c>
      <c r="G240" s="14">
        <v>46165.0</v>
      </c>
      <c r="H240" s="13">
        <v>12.0</v>
      </c>
      <c r="I240" s="13">
        <v>10.0</v>
      </c>
      <c r="J240" s="13">
        <v>1740.0</v>
      </c>
      <c r="K240" s="13">
        <v>1884.88</v>
      </c>
      <c r="L240" s="15"/>
      <c r="M240" s="17">
        <v>435.0</v>
      </c>
    </row>
    <row r="241" ht="22.5" customHeight="1">
      <c r="A241" s="10" t="s">
        <v>259</v>
      </c>
      <c r="B241" s="10" t="s">
        <v>185</v>
      </c>
      <c r="C241" s="10" t="s">
        <v>31</v>
      </c>
      <c r="D241" s="8">
        <v>145.0</v>
      </c>
      <c r="E241" s="8">
        <v>0.0</v>
      </c>
      <c r="F241" s="13">
        <v>174.0</v>
      </c>
      <c r="G241" s="14">
        <v>46037.0</v>
      </c>
      <c r="H241" s="13">
        <v>2.0</v>
      </c>
      <c r="I241" s="13">
        <v>2.0</v>
      </c>
      <c r="J241" s="13">
        <v>290.0</v>
      </c>
      <c r="K241" s="13">
        <v>400.0</v>
      </c>
      <c r="L241" s="15"/>
      <c r="M241" s="17">
        <v>0.0</v>
      </c>
    </row>
    <row r="242" ht="22.5" customHeight="1">
      <c r="A242" s="10" t="s">
        <v>794</v>
      </c>
      <c r="B242" s="10" t="s">
        <v>185</v>
      </c>
      <c r="C242" s="10" t="s">
        <v>31</v>
      </c>
      <c r="D242" s="8">
        <v>145.0</v>
      </c>
      <c r="E242" s="8">
        <v>1.0</v>
      </c>
      <c r="F242" s="13">
        <v>174.0</v>
      </c>
      <c r="G242" s="14">
        <v>45856.0</v>
      </c>
      <c r="H242" s="13">
        <v>1.0</v>
      </c>
      <c r="I242" s="13">
        <v>0.0</v>
      </c>
      <c r="J242" s="13">
        <v>145.0</v>
      </c>
      <c r="K242" s="13">
        <v>0.0</v>
      </c>
      <c r="L242" s="15"/>
      <c r="M242" s="17">
        <v>145.0</v>
      </c>
    </row>
    <row r="243" ht="22.5" customHeight="1">
      <c r="A243" s="10" t="s">
        <v>783</v>
      </c>
      <c r="B243" s="10" t="s">
        <v>185</v>
      </c>
      <c r="C243" s="10" t="s">
        <v>31</v>
      </c>
      <c r="D243" s="8">
        <v>145.0</v>
      </c>
      <c r="E243" s="8">
        <v>2.0</v>
      </c>
      <c r="F243" s="13">
        <v>174.0</v>
      </c>
      <c r="G243" s="14">
        <v>45961.0</v>
      </c>
      <c r="H243" s="13">
        <v>2.0</v>
      </c>
      <c r="I243" s="13">
        <v>0.0</v>
      </c>
      <c r="J243" s="13">
        <v>290.0</v>
      </c>
      <c r="K243" s="13">
        <v>0.0</v>
      </c>
      <c r="L243" s="15"/>
      <c r="M243" s="17">
        <v>290.0</v>
      </c>
    </row>
    <row r="244" ht="22.5" customHeight="1">
      <c r="A244" s="10" t="s">
        <v>797</v>
      </c>
      <c r="B244" s="10" t="s">
        <v>224</v>
      </c>
      <c r="C244" s="10" t="s">
        <v>119</v>
      </c>
      <c r="D244" s="8">
        <v>145.0</v>
      </c>
      <c r="E244" s="8">
        <v>0.0</v>
      </c>
      <c r="F244" s="13">
        <v>174.0</v>
      </c>
      <c r="G244" s="14">
        <v>46099.0</v>
      </c>
      <c r="H244" s="13">
        <v>1.0</v>
      </c>
      <c r="I244" s="13">
        <v>1.0</v>
      </c>
      <c r="J244" s="13">
        <v>145.0</v>
      </c>
      <c r="K244" s="13">
        <v>180.0</v>
      </c>
      <c r="L244" s="15"/>
      <c r="M244" s="17">
        <v>0.0</v>
      </c>
    </row>
    <row r="245" ht="22.5" customHeight="1">
      <c r="A245" s="19" t="s">
        <v>799</v>
      </c>
      <c r="B245" s="19" t="s">
        <v>224</v>
      </c>
      <c r="C245" s="19" t="s">
        <v>119</v>
      </c>
      <c r="D245" s="33">
        <v>145.0</v>
      </c>
      <c r="E245" s="33">
        <v>2.0</v>
      </c>
      <c r="F245" s="17">
        <v>174.0</v>
      </c>
      <c r="G245" s="34">
        <v>46067.0</v>
      </c>
      <c r="H245" s="5">
        <v>2.0</v>
      </c>
      <c r="I245" s="17">
        <v>0.0</v>
      </c>
      <c r="J245" s="17">
        <v>290.0</v>
      </c>
      <c r="K245" s="17">
        <v>0.0</v>
      </c>
      <c r="L245" s="5"/>
      <c r="M245" s="17">
        <v>290.0</v>
      </c>
    </row>
    <row r="246" ht="22.5" customHeight="1">
      <c r="A246" s="19" t="s">
        <v>801</v>
      </c>
      <c r="B246" s="19" t="s">
        <v>224</v>
      </c>
      <c r="C246" s="19" t="s">
        <v>119</v>
      </c>
      <c r="D246" s="33">
        <v>145.0</v>
      </c>
      <c r="E246" s="33">
        <v>2.0</v>
      </c>
      <c r="F246" s="17">
        <v>174.0</v>
      </c>
      <c r="G246" s="34">
        <v>46071.0</v>
      </c>
      <c r="H246" s="5">
        <v>4.0</v>
      </c>
      <c r="I246" s="17">
        <v>2.0</v>
      </c>
      <c r="J246" s="17">
        <v>580.0</v>
      </c>
      <c r="K246" s="17">
        <v>400.0</v>
      </c>
      <c r="L246" s="5"/>
      <c r="M246" s="17">
        <v>290.0</v>
      </c>
    </row>
    <row r="247" ht="22.5" customHeight="1">
      <c r="A247" s="19" t="s">
        <v>803</v>
      </c>
      <c r="B247" s="19" t="s">
        <v>719</v>
      </c>
      <c r="C247" s="19" t="s">
        <v>119</v>
      </c>
      <c r="D247" s="33">
        <v>145.0</v>
      </c>
      <c r="E247" s="33">
        <v>3.0</v>
      </c>
      <c r="F247" s="17">
        <v>174.0</v>
      </c>
      <c r="G247" s="34">
        <v>46167.0</v>
      </c>
      <c r="H247" s="5">
        <v>4.0</v>
      </c>
      <c r="I247" s="5">
        <v>1.0</v>
      </c>
      <c r="J247" s="17">
        <v>580.0</v>
      </c>
      <c r="K247" s="17">
        <v>210.0</v>
      </c>
      <c r="L247" s="19"/>
      <c r="M247" s="17"/>
    </row>
    <row r="248" ht="22.5" customHeight="1">
      <c r="A248" s="19" t="s">
        <v>807</v>
      </c>
      <c r="B248" s="19" t="s">
        <v>118</v>
      </c>
      <c r="C248" s="19" t="s">
        <v>484</v>
      </c>
      <c r="D248" s="33">
        <v>145.0</v>
      </c>
      <c r="E248" s="33">
        <v>2.0</v>
      </c>
      <c r="F248" s="17">
        <v>174.0</v>
      </c>
      <c r="G248" s="34">
        <v>46165.0</v>
      </c>
      <c r="H248" s="5">
        <v>2.0</v>
      </c>
      <c r="I248" s="5">
        <v>0.0</v>
      </c>
      <c r="J248" s="17">
        <v>290.0</v>
      </c>
      <c r="K248" s="17">
        <v>0.0</v>
      </c>
      <c r="L248" s="19"/>
      <c r="M248" s="17"/>
    </row>
    <row r="249" ht="22.5" customHeight="1">
      <c r="A249" s="19" t="s">
        <v>709</v>
      </c>
      <c r="B249" s="19" t="s">
        <v>224</v>
      </c>
      <c r="C249" s="19" t="s">
        <v>119</v>
      </c>
      <c r="D249" s="33">
        <v>143.0</v>
      </c>
      <c r="E249" s="33">
        <v>1.0</v>
      </c>
      <c r="F249" s="17">
        <v>171.6</v>
      </c>
      <c r="G249" s="37">
        <v>46004.0</v>
      </c>
      <c r="H249" s="17">
        <v>1.0</v>
      </c>
      <c r="I249" s="17">
        <v>0.0</v>
      </c>
      <c r="J249" s="17">
        <v>143.0</v>
      </c>
      <c r="K249" s="17">
        <v>0.0</v>
      </c>
      <c r="L249" s="16"/>
      <c r="M249" s="17">
        <v>143.0</v>
      </c>
    </row>
    <row r="250" ht="22.5" customHeight="1">
      <c r="A250" s="19" t="s">
        <v>618</v>
      </c>
      <c r="B250" s="19" t="s">
        <v>30</v>
      </c>
      <c r="C250" s="19" t="s">
        <v>119</v>
      </c>
      <c r="D250" s="33">
        <v>141.0</v>
      </c>
      <c r="E250" s="33">
        <v>0.0</v>
      </c>
      <c r="F250" s="17">
        <v>169.2</v>
      </c>
      <c r="G250" s="34">
        <v>46021.0</v>
      </c>
      <c r="H250" s="5">
        <v>1.0</v>
      </c>
      <c r="I250" s="17">
        <v>1.0</v>
      </c>
      <c r="J250" s="17">
        <v>141.0</v>
      </c>
      <c r="K250" s="17">
        <v>180.0</v>
      </c>
      <c r="L250" s="5"/>
      <c r="M250" s="17">
        <v>0.0</v>
      </c>
    </row>
    <row r="251" ht="22.5" customHeight="1">
      <c r="A251" s="19" t="s">
        <v>813</v>
      </c>
      <c r="B251" s="19" t="s">
        <v>110</v>
      </c>
      <c r="C251" s="19" t="s">
        <v>119</v>
      </c>
      <c r="D251" s="33">
        <v>141.0</v>
      </c>
      <c r="E251" s="33">
        <v>2.0</v>
      </c>
      <c r="F251" s="17">
        <v>169.2</v>
      </c>
      <c r="G251" s="34">
        <v>46067.0</v>
      </c>
      <c r="H251" s="5">
        <v>2.0</v>
      </c>
      <c r="I251" s="17">
        <v>0.0</v>
      </c>
      <c r="J251" s="17">
        <v>282.0</v>
      </c>
      <c r="K251" s="17">
        <v>0.0</v>
      </c>
      <c r="L251" s="5"/>
      <c r="M251" s="17">
        <v>282.0</v>
      </c>
    </row>
    <row r="252" ht="22.5" customHeight="1">
      <c r="A252" s="19" t="s">
        <v>816</v>
      </c>
      <c r="B252" s="19" t="s">
        <v>110</v>
      </c>
      <c r="C252" s="19" t="s">
        <v>119</v>
      </c>
      <c r="D252" s="33">
        <v>141.0</v>
      </c>
      <c r="E252" s="33">
        <v>0.0</v>
      </c>
      <c r="F252" s="17">
        <v>169.2</v>
      </c>
      <c r="G252" s="34">
        <v>44997.0</v>
      </c>
      <c r="H252" s="5">
        <v>2.0</v>
      </c>
      <c r="I252" s="17">
        <v>2.0</v>
      </c>
      <c r="J252" s="17">
        <v>282.0</v>
      </c>
      <c r="K252" s="17">
        <v>385.0</v>
      </c>
      <c r="L252" s="5"/>
      <c r="M252" s="17">
        <v>0.0</v>
      </c>
    </row>
    <row r="253" ht="22.5" customHeight="1">
      <c r="A253" s="10" t="s">
        <v>40</v>
      </c>
      <c r="B253" s="10" t="s">
        <v>68</v>
      </c>
      <c r="C253" s="10" t="s">
        <v>31</v>
      </c>
      <c r="D253" s="8">
        <v>140.0</v>
      </c>
      <c r="E253" s="8">
        <v>1.0</v>
      </c>
      <c r="F253" s="13">
        <v>168.0</v>
      </c>
      <c r="G253" s="6" t="s">
        <v>72</v>
      </c>
      <c r="H253" s="13">
        <v>2.0</v>
      </c>
      <c r="I253" s="13">
        <v>1.0</v>
      </c>
      <c r="J253" s="13">
        <v>280.0</v>
      </c>
      <c r="K253" s="13">
        <v>150.0</v>
      </c>
      <c r="L253" s="15"/>
      <c r="M253" s="17">
        <v>140.0</v>
      </c>
    </row>
    <row r="254" ht="22.5" customHeight="1">
      <c r="A254" s="10" t="s">
        <v>283</v>
      </c>
      <c r="B254" s="10" t="s">
        <v>68</v>
      </c>
      <c r="C254" s="10" t="s">
        <v>31</v>
      </c>
      <c r="D254" s="8">
        <v>140.0</v>
      </c>
      <c r="E254" s="8">
        <v>2.0</v>
      </c>
      <c r="F254" s="13">
        <v>168.0</v>
      </c>
      <c r="G254" s="14">
        <v>45835.0</v>
      </c>
      <c r="H254" s="13">
        <v>2.0</v>
      </c>
      <c r="I254" s="13">
        <v>0.0</v>
      </c>
      <c r="J254" s="13">
        <v>280.0</v>
      </c>
      <c r="K254" s="13">
        <v>0.0</v>
      </c>
      <c r="L254" s="15"/>
      <c r="M254" s="17">
        <v>280.0</v>
      </c>
    </row>
    <row r="255" ht="22.5" customHeight="1">
      <c r="A255" s="10" t="s">
        <v>366</v>
      </c>
      <c r="B255" s="10" t="s">
        <v>30</v>
      </c>
      <c r="C255" s="10" t="s">
        <v>31</v>
      </c>
      <c r="D255" s="8">
        <v>140.0</v>
      </c>
      <c r="E255" s="8">
        <v>0.0</v>
      </c>
      <c r="F255" s="13">
        <v>168.0</v>
      </c>
      <c r="G255" s="14">
        <v>45971.0</v>
      </c>
      <c r="H255" s="13">
        <v>2.0</v>
      </c>
      <c r="I255" s="13">
        <v>2.0</v>
      </c>
      <c r="J255" s="13">
        <v>280.0</v>
      </c>
      <c r="K255" s="13">
        <v>400.0</v>
      </c>
      <c r="L255" s="15"/>
      <c r="M255" s="17">
        <v>0.0</v>
      </c>
    </row>
    <row r="256" ht="22.5" customHeight="1">
      <c r="A256" s="10" t="s">
        <v>806</v>
      </c>
      <c r="B256" s="10" t="s">
        <v>472</v>
      </c>
      <c r="C256" s="10" t="s">
        <v>51</v>
      </c>
      <c r="D256" s="8">
        <v>140.0</v>
      </c>
      <c r="E256" s="8">
        <v>9.285714285714143</v>
      </c>
      <c r="F256" s="13">
        <v>168.0</v>
      </c>
      <c r="G256" s="14">
        <v>46162.0</v>
      </c>
      <c r="H256" s="13">
        <v>12.0</v>
      </c>
      <c r="I256" s="13">
        <v>0.8571428571428571</v>
      </c>
      <c r="J256" s="13">
        <v>1680.0</v>
      </c>
      <c r="K256" s="13">
        <v>170.0</v>
      </c>
      <c r="L256" s="6" t="s">
        <v>825</v>
      </c>
      <c r="M256" s="17">
        <v>1379.99999999998</v>
      </c>
    </row>
    <row r="257" ht="22.5" customHeight="1">
      <c r="A257" s="19" t="s">
        <v>826</v>
      </c>
      <c r="B257" s="19" t="s">
        <v>827</v>
      </c>
      <c r="C257" s="19" t="s">
        <v>119</v>
      </c>
      <c r="D257" s="33">
        <v>140.0</v>
      </c>
      <c r="E257" s="33">
        <v>0.0</v>
      </c>
      <c r="F257" s="17">
        <v>168.0</v>
      </c>
      <c r="G257" s="34">
        <v>46098.0</v>
      </c>
      <c r="H257" s="5">
        <v>1.0</v>
      </c>
      <c r="I257" s="17">
        <v>1.0</v>
      </c>
      <c r="J257" s="17">
        <v>140.0</v>
      </c>
      <c r="K257" s="17">
        <v>350.0</v>
      </c>
      <c r="L257" s="5"/>
      <c r="M257" s="17">
        <v>0.0</v>
      </c>
    </row>
    <row r="258" ht="22.5" customHeight="1">
      <c r="A258" s="19" t="s">
        <v>730</v>
      </c>
      <c r="B258" s="19" t="s">
        <v>362</v>
      </c>
      <c r="C258" s="19" t="s">
        <v>119</v>
      </c>
      <c r="D258" s="33">
        <v>140.0</v>
      </c>
      <c r="E258" s="33">
        <v>1.0</v>
      </c>
      <c r="F258" s="17">
        <v>168.0</v>
      </c>
      <c r="G258" s="34">
        <v>46067.0</v>
      </c>
      <c r="H258" s="5">
        <v>1.0</v>
      </c>
      <c r="I258" s="17">
        <v>0.0</v>
      </c>
      <c r="J258" s="17">
        <v>140.0</v>
      </c>
      <c r="K258" s="17">
        <v>0.0</v>
      </c>
      <c r="L258" s="5"/>
      <c r="M258" s="17">
        <v>140.0</v>
      </c>
    </row>
    <row r="259" ht="22.5" customHeight="1">
      <c r="A259" s="19" t="s">
        <v>832</v>
      </c>
      <c r="B259" s="19" t="s">
        <v>388</v>
      </c>
      <c r="C259" s="19" t="s">
        <v>484</v>
      </c>
      <c r="D259" s="33">
        <v>140.0</v>
      </c>
      <c r="E259" s="33">
        <v>2.0</v>
      </c>
      <c r="F259" s="17">
        <v>168.0</v>
      </c>
      <c r="G259" s="34">
        <v>46165.0</v>
      </c>
      <c r="H259" s="5">
        <v>2.0</v>
      </c>
      <c r="I259" s="5">
        <v>0.0</v>
      </c>
      <c r="J259" s="17">
        <v>280.0</v>
      </c>
      <c r="K259" s="17">
        <v>0.0</v>
      </c>
      <c r="L259" s="19"/>
      <c r="M259" s="17"/>
    </row>
    <row r="260" ht="22.5" customHeight="1">
      <c r="A260" s="10" t="s">
        <v>834</v>
      </c>
      <c r="B260" s="10" t="s">
        <v>224</v>
      </c>
      <c r="C260" s="10" t="s">
        <v>119</v>
      </c>
      <c r="D260" s="8">
        <v>139.0</v>
      </c>
      <c r="E260" s="8">
        <v>1.0</v>
      </c>
      <c r="F260" s="13">
        <v>166.8</v>
      </c>
      <c r="G260" s="14">
        <v>46004.0</v>
      </c>
      <c r="H260" s="13">
        <v>1.0</v>
      </c>
      <c r="I260" s="13">
        <v>0.0</v>
      </c>
      <c r="J260" s="13">
        <v>139.0</v>
      </c>
      <c r="K260" s="13">
        <v>0.0</v>
      </c>
      <c r="L260" s="16"/>
      <c r="M260" s="17">
        <v>139.0</v>
      </c>
    </row>
    <row r="261" ht="22.5" customHeight="1">
      <c r="A261" s="10" t="s">
        <v>723</v>
      </c>
      <c r="B261" s="10" t="s">
        <v>224</v>
      </c>
      <c r="C261" s="10" t="s">
        <v>119</v>
      </c>
      <c r="D261" s="8">
        <v>139.0</v>
      </c>
      <c r="E261" s="8">
        <v>1.0</v>
      </c>
      <c r="F261" s="13">
        <v>166.8</v>
      </c>
      <c r="G261" s="14">
        <v>46004.0</v>
      </c>
      <c r="H261" s="13">
        <v>1.0</v>
      </c>
      <c r="I261" s="13">
        <v>0.0</v>
      </c>
      <c r="J261" s="13">
        <v>139.0</v>
      </c>
      <c r="K261" s="13">
        <v>0.0</v>
      </c>
      <c r="L261" s="16"/>
      <c r="M261" s="17">
        <v>139.0</v>
      </c>
    </row>
    <row r="262" ht="22.5" customHeight="1">
      <c r="A262" s="19" t="s">
        <v>839</v>
      </c>
      <c r="B262" s="19" t="s">
        <v>840</v>
      </c>
      <c r="C262" s="19" t="s">
        <v>119</v>
      </c>
      <c r="D262" s="33">
        <v>139.0</v>
      </c>
      <c r="E262" s="33">
        <v>0.0</v>
      </c>
      <c r="F262" s="17">
        <v>166.8</v>
      </c>
      <c r="G262" s="34">
        <v>46098.0</v>
      </c>
      <c r="H262" s="5">
        <v>2.0</v>
      </c>
      <c r="I262" s="17">
        <v>2.0</v>
      </c>
      <c r="J262" s="17">
        <v>278.0</v>
      </c>
      <c r="K262" s="17">
        <v>330.0</v>
      </c>
      <c r="L262" s="5"/>
      <c r="M262" s="17">
        <v>0.0</v>
      </c>
    </row>
    <row r="263" ht="22.5" customHeight="1">
      <c r="A263" s="19" t="s">
        <v>377</v>
      </c>
      <c r="B263" s="19" t="s">
        <v>840</v>
      </c>
      <c r="C263" s="19" t="s">
        <v>119</v>
      </c>
      <c r="D263" s="33">
        <v>139.0</v>
      </c>
      <c r="E263" s="33">
        <v>2.0</v>
      </c>
      <c r="F263" s="17">
        <v>166.8</v>
      </c>
      <c r="G263" s="34">
        <v>46116.0</v>
      </c>
      <c r="H263" s="17">
        <v>2.0</v>
      </c>
      <c r="I263" s="17">
        <v>0.0</v>
      </c>
      <c r="J263" s="17">
        <v>278.0</v>
      </c>
      <c r="K263" s="17">
        <v>0.0</v>
      </c>
      <c r="L263" s="5"/>
      <c r="M263" s="17">
        <v>278.0</v>
      </c>
    </row>
    <row r="264" ht="22.5" customHeight="1">
      <c r="A264" s="10" t="s">
        <v>457</v>
      </c>
      <c r="B264" s="10" t="s">
        <v>579</v>
      </c>
      <c r="C264" s="10" t="s">
        <v>31</v>
      </c>
      <c r="D264" s="8">
        <v>137.5</v>
      </c>
      <c r="E264" s="8">
        <v>0.0</v>
      </c>
      <c r="F264" s="13">
        <v>165.0</v>
      </c>
      <c r="G264" s="14">
        <v>45998.011027754634</v>
      </c>
      <c r="H264" s="13">
        <v>2.0</v>
      </c>
      <c r="I264" s="13">
        <v>2.0</v>
      </c>
      <c r="J264" s="13">
        <v>275.0</v>
      </c>
      <c r="K264" s="13">
        <v>315.0</v>
      </c>
      <c r="L264" s="15"/>
      <c r="M264" s="17">
        <v>0.0</v>
      </c>
    </row>
    <row r="265" ht="22.5" customHeight="1">
      <c r="A265" s="19" t="s">
        <v>846</v>
      </c>
      <c r="B265" s="19" t="s">
        <v>827</v>
      </c>
      <c r="C265" s="19" t="s">
        <v>119</v>
      </c>
      <c r="D265" s="33">
        <v>137.5</v>
      </c>
      <c r="E265" s="33">
        <v>0.0</v>
      </c>
      <c r="F265" s="17">
        <v>165.0</v>
      </c>
      <c r="G265" s="34">
        <v>44997.0</v>
      </c>
      <c r="H265" s="5">
        <v>1.0</v>
      </c>
      <c r="I265" s="17">
        <v>1.0</v>
      </c>
      <c r="J265" s="17">
        <v>137.5</v>
      </c>
      <c r="K265" s="17">
        <v>175.0</v>
      </c>
      <c r="L265" s="5"/>
      <c r="M265" s="17">
        <v>0.0</v>
      </c>
    </row>
    <row r="266" ht="22.5" customHeight="1">
      <c r="A266" s="19" t="s">
        <v>740</v>
      </c>
      <c r="B266" s="19" t="s">
        <v>30</v>
      </c>
      <c r="C266" s="19" t="s">
        <v>119</v>
      </c>
      <c r="D266" s="33">
        <v>137.5</v>
      </c>
      <c r="E266" s="33">
        <v>0.0</v>
      </c>
      <c r="F266" s="17">
        <v>165.0</v>
      </c>
      <c r="G266" s="34">
        <v>46052.0</v>
      </c>
      <c r="H266" s="5">
        <v>1.0</v>
      </c>
      <c r="I266" s="17">
        <v>1.0</v>
      </c>
      <c r="J266" s="17">
        <v>137.5</v>
      </c>
      <c r="K266" s="17">
        <v>175.0</v>
      </c>
      <c r="L266" s="5"/>
      <c r="M266" s="17">
        <v>0.0</v>
      </c>
    </row>
    <row r="267" ht="22.5" customHeight="1">
      <c r="A267" s="10" t="s">
        <v>851</v>
      </c>
      <c r="B267" s="10" t="s">
        <v>224</v>
      </c>
      <c r="C267" s="10" t="s">
        <v>119</v>
      </c>
      <c r="D267" s="8">
        <v>137.0</v>
      </c>
      <c r="E267" s="8">
        <v>0.0</v>
      </c>
      <c r="F267" s="13">
        <v>164.4</v>
      </c>
      <c r="G267" s="14">
        <v>46099.0</v>
      </c>
      <c r="H267" s="13">
        <v>1.0</v>
      </c>
      <c r="I267" s="13">
        <v>1.0</v>
      </c>
      <c r="J267" s="13">
        <v>137.0</v>
      </c>
      <c r="K267" s="13">
        <v>175.0</v>
      </c>
      <c r="L267" s="15"/>
      <c r="M267" s="17">
        <v>0.0</v>
      </c>
    </row>
    <row r="268" ht="22.5" customHeight="1">
      <c r="A268" s="19" t="s">
        <v>815</v>
      </c>
      <c r="B268" s="19" t="s">
        <v>224</v>
      </c>
      <c r="C268" s="19" t="s">
        <v>119</v>
      </c>
      <c r="D268" s="33">
        <v>137.0</v>
      </c>
      <c r="E268" s="33">
        <v>2.0</v>
      </c>
      <c r="F268" s="17">
        <v>164.4</v>
      </c>
      <c r="G268" s="34">
        <v>46071.0</v>
      </c>
      <c r="H268" s="5">
        <v>3.0</v>
      </c>
      <c r="I268" s="17">
        <v>1.0</v>
      </c>
      <c r="J268" s="17">
        <v>411.0</v>
      </c>
      <c r="K268" s="17">
        <v>180.0</v>
      </c>
      <c r="L268" s="5"/>
      <c r="M268" s="17">
        <v>274.0</v>
      </c>
    </row>
    <row r="269" ht="22.5" customHeight="1">
      <c r="A269" s="10" t="s">
        <v>764</v>
      </c>
      <c r="B269" s="10" t="s">
        <v>224</v>
      </c>
      <c r="C269" s="10" t="s">
        <v>119</v>
      </c>
      <c r="D269" s="8">
        <v>136.5</v>
      </c>
      <c r="E269" s="8">
        <v>0.0</v>
      </c>
      <c r="F269" s="13">
        <v>163.8</v>
      </c>
      <c r="G269" s="14">
        <v>46057.0</v>
      </c>
      <c r="H269" s="13">
        <v>1.0</v>
      </c>
      <c r="I269" s="13">
        <v>1.0</v>
      </c>
      <c r="J269" s="13">
        <v>136.5</v>
      </c>
      <c r="K269" s="13">
        <v>175.0</v>
      </c>
      <c r="L269" s="15"/>
      <c r="M269" s="17">
        <v>0.0</v>
      </c>
    </row>
    <row r="270" ht="22.5" customHeight="1">
      <c r="A270" s="10" t="s">
        <v>43</v>
      </c>
      <c r="B270" s="10" t="s">
        <v>68</v>
      </c>
      <c r="C270" s="10" t="s">
        <v>31</v>
      </c>
      <c r="D270" s="8">
        <v>135.0</v>
      </c>
      <c r="E270" s="8">
        <v>0.0</v>
      </c>
      <c r="F270" s="13">
        <v>162.0</v>
      </c>
      <c r="G270" s="6" t="s">
        <v>72</v>
      </c>
      <c r="H270" s="13">
        <v>2.0</v>
      </c>
      <c r="I270" s="13">
        <v>2.0</v>
      </c>
      <c r="J270" s="13">
        <v>270.0</v>
      </c>
      <c r="K270" s="13">
        <v>390.0</v>
      </c>
      <c r="L270" s="15"/>
      <c r="M270" s="17">
        <v>0.0</v>
      </c>
    </row>
    <row r="271" ht="22.5" customHeight="1">
      <c r="A271" s="10" t="s">
        <v>817</v>
      </c>
      <c r="B271" s="10" t="s">
        <v>169</v>
      </c>
      <c r="C271" s="10" t="s">
        <v>31</v>
      </c>
      <c r="D271" s="8">
        <v>135.0</v>
      </c>
      <c r="E271" s="8">
        <v>0.0</v>
      </c>
      <c r="F271" s="13">
        <v>162.0</v>
      </c>
      <c r="G271" s="14">
        <v>46114.0</v>
      </c>
      <c r="H271" s="13">
        <v>5.0</v>
      </c>
      <c r="I271" s="13">
        <v>5.0</v>
      </c>
      <c r="J271" s="13">
        <v>675.0</v>
      </c>
      <c r="K271" s="13">
        <v>1085.0</v>
      </c>
      <c r="L271" s="15"/>
      <c r="M271" s="17">
        <v>135.0</v>
      </c>
    </row>
    <row r="272" ht="22.5" customHeight="1">
      <c r="A272" s="10" t="s">
        <v>133</v>
      </c>
      <c r="B272" s="10" t="s">
        <v>238</v>
      </c>
      <c r="C272" s="10" t="s">
        <v>31</v>
      </c>
      <c r="D272" s="8">
        <v>135.0</v>
      </c>
      <c r="E272" s="8">
        <v>21.0</v>
      </c>
      <c r="F272" s="13">
        <v>162.0</v>
      </c>
      <c r="G272" s="14">
        <v>46095.93637024306</v>
      </c>
      <c r="H272" s="13">
        <v>26.0</v>
      </c>
      <c r="I272" s="13">
        <v>5.0</v>
      </c>
      <c r="J272" s="13">
        <v>3510.0</v>
      </c>
      <c r="K272" s="13">
        <v>779.89</v>
      </c>
      <c r="L272" s="15"/>
      <c r="M272" s="17">
        <v>2835.0</v>
      </c>
    </row>
    <row r="273" ht="22.5" customHeight="1">
      <c r="A273" s="10" t="s">
        <v>277</v>
      </c>
      <c r="B273" s="10" t="s">
        <v>68</v>
      </c>
      <c r="C273" s="10" t="s">
        <v>31</v>
      </c>
      <c r="D273" s="8">
        <v>135.0</v>
      </c>
      <c r="E273" s="8">
        <v>2.0</v>
      </c>
      <c r="F273" s="13">
        <v>162.0</v>
      </c>
      <c r="G273" s="14">
        <v>45835.0</v>
      </c>
      <c r="H273" s="13">
        <v>2.0</v>
      </c>
      <c r="I273" s="13">
        <v>0.0</v>
      </c>
      <c r="J273" s="13">
        <v>270.0</v>
      </c>
      <c r="K273" s="13">
        <v>0.0</v>
      </c>
      <c r="L273" s="15"/>
      <c r="M273" s="17">
        <v>270.0</v>
      </c>
    </row>
    <row r="274" ht="22.5" customHeight="1">
      <c r="A274" s="10" t="s">
        <v>112</v>
      </c>
      <c r="B274" s="10" t="s">
        <v>68</v>
      </c>
      <c r="C274" s="10" t="s">
        <v>31</v>
      </c>
      <c r="D274" s="8">
        <v>135.0</v>
      </c>
      <c r="E274" s="8">
        <v>1.0</v>
      </c>
      <c r="F274" s="13">
        <v>162.0</v>
      </c>
      <c r="G274" s="6" t="s">
        <v>72</v>
      </c>
      <c r="H274" s="13">
        <v>1.0</v>
      </c>
      <c r="I274" s="13">
        <v>1.0</v>
      </c>
      <c r="J274" s="13">
        <v>135.0</v>
      </c>
      <c r="K274" s="13">
        <v>249.75</v>
      </c>
      <c r="L274" s="15"/>
      <c r="M274" s="17">
        <v>135.0</v>
      </c>
    </row>
    <row r="275" ht="22.5" customHeight="1">
      <c r="A275" s="10" t="s">
        <v>449</v>
      </c>
      <c r="B275" s="10" t="s">
        <v>169</v>
      </c>
      <c r="C275" s="10" t="s">
        <v>31</v>
      </c>
      <c r="D275" s="8">
        <v>135.0</v>
      </c>
      <c r="E275" s="8">
        <v>0.0</v>
      </c>
      <c r="F275" s="13">
        <v>162.0</v>
      </c>
      <c r="G275" s="14">
        <v>45998.0110417824</v>
      </c>
      <c r="H275" s="13">
        <v>2.0</v>
      </c>
      <c r="I275" s="13">
        <v>2.0</v>
      </c>
      <c r="J275" s="13">
        <v>270.0</v>
      </c>
      <c r="K275" s="13">
        <v>387.0</v>
      </c>
      <c r="L275" s="15"/>
      <c r="M275" s="17">
        <v>0.0</v>
      </c>
    </row>
    <row r="276" ht="22.5" customHeight="1">
      <c r="A276" s="10" t="s">
        <v>101</v>
      </c>
      <c r="B276" s="10" t="s">
        <v>110</v>
      </c>
      <c r="C276" s="10" t="s">
        <v>31</v>
      </c>
      <c r="D276" s="8">
        <v>135.0</v>
      </c>
      <c r="E276" s="8">
        <v>2.0</v>
      </c>
      <c r="F276" s="13">
        <v>162.0</v>
      </c>
      <c r="G276" s="14">
        <v>45929.0</v>
      </c>
      <c r="H276" s="13">
        <v>2.0</v>
      </c>
      <c r="I276" s="13">
        <v>0.0</v>
      </c>
      <c r="J276" s="13">
        <v>270.0</v>
      </c>
      <c r="K276" s="13">
        <v>0.0</v>
      </c>
      <c r="L276" s="15"/>
      <c r="M276" s="17">
        <v>270.0</v>
      </c>
    </row>
    <row r="277" ht="22.5" customHeight="1">
      <c r="A277" s="10" t="s">
        <v>464</v>
      </c>
      <c r="B277" s="10" t="s">
        <v>68</v>
      </c>
      <c r="C277" s="10" t="s">
        <v>31</v>
      </c>
      <c r="D277" s="8">
        <v>135.0</v>
      </c>
      <c r="E277" s="8">
        <v>7.0</v>
      </c>
      <c r="F277" s="13">
        <v>162.0</v>
      </c>
      <c r="G277" s="14">
        <v>46027.0</v>
      </c>
      <c r="H277" s="13">
        <v>12.0</v>
      </c>
      <c r="I277" s="13">
        <v>5.0</v>
      </c>
      <c r="J277" s="13">
        <v>1620.0</v>
      </c>
      <c r="K277" s="13">
        <v>765.0</v>
      </c>
      <c r="L277" s="15"/>
      <c r="M277" s="17">
        <v>945.0</v>
      </c>
    </row>
    <row r="278" ht="22.5" customHeight="1">
      <c r="A278" s="10" t="s">
        <v>439</v>
      </c>
      <c r="B278" s="10" t="s">
        <v>185</v>
      </c>
      <c r="C278" s="15"/>
      <c r="D278" s="8">
        <v>135.0</v>
      </c>
      <c r="E278" s="8">
        <v>1.0</v>
      </c>
      <c r="F278" s="13">
        <v>162.0</v>
      </c>
      <c r="G278" s="14">
        <v>47048.0</v>
      </c>
      <c r="H278" s="15"/>
      <c r="I278" s="13">
        <v>1.0</v>
      </c>
      <c r="J278" s="15"/>
      <c r="K278" s="13">
        <v>179.87</v>
      </c>
      <c r="L278" s="15"/>
      <c r="M278" s="17">
        <v>135.0</v>
      </c>
    </row>
    <row r="279" ht="22.5" customHeight="1">
      <c r="A279" s="10" t="s">
        <v>547</v>
      </c>
      <c r="B279" s="10" t="s">
        <v>224</v>
      </c>
      <c r="C279" s="10" t="s">
        <v>119</v>
      </c>
      <c r="D279" s="8">
        <v>135.0</v>
      </c>
      <c r="E279" s="8">
        <v>0.0</v>
      </c>
      <c r="F279" s="13">
        <v>162.0</v>
      </c>
      <c r="G279" s="14">
        <v>46066.0</v>
      </c>
      <c r="H279" s="13">
        <v>2.0</v>
      </c>
      <c r="I279" s="13">
        <v>2.0</v>
      </c>
      <c r="J279" s="13">
        <v>270.0</v>
      </c>
      <c r="K279" s="13">
        <v>330.0</v>
      </c>
      <c r="L279" s="15"/>
      <c r="M279" s="17">
        <v>0.0</v>
      </c>
    </row>
    <row r="280" ht="22.5" customHeight="1">
      <c r="A280" s="10" t="s">
        <v>849</v>
      </c>
      <c r="B280" s="10" t="s">
        <v>224</v>
      </c>
      <c r="C280" s="10" t="s">
        <v>119</v>
      </c>
      <c r="D280" s="8">
        <v>135.0</v>
      </c>
      <c r="E280" s="8">
        <v>1.0</v>
      </c>
      <c r="F280" s="13">
        <v>162.0</v>
      </c>
      <c r="G280" s="14">
        <v>46004.0</v>
      </c>
      <c r="H280" s="13">
        <v>1.0</v>
      </c>
      <c r="I280" s="13">
        <v>0.0</v>
      </c>
      <c r="J280" s="13">
        <v>135.0</v>
      </c>
      <c r="K280" s="13">
        <v>0.0</v>
      </c>
      <c r="L280" s="15"/>
      <c r="M280" s="17">
        <v>135.0</v>
      </c>
    </row>
    <row r="281" ht="22.5" customHeight="1">
      <c r="A281" s="10" t="s">
        <v>874</v>
      </c>
      <c r="B281" s="10" t="s">
        <v>224</v>
      </c>
      <c r="C281" s="10" t="s">
        <v>119</v>
      </c>
      <c r="D281" s="8">
        <v>135.0</v>
      </c>
      <c r="E281" s="8">
        <v>1.0</v>
      </c>
      <c r="F281" s="13">
        <v>162.0</v>
      </c>
      <c r="G281" s="14">
        <v>46004.0</v>
      </c>
      <c r="H281" s="13">
        <v>1.0</v>
      </c>
      <c r="I281" s="13">
        <v>0.0</v>
      </c>
      <c r="J281" s="13">
        <v>135.0</v>
      </c>
      <c r="K281" s="13">
        <v>0.0</v>
      </c>
      <c r="L281" s="15"/>
      <c r="M281" s="17">
        <v>135.0</v>
      </c>
    </row>
    <row r="282" ht="22.5" customHeight="1">
      <c r="A282" s="10" t="s">
        <v>790</v>
      </c>
      <c r="B282" s="10" t="s">
        <v>224</v>
      </c>
      <c r="C282" s="10" t="s">
        <v>119</v>
      </c>
      <c r="D282" s="8">
        <v>135.0</v>
      </c>
      <c r="E282" s="8">
        <v>0.0</v>
      </c>
      <c r="F282" s="13">
        <v>162.0</v>
      </c>
      <c r="G282" s="14">
        <v>46065.0</v>
      </c>
      <c r="H282" s="13">
        <v>1.0</v>
      </c>
      <c r="I282" s="13">
        <v>1.0</v>
      </c>
      <c r="J282" s="13">
        <v>135.0</v>
      </c>
      <c r="K282" s="13">
        <v>175.0</v>
      </c>
      <c r="L282" s="15"/>
      <c r="M282" s="17">
        <v>0.0</v>
      </c>
    </row>
    <row r="283" ht="22.5" customHeight="1">
      <c r="A283" s="19" t="s">
        <v>438</v>
      </c>
      <c r="B283" s="19" t="s">
        <v>472</v>
      </c>
      <c r="C283" s="19" t="s">
        <v>154</v>
      </c>
      <c r="D283" s="33">
        <v>135.0</v>
      </c>
      <c r="E283" s="33">
        <v>6.0</v>
      </c>
      <c r="F283" s="17">
        <v>162.0</v>
      </c>
      <c r="G283" s="34">
        <v>46060.0</v>
      </c>
      <c r="H283" s="5">
        <v>6.0</v>
      </c>
      <c r="I283" s="17">
        <v>0.0</v>
      </c>
      <c r="J283" s="17">
        <v>810.0</v>
      </c>
      <c r="K283" s="17">
        <v>0.0</v>
      </c>
      <c r="L283" s="5"/>
      <c r="M283" s="17">
        <v>810.0</v>
      </c>
    </row>
    <row r="284" ht="22.5" customHeight="1">
      <c r="A284" s="19" t="s">
        <v>431</v>
      </c>
      <c r="B284" s="19" t="s">
        <v>472</v>
      </c>
      <c r="C284" s="19" t="s">
        <v>154</v>
      </c>
      <c r="D284" s="33">
        <v>135.0</v>
      </c>
      <c r="E284" s="33">
        <v>6.0</v>
      </c>
      <c r="F284" s="17">
        <v>162.0</v>
      </c>
      <c r="G284" s="34">
        <v>46060.0</v>
      </c>
      <c r="H284" s="5">
        <v>6.0</v>
      </c>
      <c r="I284" s="17">
        <v>0.0</v>
      </c>
      <c r="J284" s="17">
        <v>810.0</v>
      </c>
      <c r="K284" s="17">
        <v>0.0</v>
      </c>
      <c r="L284" s="5"/>
      <c r="M284" s="17">
        <v>810.0</v>
      </c>
    </row>
    <row r="285" ht="22.5" customHeight="1">
      <c r="A285" s="19" t="s">
        <v>787</v>
      </c>
      <c r="B285" s="19" t="s">
        <v>224</v>
      </c>
      <c r="C285" s="19" t="s">
        <v>119</v>
      </c>
      <c r="D285" s="33">
        <v>135.0</v>
      </c>
      <c r="E285" s="33">
        <v>1.0</v>
      </c>
      <c r="F285" s="17">
        <v>162.0</v>
      </c>
      <c r="G285" s="34">
        <v>46162.0</v>
      </c>
      <c r="H285" s="5">
        <v>4.0</v>
      </c>
      <c r="I285" s="17">
        <v>3.0</v>
      </c>
      <c r="J285" s="17">
        <v>540.0</v>
      </c>
      <c r="K285" s="17">
        <v>515.0</v>
      </c>
      <c r="L285" s="5"/>
      <c r="M285" s="17">
        <v>270.0</v>
      </c>
    </row>
    <row r="286" ht="22.5" customHeight="1">
      <c r="A286" s="19" t="s">
        <v>890</v>
      </c>
      <c r="B286" s="19" t="s">
        <v>472</v>
      </c>
      <c r="C286" s="19" t="s">
        <v>51</v>
      </c>
      <c r="D286" s="33">
        <v>135.0</v>
      </c>
      <c r="E286" s="33">
        <v>0.0</v>
      </c>
      <c r="F286" s="17">
        <v>162.0</v>
      </c>
      <c r="G286" s="34">
        <v>44997.0</v>
      </c>
      <c r="H286" s="5">
        <v>6.0</v>
      </c>
      <c r="I286" s="17">
        <v>6.0</v>
      </c>
      <c r="J286" s="17">
        <v>810.0</v>
      </c>
      <c r="K286" s="17">
        <v>1085.0</v>
      </c>
      <c r="L286" s="5"/>
      <c r="M286" s="17">
        <v>0.0</v>
      </c>
    </row>
    <row r="287" ht="22.5" customHeight="1">
      <c r="A287" s="19" t="s">
        <v>893</v>
      </c>
      <c r="B287" s="19" t="s">
        <v>224</v>
      </c>
      <c r="C287" s="19" t="s">
        <v>119</v>
      </c>
      <c r="D287" s="33">
        <v>135.0</v>
      </c>
      <c r="E287" s="33">
        <v>1.0</v>
      </c>
      <c r="F287" s="17">
        <v>162.0</v>
      </c>
      <c r="G287" s="34">
        <v>46100.0</v>
      </c>
      <c r="H287" s="5">
        <v>2.0</v>
      </c>
      <c r="I287" s="17">
        <v>1.0</v>
      </c>
      <c r="J287" s="17">
        <v>270.0</v>
      </c>
      <c r="K287" s="17">
        <v>175.0</v>
      </c>
      <c r="L287" s="5"/>
      <c r="M287" s="17">
        <v>135.0</v>
      </c>
    </row>
    <row r="288" ht="22.5" customHeight="1">
      <c r="A288" s="19" t="s">
        <v>896</v>
      </c>
      <c r="B288" s="19" t="s">
        <v>224</v>
      </c>
      <c r="C288" s="19" t="s">
        <v>119</v>
      </c>
      <c r="D288" s="33">
        <v>135.0</v>
      </c>
      <c r="E288" s="33">
        <v>6.0</v>
      </c>
      <c r="F288" s="17">
        <v>162.0</v>
      </c>
      <c r="G288" s="34">
        <v>46083.0</v>
      </c>
      <c r="H288" s="5">
        <v>6.0</v>
      </c>
      <c r="I288" s="17">
        <v>0.0</v>
      </c>
      <c r="J288" s="17">
        <v>810.0</v>
      </c>
      <c r="K288" s="17">
        <v>0.0</v>
      </c>
      <c r="L288" s="5"/>
      <c r="M288" s="17">
        <v>810.0</v>
      </c>
    </row>
    <row r="289" ht="22.5" customHeight="1">
      <c r="A289" s="19" t="s">
        <v>885</v>
      </c>
      <c r="B289" s="19" t="s">
        <v>472</v>
      </c>
      <c r="C289" s="19" t="s">
        <v>154</v>
      </c>
      <c r="D289" s="33">
        <v>135.0</v>
      </c>
      <c r="E289" s="33">
        <v>0.0</v>
      </c>
      <c r="F289" s="17">
        <v>162.0</v>
      </c>
      <c r="G289" s="34">
        <v>46160.0</v>
      </c>
      <c r="H289" s="5">
        <v>6.0</v>
      </c>
      <c r="I289" s="17">
        <v>6.0</v>
      </c>
      <c r="J289" s="17">
        <v>810.0</v>
      </c>
      <c r="K289" s="17">
        <v>970.0</v>
      </c>
      <c r="L289" s="5"/>
      <c r="M289" s="17">
        <v>405.0</v>
      </c>
    </row>
    <row r="290" ht="22.5" customHeight="1">
      <c r="A290" s="19" t="s">
        <v>900</v>
      </c>
      <c r="B290" s="19" t="s">
        <v>598</v>
      </c>
      <c r="C290" s="5" t="s">
        <v>54</v>
      </c>
      <c r="D290" s="33">
        <v>134.23749999999998</v>
      </c>
      <c r="E290" s="33">
        <v>0.0</v>
      </c>
      <c r="F290" s="17">
        <v>161.08499999999998</v>
      </c>
      <c r="G290" s="34">
        <v>46098.0</v>
      </c>
      <c r="H290" s="5">
        <v>3.0</v>
      </c>
      <c r="I290" s="17">
        <v>12.0</v>
      </c>
      <c r="J290" s="17">
        <v>136.95000000000002</v>
      </c>
      <c r="K290" s="17">
        <v>3580.0</v>
      </c>
      <c r="L290" s="5" t="s">
        <v>600</v>
      </c>
      <c r="M290" s="17">
        <v>0.0</v>
      </c>
    </row>
    <row r="291" ht="22.5" customHeight="1">
      <c r="A291" s="19" t="s">
        <v>552</v>
      </c>
      <c r="B291" s="19" t="s">
        <v>224</v>
      </c>
      <c r="C291" s="19" t="s">
        <v>119</v>
      </c>
      <c r="D291" s="33">
        <v>134.0</v>
      </c>
      <c r="E291" s="33">
        <v>0.0</v>
      </c>
      <c r="F291" s="17">
        <v>160.8</v>
      </c>
      <c r="G291" s="5" t="s">
        <v>904</v>
      </c>
      <c r="H291" s="17">
        <v>1.0</v>
      </c>
      <c r="I291" s="17">
        <v>1.0</v>
      </c>
      <c r="J291" s="17">
        <v>134.0</v>
      </c>
      <c r="K291" s="17">
        <v>160.0</v>
      </c>
      <c r="L291" s="16"/>
      <c r="M291" s="17">
        <v>0.0</v>
      </c>
    </row>
    <row r="292" ht="22.5" customHeight="1">
      <c r="A292" s="10" t="s">
        <v>210</v>
      </c>
      <c r="B292" s="10" t="s">
        <v>30</v>
      </c>
      <c r="C292" s="10" t="s">
        <v>31</v>
      </c>
      <c r="D292" s="8">
        <v>130.0</v>
      </c>
      <c r="E292" s="8">
        <v>0.0</v>
      </c>
      <c r="F292" s="13">
        <v>156.0</v>
      </c>
      <c r="G292" s="14">
        <v>46100.0</v>
      </c>
      <c r="H292" s="13">
        <v>6.0</v>
      </c>
      <c r="I292" s="13">
        <v>6.0</v>
      </c>
      <c r="J292" s="13">
        <v>780.0</v>
      </c>
      <c r="K292" s="13">
        <v>915.0</v>
      </c>
      <c r="L292" s="15"/>
      <c r="M292" s="17">
        <v>0.0</v>
      </c>
    </row>
    <row r="293" ht="22.5" customHeight="1">
      <c r="A293" s="10" t="s">
        <v>440</v>
      </c>
      <c r="B293" s="10" t="s">
        <v>68</v>
      </c>
      <c r="C293" s="10" t="s">
        <v>31</v>
      </c>
      <c r="D293" s="8">
        <v>130.0</v>
      </c>
      <c r="E293" s="8">
        <v>2.0</v>
      </c>
      <c r="F293" s="13">
        <v>156.0</v>
      </c>
      <c r="G293" s="14">
        <v>45835.0</v>
      </c>
      <c r="H293" s="13">
        <v>2.0</v>
      </c>
      <c r="I293" s="13">
        <v>0.0</v>
      </c>
      <c r="J293" s="13">
        <v>260.0</v>
      </c>
      <c r="K293" s="13">
        <v>0.0</v>
      </c>
      <c r="L293" s="15"/>
      <c r="M293" s="17">
        <v>260.0</v>
      </c>
    </row>
    <row r="294" ht="22.5" customHeight="1">
      <c r="A294" s="10" t="s">
        <v>443</v>
      </c>
      <c r="B294" s="10" t="s">
        <v>68</v>
      </c>
      <c r="C294" s="10" t="s">
        <v>31</v>
      </c>
      <c r="D294" s="8">
        <v>130.0</v>
      </c>
      <c r="E294" s="8">
        <v>1.0</v>
      </c>
      <c r="F294" s="13">
        <v>156.0</v>
      </c>
      <c r="G294" s="14">
        <v>45835.0</v>
      </c>
      <c r="H294" s="13">
        <v>1.0</v>
      </c>
      <c r="I294" s="13">
        <v>0.0</v>
      </c>
      <c r="J294" s="13">
        <v>130.0</v>
      </c>
      <c r="K294" s="13">
        <v>0.0</v>
      </c>
      <c r="L294" s="15"/>
      <c r="M294" s="17">
        <v>130.0</v>
      </c>
    </row>
    <row r="295" ht="22.5" customHeight="1">
      <c r="A295" s="10" t="s">
        <v>660</v>
      </c>
      <c r="B295" s="10" t="s">
        <v>224</v>
      </c>
      <c r="C295" s="10" t="s">
        <v>119</v>
      </c>
      <c r="D295" s="8">
        <v>130.0</v>
      </c>
      <c r="E295" s="8">
        <v>0.0</v>
      </c>
      <c r="F295" s="13">
        <v>156.0</v>
      </c>
      <c r="G295" s="14">
        <v>46033.0</v>
      </c>
      <c r="H295" s="13">
        <v>1.0</v>
      </c>
      <c r="I295" s="13">
        <v>1.0</v>
      </c>
      <c r="J295" s="13">
        <v>130.0</v>
      </c>
      <c r="K295" s="13">
        <v>160.0</v>
      </c>
      <c r="L295" s="15"/>
      <c r="M295" s="17">
        <v>0.0</v>
      </c>
    </row>
    <row r="296" ht="22.5" customHeight="1">
      <c r="A296" s="10" t="s">
        <v>892</v>
      </c>
      <c r="B296" s="10" t="s">
        <v>224</v>
      </c>
      <c r="C296" s="10" t="s">
        <v>119</v>
      </c>
      <c r="D296" s="8">
        <v>130.0</v>
      </c>
      <c r="E296" s="8">
        <v>1.0</v>
      </c>
      <c r="F296" s="13">
        <v>156.0</v>
      </c>
      <c r="G296" s="14">
        <v>46004.0</v>
      </c>
      <c r="H296" s="13">
        <v>1.0</v>
      </c>
      <c r="I296" s="13">
        <v>0.0</v>
      </c>
      <c r="J296" s="13">
        <v>130.0</v>
      </c>
      <c r="K296" s="13">
        <v>0.0</v>
      </c>
      <c r="L296" s="15"/>
      <c r="M296" s="17">
        <v>130.0</v>
      </c>
    </row>
    <row r="297" ht="22.5" customHeight="1">
      <c r="A297" s="19" t="s">
        <v>913</v>
      </c>
      <c r="B297" s="19" t="s">
        <v>827</v>
      </c>
      <c r="C297" s="19" t="s">
        <v>119</v>
      </c>
      <c r="D297" s="33">
        <v>130.0</v>
      </c>
      <c r="E297" s="33">
        <v>0.0</v>
      </c>
      <c r="F297" s="17">
        <v>156.0</v>
      </c>
      <c r="G297" s="34">
        <v>44997.0</v>
      </c>
      <c r="H297" s="5">
        <v>1.0</v>
      </c>
      <c r="I297" s="17">
        <v>1.0</v>
      </c>
      <c r="J297" s="17">
        <v>130.0</v>
      </c>
      <c r="K297" s="17">
        <v>160.0</v>
      </c>
      <c r="L297" s="5"/>
      <c r="M297" s="17">
        <v>0.0</v>
      </c>
    </row>
    <row r="298" ht="22.5" customHeight="1">
      <c r="A298" s="19" t="s">
        <v>828</v>
      </c>
      <c r="B298" s="19" t="s">
        <v>224</v>
      </c>
      <c r="C298" s="19" t="s">
        <v>119</v>
      </c>
      <c r="D298" s="33">
        <v>130.0</v>
      </c>
      <c r="E298" s="33">
        <v>0.0</v>
      </c>
      <c r="F298" s="17">
        <v>156.0</v>
      </c>
      <c r="G298" s="34">
        <v>46071.0</v>
      </c>
      <c r="H298" s="5">
        <v>1.0</v>
      </c>
      <c r="I298" s="17">
        <v>1.0</v>
      </c>
      <c r="J298" s="17">
        <v>130.0</v>
      </c>
      <c r="K298" s="17">
        <v>180.0</v>
      </c>
      <c r="L298" s="5"/>
      <c r="M298" s="17">
        <v>0.0</v>
      </c>
    </row>
    <row r="299" ht="22.5" customHeight="1">
      <c r="A299" s="19" t="s">
        <v>689</v>
      </c>
      <c r="B299" s="19" t="s">
        <v>224</v>
      </c>
      <c r="C299" s="19" t="s">
        <v>119</v>
      </c>
      <c r="D299" s="33">
        <v>130.0</v>
      </c>
      <c r="E299" s="33">
        <v>1.0</v>
      </c>
      <c r="F299" s="17">
        <v>156.0</v>
      </c>
      <c r="G299" s="34">
        <v>46136.04166666667</v>
      </c>
      <c r="H299" s="5">
        <v>8.0</v>
      </c>
      <c r="I299" s="17">
        <v>7.0</v>
      </c>
      <c r="J299" s="17">
        <v>1040.0</v>
      </c>
      <c r="K299" s="17">
        <v>1110.0</v>
      </c>
      <c r="L299" s="5"/>
      <c r="M299" s="17">
        <v>650.0</v>
      </c>
    </row>
    <row r="300" ht="22.5" customHeight="1">
      <c r="A300" s="19" t="s">
        <v>920</v>
      </c>
      <c r="B300" s="19" t="s">
        <v>118</v>
      </c>
      <c r="C300" s="19" t="s">
        <v>484</v>
      </c>
      <c r="D300" s="33">
        <v>130.0</v>
      </c>
      <c r="E300" s="33">
        <v>5.0</v>
      </c>
      <c r="F300" s="17">
        <v>156.0</v>
      </c>
      <c r="G300" s="34">
        <v>46168.0</v>
      </c>
      <c r="H300" s="5">
        <v>8.0</v>
      </c>
      <c r="I300" s="5">
        <v>3.0</v>
      </c>
      <c r="J300" s="17">
        <v>1040.0</v>
      </c>
      <c r="K300" s="17">
        <v>555.0</v>
      </c>
      <c r="L300" s="19"/>
      <c r="M300" s="17"/>
    </row>
    <row r="301" ht="22.5" customHeight="1">
      <c r="A301" s="19" t="s">
        <v>888</v>
      </c>
      <c r="B301" s="19" t="s">
        <v>110</v>
      </c>
      <c r="C301" s="19" t="s">
        <v>119</v>
      </c>
      <c r="D301" s="33">
        <v>129.0</v>
      </c>
      <c r="E301" s="33">
        <v>0.0</v>
      </c>
      <c r="F301" s="17">
        <v>154.8</v>
      </c>
      <c r="G301" s="34">
        <v>46107.114393854165</v>
      </c>
      <c r="H301" s="5">
        <v>2.0</v>
      </c>
      <c r="I301" s="17">
        <v>2.0</v>
      </c>
      <c r="J301" s="17">
        <v>258.0</v>
      </c>
      <c r="K301" s="17">
        <v>365.0</v>
      </c>
      <c r="L301" s="5"/>
      <c r="M301" s="17">
        <v>0.0</v>
      </c>
    </row>
    <row r="302" ht="22.5" customHeight="1">
      <c r="A302" s="10" t="s">
        <v>923</v>
      </c>
      <c r="B302" s="10" t="s">
        <v>30</v>
      </c>
      <c r="C302" s="10" t="s">
        <v>125</v>
      </c>
      <c r="D302" s="8">
        <v>129.0</v>
      </c>
      <c r="E302" s="8">
        <v>0.0</v>
      </c>
      <c r="F302" s="13">
        <v>154.8</v>
      </c>
      <c r="G302" s="14">
        <v>46149.0</v>
      </c>
      <c r="H302" s="13">
        <v>2.0</v>
      </c>
      <c r="I302" s="13">
        <v>3.0</v>
      </c>
      <c r="J302" s="13">
        <v>258.0</v>
      </c>
      <c r="K302" s="13">
        <v>489.84</v>
      </c>
      <c r="L302" s="15"/>
      <c r="M302" s="17">
        <v>129.0</v>
      </c>
    </row>
    <row r="303" ht="22.5" customHeight="1">
      <c r="A303" s="19" t="s">
        <v>925</v>
      </c>
      <c r="B303" s="19" t="s">
        <v>224</v>
      </c>
      <c r="C303" s="19" t="s">
        <v>119</v>
      </c>
      <c r="D303" s="33">
        <v>128.0</v>
      </c>
      <c r="E303" s="33">
        <v>0.0</v>
      </c>
      <c r="F303" s="17">
        <v>153.6</v>
      </c>
      <c r="G303" s="34">
        <v>46071.0</v>
      </c>
      <c r="H303" s="5">
        <v>3.0</v>
      </c>
      <c r="I303" s="17">
        <v>3.0</v>
      </c>
      <c r="J303" s="17">
        <v>384.0</v>
      </c>
      <c r="K303" s="17">
        <v>510.0</v>
      </c>
      <c r="L303" s="5"/>
      <c r="M303" s="17">
        <v>0.0</v>
      </c>
    </row>
    <row r="304" ht="22.5" customHeight="1">
      <c r="A304" s="19" t="s">
        <v>633</v>
      </c>
      <c r="B304" s="19" t="s">
        <v>30</v>
      </c>
      <c r="C304" s="19" t="s">
        <v>119</v>
      </c>
      <c r="D304" s="33">
        <v>128.0</v>
      </c>
      <c r="E304" s="33">
        <v>0.0</v>
      </c>
      <c r="F304" s="17">
        <v>153.6</v>
      </c>
      <c r="G304" s="34">
        <v>46160.0</v>
      </c>
      <c r="H304" s="5">
        <v>3.0</v>
      </c>
      <c r="I304" s="17">
        <v>3.0</v>
      </c>
      <c r="J304" s="17">
        <v>384.0</v>
      </c>
      <c r="K304" s="17">
        <v>510.0</v>
      </c>
      <c r="L304" s="5"/>
      <c r="M304" s="17">
        <v>256.0</v>
      </c>
    </row>
    <row r="305" ht="22.5" customHeight="1">
      <c r="A305" s="19" t="s">
        <v>793</v>
      </c>
      <c r="B305" s="19" t="s">
        <v>224</v>
      </c>
      <c r="C305" s="19" t="s">
        <v>119</v>
      </c>
      <c r="D305" s="33">
        <v>126.0</v>
      </c>
      <c r="E305" s="33">
        <v>1.0</v>
      </c>
      <c r="F305" s="17">
        <v>151.2</v>
      </c>
      <c r="G305" s="34">
        <v>46066.0</v>
      </c>
      <c r="H305" s="5">
        <v>3.0</v>
      </c>
      <c r="I305" s="17">
        <v>2.0</v>
      </c>
      <c r="J305" s="17">
        <v>378.0</v>
      </c>
      <c r="K305" s="17">
        <v>300.0</v>
      </c>
      <c r="L305" s="5"/>
      <c r="M305" s="17">
        <v>126.0</v>
      </c>
    </row>
    <row r="306" ht="22.5" customHeight="1">
      <c r="A306" s="19" t="s">
        <v>668</v>
      </c>
      <c r="B306" s="19" t="s">
        <v>30</v>
      </c>
      <c r="C306" s="19" t="s">
        <v>119</v>
      </c>
      <c r="D306" s="33">
        <v>126.0</v>
      </c>
      <c r="E306" s="33">
        <v>0.0</v>
      </c>
      <c r="F306" s="17">
        <v>151.2</v>
      </c>
      <c r="G306" s="34">
        <v>46036.0</v>
      </c>
      <c r="H306" s="5">
        <v>1.0</v>
      </c>
      <c r="I306" s="17">
        <v>1.0</v>
      </c>
      <c r="J306" s="17">
        <v>126.0</v>
      </c>
      <c r="K306" s="17">
        <v>150.0</v>
      </c>
      <c r="L306" s="5"/>
      <c r="M306" s="17">
        <v>0.0</v>
      </c>
    </row>
    <row r="307" ht="22.5" customHeight="1">
      <c r="A307" s="19" t="s">
        <v>820</v>
      </c>
      <c r="B307" s="19" t="s">
        <v>110</v>
      </c>
      <c r="C307" s="19" t="s">
        <v>119</v>
      </c>
      <c r="D307" s="33">
        <v>126.0</v>
      </c>
      <c r="E307" s="33">
        <v>0.0</v>
      </c>
      <c r="F307" s="17">
        <v>151.2</v>
      </c>
      <c r="G307" s="34">
        <v>46071.0</v>
      </c>
      <c r="H307" s="5">
        <v>1.0</v>
      </c>
      <c r="I307" s="17">
        <v>1.0</v>
      </c>
      <c r="J307" s="17">
        <v>126.0</v>
      </c>
      <c r="K307" s="17">
        <v>160.0</v>
      </c>
      <c r="L307" s="5"/>
      <c r="M307" s="17">
        <v>0.0</v>
      </c>
    </row>
    <row r="308" ht="22.5" customHeight="1">
      <c r="A308" s="19" t="s">
        <v>942</v>
      </c>
      <c r="B308" s="19" t="s">
        <v>110</v>
      </c>
      <c r="C308" s="19" t="s">
        <v>119</v>
      </c>
      <c r="D308" s="33">
        <v>126.0</v>
      </c>
      <c r="E308" s="33">
        <v>2.0</v>
      </c>
      <c r="F308" s="17">
        <v>151.2</v>
      </c>
      <c r="G308" s="34">
        <v>46067.0</v>
      </c>
      <c r="H308" s="5">
        <v>2.0</v>
      </c>
      <c r="I308" s="17">
        <v>0.0</v>
      </c>
      <c r="J308" s="17">
        <v>252.0</v>
      </c>
      <c r="K308" s="17">
        <v>0.0</v>
      </c>
      <c r="L308" s="5"/>
      <c r="M308" s="17">
        <v>252.0</v>
      </c>
    </row>
    <row r="309" ht="22.5" customHeight="1">
      <c r="A309" s="10" t="s">
        <v>152</v>
      </c>
      <c r="B309" s="10" t="s">
        <v>68</v>
      </c>
      <c r="C309" s="10" t="s">
        <v>31</v>
      </c>
      <c r="D309" s="8">
        <v>125.0</v>
      </c>
      <c r="E309" s="8">
        <v>3.0</v>
      </c>
      <c r="F309" s="13">
        <v>150.0</v>
      </c>
      <c r="G309" s="14">
        <v>45812.0</v>
      </c>
      <c r="H309" s="13">
        <v>3.0</v>
      </c>
      <c r="I309" s="13">
        <v>0.0</v>
      </c>
      <c r="J309" s="13">
        <v>375.0</v>
      </c>
      <c r="K309" s="13">
        <v>0.0</v>
      </c>
      <c r="L309" s="15"/>
      <c r="M309" s="17">
        <v>375.0</v>
      </c>
    </row>
    <row r="310" ht="22.5" customHeight="1">
      <c r="A310" s="10" t="s">
        <v>162</v>
      </c>
      <c r="B310" s="10" t="s">
        <v>163</v>
      </c>
      <c r="C310" s="10" t="s">
        <v>31</v>
      </c>
      <c r="D310" s="8">
        <v>125.0</v>
      </c>
      <c r="E310" s="8">
        <v>1.0</v>
      </c>
      <c r="F310" s="13">
        <v>150.0</v>
      </c>
      <c r="G310" s="14">
        <v>45812.0</v>
      </c>
      <c r="H310" s="13">
        <v>1.0</v>
      </c>
      <c r="I310" s="13">
        <v>0.0</v>
      </c>
      <c r="J310" s="13">
        <v>125.0</v>
      </c>
      <c r="K310" s="13">
        <v>0.0</v>
      </c>
      <c r="L310" s="15"/>
      <c r="M310" s="17">
        <v>125.0</v>
      </c>
    </row>
    <row r="311" ht="22.5" customHeight="1">
      <c r="A311" s="10" t="s">
        <v>317</v>
      </c>
      <c r="B311" s="10" t="s">
        <v>68</v>
      </c>
      <c r="C311" s="10" t="s">
        <v>31</v>
      </c>
      <c r="D311" s="8">
        <v>125.0</v>
      </c>
      <c r="E311" s="8">
        <v>0.0</v>
      </c>
      <c r="F311" s="13">
        <v>150.0</v>
      </c>
      <c r="G311" s="14">
        <v>46042.0</v>
      </c>
      <c r="H311" s="13">
        <v>2.0</v>
      </c>
      <c r="I311" s="13">
        <v>2.0</v>
      </c>
      <c r="J311" s="13">
        <v>250.0</v>
      </c>
      <c r="K311" s="13">
        <v>390.0</v>
      </c>
      <c r="L311" s="15"/>
      <c r="M311" s="17">
        <v>0.0</v>
      </c>
    </row>
    <row r="312" ht="22.5" customHeight="1">
      <c r="A312" s="10" t="s">
        <v>448</v>
      </c>
      <c r="B312" s="10" t="s">
        <v>68</v>
      </c>
      <c r="C312" s="10" t="s">
        <v>31</v>
      </c>
      <c r="D312" s="8">
        <v>125.0</v>
      </c>
      <c r="E312" s="8">
        <v>1.0</v>
      </c>
      <c r="F312" s="13">
        <v>150.0</v>
      </c>
      <c r="G312" s="14">
        <v>45835.0</v>
      </c>
      <c r="H312" s="13">
        <v>1.0</v>
      </c>
      <c r="I312" s="13">
        <v>0.0</v>
      </c>
      <c r="J312" s="13">
        <v>125.0</v>
      </c>
      <c r="K312" s="13">
        <v>0.0</v>
      </c>
      <c r="L312" s="15"/>
      <c r="M312" s="17">
        <v>125.0</v>
      </c>
    </row>
    <row r="313" ht="22.5" customHeight="1">
      <c r="A313" s="10" t="s">
        <v>732</v>
      </c>
      <c r="B313" s="10" t="s">
        <v>185</v>
      </c>
      <c r="C313" s="10" t="s">
        <v>31</v>
      </c>
      <c r="D313" s="8">
        <v>125.0</v>
      </c>
      <c r="E313" s="8">
        <v>1.0</v>
      </c>
      <c r="F313" s="13">
        <v>150.0</v>
      </c>
      <c r="G313" s="14">
        <v>45929.0</v>
      </c>
      <c r="H313" s="13">
        <v>1.0</v>
      </c>
      <c r="I313" s="13">
        <v>0.0</v>
      </c>
      <c r="J313" s="13">
        <v>125.0</v>
      </c>
      <c r="K313" s="13">
        <v>0.0</v>
      </c>
      <c r="L313" s="15"/>
      <c r="M313" s="17">
        <v>125.0</v>
      </c>
    </row>
    <row r="314" ht="22.5" customHeight="1">
      <c r="A314" s="10" t="s">
        <v>500</v>
      </c>
      <c r="B314" s="10" t="s">
        <v>472</v>
      </c>
      <c r="C314" s="10" t="s">
        <v>51</v>
      </c>
      <c r="D314" s="8">
        <v>125.0</v>
      </c>
      <c r="E314" s="8">
        <v>6.777777777777779</v>
      </c>
      <c r="F314" s="13">
        <v>150.0</v>
      </c>
      <c r="G314" s="14">
        <v>46168.0</v>
      </c>
      <c r="H314" s="13">
        <v>12.0</v>
      </c>
      <c r="I314" s="13">
        <v>5.222222222222222</v>
      </c>
      <c r="J314" s="13">
        <v>1500.0</v>
      </c>
      <c r="K314" s="13">
        <v>875.0</v>
      </c>
      <c r="L314" s="15"/>
      <c r="M314" s="17">
        <v>1125.0</v>
      </c>
    </row>
    <row r="315" ht="22.5" customHeight="1">
      <c r="A315" s="10" t="s">
        <v>558</v>
      </c>
      <c r="B315" s="10" t="s">
        <v>224</v>
      </c>
      <c r="C315" s="10" t="s">
        <v>119</v>
      </c>
      <c r="D315" s="8">
        <v>125.0</v>
      </c>
      <c r="E315" s="8">
        <v>8.0</v>
      </c>
      <c r="F315" s="13">
        <v>150.0</v>
      </c>
      <c r="G315" s="14">
        <v>46097.0</v>
      </c>
      <c r="H315" s="13">
        <v>14.0</v>
      </c>
      <c r="I315" s="13">
        <v>6.0</v>
      </c>
      <c r="J315" s="13">
        <v>1750.0</v>
      </c>
      <c r="K315" s="13">
        <v>900.0</v>
      </c>
      <c r="L315" s="15"/>
      <c r="M315" s="17">
        <v>1000.0</v>
      </c>
    </row>
    <row r="316" ht="22.5" customHeight="1">
      <c r="A316" s="10" t="s">
        <v>868</v>
      </c>
      <c r="B316" s="10" t="s">
        <v>224</v>
      </c>
      <c r="C316" s="10" t="s">
        <v>119</v>
      </c>
      <c r="D316" s="8">
        <v>125.0</v>
      </c>
      <c r="E316" s="8">
        <v>0.0</v>
      </c>
      <c r="F316" s="13">
        <v>150.0</v>
      </c>
      <c r="G316" s="14">
        <v>46097.0</v>
      </c>
      <c r="H316" s="13">
        <v>1.0</v>
      </c>
      <c r="I316" s="13">
        <v>1.0</v>
      </c>
      <c r="J316" s="13">
        <v>125.0</v>
      </c>
      <c r="K316" s="13">
        <v>165.0</v>
      </c>
      <c r="L316" s="15"/>
      <c r="M316" s="17">
        <v>0.0</v>
      </c>
    </row>
    <row r="317" ht="22.5" customHeight="1">
      <c r="A317" s="10" t="s">
        <v>735</v>
      </c>
      <c r="B317" s="10" t="s">
        <v>224</v>
      </c>
      <c r="C317" s="10" t="s">
        <v>119</v>
      </c>
      <c r="D317" s="8">
        <v>125.0</v>
      </c>
      <c r="E317" s="8">
        <v>0.0</v>
      </c>
      <c r="F317" s="13">
        <v>150.0</v>
      </c>
      <c r="G317" s="14">
        <v>46107.0</v>
      </c>
      <c r="H317" s="13">
        <v>1.0</v>
      </c>
      <c r="I317" s="13">
        <v>1.0</v>
      </c>
      <c r="J317" s="13">
        <v>125.0</v>
      </c>
      <c r="K317" s="13">
        <v>195.0</v>
      </c>
      <c r="L317" s="15"/>
      <c r="M317" s="17">
        <v>125.0</v>
      </c>
    </row>
    <row r="318" ht="22.5" customHeight="1">
      <c r="A318" s="10" t="s">
        <v>739</v>
      </c>
      <c r="B318" s="10" t="s">
        <v>224</v>
      </c>
      <c r="C318" s="10" t="s">
        <v>119</v>
      </c>
      <c r="D318" s="8">
        <v>125.0</v>
      </c>
      <c r="E318" s="8">
        <v>1.0</v>
      </c>
      <c r="F318" s="13">
        <v>150.0</v>
      </c>
      <c r="G318" s="14">
        <v>46004.0</v>
      </c>
      <c r="H318" s="13">
        <v>1.0</v>
      </c>
      <c r="I318" s="13">
        <v>0.0</v>
      </c>
      <c r="J318" s="13">
        <v>125.0</v>
      </c>
      <c r="K318" s="13">
        <v>0.0</v>
      </c>
      <c r="L318" s="15"/>
      <c r="M318" s="17">
        <v>125.0</v>
      </c>
    </row>
    <row r="319" ht="22.5" customHeight="1">
      <c r="A319" s="19" t="s">
        <v>962</v>
      </c>
      <c r="B319" s="19" t="s">
        <v>472</v>
      </c>
      <c r="C319" s="19" t="s">
        <v>51</v>
      </c>
      <c r="D319" s="33">
        <v>125.0</v>
      </c>
      <c r="E319" s="33">
        <v>3.0</v>
      </c>
      <c r="F319" s="17">
        <v>150.0</v>
      </c>
      <c r="G319" s="34">
        <v>46159.0</v>
      </c>
      <c r="H319" s="5">
        <v>6.0</v>
      </c>
      <c r="I319" s="17">
        <v>3.0</v>
      </c>
      <c r="J319" s="17">
        <v>750.0</v>
      </c>
      <c r="K319" s="17">
        <v>550.0</v>
      </c>
      <c r="L319" s="5"/>
      <c r="M319" s="17">
        <v>500.0</v>
      </c>
    </row>
    <row r="320" ht="22.5" customHeight="1">
      <c r="A320" s="19" t="s">
        <v>965</v>
      </c>
      <c r="B320" s="19" t="s">
        <v>224</v>
      </c>
      <c r="C320" s="19" t="s">
        <v>119</v>
      </c>
      <c r="D320" s="33">
        <v>125.0</v>
      </c>
      <c r="E320" s="33">
        <v>3.0</v>
      </c>
      <c r="F320" s="17">
        <v>150.0</v>
      </c>
      <c r="G320" s="34">
        <v>46067.0</v>
      </c>
      <c r="H320" s="5">
        <v>3.0</v>
      </c>
      <c r="I320" s="17">
        <v>0.0</v>
      </c>
      <c r="J320" s="17">
        <v>375.0</v>
      </c>
      <c r="K320" s="17">
        <v>0.0</v>
      </c>
      <c r="L320" s="5"/>
      <c r="M320" s="17">
        <v>375.0</v>
      </c>
    </row>
    <row r="321" ht="22.5" customHeight="1">
      <c r="A321" s="19" t="s">
        <v>599</v>
      </c>
      <c r="B321" s="19" t="s">
        <v>68</v>
      </c>
      <c r="C321" s="19" t="s">
        <v>51</v>
      </c>
      <c r="D321" s="33">
        <v>125.0</v>
      </c>
      <c r="E321" s="33">
        <v>2.0</v>
      </c>
      <c r="F321" s="17">
        <v>150.0</v>
      </c>
      <c r="G321" s="34">
        <v>46100.0</v>
      </c>
      <c r="H321" s="5">
        <v>4.0</v>
      </c>
      <c r="I321" s="17">
        <v>2.0</v>
      </c>
      <c r="J321" s="17">
        <v>500.0</v>
      </c>
      <c r="K321" s="17">
        <v>300.0</v>
      </c>
      <c r="L321" s="5"/>
      <c r="M321" s="17">
        <v>250.0</v>
      </c>
    </row>
    <row r="322" ht="22.5" customHeight="1">
      <c r="A322" s="19" t="s">
        <v>607</v>
      </c>
      <c r="B322" s="19" t="s">
        <v>68</v>
      </c>
      <c r="C322" s="19" t="s">
        <v>51</v>
      </c>
      <c r="D322" s="33">
        <v>125.0</v>
      </c>
      <c r="E322" s="33">
        <v>2.0</v>
      </c>
      <c r="F322" s="17">
        <v>150.0</v>
      </c>
      <c r="G322" s="34">
        <v>46083.0</v>
      </c>
      <c r="H322" s="5">
        <v>2.0</v>
      </c>
      <c r="I322" s="17">
        <v>0.0</v>
      </c>
      <c r="J322" s="17">
        <v>250.0</v>
      </c>
      <c r="K322" s="17">
        <v>0.0</v>
      </c>
      <c r="L322" s="5"/>
      <c r="M322" s="17">
        <v>250.0</v>
      </c>
    </row>
    <row r="323" ht="22.5" customHeight="1">
      <c r="A323" s="10" t="s">
        <v>973</v>
      </c>
      <c r="B323" s="10" t="s">
        <v>974</v>
      </c>
      <c r="C323" s="10" t="s">
        <v>125</v>
      </c>
      <c r="D323" s="8">
        <v>125.0</v>
      </c>
      <c r="E323" s="8">
        <v>2.0</v>
      </c>
      <c r="F323" s="13">
        <v>150.0</v>
      </c>
      <c r="G323" s="14">
        <v>46095.0</v>
      </c>
      <c r="H323" s="13">
        <v>2.0</v>
      </c>
      <c r="I323" s="13">
        <v>0.0</v>
      </c>
      <c r="J323" s="13">
        <v>250.0</v>
      </c>
      <c r="K323" s="13">
        <v>0.0</v>
      </c>
      <c r="L323" s="15"/>
      <c r="M323" s="17">
        <v>250.0</v>
      </c>
    </row>
    <row r="324" ht="22.5" customHeight="1">
      <c r="A324" s="10" t="s">
        <v>977</v>
      </c>
      <c r="B324" s="10" t="s">
        <v>974</v>
      </c>
      <c r="C324" s="10" t="s">
        <v>125</v>
      </c>
      <c r="D324" s="8">
        <v>125.0</v>
      </c>
      <c r="E324" s="8">
        <v>2.0</v>
      </c>
      <c r="F324" s="13">
        <v>150.0</v>
      </c>
      <c r="G324" s="14">
        <v>46095.0</v>
      </c>
      <c r="H324" s="13">
        <v>2.0</v>
      </c>
      <c r="I324" s="13">
        <v>0.0</v>
      </c>
      <c r="J324" s="13">
        <v>250.0</v>
      </c>
      <c r="K324" s="13">
        <v>0.0</v>
      </c>
      <c r="L324" s="15"/>
      <c r="M324" s="17">
        <v>250.0</v>
      </c>
    </row>
    <row r="325" ht="22.5" customHeight="1">
      <c r="A325" s="10" t="s">
        <v>978</v>
      </c>
      <c r="B325" s="10" t="s">
        <v>974</v>
      </c>
      <c r="C325" s="10" t="s">
        <v>125</v>
      </c>
      <c r="D325" s="8">
        <v>125.0</v>
      </c>
      <c r="E325" s="8">
        <v>2.0</v>
      </c>
      <c r="F325" s="13">
        <v>150.0</v>
      </c>
      <c r="G325" s="14">
        <v>46095.0</v>
      </c>
      <c r="H325" s="13">
        <v>2.0</v>
      </c>
      <c r="I325" s="13">
        <v>0.0</v>
      </c>
      <c r="J325" s="13">
        <v>250.0</v>
      </c>
      <c r="K325" s="13">
        <v>0.0</v>
      </c>
      <c r="L325" s="15"/>
      <c r="M325" s="17">
        <v>250.0</v>
      </c>
    </row>
    <row r="326" ht="22.5" customHeight="1">
      <c r="A326" s="10" t="s">
        <v>980</v>
      </c>
      <c r="B326" s="10" t="s">
        <v>974</v>
      </c>
      <c r="C326" s="10" t="s">
        <v>125</v>
      </c>
      <c r="D326" s="8">
        <v>125.0</v>
      </c>
      <c r="E326" s="8">
        <v>2.0</v>
      </c>
      <c r="F326" s="13">
        <v>150.0</v>
      </c>
      <c r="G326" s="14">
        <v>46095.0</v>
      </c>
      <c r="H326" s="13">
        <v>2.0</v>
      </c>
      <c r="I326" s="13">
        <v>0.0</v>
      </c>
      <c r="J326" s="13">
        <v>250.0</v>
      </c>
      <c r="K326" s="13">
        <v>0.0</v>
      </c>
      <c r="L326" s="15"/>
      <c r="M326" s="17">
        <v>250.0</v>
      </c>
    </row>
    <row r="327" ht="22.5" customHeight="1">
      <c r="A327" s="10" t="s">
        <v>982</v>
      </c>
      <c r="B327" s="10" t="s">
        <v>354</v>
      </c>
      <c r="C327" s="10" t="s">
        <v>125</v>
      </c>
      <c r="D327" s="8">
        <v>125.0</v>
      </c>
      <c r="E327" s="8">
        <v>12.0</v>
      </c>
      <c r="F327" s="13">
        <v>150.0</v>
      </c>
      <c r="G327" s="14">
        <v>46162.0</v>
      </c>
      <c r="H327" s="13">
        <v>15.0</v>
      </c>
      <c r="I327" s="13">
        <v>3.0</v>
      </c>
      <c r="J327" s="13">
        <v>1875.0</v>
      </c>
      <c r="K327" s="13">
        <v>490.0</v>
      </c>
      <c r="L327" s="15"/>
      <c r="M327" s="17">
        <v>1625.0</v>
      </c>
    </row>
    <row r="328" ht="22.5" customHeight="1">
      <c r="A328" s="19" t="s">
        <v>985</v>
      </c>
      <c r="B328" s="19" t="s">
        <v>472</v>
      </c>
      <c r="C328" s="19" t="s">
        <v>154</v>
      </c>
      <c r="D328" s="33">
        <v>125.0</v>
      </c>
      <c r="E328" s="33">
        <v>8.0</v>
      </c>
      <c r="F328" s="17">
        <v>150.0</v>
      </c>
      <c r="G328" s="34">
        <v>46154.0</v>
      </c>
      <c r="H328" s="5">
        <v>8.0</v>
      </c>
      <c r="I328" s="5">
        <v>0.0</v>
      </c>
      <c r="J328" s="17">
        <v>1000.0</v>
      </c>
      <c r="K328" s="17">
        <v>0.0</v>
      </c>
      <c r="L328" s="19"/>
      <c r="M328" s="17"/>
    </row>
    <row r="329" ht="22.5" customHeight="1">
      <c r="A329" s="19" t="s">
        <v>989</v>
      </c>
      <c r="B329" s="19" t="s">
        <v>472</v>
      </c>
      <c r="C329" s="19" t="s">
        <v>154</v>
      </c>
      <c r="D329" s="33">
        <v>125.0</v>
      </c>
      <c r="E329" s="33">
        <v>12.0</v>
      </c>
      <c r="F329" s="17">
        <v>150.0</v>
      </c>
      <c r="G329" s="34">
        <v>46154.0</v>
      </c>
      <c r="H329" s="5">
        <v>12.0</v>
      </c>
      <c r="I329" s="5">
        <v>0.0</v>
      </c>
      <c r="J329" s="17">
        <v>1500.0</v>
      </c>
      <c r="K329" s="17">
        <v>0.0</v>
      </c>
      <c r="L329" s="19"/>
      <c r="M329" s="17"/>
    </row>
    <row r="330" ht="22.5" customHeight="1">
      <c r="A330" s="19" t="s">
        <v>697</v>
      </c>
      <c r="B330" s="19" t="s">
        <v>118</v>
      </c>
      <c r="C330" s="19" t="s">
        <v>484</v>
      </c>
      <c r="D330" s="33">
        <v>125.0</v>
      </c>
      <c r="E330" s="33">
        <v>2.0</v>
      </c>
      <c r="F330" s="17">
        <v>150.0</v>
      </c>
      <c r="G330" s="34">
        <v>46165.0</v>
      </c>
      <c r="H330" s="5">
        <v>2.0</v>
      </c>
      <c r="I330" s="5">
        <v>0.0</v>
      </c>
      <c r="J330" s="17">
        <v>250.0</v>
      </c>
      <c r="K330" s="17">
        <v>0.0</v>
      </c>
      <c r="L330" s="19"/>
      <c r="M330" s="17"/>
    </row>
    <row r="331" ht="22.5" customHeight="1">
      <c r="A331" s="10" t="s">
        <v>650</v>
      </c>
      <c r="B331" s="10" t="s">
        <v>224</v>
      </c>
      <c r="C331" s="10" t="s">
        <v>119</v>
      </c>
      <c r="D331" s="8">
        <v>124.0</v>
      </c>
      <c r="E331" s="8">
        <v>0.0</v>
      </c>
      <c r="F331" s="13">
        <v>148.8</v>
      </c>
      <c r="G331" s="14">
        <v>46032.0</v>
      </c>
      <c r="H331" s="13">
        <v>1.0</v>
      </c>
      <c r="I331" s="13">
        <v>1.0</v>
      </c>
      <c r="J331" s="13">
        <v>124.0</v>
      </c>
      <c r="K331" s="13">
        <v>150.0</v>
      </c>
      <c r="L331" s="16"/>
      <c r="M331" s="17">
        <v>0.0</v>
      </c>
    </row>
    <row r="332" ht="22.5" customHeight="1">
      <c r="A332" s="10" t="s">
        <v>74</v>
      </c>
      <c r="B332" s="10" t="s">
        <v>30</v>
      </c>
      <c r="C332" s="10" t="s">
        <v>31</v>
      </c>
      <c r="D332" s="8">
        <v>120.0</v>
      </c>
      <c r="E332" s="8">
        <v>4.0</v>
      </c>
      <c r="F332" s="13">
        <v>144.0</v>
      </c>
      <c r="G332" s="14">
        <v>46099.0</v>
      </c>
      <c r="H332" s="13">
        <v>13.0</v>
      </c>
      <c r="I332" s="13">
        <v>9.0</v>
      </c>
      <c r="J332" s="13">
        <v>1560.0</v>
      </c>
      <c r="K332" s="13">
        <v>1410.0</v>
      </c>
      <c r="L332" s="15"/>
      <c r="M332" s="17">
        <v>480.0</v>
      </c>
    </row>
    <row r="333" ht="22.5" customHeight="1">
      <c r="A333" s="10" t="s">
        <v>351</v>
      </c>
      <c r="B333" s="10" t="s">
        <v>30</v>
      </c>
      <c r="C333" s="10" t="s">
        <v>31</v>
      </c>
      <c r="D333" s="8">
        <v>120.0</v>
      </c>
      <c r="E333" s="8">
        <v>1.0</v>
      </c>
      <c r="F333" s="13">
        <v>144.0</v>
      </c>
      <c r="G333" s="14">
        <v>46036.0</v>
      </c>
      <c r="H333" s="13">
        <v>4.0</v>
      </c>
      <c r="I333" s="13">
        <v>3.0</v>
      </c>
      <c r="J333" s="13">
        <v>480.0</v>
      </c>
      <c r="K333" s="13">
        <v>509.64</v>
      </c>
      <c r="L333" s="15"/>
      <c r="M333" s="17">
        <v>120.0</v>
      </c>
    </row>
    <row r="334" ht="22.5" customHeight="1">
      <c r="A334" s="10" t="s">
        <v>157</v>
      </c>
      <c r="B334" s="10" t="s">
        <v>68</v>
      </c>
      <c r="C334" s="10" t="s">
        <v>31</v>
      </c>
      <c r="D334" s="8">
        <v>120.0</v>
      </c>
      <c r="E334" s="8">
        <v>1.0</v>
      </c>
      <c r="F334" s="13">
        <v>144.0</v>
      </c>
      <c r="G334" s="6" t="s">
        <v>72</v>
      </c>
      <c r="H334" s="13">
        <v>2.0</v>
      </c>
      <c r="I334" s="13">
        <v>1.0</v>
      </c>
      <c r="J334" s="13">
        <v>240.0</v>
      </c>
      <c r="K334" s="13">
        <v>169.92</v>
      </c>
      <c r="L334" s="15"/>
      <c r="M334" s="17">
        <v>120.0</v>
      </c>
    </row>
    <row r="335" ht="22.5" customHeight="1">
      <c r="A335" s="10" t="s">
        <v>144</v>
      </c>
      <c r="B335" s="10" t="s">
        <v>224</v>
      </c>
      <c r="C335" s="10" t="s">
        <v>620</v>
      </c>
      <c r="D335" s="8">
        <v>120.0</v>
      </c>
      <c r="E335" s="8">
        <v>40.0</v>
      </c>
      <c r="F335" s="8">
        <f>D335*0.2+D335</f>
        <v>144</v>
      </c>
      <c r="G335" s="14">
        <v>46168.0</v>
      </c>
      <c r="H335" s="13">
        <v>40.0</v>
      </c>
      <c r="I335" s="13">
        <v>40.0</v>
      </c>
      <c r="J335" s="13">
        <v>5600.0</v>
      </c>
      <c r="K335" s="13">
        <v>6788.95</v>
      </c>
      <c r="L335" s="15"/>
      <c r="M335" s="17">
        <v>1540.0</v>
      </c>
    </row>
    <row r="336" ht="22.5" customHeight="1">
      <c r="A336" s="10" t="s">
        <v>854</v>
      </c>
      <c r="B336" s="10" t="s">
        <v>224</v>
      </c>
      <c r="C336" s="10" t="s">
        <v>119</v>
      </c>
      <c r="D336" s="8">
        <v>120.0</v>
      </c>
      <c r="E336" s="8">
        <v>1.0</v>
      </c>
      <c r="F336" s="13">
        <v>144.0</v>
      </c>
      <c r="G336" s="14">
        <v>46004.0</v>
      </c>
      <c r="H336" s="13">
        <v>1.0</v>
      </c>
      <c r="I336" s="13">
        <v>0.0</v>
      </c>
      <c r="J336" s="13">
        <v>120.0</v>
      </c>
      <c r="K336" s="13">
        <v>0.0</v>
      </c>
      <c r="L336" s="15"/>
      <c r="M336" s="17">
        <v>120.0</v>
      </c>
    </row>
    <row r="337" ht="22.5" customHeight="1">
      <c r="A337" s="19" t="s">
        <v>684</v>
      </c>
      <c r="B337" s="19" t="s">
        <v>224</v>
      </c>
      <c r="C337" s="19" t="s">
        <v>119</v>
      </c>
      <c r="D337" s="33">
        <v>120.0</v>
      </c>
      <c r="E337" s="33">
        <v>1.0</v>
      </c>
      <c r="F337" s="17">
        <v>144.0</v>
      </c>
      <c r="G337" s="34">
        <v>46041.77366222222</v>
      </c>
      <c r="H337" s="5">
        <v>2.0</v>
      </c>
      <c r="I337" s="17">
        <v>1.0</v>
      </c>
      <c r="J337" s="17">
        <v>240.0</v>
      </c>
      <c r="K337" s="17">
        <v>140.0</v>
      </c>
      <c r="L337" s="5"/>
      <c r="M337" s="17">
        <v>120.0</v>
      </c>
    </row>
    <row r="338" ht="22.5" customHeight="1">
      <c r="A338" s="19" t="s">
        <v>1006</v>
      </c>
      <c r="B338" s="19" t="s">
        <v>169</v>
      </c>
      <c r="C338" s="19" t="s">
        <v>154</v>
      </c>
      <c r="D338" s="33">
        <v>120.0</v>
      </c>
      <c r="E338" s="33">
        <v>0.0</v>
      </c>
      <c r="F338" s="17">
        <v>144.0</v>
      </c>
      <c r="G338" s="34">
        <v>46165.0</v>
      </c>
      <c r="H338" s="17">
        <v>6.0</v>
      </c>
      <c r="I338" s="17">
        <v>6.0</v>
      </c>
      <c r="J338" s="17">
        <v>720.0</v>
      </c>
      <c r="K338" s="17">
        <v>1059.93</v>
      </c>
      <c r="L338" s="5"/>
      <c r="M338" s="17">
        <v>720.0</v>
      </c>
    </row>
    <row r="339" ht="22.5" customHeight="1">
      <c r="A339" s="19" t="s">
        <v>200</v>
      </c>
      <c r="B339" s="19" t="s">
        <v>50</v>
      </c>
      <c r="C339" s="19" t="s">
        <v>436</v>
      </c>
      <c r="D339" s="33">
        <v>120.0</v>
      </c>
      <c r="E339" s="33">
        <v>7.0</v>
      </c>
      <c r="F339" s="17">
        <v>144.0</v>
      </c>
      <c r="G339" s="34">
        <v>46146.0</v>
      </c>
      <c r="H339" s="17">
        <v>8.0</v>
      </c>
      <c r="I339" s="17">
        <v>1.0</v>
      </c>
      <c r="J339" s="17">
        <v>960.0</v>
      </c>
      <c r="K339" s="17">
        <v>250.0</v>
      </c>
      <c r="L339" s="5"/>
      <c r="M339" s="17">
        <v>960.0</v>
      </c>
    </row>
    <row r="340" ht="22.5" customHeight="1">
      <c r="A340" s="19" t="s">
        <v>1010</v>
      </c>
      <c r="B340" s="19"/>
      <c r="C340" s="19" t="s">
        <v>436</v>
      </c>
      <c r="D340" s="33">
        <v>120.0</v>
      </c>
      <c r="E340" s="33">
        <v>3.0</v>
      </c>
      <c r="F340" s="17">
        <v>144.0</v>
      </c>
      <c r="G340" s="34">
        <v>46116.0</v>
      </c>
      <c r="H340" s="17">
        <v>3.0</v>
      </c>
      <c r="I340" s="17">
        <v>0.0</v>
      </c>
      <c r="J340" s="17">
        <v>360.0</v>
      </c>
      <c r="K340" s="17">
        <v>0.0</v>
      </c>
      <c r="L340" s="5"/>
      <c r="M340" s="17">
        <v>360.0</v>
      </c>
    </row>
    <row r="341" ht="22.5" customHeight="1">
      <c r="A341" s="19" t="s">
        <v>971</v>
      </c>
      <c r="B341" s="19" t="s">
        <v>595</v>
      </c>
      <c r="C341" s="19" t="s">
        <v>119</v>
      </c>
      <c r="D341" s="33">
        <v>120.0</v>
      </c>
      <c r="E341" s="33">
        <v>2.0</v>
      </c>
      <c r="F341" s="17">
        <v>144.0</v>
      </c>
      <c r="G341" s="34">
        <v>46165.0</v>
      </c>
      <c r="H341" s="5">
        <v>2.0</v>
      </c>
      <c r="I341" s="5">
        <v>0.0</v>
      </c>
      <c r="J341" s="17">
        <v>240.0</v>
      </c>
      <c r="K341" s="17">
        <v>0.0</v>
      </c>
      <c r="L341" s="19"/>
      <c r="M341" s="17"/>
    </row>
    <row r="342" ht="22.5" customHeight="1">
      <c r="A342" s="10" t="s">
        <v>364</v>
      </c>
      <c r="B342" s="10" t="s">
        <v>185</v>
      </c>
      <c r="C342" s="10" t="s">
        <v>31</v>
      </c>
      <c r="D342" s="8">
        <v>115.0</v>
      </c>
      <c r="E342" s="8">
        <v>1.0</v>
      </c>
      <c r="F342" s="13">
        <v>138.0</v>
      </c>
      <c r="G342" s="14">
        <v>46011.0</v>
      </c>
      <c r="H342" s="13">
        <v>2.0</v>
      </c>
      <c r="I342" s="13">
        <v>1.0</v>
      </c>
      <c r="J342" s="13">
        <v>230.0</v>
      </c>
      <c r="K342" s="13">
        <v>140.0</v>
      </c>
      <c r="L342" s="15"/>
      <c r="M342" s="17">
        <v>115.0</v>
      </c>
    </row>
    <row r="343" ht="22.5" customHeight="1">
      <c r="A343" s="10" t="s">
        <v>883</v>
      </c>
      <c r="B343" s="10" t="s">
        <v>224</v>
      </c>
      <c r="C343" s="10" t="s">
        <v>119</v>
      </c>
      <c r="D343" s="8">
        <v>115.0</v>
      </c>
      <c r="E343" s="8">
        <v>1.0</v>
      </c>
      <c r="F343" s="13">
        <v>138.0</v>
      </c>
      <c r="G343" s="14">
        <v>46004.0</v>
      </c>
      <c r="H343" s="13">
        <v>1.0</v>
      </c>
      <c r="I343" s="13">
        <v>0.0</v>
      </c>
      <c r="J343" s="13">
        <v>115.0</v>
      </c>
      <c r="K343" s="13">
        <v>0.0</v>
      </c>
      <c r="L343" s="15"/>
      <c r="M343" s="17">
        <v>115.0</v>
      </c>
    </row>
    <row r="344" ht="22.5" customHeight="1">
      <c r="A344" s="19" t="s">
        <v>588</v>
      </c>
      <c r="B344" s="19" t="s">
        <v>498</v>
      </c>
      <c r="C344" s="19" t="s">
        <v>119</v>
      </c>
      <c r="D344" s="33">
        <v>115.0</v>
      </c>
      <c r="E344" s="33">
        <v>3.0</v>
      </c>
      <c r="F344" s="17">
        <v>138.0</v>
      </c>
      <c r="G344" s="34">
        <v>46064.0</v>
      </c>
      <c r="H344" s="5">
        <v>7.0</v>
      </c>
      <c r="I344" s="17">
        <v>4.0</v>
      </c>
      <c r="J344" s="17">
        <v>805.0</v>
      </c>
      <c r="K344" s="17">
        <v>540.0</v>
      </c>
      <c r="L344" s="5"/>
      <c r="M344" s="17">
        <v>345.0</v>
      </c>
    </row>
    <row r="345" ht="22.5" customHeight="1">
      <c r="A345" s="19" t="s">
        <v>915</v>
      </c>
      <c r="B345" s="19" t="s">
        <v>30</v>
      </c>
      <c r="C345" s="19" t="s">
        <v>154</v>
      </c>
      <c r="D345" s="33">
        <v>115.0</v>
      </c>
      <c r="E345" s="33">
        <v>6.0</v>
      </c>
      <c r="F345" s="17">
        <v>138.0</v>
      </c>
      <c r="G345" s="34">
        <v>46095.0</v>
      </c>
      <c r="H345" s="5">
        <v>8.0</v>
      </c>
      <c r="I345" s="17">
        <v>2.0</v>
      </c>
      <c r="J345" s="17">
        <v>920.0</v>
      </c>
      <c r="K345" s="17">
        <v>330.0</v>
      </c>
      <c r="L345" s="5"/>
      <c r="M345" s="17">
        <v>690.0</v>
      </c>
    </row>
    <row r="346" ht="22.5" customHeight="1">
      <c r="A346" s="19" t="s">
        <v>845</v>
      </c>
      <c r="B346" s="19" t="s">
        <v>224</v>
      </c>
      <c r="C346" s="19" t="s">
        <v>119</v>
      </c>
      <c r="D346" s="33">
        <v>115.0</v>
      </c>
      <c r="E346" s="33">
        <v>2.0</v>
      </c>
      <c r="F346" s="17">
        <v>138.0</v>
      </c>
      <c r="G346" s="34">
        <v>46075.0</v>
      </c>
      <c r="H346" s="5">
        <v>3.0</v>
      </c>
      <c r="I346" s="17">
        <v>1.0</v>
      </c>
      <c r="J346" s="17">
        <v>345.0</v>
      </c>
      <c r="K346" s="17">
        <v>145.0</v>
      </c>
      <c r="L346" s="5"/>
      <c r="M346" s="17">
        <v>230.0</v>
      </c>
    </row>
    <row r="347" ht="22.5" customHeight="1">
      <c r="A347" s="19" t="s">
        <v>1021</v>
      </c>
      <c r="B347" s="19" t="s">
        <v>1023</v>
      </c>
      <c r="C347" s="19" t="s">
        <v>125</v>
      </c>
      <c r="D347" s="33">
        <v>115.0</v>
      </c>
      <c r="E347" s="33">
        <v>9.0</v>
      </c>
      <c r="F347" s="17">
        <v>138.0</v>
      </c>
      <c r="G347" s="34">
        <v>46097.0</v>
      </c>
      <c r="H347" s="5">
        <v>10.0</v>
      </c>
      <c r="I347" s="17">
        <v>1.0</v>
      </c>
      <c r="J347" s="5">
        <v>1150.0</v>
      </c>
      <c r="K347" s="17">
        <v>170.0</v>
      </c>
      <c r="L347" s="5"/>
      <c r="M347" s="17">
        <v>1035.0</v>
      </c>
    </row>
    <row r="348" ht="22.5" customHeight="1">
      <c r="A348" s="10" t="s">
        <v>1025</v>
      </c>
      <c r="B348" s="10" t="s">
        <v>974</v>
      </c>
      <c r="C348" s="10" t="s">
        <v>125</v>
      </c>
      <c r="D348" s="8">
        <v>115.0</v>
      </c>
      <c r="E348" s="8">
        <v>2.0</v>
      </c>
      <c r="F348" s="13">
        <v>138.0</v>
      </c>
      <c r="G348" s="14">
        <v>46095.0</v>
      </c>
      <c r="H348" s="13">
        <v>2.0</v>
      </c>
      <c r="I348" s="13">
        <v>0.0</v>
      </c>
      <c r="J348" s="13">
        <v>230.0</v>
      </c>
      <c r="K348" s="13">
        <v>0.0</v>
      </c>
      <c r="L348" s="15"/>
      <c r="M348" s="17">
        <v>230.0</v>
      </c>
    </row>
    <row r="349" ht="22.5" customHeight="1">
      <c r="A349" s="19" t="s">
        <v>903</v>
      </c>
      <c r="B349" s="19" t="s">
        <v>1027</v>
      </c>
      <c r="C349" s="19" t="s">
        <v>119</v>
      </c>
      <c r="D349" s="33">
        <v>115.0</v>
      </c>
      <c r="E349" s="33">
        <v>3.0</v>
      </c>
      <c r="F349" s="17">
        <v>138.0</v>
      </c>
      <c r="G349" s="34">
        <v>46165.0</v>
      </c>
      <c r="H349" s="5">
        <v>3.0</v>
      </c>
      <c r="I349" s="5">
        <v>0.0</v>
      </c>
      <c r="J349" s="17">
        <v>345.0</v>
      </c>
      <c r="K349" s="17">
        <v>0.0</v>
      </c>
      <c r="L349" s="19"/>
      <c r="M349" s="17"/>
    </row>
    <row r="350" ht="22.5" customHeight="1">
      <c r="A350" s="10" t="s">
        <v>156</v>
      </c>
      <c r="B350" s="10" t="s">
        <v>68</v>
      </c>
      <c r="C350" s="10" t="s">
        <v>31</v>
      </c>
      <c r="D350" s="8">
        <v>112.5</v>
      </c>
      <c r="E350" s="8">
        <v>0.0</v>
      </c>
      <c r="F350" s="13">
        <v>135.0</v>
      </c>
      <c r="G350" s="6" t="s">
        <v>72</v>
      </c>
      <c r="H350" s="13">
        <v>2.0</v>
      </c>
      <c r="I350" s="13">
        <v>2.0</v>
      </c>
      <c r="J350" s="13">
        <v>225.0</v>
      </c>
      <c r="K350" s="13">
        <v>299.86</v>
      </c>
      <c r="L350" s="15"/>
      <c r="M350" s="17">
        <v>0.0</v>
      </c>
    </row>
    <row r="351" ht="22.5" customHeight="1">
      <c r="A351" s="10" t="s">
        <v>270</v>
      </c>
      <c r="B351" s="10" t="s">
        <v>68</v>
      </c>
      <c r="C351" s="10" t="s">
        <v>31</v>
      </c>
      <c r="D351" s="8">
        <v>112.5</v>
      </c>
      <c r="E351" s="8">
        <v>1.0</v>
      </c>
      <c r="F351" s="13">
        <v>135.0</v>
      </c>
      <c r="G351" s="14">
        <v>46021.0</v>
      </c>
      <c r="H351" s="13">
        <v>2.0</v>
      </c>
      <c r="I351" s="13">
        <v>1.0</v>
      </c>
      <c r="J351" s="13">
        <v>225.0</v>
      </c>
      <c r="K351" s="13">
        <v>150.0</v>
      </c>
      <c r="L351" s="15"/>
      <c r="M351" s="17">
        <v>112.5</v>
      </c>
    </row>
    <row r="352" ht="22.5" customHeight="1">
      <c r="A352" s="19" t="s">
        <v>997</v>
      </c>
      <c r="B352" s="19" t="s">
        <v>827</v>
      </c>
      <c r="C352" s="19" t="s">
        <v>119</v>
      </c>
      <c r="D352" s="33">
        <v>112.0</v>
      </c>
      <c r="E352" s="33">
        <v>2.0</v>
      </c>
      <c r="F352" s="17">
        <v>134.4</v>
      </c>
      <c r="G352" s="34">
        <v>46103.0</v>
      </c>
      <c r="H352" s="5">
        <v>3.0</v>
      </c>
      <c r="I352" s="17">
        <v>1.0</v>
      </c>
      <c r="J352" s="17">
        <v>336.0</v>
      </c>
      <c r="K352" s="17">
        <v>140.0</v>
      </c>
      <c r="L352" s="5"/>
      <c r="M352" s="17">
        <v>224.0</v>
      </c>
    </row>
    <row r="353" ht="22.5" customHeight="1">
      <c r="A353" s="10" t="s">
        <v>139</v>
      </c>
      <c r="B353" s="10" t="s">
        <v>30</v>
      </c>
      <c r="C353" s="10" t="s">
        <v>31</v>
      </c>
      <c r="D353" s="8">
        <v>110.0</v>
      </c>
      <c r="E353" s="8">
        <v>2.0</v>
      </c>
      <c r="F353" s="13">
        <v>132.0</v>
      </c>
      <c r="G353" s="14">
        <v>46058.0</v>
      </c>
      <c r="H353" s="13">
        <v>4.0</v>
      </c>
      <c r="I353" s="13">
        <v>2.0</v>
      </c>
      <c r="J353" s="13">
        <v>440.0</v>
      </c>
      <c r="K353" s="13">
        <v>299.93</v>
      </c>
      <c r="L353" s="15"/>
      <c r="M353" s="17">
        <v>220.0</v>
      </c>
    </row>
    <row r="354" ht="22.5" customHeight="1">
      <c r="A354" s="10" t="s">
        <v>1038</v>
      </c>
      <c r="B354" s="10" t="s">
        <v>238</v>
      </c>
      <c r="C354" s="10" t="s">
        <v>31</v>
      </c>
      <c r="D354" s="8">
        <v>110.0</v>
      </c>
      <c r="E354" s="8">
        <v>0.0</v>
      </c>
      <c r="F354" s="13">
        <v>132.0</v>
      </c>
      <c r="G354" s="14">
        <v>45812.0</v>
      </c>
      <c r="H354" s="13">
        <v>1.0</v>
      </c>
      <c r="I354" s="13">
        <v>0.0</v>
      </c>
      <c r="J354" s="13">
        <v>110.0</v>
      </c>
      <c r="K354" s="13">
        <v>0.0</v>
      </c>
      <c r="L354" s="15"/>
      <c r="M354" s="17">
        <v>0.0</v>
      </c>
    </row>
    <row r="355" ht="22.5" customHeight="1">
      <c r="A355" s="10" t="s">
        <v>376</v>
      </c>
      <c r="B355" s="10" t="s">
        <v>185</v>
      </c>
      <c r="C355" s="10" t="s">
        <v>31</v>
      </c>
      <c r="D355" s="8">
        <v>110.0</v>
      </c>
      <c r="E355" s="8">
        <v>0.0</v>
      </c>
      <c r="F355" s="13">
        <v>132.0</v>
      </c>
      <c r="G355" s="6" t="s">
        <v>321</v>
      </c>
      <c r="H355" s="13">
        <v>2.0</v>
      </c>
      <c r="I355" s="13">
        <v>2.0</v>
      </c>
      <c r="J355" s="13">
        <v>220.0</v>
      </c>
      <c r="K355" s="13">
        <v>260.0</v>
      </c>
      <c r="L355" s="15"/>
      <c r="M355" s="17">
        <v>0.0</v>
      </c>
    </row>
    <row r="356" ht="22.5" customHeight="1">
      <c r="A356" s="10" t="s">
        <v>204</v>
      </c>
      <c r="B356" s="10" t="s">
        <v>68</v>
      </c>
      <c r="C356" s="10" t="s">
        <v>31</v>
      </c>
      <c r="D356" s="8">
        <v>110.0</v>
      </c>
      <c r="E356" s="8">
        <v>0.0</v>
      </c>
      <c r="F356" s="13">
        <v>132.0</v>
      </c>
      <c r="G356" s="6" t="s">
        <v>72</v>
      </c>
      <c r="H356" s="13">
        <v>1.0</v>
      </c>
      <c r="I356" s="13">
        <v>1.0</v>
      </c>
      <c r="J356" s="13">
        <v>110.0</v>
      </c>
      <c r="K356" s="13">
        <v>209.79</v>
      </c>
      <c r="L356" s="15"/>
      <c r="M356" s="17">
        <v>0.0</v>
      </c>
    </row>
    <row r="357" ht="22.5" customHeight="1">
      <c r="A357" s="10" t="s">
        <v>329</v>
      </c>
      <c r="B357" s="10" t="s">
        <v>68</v>
      </c>
      <c r="C357" s="10" t="s">
        <v>31</v>
      </c>
      <c r="D357" s="8">
        <v>110.0</v>
      </c>
      <c r="E357" s="8">
        <v>0.0</v>
      </c>
      <c r="F357" s="13">
        <v>132.0</v>
      </c>
      <c r="G357" s="14">
        <v>46021.0</v>
      </c>
      <c r="H357" s="13">
        <v>1.0</v>
      </c>
      <c r="I357" s="13">
        <v>2.0</v>
      </c>
      <c r="J357" s="13">
        <v>110.0</v>
      </c>
      <c r="K357" s="13">
        <v>360.0</v>
      </c>
      <c r="L357" s="15"/>
      <c r="M357" s="17">
        <v>0.0</v>
      </c>
    </row>
    <row r="358" ht="22.5" customHeight="1">
      <c r="A358" s="10" t="s">
        <v>433</v>
      </c>
      <c r="B358" s="10" t="s">
        <v>68</v>
      </c>
      <c r="C358" s="10" t="s">
        <v>31</v>
      </c>
      <c r="D358" s="8">
        <v>110.0</v>
      </c>
      <c r="E358" s="8">
        <v>0.0</v>
      </c>
      <c r="F358" s="13">
        <v>132.0</v>
      </c>
      <c r="G358" s="14">
        <v>47048.0</v>
      </c>
      <c r="H358" s="13">
        <v>1.0</v>
      </c>
      <c r="I358" s="13">
        <v>1.0</v>
      </c>
      <c r="J358" s="13">
        <v>110.0</v>
      </c>
      <c r="K358" s="13">
        <v>159.89</v>
      </c>
      <c r="L358" s="15"/>
      <c r="M358" s="17">
        <v>0.0</v>
      </c>
    </row>
    <row r="359" ht="22.5" customHeight="1">
      <c r="A359" s="10" t="s">
        <v>463</v>
      </c>
      <c r="B359" s="10" t="s">
        <v>68</v>
      </c>
      <c r="C359" s="10" t="s">
        <v>31</v>
      </c>
      <c r="D359" s="8">
        <v>110.0</v>
      </c>
      <c r="E359" s="8">
        <v>2.0</v>
      </c>
      <c r="F359" s="13">
        <v>132.0</v>
      </c>
      <c r="G359" s="14">
        <v>45835.0</v>
      </c>
      <c r="H359" s="13">
        <v>2.0</v>
      </c>
      <c r="I359" s="13">
        <v>0.0</v>
      </c>
      <c r="J359" s="13">
        <v>220.0</v>
      </c>
      <c r="K359" s="13">
        <v>0.0</v>
      </c>
      <c r="L359" s="15"/>
      <c r="M359" s="17">
        <v>220.0</v>
      </c>
    </row>
    <row r="360" ht="22.5" customHeight="1">
      <c r="A360" s="19" t="s">
        <v>1050</v>
      </c>
      <c r="B360" s="19" t="s">
        <v>224</v>
      </c>
      <c r="C360" s="19" t="s">
        <v>119</v>
      </c>
      <c r="D360" s="33">
        <v>110.0</v>
      </c>
      <c r="E360" s="33">
        <v>2.0</v>
      </c>
      <c r="F360" s="17">
        <v>132.0</v>
      </c>
      <c r="G360" s="34">
        <v>46162.0</v>
      </c>
      <c r="H360" s="5">
        <v>3.0</v>
      </c>
      <c r="I360" s="17">
        <v>1.0</v>
      </c>
      <c r="J360" s="17">
        <v>330.0</v>
      </c>
      <c r="K360" s="17">
        <v>200.0</v>
      </c>
      <c r="L360" s="5"/>
      <c r="M360" s="17">
        <v>330.0</v>
      </c>
    </row>
    <row r="361" ht="22.5" customHeight="1">
      <c r="A361" s="10" t="s">
        <v>363</v>
      </c>
      <c r="B361" s="10" t="s">
        <v>472</v>
      </c>
      <c r="C361" s="10" t="s">
        <v>51</v>
      </c>
      <c r="D361" s="8">
        <v>110.0</v>
      </c>
      <c r="E361" s="8">
        <v>1.4444444444444446</v>
      </c>
      <c r="F361" s="13">
        <v>132.0</v>
      </c>
      <c r="G361" s="14">
        <v>46168.0</v>
      </c>
      <c r="H361" s="13">
        <v>8.0</v>
      </c>
      <c r="I361" s="13">
        <v>1.8888888888888893</v>
      </c>
      <c r="J361" s="13">
        <v>880.0</v>
      </c>
      <c r="K361" s="13">
        <v>345.56</v>
      </c>
      <c r="L361" s="10" t="s">
        <v>1054</v>
      </c>
      <c r="M361" s="17">
        <v>403.33333333333337</v>
      </c>
    </row>
    <row r="362" ht="22.5" customHeight="1">
      <c r="A362" s="10" t="s">
        <v>658</v>
      </c>
      <c r="B362" s="10" t="s">
        <v>124</v>
      </c>
      <c r="C362" s="10" t="s">
        <v>125</v>
      </c>
      <c r="D362" s="8">
        <v>110.0</v>
      </c>
      <c r="E362" s="8">
        <v>2.0</v>
      </c>
      <c r="F362" s="13">
        <v>132.0</v>
      </c>
      <c r="G362" s="14">
        <v>46099.0</v>
      </c>
      <c r="H362" s="13">
        <v>2.0</v>
      </c>
      <c r="I362" s="13">
        <v>0.0</v>
      </c>
      <c r="J362" s="13">
        <v>220.0</v>
      </c>
      <c r="K362" s="13">
        <v>0.0</v>
      </c>
      <c r="L362" s="15"/>
      <c r="M362" s="17">
        <v>220.0</v>
      </c>
    </row>
    <row r="363" ht="22.5" customHeight="1">
      <c r="A363" s="19" t="s">
        <v>168</v>
      </c>
      <c r="B363" s="19" t="s">
        <v>169</v>
      </c>
      <c r="C363" s="19" t="s">
        <v>154</v>
      </c>
      <c r="D363" s="33">
        <v>110.0</v>
      </c>
      <c r="E363" s="33">
        <v>4.0</v>
      </c>
      <c r="F363" s="17">
        <v>132.0</v>
      </c>
      <c r="G363" s="34">
        <v>46167.0</v>
      </c>
      <c r="H363" s="5">
        <v>6.0</v>
      </c>
      <c r="I363" s="17">
        <v>2.0</v>
      </c>
      <c r="J363" s="17">
        <v>660.0</v>
      </c>
      <c r="K363" s="17">
        <v>380.0</v>
      </c>
      <c r="L363" s="5"/>
      <c r="M363" s="17">
        <v>660.0</v>
      </c>
    </row>
    <row r="364" ht="22.5" customHeight="1">
      <c r="A364" s="19" t="s">
        <v>1058</v>
      </c>
      <c r="B364" s="19" t="s">
        <v>472</v>
      </c>
      <c r="C364" s="19" t="s">
        <v>1059</v>
      </c>
      <c r="D364" s="33">
        <v>110.0</v>
      </c>
      <c r="E364" s="33">
        <v>18.0</v>
      </c>
      <c r="F364" s="17">
        <v>132.0</v>
      </c>
      <c r="G364" s="34">
        <v>46154.0</v>
      </c>
      <c r="H364" s="5">
        <v>18.0</v>
      </c>
      <c r="I364" s="5">
        <v>0.0</v>
      </c>
      <c r="J364" s="17">
        <v>1980.0</v>
      </c>
      <c r="K364" s="17">
        <v>0.0</v>
      </c>
      <c r="L364" s="19"/>
      <c r="M364" s="17"/>
    </row>
    <row r="365" ht="22.5" customHeight="1">
      <c r="A365" s="19" t="s">
        <v>1061</v>
      </c>
      <c r="B365" s="19" t="s">
        <v>568</v>
      </c>
      <c r="C365" s="19" t="s">
        <v>484</v>
      </c>
      <c r="D365" s="33">
        <v>110.0</v>
      </c>
      <c r="E365" s="33">
        <v>12.0</v>
      </c>
      <c r="F365" s="17">
        <v>132.0</v>
      </c>
      <c r="G365" s="34">
        <v>46165.0</v>
      </c>
      <c r="H365" s="5">
        <v>12.0</v>
      </c>
      <c r="I365" s="5">
        <v>0.0</v>
      </c>
      <c r="J365" s="17">
        <v>1320.0</v>
      </c>
      <c r="K365" s="17">
        <v>0.0</v>
      </c>
      <c r="L365" s="19"/>
      <c r="M365" s="17"/>
    </row>
    <row r="366" ht="22.5" customHeight="1">
      <c r="A366" s="19" t="s">
        <v>1063</v>
      </c>
      <c r="B366" s="19" t="s">
        <v>1027</v>
      </c>
      <c r="C366" s="19" t="s">
        <v>119</v>
      </c>
      <c r="D366" s="33">
        <v>108.0</v>
      </c>
      <c r="E366" s="33">
        <v>2.0</v>
      </c>
      <c r="F366" s="17">
        <v>129.6</v>
      </c>
      <c r="G366" s="5" t="s">
        <v>1065</v>
      </c>
      <c r="H366" s="5">
        <v>3.0</v>
      </c>
      <c r="I366" s="5">
        <v>1.0</v>
      </c>
      <c r="J366" s="17">
        <v>324.0</v>
      </c>
      <c r="K366" s="17">
        <v>150.0</v>
      </c>
      <c r="L366" s="19"/>
      <c r="M366" s="17"/>
    </row>
    <row r="367" ht="22.5" customHeight="1">
      <c r="A367" s="19" t="s">
        <v>795</v>
      </c>
      <c r="B367" s="19" t="s">
        <v>1068</v>
      </c>
      <c r="C367" s="19" t="s">
        <v>119</v>
      </c>
      <c r="D367" s="33">
        <v>108.0</v>
      </c>
      <c r="E367" s="33">
        <v>4.0</v>
      </c>
      <c r="F367" s="17">
        <v>129.6</v>
      </c>
      <c r="G367" s="34">
        <v>46165.0</v>
      </c>
      <c r="H367" s="5">
        <v>4.0</v>
      </c>
      <c r="I367" s="5">
        <v>0.0</v>
      </c>
      <c r="J367" s="17">
        <v>432.0</v>
      </c>
      <c r="K367" s="17">
        <v>0.0</v>
      </c>
      <c r="L367" s="19"/>
      <c r="M367" s="17"/>
    </row>
    <row r="368" ht="22.5" customHeight="1">
      <c r="A368" s="19" t="s">
        <v>687</v>
      </c>
      <c r="B368" s="19" t="s">
        <v>224</v>
      </c>
      <c r="C368" s="19" t="s">
        <v>119</v>
      </c>
      <c r="D368" s="33">
        <v>106.0</v>
      </c>
      <c r="E368" s="33">
        <v>1.0</v>
      </c>
      <c r="F368" s="17">
        <v>127.2</v>
      </c>
      <c r="G368" s="34">
        <v>46041.77366245371</v>
      </c>
      <c r="H368" s="5">
        <v>2.0</v>
      </c>
      <c r="I368" s="17">
        <v>1.0</v>
      </c>
      <c r="J368" s="17">
        <v>212.0</v>
      </c>
      <c r="K368" s="17">
        <v>135.0</v>
      </c>
      <c r="L368" s="5"/>
      <c r="M368" s="17">
        <v>106.0</v>
      </c>
    </row>
    <row r="369" ht="22.5" customHeight="1">
      <c r="A369" s="19" t="s">
        <v>694</v>
      </c>
      <c r="B369" s="19" t="s">
        <v>224</v>
      </c>
      <c r="C369" s="19" t="s">
        <v>119</v>
      </c>
      <c r="D369" s="33">
        <v>106.0</v>
      </c>
      <c r="E369" s="33">
        <v>0.0</v>
      </c>
      <c r="F369" s="17">
        <v>127.2</v>
      </c>
      <c r="G369" s="34">
        <v>46041.773663182874</v>
      </c>
      <c r="H369" s="5">
        <v>1.0</v>
      </c>
      <c r="I369" s="17">
        <v>1.0</v>
      </c>
      <c r="J369" s="17">
        <v>106.0</v>
      </c>
      <c r="K369" s="17">
        <v>130.0</v>
      </c>
      <c r="L369" s="5"/>
      <c r="M369" s="17">
        <v>0.0</v>
      </c>
    </row>
    <row r="370" ht="22.5" customHeight="1">
      <c r="A370" s="19" t="s">
        <v>1073</v>
      </c>
      <c r="B370" s="19" t="s">
        <v>1023</v>
      </c>
      <c r="C370" s="19" t="s">
        <v>119</v>
      </c>
      <c r="D370" s="33">
        <v>106.0</v>
      </c>
      <c r="E370" s="33">
        <v>1.0</v>
      </c>
      <c r="F370" s="17">
        <v>127.2</v>
      </c>
      <c r="G370" s="34">
        <v>46121.0</v>
      </c>
      <c r="H370" s="17">
        <v>3.0</v>
      </c>
      <c r="I370" s="17">
        <v>2.0</v>
      </c>
      <c r="J370" s="17">
        <v>318.0</v>
      </c>
      <c r="K370" s="17">
        <v>375.0</v>
      </c>
      <c r="L370" s="5"/>
      <c r="M370" s="17">
        <v>318.0</v>
      </c>
    </row>
    <row r="371" ht="22.5" customHeight="1">
      <c r="A371" s="10" t="s">
        <v>179</v>
      </c>
      <c r="B371" s="10" t="s">
        <v>238</v>
      </c>
      <c r="C371" s="10" t="s">
        <v>31</v>
      </c>
      <c r="D371" s="8">
        <v>105.0</v>
      </c>
      <c r="E371" s="8">
        <v>2.0</v>
      </c>
      <c r="F371" s="13">
        <v>126.0</v>
      </c>
      <c r="G371" s="14">
        <v>44997.0</v>
      </c>
      <c r="H371" s="13">
        <v>8.0</v>
      </c>
      <c r="I371" s="13">
        <v>6.0</v>
      </c>
      <c r="J371" s="13">
        <v>840.0</v>
      </c>
      <c r="K371" s="13">
        <v>780.0</v>
      </c>
      <c r="L371" s="15"/>
      <c r="M371" s="17">
        <v>210.0</v>
      </c>
    </row>
    <row r="372" ht="22.5" customHeight="1">
      <c r="A372" s="10" t="s">
        <v>405</v>
      </c>
      <c r="B372" s="10" t="s">
        <v>185</v>
      </c>
      <c r="C372" s="10" t="s">
        <v>31</v>
      </c>
      <c r="D372" s="8">
        <v>105.0</v>
      </c>
      <c r="E372" s="8">
        <v>1.0</v>
      </c>
      <c r="F372" s="13">
        <v>126.0</v>
      </c>
      <c r="G372" s="14">
        <v>45896.0</v>
      </c>
      <c r="H372" s="13">
        <v>1.0</v>
      </c>
      <c r="I372" s="13">
        <v>0.0</v>
      </c>
      <c r="J372" s="13">
        <v>105.0</v>
      </c>
      <c r="K372" s="13">
        <v>0.0</v>
      </c>
      <c r="L372" s="15"/>
      <c r="M372" s="17">
        <v>105.0</v>
      </c>
    </row>
    <row r="373" ht="22.5" customHeight="1">
      <c r="A373" s="10" t="s">
        <v>642</v>
      </c>
      <c r="B373" s="10" t="s">
        <v>30</v>
      </c>
      <c r="C373" s="10" t="s">
        <v>31</v>
      </c>
      <c r="D373" s="8">
        <v>105.0</v>
      </c>
      <c r="E373" s="8">
        <v>4.0</v>
      </c>
      <c r="F373" s="13">
        <v>126.0</v>
      </c>
      <c r="G373" s="14">
        <v>45904.0</v>
      </c>
      <c r="H373" s="13">
        <v>4.0</v>
      </c>
      <c r="I373" s="13">
        <v>0.0</v>
      </c>
      <c r="J373" s="13">
        <v>420.0</v>
      </c>
      <c r="K373" s="13">
        <v>0.0</v>
      </c>
      <c r="L373" s="15"/>
      <c r="M373" s="17">
        <v>420.0</v>
      </c>
    </row>
    <row r="374" ht="22.5" customHeight="1">
      <c r="A374" s="10" t="s">
        <v>728</v>
      </c>
      <c r="B374" s="10" t="s">
        <v>185</v>
      </c>
      <c r="C374" s="10" t="s">
        <v>31</v>
      </c>
      <c r="D374" s="8">
        <v>105.0</v>
      </c>
      <c r="E374" s="8">
        <v>1.0</v>
      </c>
      <c r="F374" s="13">
        <v>126.0</v>
      </c>
      <c r="G374" s="14">
        <v>45929.0</v>
      </c>
      <c r="H374" s="13">
        <v>1.0</v>
      </c>
      <c r="I374" s="13">
        <v>0.0</v>
      </c>
      <c r="J374" s="13">
        <v>105.0</v>
      </c>
      <c r="K374" s="13">
        <v>0.0</v>
      </c>
      <c r="L374" s="15"/>
      <c r="M374" s="17">
        <v>105.0</v>
      </c>
    </row>
    <row r="375" ht="22.5" customHeight="1">
      <c r="A375" s="10" t="s">
        <v>467</v>
      </c>
      <c r="B375" s="10" t="s">
        <v>185</v>
      </c>
      <c r="C375" s="10" t="s">
        <v>31</v>
      </c>
      <c r="D375" s="8">
        <v>105.0</v>
      </c>
      <c r="E375" s="8">
        <v>1.0</v>
      </c>
      <c r="F375" s="13">
        <v>126.0</v>
      </c>
      <c r="G375" s="14">
        <v>46167.0</v>
      </c>
      <c r="H375" s="13">
        <v>4.0</v>
      </c>
      <c r="I375" s="13">
        <v>3.0</v>
      </c>
      <c r="J375" s="13">
        <v>420.0</v>
      </c>
      <c r="K375" s="13">
        <v>380.0</v>
      </c>
      <c r="L375" s="15"/>
      <c r="M375" s="17">
        <v>210.0</v>
      </c>
    </row>
    <row r="376" ht="22.5" customHeight="1">
      <c r="A376" s="10" t="s">
        <v>1084</v>
      </c>
      <c r="B376" s="10" t="s">
        <v>1085</v>
      </c>
      <c r="C376" s="10" t="s">
        <v>125</v>
      </c>
      <c r="D376" s="8">
        <v>105.0</v>
      </c>
      <c r="E376" s="8">
        <v>2.0</v>
      </c>
      <c r="F376" s="13">
        <v>126.0</v>
      </c>
      <c r="G376" s="14">
        <v>46099.0</v>
      </c>
      <c r="H376" s="13">
        <v>2.0</v>
      </c>
      <c r="I376" s="13">
        <v>0.0</v>
      </c>
      <c r="J376" s="13">
        <v>210.0</v>
      </c>
      <c r="K376" s="13">
        <v>0.0</v>
      </c>
      <c r="L376" s="15"/>
      <c r="M376" s="17">
        <v>210.0</v>
      </c>
    </row>
    <row r="377" ht="22.5" customHeight="1">
      <c r="A377" s="19" t="s">
        <v>29</v>
      </c>
      <c r="B377" s="19" t="s">
        <v>598</v>
      </c>
      <c r="C377" s="5" t="s">
        <v>54</v>
      </c>
      <c r="D377" s="33">
        <v>103.75</v>
      </c>
      <c r="E377" s="33">
        <v>4.0</v>
      </c>
      <c r="F377" s="17">
        <v>124.5</v>
      </c>
      <c r="G377" s="34">
        <v>46166.0</v>
      </c>
      <c r="H377" s="5">
        <v>3.0</v>
      </c>
      <c r="I377" s="17">
        <v>4.0</v>
      </c>
      <c r="J377" s="17">
        <v>103.75</v>
      </c>
      <c r="K377" s="17">
        <v>920.0</v>
      </c>
      <c r="L377" s="5" t="s">
        <v>600</v>
      </c>
      <c r="M377" s="17">
        <v>0.0</v>
      </c>
    </row>
    <row r="378" ht="22.5" customHeight="1">
      <c r="A378" s="19" t="s">
        <v>590</v>
      </c>
      <c r="B378" s="19" t="s">
        <v>1089</v>
      </c>
      <c r="C378" s="19" t="s">
        <v>119</v>
      </c>
      <c r="D378" s="8">
        <v>103.0</v>
      </c>
      <c r="E378" s="96">
        <v>32.0</v>
      </c>
      <c r="F378" s="33">
        <f>D378*0.2+D378</f>
        <v>123.6</v>
      </c>
      <c r="G378" s="34">
        <v>46167.0</v>
      </c>
      <c r="H378" s="5">
        <v>2.0</v>
      </c>
      <c r="I378" s="5">
        <v>6.0</v>
      </c>
      <c r="J378" s="17">
        <v>230.0</v>
      </c>
      <c r="K378" s="17">
        <v>900.0</v>
      </c>
      <c r="L378" s="19"/>
      <c r="M378" s="17"/>
    </row>
    <row r="379" ht="22.5" customHeight="1">
      <c r="A379" s="19" t="s">
        <v>638</v>
      </c>
      <c r="B379" s="19" t="s">
        <v>472</v>
      </c>
      <c r="C379" s="19" t="s">
        <v>51</v>
      </c>
      <c r="D379" s="33">
        <v>100.0</v>
      </c>
      <c r="E379" s="33">
        <v>1.3</v>
      </c>
      <c r="F379" s="17">
        <v>120.0</v>
      </c>
      <c r="G379" s="34">
        <v>46159.0</v>
      </c>
      <c r="H379" s="5">
        <v>4.0</v>
      </c>
      <c r="I379" s="17">
        <v>2.7</v>
      </c>
      <c r="J379" s="17">
        <v>400.0</v>
      </c>
      <c r="K379" s="17">
        <v>395.5</v>
      </c>
      <c r="L379" s="5"/>
      <c r="M379" s="17">
        <v>160.0</v>
      </c>
    </row>
    <row r="380" ht="22.5" customHeight="1">
      <c r="A380" s="19" t="s">
        <v>778</v>
      </c>
      <c r="B380" s="19" t="s">
        <v>1094</v>
      </c>
      <c r="C380" s="19" t="s">
        <v>119</v>
      </c>
      <c r="D380" s="33">
        <v>100.0</v>
      </c>
      <c r="E380" s="33">
        <v>0.0</v>
      </c>
      <c r="F380" s="17">
        <v>120.0</v>
      </c>
      <c r="G380" s="34">
        <v>46063.0</v>
      </c>
      <c r="H380" s="5">
        <v>1.0</v>
      </c>
      <c r="I380" s="17">
        <v>1.0</v>
      </c>
      <c r="J380" s="17">
        <v>100.0</v>
      </c>
      <c r="K380" s="17">
        <v>125.0</v>
      </c>
      <c r="L380" s="5"/>
      <c r="M380" s="17">
        <v>0.0</v>
      </c>
    </row>
    <row r="381" ht="22.5" customHeight="1">
      <c r="A381" s="10" t="s">
        <v>622</v>
      </c>
      <c r="B381" s="10" t="s">
        <v>316</v>
      </c>
      <c r="C381" s="10" t="s">
        <v>154</v>
      </c>
      <c r="D381" s="8">
        <v>100.0</v>
      </c>
      <c r="E381" s="8">
        <v>12.0</v>
      </c>
      <c r="F381" s="13">
        <v>120.0</v>
      </c>
      <c r="G381" s="14">
        <v>46099.0</v>
      </c>
      <c r="H381" s="13">
        <v>12.0</v>
      </c>
      <c r="I381" s="13">
        <v>0.0</v>
      </c>
      <c r="J381" s="13">
        <v>1200.0</v>
      </c>
      <c r="K381" s="13">
        <v>0.0</v>
      </c>
      <c r="L381" s="15"/>
      <c r="M381" s="17">
        <v>1200.0</v>
      </c>
    </row>
    <row r="382" ht="22.5" customHeight="1">
      <c r="A382" s="10" t="s">
        <v>1099</v>
      </c>
      <c r="B382" s="10" t="s">
        <v>50</v>
      </c>
      <c r="C382" s="10" t="s">
        <v>154</v>
      </c>
      <c r="D382" s="8">
        <v>100.0</v>
      </c>
      <c r="E382" s="8">
        <v>1.0</v>
      </c>
      <c r="F382" s="13">
        <v>120.0</v>
      </c>
      <c r="G382" s="14">
        <v>46099.0</v>
      </c>
      <c r="H382" s="13">
        <v>1.0</v>
      </c>
      <c r="I382" s="13">
        <v>0.0</v>
      </c>
      <c r="J382" s="13">
        <v>100.0</v>
      </c>
      <c r="K382" s="13">
        <v>0.0</v>
      </c>
      <c r="L382" s="15"/>
      <c r="M382" s="17">
        <v>100.0</v>
      </c>
    </row>
    <row r="383" ht="22.5" customHeight="1">
      <c r="A383" s="19" t="s">
        <v>248</v>
      </c>
      <c r="B383" s="19" t="s">
        <v>238</v>
      </c>
      <c r="C383" s="19" t="s">
        <v>154</v>
      </c>
      <c r="D383" s="33">
        <v>100.0</v>
      </c>
      <c r="E383" s="33">
        <v>0.0</v>
      </c>
      <c r="F383" s="17">
        <v>120.0</v>
      </c>
      <c r="G383" s="34">
        <v>46100.0</v>
      </c>
      <c r="H383" s="5">
        <v>6.0</v>
      </c>
      <c r="I383" s="17">
        <v>6.0</v>
      </c>
      <c r="J383" s="5">
        <v>600.0</v>
      </c>
      <c r="K383" s="17">
        <v>1015.0</v>
      </c>
      <c r="L383" s="5"/>
      <c r="M383" s="17">
        <v>0.0</v>
      </c>
    </row>
    <row r="384" ht="22.5" customHeight="1">
      <c r="A384" s="19" t="s">
        <v>336</v>
      </c>
      <c r="B384" s="19" t="s">
        <v>238</v>
      </c>
      <c r="C384" s="19" t="s">
        <v>154</v>
      </c>
      <c r="D384" s="33">
        <v>100.0</v>
      </c>
      <c r="E384" s="33">
        <v>11.0</v>
      </c>
      <c r="F384" s="17">
        <v>120.0</v>
      </c>
      <c r="G384" s="34">
        <v>46133.0</v>
      </c>
      <c r="H384" s="17">
        <v>21.0</v>
      </c>
      <c r="I384" s="17">
        <v>10.0</v>
      </c>
      <c r="J384" s="17">
        <v>2100.0</v>
      </c>
      <c r="K384" s="17">
        <v>1470.0</v>
      </c>
      <c r="L384" s="5"/>
      <c r="M384" s="17">
        <v>2100.0</v>
      </c>
    </row>
    <row r="385" ht="22.5" customHeight="1">
      <c r="A385" s="19" t="s">
        <v>876</v>
      </c>
      <c r="B385" s="19" t="s">
        <v>1104</v>
      </c>
      <c r="C385" s="19" t="s">
        <v>51</v>
      </c>
      <c r="D385" s="33">
        <v>100.0</v>
      </c>
      <c r="E385" s="33">
        <v>6.0</v>
      </c>
      <c r="F385" s="17">
        <v>120.0</v>
      </c>
      <c r="G385" s="34">
        <v>46095.0</v>
      </c>
      <c r="H385" s="5">
        <v>6.0</v>
      </c>
      <c r="I385" s="17">
        <v>0.0</v>
      </c>
      <c r="J385" s="5">
        <v>600.0</v>
      </c>
      <c r="K385" s="17">
        <v>0.0</v>
      </c>
      <c r="L385" s="5"/>
      <c r="M385" s="17">
        <v>600.0</v>
      </c>
    </row>
    <row r="386" ht="22.5" customHeight="1">
      <c r="A386" s="10" t="s">
        <v>1106</v>
      </c>
      <c r="B386" s="10" t="s">
        <v>1085</v>
      </c>
      <c r="C386" s="10" t="s">
        <v>125</v>
      </c>
      <c r="D386" s="8">
        <v>100.0</v>
      </c>
      <c r="E386" s="8">
        <v>1.0</v>
      </c>
      <c r="F386" s="13">
        <v>120.0</v>
      </c>
      <c r="G386" s="14">
        <v>46099.0</v>
      </c>
      <c r="H386" s="13">
        <v>1.0</v>
      </c>
      <c r="I386" s="13">
        <v>0.0</v>
      </c>
      <c r="J386" s="13">
        <v>100.0</v>
      </c>
      <c r="K386" s="13">
        <v>0.0</v>
      </c>
      <c r="L386" s="15"/>
      <c r="M386" s="17">
        <v>100.0</v>
      </c>
    </row>
    <row r="387" ht="22.5" customHeight="1">
      <c r="A387" s="10" t="s">
        <v>1109</v>
      </c>
      <c r="B387" s="10" t="s">
        <v>124</v>
      </c>
      <c r="C387" s="10" t="s">
        <v>125</v>
      </c>
      <c r="D387" s="8">
        <v>100.0</v>
      </c>
      <c r="E387" s="8">
        <v>1.0</v>
      </c>
      <c r="F387" s="13">
        <v>120.0</v>
      </c>
      <c r="G387" s="14">
        <v>46099.0</v>
      </c>
      <c r="H387" s="13">
        <v>1.0</v>
      </c>
      <c r="I387" s="13">
        <v>0.0</v>
      </c>
      <c r="J387" s="13">
        <v>100.0</v>
      </c>
      <c r="K387" s="13">
        <v>0.0</v>
      </c>
      <c r="L387" s="15"/>
      <c r="M387" s="17">
        <v>100.0</v>
      </c>
    </row>
    <row r="388" ht="22.5" customHeight="1">
      <c r="A388" s="19" t="s">
        <v>46</v>
      </c>
      <c r="B388" s="19" t="s">
        <v>68</v>
      </c>
      <c r="C388" s="5" t="s">
        <v>54</v>
      </c>
      <c r="D388" s="33">
        <v>96.88</v>
      </c>
      <c r="E388" s="33">
        <v>1.0</v>
      </c>
      <c r="F388" s="17">
        <v>116.25599999999999</v>
      </c>
      <c r="G388" s="34">
        <v>46150.78321849537</v>
      </c>
      <c r="H388" s="5">
        <v>1.0</v>
      </c>
      <c r="I388" s="5">
        <v>0.0</v>
      </c>
      <c r="J388" s="17">
        <v>96.88</v>
      </c>
      <c r="K388" s="17">
        <v>0.0</v>
      </c>
      <c r="L388" s="5" t="s">
        <v>1112</v>
      </c>
      <c r="M388" s="17"/>
    </row>
    <row r="389" ht="22.5" customHeight="1">
      <c r="A389" s="10" t="s">
        <v>36</v>
      </c>
      <c r="B389" s="10" t="s">
        <v>50</v>
      </c>
      <c r="C389" s="10" t="s">
        <v>31</v>
      </c>
      <c r="D389" s="8">
        <v>95.0</v>
      </c>
      <c r="E389" s="8">
        <v>9.0</v>
      </c>
      <c r="F389" s="13">
        <v>114.0</v>
      </c>
      <c r="G389" s="6" t="s">
        <v>72</v>
      </c>
      <c r="H389" s="13">
        <v>11.0</v>
      </c>
      <c r="I389" s="13">
        <v>2.0</v>
      </c>
      <c r="J389" s="13">
        <v>1045.0</v>
      </c>
      <c r="K389" s="13">
        <v>150.0</v>
      </c>
      <c r="L389" s="15"/>
      <c r="M389" s="17">
        <v>855.0</v>
      </c>
    </row>
    <row r="390" ht="22.5" customHeight="1">
      <c r="A390" s="10" t="s">
        <v>325</v>
      </c>
      <c r="B390" s="10" t="s">
        <v>169</v>
      </c>
      <c r="C390" s="10" t="s">
        <v>31</v>
      </c>
      <c r="D390" s="8">
        <v>95.0</v>
      </c>
      <c r="E390" s="8">
        <v>1.0</v>
      </c>
      <c r="F390" s="13">
        <v>114.0</v>
      </c>
      <c r="G390" s="14">
        <v>46159.0</v>
      </c>
      <c r="H390" s="13">
        <v>2.0</v>
      </c>
      <c r="I390" s="13">
        <v>3.0</v>
      </c>
      <c r="J390" s="13">
        <v>190.0</v>
      </c>
      <c r="K390" s="13">
        <v>370.0</v>
      </c>
      <c r="L390" s="15"/>
      <c r="M390" s="17">
        <v>190.0</v>
      </c>
    </row>
    <row r="391" ht="22.5" customHeight="1">
      <c r="A391" s="10" t="s">
        <v>473</v>
      </c>
      <c r="B391" s="10" t="s">
        <v>30</v>
      </c>
      <c r="C391" s="10" t="s">
        <v>31</v>
      </c>
      <c r="D391" s="8">
        <v>95.0</v>
      </c>
      <c r="E391" s="8">
        <v>2.0</v>
      </c>
      <c r="F391" s="13">
        <v>114.0</v>
      </c>
      <c r="G391" s="14">
        <v>45845.0</v>
      </c>
      <c r="H391" s="13">
        <v>2.0</v>
      </c>
      <c r="I391" s="13">
        <v>0.0</v>
      </c>
      <c r="J391" s="13">
        <v>190.0</v>
      </c>
      <c r="K391" s="13">
        <v>0.0</v>
      </c>
      <c r="L391" s="15"/>
      <c r="M391" s="17">
        <v>190.0</v>
      </c>
    </row>
    <row r="392" ht="22.5" customHeight="1">
      <c r="A392" s="10" t="s">
        <v>487</v>
      </c>
      <c r="B392" s="10" t="s">
        <v>30</v>
      </c>
      <c r="C392" s="10" t="s">
        <v>581</v>
      </c>
      <c r="D392" s="8">
        <v>95.0</v>
      </c>
      <c r="E392" s="8">
        <v>9.0</v>
      </c>
      <c r="F392" s="13">
        <v>114.0</v>
      </c>
      <c r="G392" s="14">
        <v>46100.0</v>
      </c>
      <c r="H392" s="13">
        <v>12.0</v>
      </c>
      <c r="I392" s="13">
        <v>3.0</v>
      </c>
      <c r="J392" s="13">
        <v>1140.0</v>
      </c>
      <c r="K392" s="13">
        <v>359.94</v>
      </c>
      <c r="L392" s="15"/>
      <c r="M392" s="17">
        <v>855.0</v>
      </c>
    </row>
    <row r="393" ht="22.5" customHeight="1">
      <c r="A393" s="10" t="s">
        <v>409</v>
      </c>
      <c r="B393" s="10" t="s">
        <v>185</v>
      </c>
      <c r="C393" s="10" t="s">
        <v>31</v>
      </c>
      <c r="D393" s="8">
        <v>95.0</v>
      </c>
      <c r="E393" s="8">
        <v>10.5</v>
      </c>
      <c r="F393" s="13">
        <v>114.0</v>
      </c>
      <c r="G393" s="14">
        <v>45971.0</v>
      </c>
      <c r="H393" s="13">
        <v>11.0</v>
      </c>
      <c r="I393" s="13">
        <v>0.5</v>
      </c>
      <c r="J393" s="13">
        <v>1045.0</v>
      </c>
      <c r="K393" s="13">
        <v>60.0</v>
      </c>
      <c r="L393" s="15"/>
      <c r="M393" s="17">
        <v>997.5</v>
      </c>
    </row>
    <row r="394" ht="22.5" customHeight="1">
      <c r="A394" s="10" t="s">
        <v>872</v>
      </c>
      <c r="B394" s="10" t="s">
        <v>224</v>
      </c>
      <c r="C394" s="10" t="s">
        <v>119</v>
      </c>
      <c r="D394" s="8">
        <v>95.0</v>
      </c>
      <c r="E394" s="8">
        <v>0.0</v>
      </c>
      <c r="F394" s="13">
        <v>114.0</v>
      </c>
      <c r="G394" s="14">
        <v>46124.0</v>
      </c>
      <c r="H394" s="13">
        <v>1.0</v>
      </c>
      <c r="I394" s="13">
        <v>1.0</v>
      </c>
      <c r="J394" s="13">
        <v>95.0</v>
      </c>
      <c r="K394" s="13">
        <v>130.0</v>
      </c>
      <c r="L394" s="15"/>
      <c r="M394" s="17">
        <v>95.0</v>
      </c>
    </row>
    <row r="395" ht="22.5" customHeight="1">
      <c r="A395" s="19" t="s">
        <v>1123</v>
      </c>
      <c r="B395" s="19" t="s">
        <v>362</v>
      </c>
      <c r="C395" s="19" t="s">
        <v>119</v>
      </c>
      <c r="D395" s="33">
        <v>95.0</v>
      </c>
      <c r="E395" s="33">
        <v>0.0</v>
      </c>
      <c r="F395" s="17">
        <v>114.0</v>
      </c>
      <c r="G395" s="34">
        <v>46165.0</v>
      </c>
      <c r="H395" s="5">
        <v>1.0</v>
      </c>
      <c r="I395" s="17">
        <v>1.0</v>
      </c>
      <c r="J395" s="17">
        <v>95.0</v>
      </c>
      <c r="K395" s="17">
        <v>100.0</v>
      </c>
      <c r="L395" s="5"/>
      <c r="M395" s="17">
        <v>95.0</v>
      </c>
    </row>
    <row r="396" ht="22.5" customHeight="1">
      <c r="A396" s="19" t="s">
        <v>1126</v>
      </c>
      <c r="B396" s="19" t="s">
        <v>362</v>
      </c>
      <c r="C396" s="19" t="s">
        <v>119</v>
      </c>
      <c r="D396" s="33">
        <v>95.0</v>
      </c>
      <c r="E396" s="33">
        <v>0.0</v>
      </c>
      <c r="F396" s="17">
        <v>114.0</v>
      </c>
      <c r="G396" s="34">
        <v>46149.0</v>
      </c>
      <c r="H396" s="5">
        <v>1.0</v>
      </c>
      <c r="I396" s="17">
        <v>1.0</v>
      </c>
      <c r="J396" s="17">
        <v>95.0</v>
      </c>
      <c r="K396" s="17">
        <v>135.0</v>
      </c>
      <c r="L396" s="5"/>
      <c r="M396" s="17">
        <v>95.0</v>
      </c>
    </row>
    <row r="397" ht="22.5" customHeight="1">
      <c r="A397" s="19" t="s">
        <v>1127</v>
      </c>
      <c r="B397" s="19" t="s">
        <v>770</v>
      </c>
      <c r="C397" s="19" t="s">
        <v>51</v>
      </c>
      <c r="D397" s="33">
        <v>95.0</v>
      </c>
      <c r="E397" s="33">
        <v>0.0</v>
      </c>
      <c r="F397" s="17">
        <v>114.0</v>
      </c>
      <c r="G397" s="34">
        <v>46083.0</v>
      </c>
      <c r="H397" s="5">
        <v>2.0</v>
      </c>
      <c r="I397" s="17">
        <v>0.0</v>
      </c>
      <c r="J397" s="17">
        <v>190.0</v>
      </c>
      <c r="K397" s="17">
        <v>0.0</v>
      </c>
      <c r="L397" s="5" t="s">
        <v>1130</v>
      </c>
      <c r="M397" s="17">
        <v>0.0</v>
      </c>
    </row>
    <row r="398" ht="22.5" customHeight="1">
      <c r="A398" s="19" t="s">
        <v>1049</v>
      </c>
      <c r="B398" s="19" t="s">
        <v>167</v>
      </c>
      <c r="C398" s="19" t="s">
        <v>154</v>
      </c>
      <c r="D398" s="33">
        <v>95.0</v>
      </c>
      <c r="E398" s="33">
        <v>0.0</v>
      </c>
      <c r="F398" s="17">
        <v>114.0</v>
      </c>
      <c r="G398" s="34">
        <v>46167.0</v>
      </c>
      <c r="H398" s="5">
        <v>6.0</v>
      </c>
      <c r="I398" s="17">
        <v>6.0</v>
      </c>
      <c r="J398" s="5">
        <v>570.0</v>
      </c>
      <c r="K398" s="17">
        <v>890.0</v>
      </c>
      <c r="L398" s="5"/>
      <c r="M398" s="17">
        <v>95.0</v>
      </c>
    </row>
    <row r="399" ht="22.5" customHeight="1">
      <c r="A399" s="19" t="s">
        <v>953</v>
      </c>
      <c r="B399" s="19" t="s">
        <v>1094</v>
      </c>
      <c r="C399" s="19" t="s">
        <v>119</v>
      </c>
      <c r="D399" s="33">
        <v>94.0</v>
      </c>
      <c r="E399" s="33">
        <v>0.0</v>
      </c>
      <c r="F399" s="17">
        <v>112.8</v>
      </c>
      <c r="G399" s="34">
        <v>46097.0</v>
      </c>
      <c r="H399" s="5">
        <v>3.0</v>
      </c>
      <c r="I399" s="17">
        <v>3.0</v>
      </c>
      <c r="J399" s="17">
        <v>282.0</v>
      </c>
      <c r="K399" s="17">
        <v>380.0</v>
      </c>
      <c r="L399" s="5"/>
      <c r="M399" s="17">
        <v>0.0</v>
      </c>
    </row>
    <row r="400" ht="22.5" customHeight="1">
      <c r="A400" s="19" t="s">
        <v>1135</v>
      </c>
      <c r="B400" s="19" t="s">
        <v>1094</v>
      </c>
      <c r="C400" s="19" t="s">
        <v>119</v>
      </c>
      <c r="D400" s="33">
        <v>94.0</v>
      </c>
      <c r="E400" s="33">
        <v>0.0</v>
      </c>
      <c r="F400" s="17">
        <v>112.8</v>
      </c>
      <c r="G400" s="34">
        <v>44997.0</v>
      </c>
      <c r="H400" s="5">
        <v>3.0</v>
      </c>
      <c r="I400" s="17">
        <v>3.0</v>
      </c>
      <c r="J400" s="17">
        <v>282.0</v>
      </c>
      <c r="K400" s="17">
        <v>365.0</v>
      </c>
      <c r="L400" s="5"/>
      <c r="M400" s="17">
        <v>0.0</v>
      </c>
    </row>
    <row r="401" ht="22.5" customHeight="1">
      <c r="A401" s="10" t="s">
        <v>775</v>
      </c>
      <c r="B401" s="10" t="s">
        <v>118</v>
      </c>
      <c r="C401" s="10" t="s">
        <v>125</v>
      </c>
      <c r="D401" s="8">
        <v>94.0</v>
      </c>
      <c r="E401" s="8">
        <v>3.0</v>
      </c>
      <c r="F401" s="13">
        <v>112.8</v>
      </c>
      <c r="G401" s="14">
        <v>46095.0</v>
      </c>
      <c r="H401" s="13">
        <v>3.0</v>
      </c>
      <c r="I401" s="13">
        <v>0.0</v>
      </c>
      <c r="J401" s="13">
        <v>282.0</v>
      </c>
      <c r="K401" s="13">
        <v>0.0</v>
      </c>
      <c r="L401" s="15"/>
      <c r="M401" s="17">
        <v>282.0</v>
      </c>
    </row>
    <row r="402" ht="22.5" customHeight="1">
      <c r="A402" s="19" t="s">
        <v>871</v>
      </c>
      <c r="B402" s="19" t="s">
        <v>30</v>
      </c>
      <c r="C402" s="19" t="s">
        <v>154</v>
      </c>
      <c r="D402" s="33">
        <v>93.0</v>
      </c>
      <c r="E402" s="33">
        <v>6.0</v>
      </c>
      <c r="F402" s="17">
        <v>111.6</v>
      </c>
      <c r="G402" s="34">
        <v>46156.0</v>
      </c>
      <c r="H402" s="5">
        <v>10.0</v>
      </c>
      <c r="I402" s="17">
        <v>4.0</v>
      </c>
      <c r="J402" s="17">
        <v>930.0</v>
      </c>
      <c r="K402" s="17">
        <v>435.0</v>
      </c>
      <c r="L402" s="5"/>
      <c r="M402" s="17">
        <v>651.0</v>
      </c>
    </row>
    <row r="403" ht="22.5" customHeight="1">
      <c r="A403" s="19" t="s">
        <v>46</v>
      </c>
      <c r="B403" s="19" t="s">
        <v>50</v>
      </c>
      <c r="C403" s="5" t="s">
        <v>54</v>
      </c>
      <c r="D403" s="33">
        <v>92.5</v>
      </c>
      <c r="E403" s="33">
        <v>0.0</v>
      </c>
      <c r="F403" s="17">
        <v>111.0</v>
      </c>
      <c r="G403" s="34">
        <v>46156.0</v>
      </c>
      <c r="H403" s="5">
        <v>5.0</v>
      </c>
      <c r="I403" s="17">
        <v>5.0</v>
      </c>
      <c r="J403" s="17">
        <v>462.5</v>
      </c>
      <c r="K403" s="17">
        <v>1240.0</v>
      </c>
      <c r="L403" s="5" t="s">
        <v>1142</v>
      </c>
      <c r="M403" s="17">
        <v>277.5</v>
      </c>
    </row>
    <row r="404" ht="22.5" customHeight="1">
      <c r="A404" s="19" t="s">
        <v>41</v>
      </c>
      <c r="B404" s="19" t="s">
        <v>50</v>
      </c>
      <c r="C404" s="5" t="s">
        <v>54</v>
      </c>
      <c r="D404" s="33">
        <v>92.5</v>
      </c>
      <c r="E404" s="33">
        <v>2.0</v>
      </c>
      <c r="F404" s="17">
        <v>111.0</v>
      </c>
      <c r="G404" s="34">
        <v>46043.9063555787</v>
      </c>
      <c r="H404" s="5">
        <v>3.0</v>
      </c>
      <c r="I404" s="17">
        <v>1.0</v>
      </c>
      <c r="J404" s="17">
        <v>277.5</v>
      </c>
      <c r="K404" s="17">
        <v>220.0</v>
      </c>
      <c r="L404" s="5" t="s">
        <v>1142</v>
      </c>
      <c r="M404" s="17">
        <v>185.0</v>
      </c>
    </row>
    <row r="405" ht="22.5" customHeight="1">
      <c r="A405" s="19" t="s">
        <v>902</v>
      </c>
      <c r="B405" s="19" t="s">
        <v>1036</v>
      </c>
      <c r="C405" s="19" t="s">
        <v>154</v>
      </c>
      <c r="D405" s="33">
        <v>90.29</v>
      </c>
      <c r="E405" s="33">
        <v>4.0</v>
      </c>
      <c r="F405" s="17">
        <v>108.35</v>
      </c>
      <c r="G405" s="34">
        <v>46166.0</v>
      </c>
      <c r="H405" s="5">
        <v>17.0</v>
      </c>
      <c r="I405" s="17">
        <v>13.0</v>
      </c>
      <c r="J405" s="17">
        <v>1535.0</v>
      </c>
      <c r="K405" s="17">
        <v>1360.0</v>
      </c>
      <c r="L405" s="5"/>
      <c r="M405" s="17">
        <v>326.68</v>
      </c>
    </row>
    <row r="406" ht="22.5" customHeight="1">
      <c r="A406" s="10" t="s">
        <v>289</v>
      </c>
      <c r="B406" s="10" t="s">
        <v>68</v>
      </c>
      <c r="C406" s="6" t="s">
        <v>54</v>
      </c>
      <c r="D406" s="8">
        <v>90.23809523809524</v>
      </c>
      <c r="E406" s="8">
        <v>1.0</v>
      </c>
      <c r="F406" s="13">
        <v>108.28571428571429</v>
      </c>
      <c r="G406" s="36">
        <v>46097.0</v>
      </c>
      <c r="H406" s="13">
        <v>2.0</v>
      </c>
      <c r="I406" s="13">
        <v>1.0</v>
      </c>
      <c r="J406" s="13">
        <v>180.47619047619048</v>
      </c>
      <c r="K406" s="13">
        <v>200.0</v>
      </c>
      <c r="L406" s="5" t="s">
        <v>1147</v>
      </c>
      <c r="M406" s="17">
        <v>90.23809523809524</v>
      </c>
    </row>
    <row r="407" ht="22.5" customHeight="1">
      <c r="A407" s="10" t="s">
        <v>608</v>
      </c>
      <c r="B407" s="10" t="s">
        <v>185</v>
      </c>
      <c r="C407" s="10" t="s">
        <v>31</v>
      </c>
      <c r="D407" s="8">
        <v>90.0</v>
      </c>
      <c r="E407" s="8">
        <v>4.0</v>
      </c>
      <c r="F407" s="13">
        <v>108.0</v>
      </c>
      <c r="G407" s="14">
        <v>45896.0</v>
      </c>
      <c r="H407" s="13">
        <v>4.0</v>
      </c>
      <c r="I407" s="13">
        <v>0.0</v>
      </c>
      <c r="J407" s="13">
        <v>360.0</v>
      </c>
      <c r="K407" s="13">
        <v>0.0</v>
      </c>
      <c r="L407" s="15"/>
      <c r="M407" s="17">
        <v>360.0</v>
      </c>
    </row>
    <row r="408" ht="22.5" customHeight="1">
      <c r="A408" s="10" t="s">
        <v>478</v>
      </c>
      <c r="B408" s="10" t="s">
        <v>327</v>
      </c>
      <c r="C408" s="10" t="s">
        <v>31</v>
      </c>
      <c r="D408" s="8">
        <v>90.0</v>
      </c>
      <c r="E408" s="8">
        <v>4.0</v>
      </c>
      <c r="F408" s="13">
        <v>108.0</v>
      </c>
      <c r="G408" s="14">
        <v>44997.0</v>
      </c>
      <c r="H408" s="13">
        <v>12.0</v>
      </c>
      <c r="I408" s="13">
        <v>8.0</v>
      </c>
      <c r="J408" s="13">
        <v>1080.0</v>
      </c>
      <c r="K408" s="13">
        <v>1064.93</v>
      </c>
      <c r="L408" s="15"/>
      <c r="M408" s="17">
        <v>360.0</v>
      </c>
    </row>
    <row r="409" ht="22.5" customHeight="1">
      <c r="A409" s="19" t="s">
        <v>1151</v>
      </c>
      <c r="B409" s="19" t="s">
        <v>50</v>
      </c>
      <c r="C409" s="19" t="s">
        <v>436</v>
      </c>
      <c r="D409" s="33">
        <v>90.0</v>
      </c>
      <c r="E409" s="33">
        <v>2.0</v>
      </c>
      <c r="F409" s="17">
        <v>108.0</v>
      </c>
      <c r="G409" s="37">
        <v>46167.0</v>
      </c>
      <c r="H409" s="17">
        <v>4.0</v>
      </c>
      <c r="I409" s="17">
        <v>2.0</v>
      </c>
      <c r="J409" s="17">
        <v>360.0</v>
      </c>
      <c r="K409" s="17">
        <v>350.0</v>
      </c>
      <c r="L409" s="16"/>
      <c r="M409" s="17">
        <v>360.0</v>
      </c>
    </row>
    <row r="410" ht="22.5" customHeight="1">
      <c r="A410" s="10" t="s">
        <v>1079</v>
      </c>
      <c r="B410" s="10" t="s">
        <v>30</v>
      </c>
      <c r="C410" s="10" t="s">
        <v>154</v>
      </c>
      <c r="D410" s="8">
        <v>90.0</v>
      </c>
      <c r="E410" s="8">
        <v>1.0</v>
      </c>
      <c r="F410" s="13">
        <v>108.0</v>
      </c>
      <c r="G410" s="14">
        <v>46111.0</v>
      </c>
      <c r="H410" s="13">
        <v>6.0</v>
      </c>
      <c r="I410" s="13">
        <v>5.0</v>
      </c>
      <c r="J410" s="13">
        <v>540.0</v>
      </c>
      <c r="K410" s="13">
        <v>740.0</v>
      </c>
      <c r="L410" s="15"/>
      <c r="M410" s="17">
        <v>270.0</v>
      </c>
    </row>
    <row r="411" ht="22.5" customHeight="1">
      <c r="A411" s="10" t="s">
        <v>1121</v>
      </c>
      <c r="B411" s="10" t="s">
        <v>118</v>
      </c>
      <c r="C411" s="10" t="s">
        <v>125</v>
      </c>
      <c r="D411" s="8">
        <v>90.0</v>
      </c>
      <c r="E411" s="8">
        <v>0.0</v>
      </c>
      <c r="F411" s="13">
        <v>108.0</v>
      </c>
      <c r="G411" s="14">
        <v>46162.0</v>
      </c>
      <c r="H411" s="13">
        <v>1.0</v>
      </c>
      <c r="I411" s="13">
        <v>1.0</v>
      </c>
      <c r="J411" s="13">
        <v>90.0</v>
      </c>
      <c r="K411" s="13">
        <v>135.0</v>
      </c>
      <c r="L411" s="15"/>
      <c r="M411" s="17">
        <v>90.0</v>
      </c>
    </row>
    <row r="412" ht="22.5" customHeight="1">
      <c r="A412" s="19" t="s">
        <v>34</v>
      </c>
      <c r="B412" s="19" t="s">
        <v>50</v>
      </c>
      <c r="C412" s="5" t="s">
        <v>54</v>
      </c>
      <c r="D412" s="33">
        <v>90.0</v>
      </c>
      <c r="E412" s="33">
        <v>4.0</v>
      </c>
      <c r="F412" s="17">
        <v>108.0</v>
      </c>
      <c r="G412" s="34">
        <v>46100.0</v>
      </c>
      <c r="H412" s="17">
        <v>6.0</v>
      </c>
      <c r="I412" s="17">
        <v>2.0</v>
      </c>
      <c r="J412" s="17">
        <v>540.0</v>
      </c>
      <c r="K412" s="17">
        <v>550.0</v>
      </c>
      <c r="L412" s="5" t="s">
        <v>1165</v>
      </c>
      <c r="M412" s="17">
        <v>360.0</v>
      </c>
    </row>
    <row r="413" ht="22.5" customHeight="1">
      <c r="A413" s="19" t="s">
        <v>1161</v>
      </c>
      <c r="B413" s="19" t="s">
        <v>472</v>
      </c>
      <c r="C413" s="19" t="s">
        <v>51</v>
      </c>
      <c r="D413" s="33">
        <v>90.0</v>
      </c>
      <c r="E413" s="33">
        <v>34.0</v>
      </c>
      <c r="F413" s="17">
        <v>108.0</v>
      </c>
      <c r="G413" s="34">
        <v>46162.0</v>
      </c>
      <c r="H413" s="17">
        <v>44.0</v>
      </c>
      <c r="I413" s="17">
        <v>10.0</v>
      </c>
      <c r="J413" s="17">
        <v>3960.0</v>
      </c>
      <c r="K413" s="17">
        <v>1160.0</v>
      </c>
      <c r="L413" s="5"/>
      <c r="M413" s="17">
        <v>3960.0</v>
      </c>
    </row>
    <row r="414" ht="22.5" customHeight="1">
      <c r="A414" s="19" t="s">
        <v>930</v>
      </c>
      <c r="B414" s="19" t="s">
        <v>1171</v>
      </c>
      <c r="C414" s="19" t="s">
        <v>1059</v>
      </c>
      <c r="D414" s="33">
        <v>90.0</v>
      </c>
      <c r="E414" s="33">
        <v>15.0</v>
      </c>
      <c r="F414" s="17">
        <v>108.0</v>
      </c>
      <c r="G414" s="34">
        <v>46168.0</v>
      </c>
      <c r="H414" s="5">
        <v>24.0</v>
      </c>
      <c r="I414" s="5">
        <v>9.0</v>
      </c>
      <c r="J414" s="17">
        <v>2160.0</v>
      </c>
      <c r="K414" s="17">
        <v>1180.0</v>
      </c>
      <c r="L414" s="19"/>
      <c r="M414" s="17"/>
    </row>
    <row r="415" ht="22.5" customHeight="1">
      <c r="A415" s="19" t="s">
        <v>1161</v>
      </c>
      <c r="B415" s="19" t="s">
        <v>472</v>
      </c>
      <c r="C415" s="19" t="s">
        <v>1059</v>
      </c>
      <c r="D415" s="33">
        <v>90.0</v>
      </c>
      <c r="E415" s="33">
        <v>6.0</v>
      </c>
      <c r="F415" s="17">
        <v>108.0</v>
      </c>
      <c r="G415" s="34">
        <v>46154.0</v>
      </c>
      <c r="H415" s="5">
        <v>6.0</v>
      </c>
      <c r="I415" s="5">
        <v>0.0</v>
      </c>
      <c r="J415" s="17">
        <v>540.0</v>
      </c>
      <c r="K415" s="17">
        <v>0.0</v>
      </c>
      <c r="L415" s="19"/>
      <c r="M415" s="17"/>
    </row>
    <row r="416" ht="22.5" customHeight="1">
      <c r="A416" s="19" t="s">
        <v>871</v>
      </c>
      <c r="B416" s="19" t="s">
        <v>483</v>
      </c>
      <c r="C416" s="19" t="s">
        <v>484</v>
      </c>
      <c r="D416" s="33">
        <v>90.0</v>
      </c>
      <c r="E416" s="33">
        <v>3.0</v>
      </c>
      <c r="F416" s="17">
        <v>108.0</v>
      </c>
      <c r="G416" s="34">
        <v>46165.0</v>
      </c>
      <c r="H416" s="5">
        <v>3.0</v>
      </c>
      <c r="I416" s="5">
        <v>0.0</v>
      </c>
      <c r="J416" s="17">
        <v>270.0</v>
      </c>
      <c r="K416" s="17">
        <v>0.0</v>
      </c>
      <c r="L416" s="19"/>
      <c r="M416" s="17"/>
    </row>
    <row r="417" ht="22.5" customHeight="1">
      <c r="A417" s="19" t="s">
        <v>1035</v>
      </c>
      <c r="B417" s="19" t="s">
        <v>1036</v>
      </c>
      <c r="C417" s="19" t="s">
        <v>119</v>
      </c>
      <c r="D417" s="33">
        <v>89.75</v>
      </c>
      <c r="E417" s="33">
        <v>0.0</v>
      </c>
      <c r="F417" s="17">
        <v>107.7</v>
      </c>
      <c r="G417" s="34">
        <v>46098.0</v>
      </c>
      <c r="H417" s="5">
        <v>2.0</v>
      </c>
      <c r="I417" s="17">
        <v>2.0</v>
      </c>
      <c r="J417" s="17">
        <v>179.5</v>
      </c>
      <c r="K417" s="17">
        <v>200.0</v>
      </c>
      <c r="L417" s="5"/>
      <c r="M417" s="17">
        <v>0.0</v>
      </c>
    </row>
    <row r="418" ht="22.5" customHeight="1">
      <c r="A418" s="19" t="s">
        <v>165</v>
      </c>
      <c r="B418" s="19" t="s">
        <v>238</v>
      </c>
      <c r="C418" s="19" t="s">
        <v>31</v>
      </c>
      <c r="D418" s="33">
        <v>89.07</v>
      </c>
      <c r="E418" s="33">
        <v>17.0</v>
      </c>
      <c r="F418" s="17">
        <v>106.88</v>
      </c>
      <c r="G418" s="37">
        <v>46098.0</v>
      </c>
      <c r="H418" s="17">
        <v>27.0</v>
      </c>
      <c r="I418" s="17">
        <v>10.0</v>
      </c>
      <c r="J418" s="17">
        <v>2405.0</v>
      </c>
      <c r="K418" s="17">
        <v>1189.79</v>
      </c>
      <c r="L418" s="15"/>
      <c r="M418" s="17">
        <v>1514.1899999999998</v>
      </c>
    </row>
    <row r="419" ht="22.5" customHeight="1">
      <c r="A419" s="19" t="s">
        <v>788</v>
      </c>
      <c r="B419" s="19" t="s">
        <v>30</v>
      </c>
      <c r="C419" s="19" t="s">
        <v>154</v>
      </c>
      <c r="D419" s="33">
        <v>88.75</v>
      </c>
      <c r="E419" s="33">
        <v>2.0</v>
      </c>
      <c r="F419" s="17">
        <v>106.5</v>
      </c>
      <c r="G419" s="34">
        <v>46098.0</v>
      </c>
      <c r="H419" s="5">
        <v>8.0</v>
      </c>
      <c r="I419" s="17">
        <v>6.0</v>
      </c>
      <c r="J419" s="17">
        <v>710.0</v>
      </c>
      <c r="K419" s="17">
        <v>760.0</v>
      </c>
      <c r="L419" s="5"/>
      <c r="M419" s="17">
        <v>177.5</v>
      </c>
    </row>
    <row r="420" ht="22.5" customHeight="1">
      <c r="A420" s="10" t="s">
        <v>1174</v>
      </c>
      <c r="B420" s="10" t="s">
        <v>118</v>
      </c>
      <c r="C420" s="10" t="s">
        <v>125</v>
      </c>
      <c r="D420" s="8">
        <v>88.0</v>
      </c>
      <c r="E420" s="8">
        <v>0.0</v>
      </c>
      <c r="F420" s="13">
        <v>105.6</v>
      </c>
      <c r="G420" s="14">
        <v>46168.0</v>
      </c>
      <c r="H420" s="13">
        <v>1.0</v>
      </c>
      <c r="I420" s="13">
        <v>1.0</v>
      </c>
      <c r="J420" s="13">
        <v>88.0</v>
      </c>
      <c r="K420" s="13">
        <v>135.0</v>
      </c>
      <c r="L420" s="15"/>
      <c r="M420" s="17">
        <v>88.0</v>
      </c>
    </row>
    <row r="421" ht="22.5" customHeight="1">
      <c r="A421" s="10" t="s">
        <v>1114</v>
      </c>
      <c r="B421" s="10" t="s">
        <v>118</v>
      </c>
      <c r="C421" s="10" t="s">
        <v>125</v>
      </c>
      <c r="D421" s="8">
        <v>88.0</v>
      </c>
      <c r="E421" s="8">
        <v>0.0</v>
      </c>
      <c r="F421" s="13">
        <v>105.6</v>
      </c>
      <c r="G421" s="14">
        <v>46099.0</v>
      </c>
      <c r="H421" s="13">
        <v>3.0</v>
      </c>
      <c r="I421" s="13">
        <v>3.0</v>
      </c>
      <c r="J421" s="13">
        <v>264.0</v>
      </c>
      <c r="K421" s="13">
        <v>405.0</v>
      </c>
      <c r="L421" s="15"/>
      <c r="M421" s="17">
        <v>0.0</v>
      </c>
    </row>
    <row r="422" ht="22.5" customHeight="1">
      <c r="A422" s="10" t="s">
        <v>624</v>
      </c>
      <c r="B422" s="10" t="s">
        <v>185</v>
      </c>
      <c r="C422" s="10" t="s">
        <v>31</v>
      </c>
      <c r="D422" s="8">
        <v>85.0</v>
      </c>
      <c r="E422" s="8">
        <v>2.0</v>
      </c>
      <c r="F422" s="13">
        <v>102.0</v>
      </c>
      <c r="G422" s="14">
        <v>45904.0</v>
      </c>
      <c r="H422" s="13">
        <v>2.0</v>
      </c>
      <c r="I422" s="13">
        <v>0.0</v>
      </c>
      <c r="J422" s="13">
        <v>170.0</v>
      </c>
      <c r="K422" s="13">
        <v>0.0</v>
      </c>
      <c r="L422" s="15"/>
      <c r="M422" s="17">
        <v>170.0</v>
      </c>
    </row>
    <row r="423" ht="22.5" customHeight="1">
      <c r="A423" s="10" t="s">
        <v>174</v>
      </c>
      <c r="B423" s="10" t="s">
        <v>238</v>
      </c>
      <c r="C423" s="10" t="s">
        <v>31</v>
      </c>
      <c r="D423" s="8">
        <v>85.0</v>
      </c>
      <c r="E423" s="8">
        <v>3.0</v>
      </c>
      <c r="F423" s="13">
        <v>102.0</v>
      </c>
      <c r="G423" s="14">
        <v>45929.0</v>
      </c>
      <c r="H423" s="13">
        <v>3.0</v>
      </c>
      <c r="I423" s="13">
        <v>0.0</v>
      </c>
      <c r="J423" s="13">
        <v>255.0</v>
      </c>
      <c r="K423" s="13">
        <v>0.0</v>
      </c>
      <c r="L423" s="15"/>
      <c r="M423" s="17">
        <v>255.0</v>
      </c>
    </row>
    <row r="424" ht="22.5" customHeight="1">
      <c r="A424" s="10" t="s">
        <v>391</v>
      </c>
      <c r="B424" s="10" t="s">
        <v>185</v>
      </c>
      <c r="C424" s="10" t="s">
        <v>31</v>
      </c>
      <c r="D424" s="8">
        <v>85.0</v>
      </c>
      <c r="E424" s="8">
        <v>3.0</v>
      </c>
      <c r="F424" s="13">
        <v>102.0</v>
      </c>
      <c r="G424" s="14">
        <v>45961.0</v>
      </c>
      <c r="H424" s="13">
        <v>5.0</v>
      </c>
      <c r="I424" s="13">
        <v>0.0</v>
      </c>
      <c r="J424" s="13">
        <v>425.0</v>
      </c>
      <c r="K424" s="13">
        <v>0.0</v>
      </c>
      <c r="L424" s="6" t="s">
        <v>1191</v>
      </c>
      <c r="M424" s="17">
        <v>255.0</v>
      </c>
    </row>
    <row r="425" ht="22.5" customHeight="1">
      <c r="A425" s="19" t="s">
        <v>545</v>
      </c>
      <c r="B425" s="19" t="s">
        <v>681</v>
      </c>
      <c r="C425" s="19" t="s">
        <v>914</v>
      </c>
      <c r="D425" s="33">
        <v>85.0</v>
      </c>
      <c r="E425" s="33">
        <v>0.0</v>
      </c>
      <c r="F425" s="17">
        <v>102.0</v>
      </c>
      <c r="G425" s="37">
        <v>46095.93637053241</v>
      </c>
      <c r="H425" s="17">
        <v>4.0</v>
      </c>
      <c r="I425" s="17">
        <v>4.0</v>
      </c>
      <c r="J425" s="17">
        <v>340.0</v>
      </c>
      <c r="K425" s="17">
        <v>430.0</v>
      </c>
      <c r="L425" s="16"/>
      <c r="M425" s="17">
        <v>0.0</v>
      </c>
    </row>
    <row r="426" ht="22.5" customHeight="1">
      <c r="A426" s="19" t="s">
        <v>356</v>
      </c>
      <c r="B426" s="19" t="s">
        <v>472</v>
      </c>
      <c r="C426" s="19" t="s">
        <v>51</v>
      </c>
      <c r="D426" s="33">
        <v>85.0</v>
      </c>
      <c r="E426" s="33">
        <v>5.0</v>
      </c>
      <c r="F426" s="17">
        <v>102.0</v>
      </c>
      <c r="G426" s="34">
        <v>46091.906408807874</v>
      </c>
      <c r="H426" s="5">
        <v>18.0</v>
      </c>
      <c r="I426" s="17">
        <v>10.0</v>
      </c>
      <c r="J426" s="17">
        <v>1530.0</v>
      </c>
      <c r="K426" s="17">
        <v>1045.0</v>
      </c>
      <c r="L426" s="5" t="s">
        <v>1196</v>
      </c>
      <c r="M426" s="17">
        <v>510.0</v>
      </c>
    </row>
    <row r="427" ht="22.5" customHeight="1">
      <c r="A427" s="19" t="s">
        <v>220</v>
      </c>
      <c r="B427" s="19" t="s">
        <v>472</v>
      </c>
      <c r="C427" s="19" t="s">
        <v>51</v>
      </c>
      <c r="D427" s="33">
        <v>85.0</v>
      </c>
      <c r="E427" s="33">
        <v>4.333333333333334</v>
      </c>
      <c r="F427" s="17">
        <v>102.0</v>
      </c>
      <c r="G427" s="34">
        <v>46162.0</v>
      </c>
      <c r="H427" s="5">
        <v>18.0</v>
      </c>
      <c r="I427" s="17">
        <v>13.666666666666668</v>
      </c>
      <c r="J427" s="17">
        <v>1530.0</v>
      </c>
      <c r="K427" s="17">
        <v>1990.0</v>
      </c>
      <c r="L427" s="5"/>
      <c r="M427" s="17">
        <v>665.8333333333334</v>
      </c>
    </row>
    <row r="428" ht="22.5" customHeight="1">
      <c r="A428" s="10" t="s">
        <v>193</v>
      </c>
      <c r="B428" s="10" t="s">
        <v>50</v>
      </c>
      <c r="C428" s="10" t="s">
        <v>154</v>
      </c>
      <c r="D428" s="8">
        <v>85.0</v>
      </c>
      <c r="E428" s="8">
        <v>6.0</v>
      </c>
      <c r="F428" s="13">
        <v>102.0</v>
      </c>
      <c r="G428" s="14">
        <v>46099.0</v>
      </c>
      <c r="H428" s="13">
        <v>6.0</v>
      </c>
      <c r="I428" s="13">
        <v>0.0</v>
      </c>
      <c r="J428" s="13">
        <v>510.0</v>
      </c>
      <c r="K428" s="13">
        <v>0.0</v>
      </c>
      <c r="L428" s="15"/>
      <c r="M428" s="17">
        <v>510.0</v>
      </c>
    </row>
    <row r="429" ht="22.5" customHeight="1">
      <c r="A429" s="19" t="s">
        <v>629</v>
      </c>
      <c r="B429" s="19" t="s">
        <v>316</v>
      </c>
      <c r="C429" s="19" t="s">
        <v>154</v>
      </c>
      <c r="D429" s="33">
        <v>85.0</v>
      </c>
      <c r="E429" s="33">
        <v>12.0</v>
      </c>
      <c r="F429" s="17">
        <v>102.0</v>
      </c>
      <c r="G429" s="34">
        <v>46116.0</v>
      </c>
      <c r="H429" s="17">
        <v>12.0</v>
      </c>
      <c r="I429" s="17">
        <v>0.0</v>
      </c>
      <c r="J429" s="17">
        <v>1020.0</v>
      </c>
      <c r="K429" s="17">
        <v>0.0</v>
      </c>
      <c r="L429" s="5"/>
      <c r="M429" s="17">
        <v>1020.0</v>
      </c>
    </row>
    <row r="430" ht="22.5" customHeight="1">
      <c r="A430" s="19" t="s">
        <v>1043</v>
      </c>
      <c r="B430" s="19" t="s">
        <v>1171</v>
      </c>
      <c r="C430" s="19" t="s">
        <v>51</v>
      </c>
      <c r="D430" s="33">
        <v>85.0</v>
      </c>
      <c r="E430" s="33">
        <v>3.0</v>
      </c>
      <c r="F430" s="17">
        <v>102.0</v>
      </c>
      <c r="G430" s="34">
        <v>46150.0</v>
      </c>
      <c r="H430" s="5">
        <v>12.0</v>
      </c>
      <c r="I430" s="17">
        <v>9.0</v>
      </c>
      <c r="J430" s="5">
        <v>1020.0</v>
      </c>
      <c r="K430" s="17">
        <v>1210.0</v>
      </c>
      <c r="L430" s="5"/>
      <c r="M430" s="17">
        <v>680.0</v>
      </c>
    </row>
    <row r="431" ht="22.5" customHeight="1">
      <c r="A431" s="19" t="s">
        <v>1157</v>
      </c>
      <c r="B431" s="19" t="s">
        <v>1023</v>
      </c>
      <c r="C431" s="19" t="s">
        <v>119</v>
      </c>
      <c r="D431" s="33">
        <v>85.0</v>
      </c>
      <c r="E431" s="33">
        <v>2.0</v>
      </c>
      <c r="F431" s="17">
        <v>102.0</v>
      </c>
      <c r="G431" s="34">
        <v>46110.0</v>
      </c>
      <c r="H431" s="17">
        <v>4.0</v>
      </c>
      <c r="I431" s="17">
        <v>2.0</v>
      </c>
      <c r="J431" s="17">
        <v>340.0</v>
      </c>
      <c r="K431" s="17">
        <v>260.0</v>
      </c>
      <c r="L431" s="5"/>
      <c r="M431" s="17">
        <v>340.0</v>
      </c>
    </row>
    <row r="432" ht="22.5" customHeight="1">
      <c r="A432" s="19" t="s">
        <v>1203</v>
      </c>
      <c r="B432" s="19" t="s">
        <v>472</v>
      </c>
      <c r="C432" s="19" t="s">
        <v>484</v>
      </c>
      <c r="D432" s="33">
        <v>85.0</v>
      </c>
      <c r="E432" s="33">
        <v>3.0</v>
      </c>
      <c r="F432" s="17">
        <v>102.0</v>
      </c>
      <c r="G432" s="34">
        <v>46165.0</v>
      </c>
      <c r="H432" s="5">
        <v>3.0</v>
      </c>
      <c r="I432" s="5">
        <v>0.0</v>
      </c>
      <c r="J432" s="17">
        <v>255.0</v>
      </c>
      <c r="K432" s="17">
        <v>0.0</v>
      </c>
      <c r="L432" s="19"/>
      <c r="M432" s="17"/>
    </row>
    <row r="433" ht="22.5" customHeight="1">
      <c r="A433" s="10" t="s">
        <v>186</v>
      </c>
      <c r="B433" s="10" t="s">
        <v>50</v>
      </c>
      <c r="C433" s="10" t="s">
        <v>31</v>
      </c>
      <c r="D433" s="8">
        <v>84.0</v>
      </c>
      <c r="E433" s="8">
        <v>16.0</v>
      </c>
      <c r="F433" s="13">
        <v>100.8</v>
      </c>
      <c r="G433" s="14">
        <v>46168.0</v>
      </c>
      <c r="H433" s="13">
        <v>20.0</v>
      </c>
      <c r="I433" s="13">
        <v>4.0</v>
      </c>
      <c r="J433" s="13">
        <v>1680.0</v>
      </c>
      <c r="K433" s="13">
        <v>420.0</v>
      </c>
      <c r="L433" s="15"/>
      <c r="M433" s="17">
        <v>1512.0</v>
      </c>
    </row>
    <row r="434" ht="22.5" customHeight="1">
      <c r="A434" s="19" t="s">
        <v>1206</v>
      </c>
      <c r="B434" s="19" t="s">
        <v>354</v>
      </c>
      <c r="C434" s="19" t="s">
        <v>119</v>
      </c>
      <c r="D434" s="33">
        <v>82.0</v>
      </c>
      <c r="E434" s="33">
        <v>1.0</v>
      </c>
      <c r="F434" s="17">
        <v>98.4</v>
      </c>
      <c r="G434" s="34">
        <v>46083.0</v>
      </c>
      <c r="H434" s="5">
        <v>1.0</v>
      </c>
      <c r="I434" s="17">
        <v>0.0</v>
      </c>
      <c r="J434" s="17">
        <v>82.0</v>
      </c>
      <c r="K434" s="17">
        <v>0.0</v>
      </c>
      <c r="L434" s="5"/>
      <c r="M434" s="17">
        <v>82.0</v>
      </c>
    </row>
    <row r="435" ht="22.5" customHeight="1">
      <c r="A435" s="10" t="s">
        <v>1209</v>
      </c>
      <c r="B435" s="10" t="s">
        <v>30</v>
      </c>
      <c r="C435" s="10" t="s">
        <v>125</v>
      </c>
      <c r="D435" s="8">
        <v>81.67</v>
      </c>
      <c r="E435" s="8">
        <v>3.0</v>
      </c>
      <c r="F435" s="13">
        <v>98.0</v>
      </c>
      <c r="G435" s="14">
        <v>46095.0</v>
      </c>
      <c r="H435" s="13">
        <v>3.0</v>
      </c>
      <c r="I435" s="13">
        <v>0.0</v>
      </c>
      <c r="J435" s="13">
        <v>245.0</v>
      </c>
      <c r="K435" s="13">
        <v>0.0</v>
      </c>
      <c r="L435" s="15"/>
      <c r="M435" s="17">
        <v>245.01</v>
      </c>
    </row>
    <row r="436" ht="22.5" customHeight="1">
      <c r="A436" s="19" t="s">
        <v>691</v>
      </c>
      <c r="B436" s="19" t="s">
        <v>224</v>
      </c>
      <c r="C436" s="19" t="s">
        <v>119</v>
      </c>
      <c r="D436" s="33">
        <v>81.0</v>
      </c>
      <c r="E436" s="33">
        <v>1.0</v>
      </c>
      <c r="F436" s="17">
        <v>97.2</v>
      </c>
      <c r="G436" s="34">
        <v>46041.77366274306</v>
      </c>
      <c r="H436" s="5">
        <v>2.0</v>
      </c>
      <c r="I436" s="17">
        <v>1.0</v>
      </c>
      <c r="J436" s="17">
        <v>162.0</v>
      </c>
      <c r="K436" s="17">
        <v>110.0</v>
      </c>
      <c r="L436" s="5"/>
      <c r="M436" s="17">
        <v>81.0</v>
      </c>
    </row>
    <row r="437" ht="22.5" customHeight="1">
      <c r="A437" s="19" t="s">
        <v>1212</v>
      </c>
      <c r="B437" s="19" t="s">
        <v>1213</v>
      </c>
      <c r="C437" s="19" t="s">
        <v>119</v>
      </c>
      <c r="D437" s="33">
        <v>81.0</v>
      </c>
      <c r="E437" s="33">
        <v>1.0</v>
      </c>
      <c r="F437" s="17">
        <v>97.2</v>
      </c>
      <c r="G437" s="34">
        <v>46154.0</v>
      </c>
      <c r="H437" s="5">
        <v>1.0</v>
      </c>
      <c r="I437" s="5">
        <v>0.0</v>
      </c>
      <c r="J437" s="17">
        <v>81.0</v>
      </c>
      <c r="K437" s="17">
        <v>0.0</v>
      </c>
      <c r="L437" s="19"/>
      <c r="M437" s="17"/>
    </row>
    <row r="438" ht="22.5" customHeight="1">
      <c r="A438" s="10" t="s">
        <v>294</v>
      </c>
      <c r="B438" s="10" t="s">
        <v>68</v>
      </c>
      <c r="C438" s="10" t="s">
        <v>31</v>
      </c>
      <c r="D438" s="8">
        <v>80.0</v>
      </c>
      <c r="E438" s="8">
        <v>0.0</v>
      </c>
      <c r="F438" s="13">
        <v>96.0</v>
      </c>
      <c r="G438" s="14">
        <v>46098.0</v>
      </c>
      <c r="H438" s="6">
        <v>7.0</v>
      </c>
      <c r="I438" s="13">
        <v>8.0</v>
      </c>
      <c r="J438" s="13">
        <v>480.0</v>
      </c>
      <c r="K438" s="13">
        <v>940.0</v>
      </c>
      <c r="L438" s="15"/>
      <c r="M438" s="17">
        <v>0.0</v>
      </c>
    </row>
    <row r="439" ht="22.5" customHeight="1">
      <c r="A439" s="19" t="s">
        <v>1218</v>
      </c>
      <c r="B439" s="19" t="s">
        <v>472</v>
      </c>
      <c r="C439" s="19" t="s">
        <v>51</v>
      </c>
      <c r="D439" s="33">
        <v>80.0</v>
      </c>
      <c r="E439" s="33">
        <v>0.0</v>
      </c>
      <c r="F439" s="17">
        <v>96.0</v>
      </c>
      <c r="G439" s="34">
        <v>46098.0</v>
      </c>
      <c r="H439" s="5">
        <v>6.0</v>
      </c>
      <c r="I439" s="17">
        <v>6.0</v>
      </c>
      <c r="J439" s="17">
        <v>480.0</v>
      </c>
      <c r="K439" s="17">
        <v>820.0</v>
      </c>
      <c r="L439" s="5"/>
      <c r="M439" s="17">
        <v>0.0</v>
      </c>
    </row>
    <row r="440" ht="22.5" customHeight="1">
      <c r="A440" s="19" t="s">
        <v>717</v>
      </c>
      <c r="B440" s="19" t="s">
        <v>68</v>
      </c>
      <c r="C440" s="19" t="s">
        <v>1052</v>
      </c>
      <c r="D440" s="33">
        <v>80.0</v>
      </c>
      <c r="E440" s="33">
        <v>0.0</v>
      </c>
      <c r="F440" s="17">
        <v>96.0</v>
      </c>
      <c r="G440" s="34">
        <v>46047.0</v>
      </c>
      <c r="H440" s="5">
        <v>1.0</v>
      </c>
      <c r="I440" s="17">
        <v>1.0</v>
      </c>
      <c r="J440" s="17">
        <v>80.0</v>
      </c>
      <c r="K440" s="17">
        <v>150.0</v>
      </c>
      <c r="L440" s="5"/>
      <c r="M440" s="17">
        <v>0.0</v>
      </c>
    </row>
    <row r="441" ht="22.5" customHeight="1">
      <c r="A441" s="19" t="s">
        <v>960</v>
      </c>
      <c r="B441" s="19" t="s">
        <v>327</v>
      </c>
      <c r="C441" s="19" t="s">
        <v>51</v>
      </c>
      <c r="D441" s="33">
        <v>80.0</v>
      </c>
      <c r="E441" s="33">
        <v>0.0</v>
      </c>
      <c r="F441" s="17">
        <v>96.0</v>
      </c>
      <c r="G441" s="34">
        <v>46099.0</v>
      </c>
      <c r="H441" s="5">
        <v>4.0</v>
      </c>
      <c r="I441" s="17">
        <v>4.0</v>
      </c>
      <c r="J441" s="17">
        <v>320.0</v>
      </c>
      <c r="K441" s="17">
        <v>525.0</v>
      </c>
      <c r="L441" s="5"/>
      <c r="M441" s="17">
        <v>0.0</v>
      </c>
    </row>
    <row r="442" ht="22.5" customHeight="1">
      <c r="A442" s="19" t="s">
        <v>614</v>
      </c>
      <c r="B442" s="19" t="s">
        <v>224</v>
      </c>
      <c r="C442" s="19" t="s">
        <v>119</v>
      </c>
      <c r="D442" s="33">
        <v>78.0</v>
      </c>
      <c r="E442" s="33">
        <v>2.0</v>
      </c>
      <c r="F442" s="17">
        <v>93.6</v>
      </c>
      <c r="G442" s="34">
        <v>46065.0</v>
      </c>
      <c r="H442" s="5">
        <v>4.0</v>
      </c>
      <c r="I442" s="17">
        <v>2.0</v>
      </c>
      <c r="J442" s="17">
        <v>312.0</v>
      </c>
      <c r="K442" s="17">
        <v>200.0</v>
      </c>
      <c r="L442" s="5"/>
      <c r="M442" s="17">
        <v>156.0</v>
      </c>
    </row>
    <row r="443" ht="22.5" customHeight="1">
      <c r="A443" s="19" t="s">
        <v>1228</v>
      </c>
      <c r="B443" s="19" t="s">
        <v>1229</v>
      </c>
      <c r="C443" s="19" t="s">
        <v>119</v>
      </c>
      <c r="D443" s="33">
        <v>76.0</v>
      </c>
      <c r="E443" s="33">
        <v>1.0</v>
      </c>
      <c r="F443" s="17">
        <v>91.2</v>
      </c>
      <c r="G443" s="34">
        <v>46154.0</v>
      </c>
      <c r="H443" s="5">
        <v>1.0</v>
      </c>
      <c r="I443" s="5">
        <v>0.0</v>
      </c>
      <c r="J443" s="17">
        <v>76.0</v>
      </c>
      <c r="K443" s="17">
        <v>0.0</v>
      </c>
      <c r="L443" s="19"/>
      <c r="M443" s="17"/>
    </row>
    <row r="444" ht="22.5" customHeight="1">
      <c r="A444" s="10" t="s">
        <v>70</v>
      </c>
      <c r="B444" s="10" t="s">
        <v>138</v>
      </c>
      <c r="C444" s="10" t="s">
        <v>31</v>
      </c>
      <c r="D444" s="8">
        <v>75.0</v>
      </c>
      <c r="E444" s="8">
        <v>0.0</v>
      </c>
      <c r="F444" s="13">
        <v>90.0</v>
      </c>
      <c r="G444" s="6" t="s">
        <v>72</v>
      </c>
      <c r="H444" s="13">
        <v>4.0</v>
      </c>
      <c r="I444" s="13">
        <v>4.0</v>
      </c>
      <c r="J444" s="13">
        <v>300.0</v>
      </c>
      <c r="K444" s="13">
        <v>399.9</v>
      </c>
      <c r="L444" s="15"/>
      <c r="M444" s="17">
        <v>0.0</v>
      </c>
    </row>
    <row r="445" ht="22.5" customHeight="1">
      <c r="A445" s="10" t="s">
        <v>235</v>
      </c>
      <c r="B445" s="10" t="s">
        <v>169</v>
      </c>
      <c r="C445" s="10" t="s">
        <v>31</v>
      </c>
      <c r="D445" s="8">
        <v>75.0</v>
      </c>
      <c r="E445" s="8">
        <v>1.0</v>
      </c>
      <c r="F445" s="13">
        <v>90.0</v>
      </c>
      <c r="G445" s="14">
        <v>46097.0</v>
      </c>
      <c r="H445" s="13">
        <v>12.0</v>
      </c>
      <c r="I445" s="13">
        <v>11.0</v>
      </c>
      <c r="J445" s="13">
        <v>900.0</v>
      </c>
      <c r="K445" s="13">
        <v>1085.0</v>
      </c>
      <c r="L445" s="15"/>
      <c r="M445" s="17">
        <v>75.0</v>
      </c>
    </row>
    <row r="446" ht="22.5" customHeight="1">
      <c r="A446" s="10" t="s">
        <v>322</v>
      </c>
      <c r="B446" s="10" t="s">
        <v>169</v>
      </c>
      <c r="C446" s="10" t="s">
        <v>31</v>
      </c>
      <c r="D446" s="8">
        <v>75.0</v>
      </c>
      <c r="E446" s="8">
        <v>2.0</v>
      </c>
      <c r="F446" s="13">
        <v>90.0</v>
      </c>
      <c r="G446" s="14">
        <v>46114.0</v>
      </c>
      <c r="H446" s="13">
        <v>11.0</v>
      </c>
      <c r="I446" s="13">
        <v>9.0</v>
      </c>
      <c r="J446" s="13">
        <v>825.0</v>
      </c>
      <c r="K446" s="13">
        <v>1040.0</v>
      </c>
      <c r="L446" s="15"/>
      <c r="M446" s="17">
        <v>225.0</v>
      </c>
    </row>
    <row r="447" ht="22.5" customHeight="1">
      <c r="A447" s="10" t="s">
        <v>227</v>
      </c>
      <c r="B447" s="10" t="s">
        <v>185</v>
      </c>
      <c r="C447" s="10" t="s">
        <v>31</v>
      </c>
      <c r="D447" s="8">
        <v>75.0</v>
      </c>
      <c r="E447" s="8">
        <v>29.0</v>
      </c>
      <c r="F447" s="13">
        <v>90.0</v>
      </c>
      <c r="G447" s="14">
        <v>45929.0</v>
      </c>
      <c r="H447" s="13">
        <v>29.0</v>
      </c>
      <c r="I447" s="13">
        <v>0.0</v>
      </c>
      <c r="J447" s="13">
        <v>2175.0</v>
      </c>
      <c r="K447" s="13">
        <v>0.0</v>
      </c>
      <c r="L447" s="15"/>
      <c r="M447" s="17">
        <v>2175.0</v>
      </c>
    </row>
    <row r="448" ht="22.5" customHeight="1">
      <c r="A448" s="10" t="s">
        <v>470</v>
      </c>
      <c r="B448" s="10" t="s">
        <v>185</v>
      </c>
      <c r="C448" s="10" t="s">
        <v>31</v>
      </c>
      <c r="D448" s="8">
        <v>75.0</v>
      </c>
      <c r="E448" s="8">
        <v>3.8</v>
      </c>
      <c r="F448" s="13">
        <v>90.0</v>
      </c>
      <c r="G448" s="14">
        <v>46078.0</v>
      </c>
      <c r="H448" s="13">
        <v>14.0</v>
      </c>
      <c r="I448" s="13">
        <v>10.2</v>
      </c>
      <c r="J448" s="13">
        <v>1050.0</v>
      </c>
      <c r="K448" s="13">
        <v>1109.9</v>
      </c>
      <c r="L448" s="15"/>
      <c r="M448" s="17">
        <v>285.0</v>
      </c>
    </row>
    <row r="449" ht="22.5" customHeight="1">
      <c r="A449" s="10" t="s">
        <v>404</v>
      </c>
      <c r="B449" s="10" t="s">
        <v>238</v>
      </c>
      <c r="C449" s="10" t="s">
        <v>31</v>
      </c>
      <c r="D449" s="8">
        <v>75.0</v>
      </c>
      <c r="E449" s="8">
        <v>0.0</v>
      </c>
      <c r="F449" s="13">
        <v>90.0</v>
      </c>
      <c r="G449" s="14">
        <v>46076.0</v>
      </c>
      <c r="H449" s="13">
        <v>5.0</v>
      </c>
      <c r="I449" s="13">
        <v>6.0</v>
      </c>
      <c r="J449" s="13">
        <v>375.0</v>
      </c>
      <c r="K449" s="13">
        <v>580.0</v>
      </c>
      <c r="L449" s="15"/>
      <c r="M449" s="17">
        <v>0.0</v>
      </c>
    </row>
    <row r="450" ht="22.5" customHeight="1">
      <c r="A450" s="10" t="s">
        <v>748</v>
      </c>
      <c r="B450" s="10" t="s">
        <v>138</v>
      </c>
      <c r="C450" s="10" t="s">
        <v>751</v>
      </c>
      <c r="D450" s="8">
        <v>75.0</v>
      </c>
      <c r="E450" s="8">
        <v>8.0</v>
      </c>
      <c r="F450" s="13">
        <v>90.0</v>
      </c>
      <c r="G450" s="14">
        <v>46121.0</v>
      </c>
      <c r="H450" s="13">
        <v>12.0</v>
      </c>
      <c r="I450" s="13">
        <v>4.0</v>
      </c>
      <c r="J450" s="13">
        <v>900.0</v>
      </c>
      <c r="K450" s="13">
        <v>380.0</v>
      </c>
      <c r="L450" s="15"/>
      <c r="M450" s="17">
        <v>675.0</v>
      </c>
    </row>
    <row r="451" ht="22.5" customHeight="1">
      <c r="A451" s="10" t="s">
        <v>518</v>
      </c>
      <c r="B451" s="10" t="s">
        <v>472</v>
      </c>
      <c r="C451" s="10" t="s">
        <v>51</v>
      </c>
      <c r="D451" s="8">
        <v>75.0</v>
      </c>
      <c r="E451" s="8">
        <v>16.777777777777786</v>
      </c>
      <c r="F451" s="13">
        <v>90.0</v>
      </c>
      <c r="G451" s="14">
        <v>46162.0</v>
      </c>
      <c r="H451" s="13">
        <v>24.0</v>
      </c>
      <c r="I451" s="13">
        <v>6.333333333333333</v>
      </c>
      <c r="J451" s="13">
        <v>1800.0</v>
      </c>
      <c r="K451" s="13">
        <v>646.11</v>
      </c>
      <c r="L451" s="6" t="s">
        <v>1237</v>
      </c>
      <c r="M451" s="17">
        <v>1341.666666666667</v>
      </c>
    </row>
    <row r="452" ht="22.5" customHeight="1">
      <c r="A452" s="19" t="s">
        <v>970</v>
      </c>
      <c r="B452" s="19" t="s">
        <v>224</v>
      </c>
      <c r="C452" s="19" t="s">
        <v>119</v>
      </c>
      <c r="D452" s="33">
        <v>75.0</v>
      </c>
      <c r="E452" s="33">
        <v>1.0</v>
      </c>
      <c r="F452" s="17">
        <v>90.0</v>
      </c>
      <c r="G452" s="34">
        <v>46011.0</v>
      </c>
      <c r="H452" s="5">
        <v>1.0</v>
      </c>
      <c r="I452" s="17">
        <v>0.0</v>
      </c>
      <c r="J452" s="17">
        <v>75.0</v>
      </c>
      <c r="K452" s="17">
        <v>0.0</v>
      </c>
      <c r="L452" s="5"/>
      <c r="M452" s="17">
        <v>75.0</v>
      </c>
    </row>
    <row r="453" ht="22.5" customHeight="1">
      <c r="A453" s="19" t="s">
        <v>1239</v>
      </c>
      <c r="B453" s="19" t="s">
        <v>68</v>
      </c>
      <c r="C453" s="19" t="s">
        <v>1052</v>
      </c>
      <c r="D453" s="33">
        <v>75.0</v>
      </c>
      <c r="E453" s="33">
        <v>0.0</v>
      </c>
      <c r="F453" s="17">
        <v>90.0</v>
      </c>
      <c r="G453" s="34">
        <v>46107.114382430555</v>
      </c>
      <c r="H453" s="5">
        <v>10.0</v>
      </c>
      <c r="I453" s="17">
        <v>9.0</v>
      </c>
      <c r="J453" s="17">
        <v>750.0</v>
      </c>
      <c r="K453" s="17">
        <v>900.0</v>
      </c>
      <c r="L453" s="5"/>
      <c r="M453" s="17">
        <v>0.0</v>
      </c>
    </row>
    <row r="454" ht="22.5" customHeight="1">
      <c r="A454" s="19" t="s">
        <v>1139</v>
      </c>
      <c r="B454" s="19" t="s">
        <v>472</v>
      </c>
      <c r="C454" s="19" t="s">
        <v>154</v>
      </c>
      <c r="D454" s="33">
        <v>75.0</v>
      </c>
      <c r="E454" s="33">
        <v>6.0</v>
      </c>
      <c r="F454" s="17">
        <v>90.0</v>
      </c>
      <c r="G454" s="34">
        <v>46060.0</v>
      </c>
      <c r="H454" s="5">
        <v>6.0</v>
      </c>
      <c r="I454" s="17">
        <v>0.0</v>
      </c>
      <c r="J454" s="17">
        <v>450.0</v>
      </c>
      <c r="K454" s="17">
        <v>0.0</v>
      </c>
      <c r="L454" s="5"/>
      <c r="M454" s="17">
        <v>450.0</v>
      </c>
    </row>
    <row r="455" ht="22.5" customHeight="1">
      <c r="A455" s="19" t="s">
        <v>177</v>
      </c>
      <c r="B455" s="19" t="s">
        <v>167</v>
      </c>
      <c r="C455" s="19" t="s">
        <v>154</v>
      </c>
      <c r="D455" s="33">
        <v>75.0</v>
      </c>
      <c r="E455" s="33">
        <v>6.0</v>
      </c>
      <c r="F455" s="17">
        <v>90.0</v>
      </c>
      <c r="G455" s="34">
        <v>46100.0</v>
      </c>
      <c r="H455" s="5">
        <v>12.0</v>
      </c>
      <c r="I455" s="17">
        <v>7.0</v>
      </c>
      <c r="J455" s="5">
        <v>900.0</v>
      </c>
      <c r="K455" s="17">
        <v>800.0</v>
      </c>
      <c r="L455" s="5"/>
      <c r="M455" s="17">
        <v>450.0</v>
      </c>
    </row>
    <row r="456" ht="22.5" customHeight="1">
      <c r="A456" s="19" t="s">
        <v>946</v>
      </c>
      <c r="B456" s="19" t="s">
        <v>770</v>
      </c>
      <c r="C456" s="19" t="s">
        <v>51</v>
      </c>
      <c r="D456" s="33">
        <v>75.0</v>
      </c>
      <c r="E456" s="33">
        <v>10.4</v>
      </c>
      <c r="F456" s="17">
        <v>90.0</v>
      </c>
      <c r="G456" s="34">
        <v>46097.0</v>
      </c>
      <c r="H456" s="5">
        <v>48.0</v>
      </c>
      <c r="I456" s="17">
        <v>13.6</v>
      </c>
      <c r="J456" s="17">
        <v>3600.0</v>
      </c>
      <c r="K456" s="17">
        <v>1419.0</v>
      </c>
      <c r="L456" s="5" t="s">
        <v>1245</v>
      </c>
      <c r="M456" s="17">
        <v>975.0</v>
      </c>
    </row>
    <row r="457" ht="22.5" customHeight="1">
      <c r="A457" s="19" t="s">
        <v>983</v>
      </c>
      <c r="B457" s="19" t="s">
        <v>286</v>
      </c>
      <c r="C457" s="5" t="s">
        <v>54</v>
      </c>
      <c r="D457" s="33">
        <v>75.0</v>
      </c>
      <c r="E457" s="33">
        <v>0.0</v>
      </c>
      <c r="F457" s="17">
        <v>90.0</v>
      </c>
      <c r="G457" s="34">
        <v>44997.0</v>
      </c>
      <c r="H457" s="5">
        <v>1.0</v>
      </c>
      <c r="I457" s="17">
        <v>1.0</v>
      </c>
      <c r="J457" s="5">
        <v>75.0</v>
      </c>
      <c r="K457" s="17">
        <v>130.0</v>
      </c>
      <c r="L457" s="5" t="s">
        <v>1247</v>
      </c>
      <c r="M457" s="17">
        <v>0.0</v>
      </c>
    </row>
    <row r="458" ht="22.5" customHeight="1">
      <c r="A458" s="10" t="s">
        <v>451</v>
      </c>
      <c r="B458" s="10" t="s">
        <v>483</v>
      </c>
      <c r="C458" s="10" t="s">
        <v>125</v>
      </c>
      <c r="D458" s="8">
        <v>75.0</v>
      </c>
      <c r="E458" s="8">
        <v>2.0</v>
      </c>
      <c r="F458" s="13">
        <v>90.0</v>
      </c>
      <c r="G458" s="14">
        <v>46095.0</v>
      </c>
      <c r="H458" s="13">
        <v>2.0</v>
      </c>
      <c r="I458" s="13">
        <v>0.0</v>
      </c>
      <c r="J458" s="13">
        <v>150.0</v>
      </c>
      <c r="K458" s="13">
        <v>0.0</v>
      </c>
      <c r="L458" s="15"/>
      <c r="M458" s="17">
        <v>150.0</v>
      </c>
    </row>
    <row r="459" ht="22.5" customHeight="1">
      <c r="A459" s="19" t="s">
        <v>1251</v>
      </c>
      <c r="B459" s="19" t="s">
        <v>472</v>
      </c>
      <c r="C459" s="19" t="s">
        <v>154</v>
      </c>
      <c r="D459" s="33">
        <v>75.0</v>
      </c>
      <c r="E459" s="33">
        <v>6.0</v>
      </c>
      <c r="F459" s="17">
        <v>90.0</v>
      </c>
      <c r="G459" s="34">
        <v>46154.0</v>
      </c>
      <c r="H459" s="5">
        <v>6.0</v>
      </c>
      <c r="I459" s="5">
        <v>0.0</v>
      </c>
      <c r="J459" s="17">
        <v>450.0</v>
      </c>
      <c r="K459" s="17">
        <v>0.0</v>
      </c>
      <c r="L459" s="19"/>
      <c r="M459" s="17"/>
    </row>
    <row r="460" ht="22.5" customHeight="1">
      <c r="A460" s="10" t="s">
        <v>996</v>
      </c>
      <c r="B460" s="10" t="s">
        <v>1171</v>
      </c>
      <c r="C460" s="10" t="s">
        <v>51</v>
      </c>
      <c r="D460" s="8">
        <v>75.0</v>
      </c>
      <c r="E460" s="8">
        <v>9.0</v>
      </c>
      <c r="F460" s="13">
        <v>90.0</v>
      </c>
      <c r="G460" s="14">
        <v>46099.0</v>
      </c>
      <c r="H460" s="13">
        <v>9.0</v>
      </c>
      <c r="I460" s="13">
        <v>0.0</v>
      </c>
      <c r="J460" s="13">
        <v>675.0</v>
      </c>
      <c r="K460" s="13">
        <v>0.0</v>
      </c>
      <c r="L460" s="15"/>
      <c r="M460" s="17">
        <v>675.0</v>
      </c>
    </row>
    <row r="461" ht="22.5" customHeight="1">
      <c r="A461" s="10" t="s">
        <v>988</v>
      </c>
      <c r="B461" s="10" t="s">
        <v>1171</v>
      </c>
      <c r="C461" s="10" t="s">
        <v>51</v>
      </c>
      <c r="D461" s="8">
        <v>75.0</v>
      </c>
      <c r="E461" s="8">
        <v>4.0</v>
      </c>
      <c r="F461" s="13">
        <v>90.0</v>
      </c>
      <c r="G461" s="14">
        <v>46099.0</v>
      </c>
      <c r="H461" s="13">
        <v>4.0</v>
      </c>
      <c r="I461" s="13">
        <v>0.0</v>
      </c>
      <c r="J461" s="13">
        <v>300.0</v>
      </c>
      <c r="K461" s="13">
        <v>0.0</v>
      </c>
      <c r="L461" s="15"/>
      <c r="M461" s="17">
        <v>300.0</v>
      </c>
    </row>
    <row r="462" ht="22.5" customHeight="1">
      <c r="A462" s="19" t="s">
        <v>635</v>
      </c>
      <c r="B462" s="19" t="s">
        <v>68</v>
      </c>
      <c r="C462" s="19" t="s">
        <v>154</v>
      </c>
      <c r="D462" s="33">
        <v>75.0</v>
      </c>
      <c r="E462" s="33">
        <v>5.0</v>
      </c>
      <c r="F462" s="17">
        <v>90.0</v>
      </c>
      <c r="G462" s="34">
        <v>46165.0</v>
      </c>
      <c r="H462" s="17">
        <v>6.0</v>
      </c>
      <c r="I462" s="17">
        <v>1.0</v>
      </c>
      <c r="J462" s="17">
        <v>450.0</v>
      </c>
      <c r="K462" s="17">
        <v>90.0</v>
      </c>
      <c r="L462" s="5"/>
      <c r="M462" s="17">
        <v>450.0</v>
      </c>
    </row>
    <row r="463" ht="22.5" customHeight="1">
      <c r="A463" s="19" t="s">
        <v>1256</v>
      </c>
      <c r="B463" s="19" t="s">
        <v>1257</v>
      </c>
      <c r="C463" s="19" t="s">
        <v>119</v>
      </c>
      <c r="D463" s="33">
        <v>75.0</v>
      </c>
      <c r="E463" s="33">
        <v>2.0</v>
      </c>
      <c r="F463" s="17">
        <v>90.0</v>
      </c>
      <c r="G463" s="34">
        <v>46154.0</v>
      </c>
      <c r="H463" s="5">
        <v>2.0</v>
      </c>
      <c r="I463" s="5">
        <v>0.0</v>
      </c>
      <c r="J463" s="17">
        <v>150.0</v>
      </c>
      <c r="K463" s="17">
        <v>0.0</v>
      </c>
      <c r="L463" s="19"/>
      <c r="M463" s="17"/>
    </row>
    <row r="464" ht="22.5" customHeight="1">
      <c r="A464" s="19" t="s">
        <v>1175</v>
      </c>
      <c r="B464" s="19" t="s">
        <v>339</v>
      </c>
      <c r="C464" s="19" t="s">
        <v>484</v>
      </c>
      <c r="D464" s="33">
        <v>75.0</v>
      </c>
      <c r="E464" s="33">
        <v>19.5</v>
      </c>
      <c r="F464" s="17">
        <v>90.0</v>
      </c>
      <c r="G464" s="34">
        <v>46168.0</v>
      </c>
      <c r="H464" s="5">
        <v>20.0</v>
      </c>
      <c r="I464" s="5">
        <v>0.5</v>
      </c>
      <c r="J464" s="17">
        <v>1500.0</v>
      </c>
      <c r="K464" s="17">
        <v>80.0</v>
      </c>
      <c r="L464" s="19"/>
      <c r="M464" s="17"/>
    </row>
    <row r="465" ht="22.5" customHeight="1">
      <c r="A465" s="19" t="s">
        <v>1260</v>
      </c>
      <c r="B465" s="19" t="s">
        <v>1229</v>
      </c>
      <c r="C465" s="19" t="s">
        <v>119</v>
      </c>
      <c r="D465" s="33">
        <v>73.0</v>
      </c>
      <c r="E465" s="33">
        <v>2.0</v>
      </c>
      <c r="F465" s="17">
        <v>87.6</v>
      </c>
      <c r="G465" s="34">
        <v>46154.0</v>
      </c>
      <c r="H465" s="5">
        <v>2.0</v>
      </c>
      <c r="I465" s="5">
        <v>0.0</v>
      </c>
      <c r="J465" s="17">
        <v>146.0</v>
      </c>
      <c r="K465" s="17">
        <v>0.0</v>
      </c>
      <c r="L465" s="19"/>
      <c r="M465" s="17"/>
    </row>
    <row r="466" ht="22.5" customHeight="1">
      <c r="A466" s="19" t="s">
        <v>950</v>
      </c>
      <c r="B466" s="19" t="s">
        <v>827</v>
      </c>
      <c r="C466" s="19" t="s">
        <v>119</v>
      </c>
      <c r="D466" s="33">
        <v>72.0</v>
      </c>
      <c r="E466" s="33">
        <v>0.0</v>
      </c>
      <c r="F466" s="17">
        <v>86.4</v>
      </c>
      <c r="G466" s="34">
        <v>46102.0</v>
      </c>
      <c r="H466" s="5">
        <v>2.0</v>
      </c>
      <c r="I466" s="17">
        <v>2.0</v>
      </c>
      <c r="J466" s="17">
        <v>144.0</v>
      </c>
      <c r="K466" s="17">
        <v>180.0</v>
      </c>
      <c r="L466" s="5"/>
      <c r="M466" s="17">
        <v>0.0</v>
      </c>
    </row>
    <row r="467" ht="22.5" customHeight="1">
      <c r="A467" s="19" t="s">
        <v>29</v>
      </c>
      <c r="B467" s="19" t="s">
        <v>50</v>
      </c>
      <c r="C467" s="5" t="s">
        <v>54</v>
      </c>
      <c r="D467" s="33">
        <v>71.66666666666667</v>
      </c>
      <c r="E467" s="33">
        <v>3.0</v>
      </c>
      <c r="F467" s="17">
        <v>86.0</v>
      </c>
      <c r="G467" s="34">
        <v>46070.86003243056</v>
      </c>
      <c r="H467" s="5">
        <v>3.0</v>
      </c>
      <c r="I467" s="17">
        <v>0.0</v>
      </c>
      <c r="J467" s="17">
        <v>215.0</v>
      </c>
      <c r="K467" s="17">
        <v>0.0</v>
      </c>
      <c r="L467" s="5" t="s">
        <v>1265</v>
      </c>
      <c r="M467" s="17">
        <v>215.0</v>
      </c>
    </row>
    <row r="468" ht="22.5" customHeight="1">
      <c r="A468" s="19" t="s">
        <v>29</v>
      </c>
      <c r="B468" s="19" t="s">
        <v>50</v>
      </c>
      <c r="C468" s="5" t="s">
        <v>54</v>
      </c>
      <c r="D468" s="33">
        <v>71.0</v>
      </c>
      <c r="E468" s="33">
        <v>1.0</v>
      </c>
      <c r="F468" s="17">
        <v>86.0</v>
      </c>
      <c r="G468" s="34">
        <v>46070.85810386574</v>
      </c>
      <c r="H468" s="5">
        <v>1.0</v>
      </c>
      <c r="I468" s="17">
        <v>0.0</v>
      </c>
      <c r="J468" s="17">
        <v>80.0</v>
      </c>
      <c r="K468" s="17">
        <v>0.0</v>
      </c>
      <c r="L468" s="5" t="s">
        <v>1265</v>
      </c>
      <c r="M468" s="17">
        <f>D468*E468</f>
        <v>71</v>
      </c>
    </row>
    <row r="469" ht="22.5" customHeight="1">
      <c r="A469" s="10" t="s">
        <v>652</v>
      </c>
      <c r="B469" s="10" t="s">
        <v>30</v>
      </c>
      <c r="C469" s="10" t="s">
        <v>31</v>
      </c>
      <c r="D469" s="8">
        <v>70.0</v>
      </c>
      <c r="E469" s="8">
        <v>1.0</v>
      </c>
      <c r="F469" s="13">
        <v>84.0</v>
      </c>
      <c r="G469" s="14">
        <v>46167.0</v>
      </c>
      <c r="H469" s="13">
        <v>2.0</v>
      </c>
      <c r="I469" s="13">
        <v>1.0</v>
      </c>
      <c r="J469" s="13">
        <v>140.0</v>
      </c>
      <c r="K469" s="13">
        <v>100.0</v>
      </c>
      <c r="L469" s="15"/>
      <c r="M469" s="17">
        <v>140.0</v>
      </c>
    </row>
    <row r="470" ht="22.5" customHeight="1">
      <c r="A470" s="19" t="s">
        <v>1252</v>
      </c>
      <c r="B470" s="19" t="s">
        <v>927</v>
      </c>
      <c r="C470" s="19" t="s">
        <v>436</v>
      </c>
      <c r="D470" s="33">
        <v>70.0</v>
      </c>
      <c r="E470" s="33">
        <v>5.0</v>
      </c>
      <c r="F470" s="17">
        <v>84.0</v>
      </c>
      <c r="G470" s="34">
        <v>46116.0</v>
      </c>
      <c r="H470" s="17">
        <v>5.0</v>
      </c>
      <c r="I470" s="17">
        <v>0.0</v>
      </c>
      <c r="J470" s="17">
        <v>350.0</v>
      </c>
      <c r="K470" s="17">
        <v>0.0</v>
      </c>
      <c r="L470" s="5"/>
      <c r="M470" s="17">
        <v>350.0</v>
      </c>
    </row>
    <row r="471" ht="22.5" customHeight="1">
      <c r="A471" s="19" t="s">
        <v>303</v>
      </c>
      <c r="B471" s="19" t="s">
        <v>472</v>
      </c>
      <c r="C471" s="19" t="s">
        <v>484</v>
      </c>
      <c r="D471" s="33">
        <v>70.0</v>
      </c>
      <c r="E471" s="33">
        <v>8.0</v>
      </c>
      <c r="F471" s="17">
        <v>84.0</v>
      </c>
      <c r="G471" s="34">
        <v>46168.0</v>
      </c>
      <c r="H471" s="5">
        <v>12.0</v>
      </c>
      <c r="I471" s="5">
        <v>4.0</v>
      </c>
      <c r="J471" s="17">
        <v>840.0</v>
      </c>
      <c r="K471" s="17">
        <v>575.0</v>
      </c>
      <c r="L471" s="19"/>
      <c r="M471" s="17"/>
    </row>
    <row r="472" ht="22.5" customHeight="1">
      <c r="A472" s="19" t="s">
        <v>1271</v>
      </c>
      <c r="B472" s="19" t="s">
        <v>354</v>
      </c>
      <c r="C472" s="19" t="s">
        <v>119</v>
      </c>
      <c r="D472" s="33">
        <v>69.0</v>
      </c>
      <c r="E472" s="33">
        <v>1.0</v>
      </c>
      <c r="F472" s="17">
        <v>82.8</v>
      </c>
      <c r="G472" s="34">
        <v>46083.0</v>
      </c>
      <c r="H472" s="5">
        <v>1.0</v>
      </c>
      <c r="I472" s="17">
        <v>0.0</v>
      </c>
      <c r="J472" s="17">
        <v>69.0</v>
      </c>
      <c r="K472" s="17">
        <v>0.0</v>
      </c>
      <c r="L472" s="5"/>
      <c r="M472" s="17">
        <v>69.0</v>
      </c>
    </row>
    <row r="473" ht="22.5" customHeight="1">
      <c r="A473" s="19" t="s">
        <v>1273</v>
      </c>
      <c r="B473" s="19" t="s">
        <v>1274</v>
      </c>
      <c r="C473" s="19" t="s">
        <v>119</v>
      </c>
      <c r="D473" s="33">
        <v>68.0</v>
      </c>
      <c r="E473" s="33">
        <v>1.0</v>
      </c>
      <c r="F473" s="17">
        <v>81.6</v>
      </c>
      <c r="G473" s="34">
        <v>46154.0</v>
      </c>
      <c r="H473" s="5">
        <v>1.0</v>
      </c>
      <c r="I473" s="5">
        <v>0.0</v>
      </c>
      <c r="J473" s="17">
        <v>68.0</v>
      </c>
      <c r="K473" s="17">
        <v>0.0</v>
      </c>
      <c r="L473" s="19"/>
      <c r="M473" s="17"/>
    </row>
    <row r="474" ht="22.5" customHeight="1">
      <c r="A474" s="10" t="s">
        <v>392</v>
      </c>
      <c r="B474" s="10" t="s">
        <v>50</v>
      </c>
      <c r="C474" s="10" t="s">
        <v>31</v>
      </c>
      <c r="D474" s="8">
        <v>65.0</v>
      </c>
      <c r="E474" s="8">
        <v>8.0</v>
      </c>
      <c r="F474" s="13">
        <v>78.0</v>
      </c>
      <c r="G474" s="14">
        <v>46084.0</v>
      </c>
      <c r="H474" s="13">
        <v>20.0</v>
      </c>
      <c r="I474" s="13">
        <v>7.0</v>
      </c>
      <c r="J474" s="13">
        <v>1300.0</v>
      </c>
      <c r="K474" s="13">
        <v>655.0</v>
      </c>
      <c r="L474" s="6" t="s">
        <v>1278</v>
      </c>
      <c r="M474" s="17">
        <v>520.0</v>
      </c>
    </row>
    <row r="475" ht="22.5" customHeight="1">
      <c r="A475" s="10" t="s">
        <v>823</v>
      </c>
      <c r="B475" s="10" t="s">
        <v>339</v>
      </c>
      <c r="C475" s="10" t="s">
        <v>51</v>
      </c>
      <c r="D475" s="8">
        <v>65.0</v>
      </c>
      <c r="E475" s="8">
        <v>2.0</v>
      </c>
      <c r="F475" s="13">
        <v>78.0</v>
      </c>
      <c r="G475" s="14">
        <v>45987.0</v>
      </c>
      <c r="H475" s="13">
        <v>2.0</v>
      </c>
      <c r="I475" s="13">
        <v>0.0</v>
      </c>
      <c r="J475" s="13">
        <v>130.0</v>
      </c>
      <c r="K475" s="13">
        <v>0.0</v>
      </c>
      <c r="L475" s="15"/>
      <c r="M475" s="17">
        <v>130.0</v>
      </c>
    </row>
    <row r="476" ht="22.5" customHeight="1">
      <c r="A476" s="19" t="s">
        <v>1280</v>
      </c>
      <c r="B476" s="19" t="s">
        <v>339</v>
      </c>
      <c r="C476" s="19" t="s">
        <v>436</v>
      </c>
      <c r="D476" s="33">
        <v>65.0</v>
      </c>
      <c r="E476" s="33">
        <v>1.0</v>
      </c>
      <c r="F476" s="17">
        <v>78.0</v>
      </c>
      <c r="G476" s="37">
        <v>46007.0</v>
      </c>
      <c r="H476" s="17">
        <v>6.0</v>
      </c>
      <c r="I476" s="17">
        <v>0.0</v>
      </c>
      <c r="J476" s="17">
        <v>390.0</v>
      </c>
      <c r="K476" s="17">
        <v>0.0</v>
      </c>
      <c r="L476" s="5" t="s">
        <v>1282</v>
      </c>
      <c r="M476" s="17">
        <v>130.0</v>
      </c>
    </row>
    <row r="477" ht="22.5" customHeight="1">
      <c r="A477" s="19" t="s">
        <v>1011</v>
      </c>
      <c r="B477" s="19" t="s">
        <v>472</v>
      </c>
      <c r="C477" s="19" t="s">
        <v>51</v>
      </c>
      <c r="D477" s="33">
        <v>65.0</v>
      </c>
      <c r="E477" s="33">
        <v>5.0</v>
      </c>
      <c r="F477" s="17">
        <v>78.0</v>
      </c>
      <c r="G477" s="34">
        <v>7350945.0</v>
      </c>
      <c r="H477" s="5">
        <v>6.0</v>
      </c>
      <c r="I477" s="17">
        <v>1.0</v>
      </c>
      <c r="J477" s="17">
        <v>390.0</v>
      </c>
      <c r="K477" s="17">
        <v>100.0</v>
      </c>
      <c r="L477" s="5"/>
      <c r="M477" s="17">
        <v>325.0</v>
      </c>
    </row>
    <row r="478" ht="22.5" customHeight="1">
      <c r="A478" s="19" t="s">
        <v>1285</v>
      </c>
      <c r="B478" s="19" t="s">
        <v>339</v>
      </c>
      <c r="C478" s="19" t="s">
        <v>51</v>
      </c>
      <c r="D478" s="33">
        <v>65.0</v>
      </c>
      <c r="E478" s="33">
        <v>4.0</v>
      </c>
      <c r="F478" s="17">
        <v>78.0</v>
      </c>
      <c r="G478" s="34">
        <v>46083.0</v>
      </c>
      <c r="H478" s="5">
        <v>4.0</v>
      </c>
      <c r="I478" s="17">
        <v>0.0</v>
      </c>
      <c r="J478" s="17">
        <v>260.0</v>
      </c>
      <c r="K478" s="17">
        <v>0.0</v>
      </c>
      <c r="L478" s="5"/>
      <c r="M478" s="17">
        <v>260.0</v>
      </c>
    </row>
    <row r="479" ht="22.5" customHeight="1">
      <c r="A479" s="19" t="s">
        <v>1288</v>
      </c>
      <c r="B479" s="19" t="s">
        <v>339</v>
      </c>
      <c r="C479" s="19" t="s">
        <v>51</v>
      </c>
      <c r="D479" s="33">
        <v>65.0</v>
      </c>
      <c r="E479" s="33">
        <v>2.0</v>
      </c>
      <c r="F479" s="17">
        <v>78.0</v>
      </c>
      <c r="G479" s="34">
        <v>46083.0</v>
      </c>
      <c r="H479" s="5">
        <v>2.0</v>
      </c>
      <c r="I479" s="17">
        <v>0.0</v>
      </c>
      <c r="J479" s="17">
        <v>130.0</v>
      </c>
      <c r="K479" s="17">
        <v>0.0</v>
      </c>
      <c r="L479" s="5"/>
      <c r="M479" s="17">
        <v>130.0</v>
      </c>
    </row>
    <row r="480" ht="22.5" customHeight="1">
      <c r="A480" s="19" t="s">
        <v>1290</v>
      </c>
      <c r="B480" s="19" t="s">
        <v>339</v>
      </c>
      <c r="C480" s="19" t="s">
        <v>51</v>
      </c>
      <c r="D480" s="33">
        <v>65.0</v>
      </c>
      <c r="E480" s="33">
        <v>1.5</v>
      </c>
      <c r="F480" s="17">
        <v>78.0</v>
      </c>
      <c r="G480" s="34">
        <v>46083.0</v>
      </c>
      <c r="H480" s="5">
        <v>2.0</v>
      </c>
      <c r="I480" s="17">
        <v>0.0</v>
      </c>
      <c r="J480" s="17">
        <v>130.0</v>
      </c>
      <c r="K480" s="17">
        <v>0.0</v>
      </c>
      <c r="L480" s="5" t="s">
        <v>1291</v>
      </c>
      <c r="M480" s="17">
        <v>97.5</v>
      </c>
    </row>
    <row r="481" ht="22.5" customHeight="1">
      <c r="A481" s="19" t="s">
        <v>1004</v>
      </c>
      <c r="B481" s="19" t="s">
        <v>472</v>
      </c>
      <c r="C481" s="19" t="s">
        <v>154</v>
      </c>
      <c r="D481" s="33">
        <v>65.0</v>
      </c>
      <c r="E481" s="33">
        <v>8.0</v>
      </c>
      <c r="F481" s="17">
        <v>78.0</v>
      </c>
      <c r="G481" s="34">
        <v>46110.0</v>
      </c>
      <c r="H481" s="5">
        <v>12.0</v>
      </c>
      <c r="I481" s="17">
        <v>4.0</v>
      </c>
      <c r="J481" s="17">
        <v>780.0</v>
      </c>
      <c r="K481" s="17">
        <v>350.0</v>
      </c>
      <c r="L481" s="5"/>
      <c r="M481" s="17">
        <v>585.0</v>
      </c>
    </row>
    <row r="482" ht="22.5" customHeight="1">
      <c r="A482" s="19" t="s">
        <v>1294</v>
      </c>
      <c r="B482" s="19" t="s">
        <v>472</v>
      </c>
      <c r="C482" s="19" t="s">
        <v>154</v>
      </c>
      <c r="D482" s="33">
        <v>65.0</v>
      </c>
      <c r="E482" s="33">
        <v>12.0</v>
      </c>
      <c r="F482" s="17">
        <v>78.0</v>
      </c>
      <c r="G482" s="34">
        <v>46154.0</v>
      </c>
      <c r="H482" s="5">
        <v>12.0</v>
      </c>
      <c r="I482" s="5">
        <v>0.0</v>
      </c>
      <c r="J482" s="17">
        <v>780.0</v>
      </c>
      <c r="K482" s="17">
        <v>0.0</v>
      </c>
      <c r="L482" s="19"/>
      <c r="M482" s="17"/>
    </row>
    <row r="483" ht="22.5" customHeight="1">
      <c r="A483" s="19" t="s">
        <v>1166</v>
      </c>
      <c r="B483" s="19" t="s">
        <v>472</v>
      </c>
      <c r="C483" s="19" t="s">
        <v>154</v>
      </c>
      <c r="D483" s="33">
        <v>65.0</v>
      </c>
      <c r="E483" s="33">
        <v>10.0</v>
      </c>
      <c r="F483" s="17">
        <v>78.0</v>
      </c>
      <c r="G483" s="34">
        <v>46159.0</v>
      </c>
      <c r="H483" s="5">
        <v>12.0</v>
      </c>
      <c r="I483" s="17">
        <v>2.0</v>
      </c>
      <c r="J483" s="5">
        <v>780.0</v>
      </c>
      <c r="K483" s="17">
        <v>170.0</v>
      </c>
      <c r="L483" s="5"/>
      <c r="M483" s="17">
        <v>780.0</v>
      </c>
    </row>
    <row r="484" ht="22.5" customHeight="1">
      <c r="A484" s="19" t="s">
        <v>151</v>
      </c>
      <c r="B484" s="19" t="s">
        <v>238</v>
      </c>
      <c r="C484" s="19" t="s">
        <v>436</v>
      </c>
      <c r="D484" s="33">
        <v>65.0</v>
      </c>
      <c r="E484" s="33">
        <v>13.0</v>
      </c>
      <c r="F484" s="17">
        <v>78.0</v>
      </c>
      <c r="G484" s="34">
        <v>46168.0</v>
      </c>
      <c r="H484" s="17">
        <v>14.0</v>
      </c>
      <c r="I484" s="17">
        <v>1.0</v>
      </c>
      <c r="J484" s="17">
        <v>910.0</v>
      </c>
      <c r="K484" s="17">
        <v>75.0</v>
      </c>
      <c r="L484" s="5"/>
      <c r="M484" s="17">
        <v>910.0</v>
      </c>
    </row>
    <row r="485" ht="22.5" customHeight="1">
      <c r="A485" s="19" t="s">
        <v>1067</v>
      </c>
      <c r="B485" s="19" t="s">
        <v>68</v>
      </c>
      <c r="C485" s="19" t="s">
        <v>154</v>
      </c>
      <c r="D485" s="33">
        <v>65.0</v>
      </c>
      <c r="E485" s="33">
        <v>1.388888888888889</v>
      </c>
      <c r="F485" s="17">
        <v>78.0</v>
      </c>
      <c r="G485" s="34">
        <v>46168.0</v>
      </c>
      <c r="H485" s="5">
        <v>2.0</v>
      </c>
      <c r="I485" s="17">
        <v>0.6111111111111112</v>
      </c>
      <c r="J485" s="17">
        <v>130.0</v>
      </c>
      <c r="K485" s="17">
        <v>80.0</v>
      </c>
      <c r="L485" s="5"/>
      <c r="M485" s="17">
        <v>130.0</v>
      </c>
    </row>
    <row r="486" ht="22.5" customHeight="1">
      <c r="A486" s="19" t="s">
        <v>1176</v>
      </c>
      <c r="B486" s="19" t="s">
        <v>1302</v>
      </c>
      <c r="C486" s="19" t="s">
        <v>119</v>
      </c>
      <c r="D486" s="33">
        <v>65.0</v>
      </c>
      <c r="E486" s="33">
        <v>4.0</v>
      </c>
      <c r="F486" s="17">
        <v>78.0</v>
      </c>
      <c r="G486" s="34">
        <v>46168.0</v>
      </c>
      <c r="H486" s="5">
        <v>5.0</v>
      </c>
      <c r="I486" s="5">
        <v>1.0</v>
      </c>
      <c r="J486" s="17">
        <v>325.0</v>
      </c>
      <c r="K486" s="17">
        <v>110.0</v>
      </c>
      <c r="L486" s="19"/>
      <c r="M486" s="17"/>
    </row>
    <row r="487" ht="22.5" customHeight="1">
      <c r="A487" s="19" t="s">
        <v>679</v>
      </c>
      <c r="B487" s="19" t="s">
        <v>224</v>
      </c>
      <c r="C487" s="19" t="s">
        <v>119</v>
      </c>
      <c r="D487" s="33">
        <v>63.0</v>
      </c>
      <c r="E487" s="33">
        <v>0.0</v>
      </c>
      <c r="F487" s="17">
        <v>75.6</v>
      </c>
      <c r="G487" s="34">
        <v>46041.77366194445</v>
      </c>
      <c r="H487" s="5">
        <v>2.0</v>
      </c>
      <c r="I487" s="17">
        <v>2.0</v>
      </c>
      <c r="J487" s="17">
        <v>126.0</v>
      </c>
      <c r="K487" s="17">
        <v>170.0</v>
      </c>
      <c r="L487" s="5"/>
      <c r="M487" s="17">
        <v>0.0</v>
      </c>
    </row>
    <row r="488" ht="22.5" customHeight="1">
      <c r="A488" s="19" t="s">
        <v>808</v>
      </c>
      <c r="B488" s="19" t="s">
        <v>224</v>
      </c>
      <c r="C488" s="19" t="s">
        <v>119</v>
      </c>
      <c r="D488" s="33">
        <v>63.0</v>
      </c>
      <c r="E488" s="33">
        <v>1.0</v>
      </c>
      <c r="F488" s="17">
        <v>75.6</v>
      </c>
      <c r="G488" s="34">
        <v>46068.0</v>
      </c>
      <c r="H488" s="5">
        <v>3.0</v>
      </c>
      <c r="I488" s="17">
        <v>2.0</v>
      </c>
      <c r="J488" s="17">
        <v>189.0</v>
      </c>
      <c r="K488" s="17">
        <v>180.0</v>
      </c>
      <c r="L488" s="5"/>
      <c r="M488" s="17">
        <v>63.0</v>
      </c>
    </row>
    <row r="489" ht="22.5" customHeight="1">
      <c r="A489" s="19" t="s">
        <v>784</v>
      </c>
      <c r="B489" s="19" t="s">
        <v>224</v>
      </c>
      <c r="C489" s="19" t="s">
        <v>119</v>
      </c>
      <c r="D489" s="33">
        <v>63.0</v>
      </c>
      <c r="E489" s="33">
        <v>0.0</v>
      </c>
      <c r="F489" s="17">
        <v>75.6</v>
      </c>
      <c r="G489" s="34">
        <v>46064.0</v>
      </c>
      <c r="H489" s="5">
        <v>1.0</v>
      </c>
      <c r="I489" s="17">
        <v>1.0</v>
      </c>
      <c r="J489" s="17">
        <v>63.0</v>
      </c>
      <c r="K489" s="17">
        <v>90.0</v>
      </c>
      <c r="L489" s="5"/>
      <c r="M489" s="17">
        <v>0.0</v>
      </c>
    </row>
    <row r="490" ht="22.5" customHeight="1">
      <c r="A490" s="19" t="s">
        <v>1284</v>
      </c>
      <c r="B490" s="19" t="s">
        <v>354</v>
      </c>
      <c r="C490" s="19" t="s">
        <v>119</v>
      </c>
      <c r="D490" s="33">
        <v>63.0</v>
      </c>
      <c r="E490" s="33">
        <v>1.0</v>
      </c>
      <c r="F490" s="17">
        <v>75.6</v>
      </c>
      <c r="G490" s="34">
        <v>46083.0</v>
      </c>
      <c r="H490" s="5">
        <v>1.0</v>
      </c>
      <c r="I490" s="17">
        <v>0.0</v>
      </c>
      <c r="J490" s="17">
        <v>63.0</v>
      </c>
      <c r="K490" s="17">
        <v>0.0</v>
      </c>
      <c r="L490" s="5"/>
      <c r="M490" s="17">
        <v>63.0</v>
      </c>
    </row>
    <row r="491" ht="22.5" customHeight="1">
      <c r="A491" s="10" t="s">
        <v>79</v>
      </c>
      <c r="B491" s="10" t="s">
        <v>169</v>
      </c>
      <c r="C491" s="10" t="s">
        <v>31</v>
      </c>
      <c r="D491" s="8">
        <v>60.0</v>
      </c>
      <c r="E491" s="8">
        <v>2.0</v>
      </c>
      <c r="F491" s="13">
        <v>72.0</v>
      </c>
      <c r="G491" s="14">
        <v>46097.0</v>
      </c>
      <c r="H491" s="13">
        <v>12.0</v>
      </c>
      <c r="I491" s="13">
        <v>10.0</v>
      </c>
      <c r="J491" s="13">
        <v>720.0</v>
      </c>
      <c r="K491" s="13">
        <v>909.91</v>
      </c>
      <c r="L491" s="15"/>
      <c r="M491" s="17">
        <v>120.0</v>
      </c>
    </row>
    <row r="492" ht="22.5" customHeight="1">
      <c r="A492" s="19" t="s">
        <v>967</v>
      </c>
      <c r="B492" s="19" t="s">
        <v>224</v>
      </c>
      <c r="C492" s="19" t="s">
        <v>119</v>
      </c>
      <c r="D492" s="33">
        <v>60.0</v>
      </c>
      <c r="E492" s="33">
        <v>3.0</v>
      </c>
      <c r="F492" s="17">
        <v>72.0</v>
      </c>
      <c r="G492" s="34">
        <v>46011.0</v>
      </c>
      <c r="H492" s="5">
        <v>3.0</v>
      </c>
      <c r="I492" s="17">
        <v>0.0</v>
      </c>
      <c r="J492" s="17">
        <v>180.0</v>
      </c>
      <c r="K492" s="17">
        <v>0.0</v>
      </c>
      <c r="L492" s="5"/>
      <c r="M492" s="17">
        <v>180.0</v>
      </c>
    </row>
    <row r="493" ht="22.5" customHeight="1">
      <c r="A493" s="19" t="s">
        <v>1276</v>
      </c>
      <c r="B493" s="19" t="s">
        <v>354</v>
      </c>
      <c r="C493" s="19" t="s">
        <v>119</v>
      </c>
      <c r="D493" s="33">
        <v>60.0</v>
      </c>
      <c r="E493" s="33">
        <v>4.0</v>
      </c>
      <c r="F493" s="17">
        <v>72.0</v>
      </c>
      <c r="G493" s="34">
        <v>46083.0</v>
      </c>
      <c r="H493" s="5">
        <v>4.0</v>
      </c>
      <c r="I493" s="17">
        <v>0.0</v>
      </c>
      <c r="J493" s="17">
        <v>240.0</v>
      </c>
      <c r="K493" s="17">
        <v>0.0</v>
      </c>
      <c r="L493" s="5"/>
      <c r="M493" s="17">
        <v>240.0</v>
      </c>
    </row>
    <row r="494" ht="22.5" customHeight="1">
      <c r="A494" s="10" t="s">
        <v>1314</v>
      </c>
      <c r="B494" s="10" t="s">
        <v>974</v>
      </c>
      <c r="C494" s="10" t="s">
        <v>125</v>
      </c>
      <c r="D494" s="8">
        <v>60.0</v>
      </c>
      <c r="E494" s="8">
        <v>2.0</v>
      </c>
      <c r="F494" s="13">
        <v>72.0</v>
      </c>
      <c r="G494" s="14">
        <v>46095.0</v>
      </c>
      <c r="H494" s="13">
        <v>2.0</v>
      </c>
      <c r="I494" s="13">
        <v>0.0</v>
      </c>
      <c r="J494" s="13">
        <v>120.0</v>
      </c>
      <c r="K494" s="13">
        <v>0.0</v>
      </c>
      <c r="L494" s="15"/>
      <c r="M494" s="17">
        <v>120.0</v>
      </c>
    </row>
    <row r="495" ht="22.5" customHeight="1">
      <c r="A495" s="19" t="s">
        <v>1316</v>
      </c>
      <c r="B495" s="19"/>
      <c r="C495" s="19"/>
      <c r="D495" s="33">
        <v>60.0</v>
      </c>
      <c r="E495" s="33">
        <v>12.0</v>
      </c>
      <c r="F495" s="17">
        <v>72.0</v>
      </c>
      <c r="G495" s="34">
        <v>46154.0</v>
      </c>
      <c r="H495" s="5">
        <v>12.0</v>
      </c>
      <c r="I495" s="5">
        <v>0.0</v>
      </c>
      <c r="J495" s="17">
        <v>720.0</v>
      </c>
      <c r="K495" s="17">
        <v>0.0</v>
      </c>
      <c r="L495" s="19"/>
      <c r="M495" s="17"/>
    </row>
    <row r="496" ht="22.5" customHeight="1">
      <c r="A496" s="19" t="s">
        <v>707</v>
      </c>
      <c r="B496" s="19" t="s">
        <v>224</v>
      </c>
      <c r="C496" s="19" t="s">
        <v>119</v>
      </c>
      <c r="D496" s="33">
        <v>59.0</v>
      </c>
      <c r="E496" s="33">
        <v>2.0</v>
      </c>
      <c r="F496" s="17">
        <v>70.8</v>
      </c>
      <c r="G496" s="34">
        <v>46043.86602482639</v>
      </c>
      <c r="H496" s="5">
        <v>3.0</v>
      </c>
      <c r="I496" s="17">
        <v>1.0</v>
      </c>
      <c r="J496" s="17">
        <v>177.0</v>
      </c>
      <c r="K496" s="17">
        <v>90.0</v>
      </c>
      <c r="L496" s="5"/>
      <c r="M496" s="17">
        <v>118.0</v>
      </c>
    </row>
    <row r="497" ht="22.5" customHeight="1">
      <c r="A497" s="10" t="s">
        <v>445</v>
      </c>
      <c r="B497" s="10" t="s">
        <v>483</v>
      </c>
      <c r="C497" s="10" t="s">
        <v>125</v>
      </c>
      <c r="D497" s="8">
        <v>58.0</v>
      </c>
      <c r="E497" s="8">
        <v>2.0</v>
      </c>
      <c r="F497" s="13">
        <v>69.6</v>
      </c>
      <c r="G497" s="14">
        <v>46095.0</v>
      </c>
      <c r="H497" s="13">
        <v>2.0</v>
      </c>
      <c r="I497" s="13">
        <v>0.0</v>
      </c>
      <c r="J497" s="13">
        <v>116.0</v>
      </c>
      <c r="K497" s="13">
        <v>0.0</v>
      </c>
      <c r="L497" s="15"/>
      <c r="M497" s="17">
        <v>116.0</v>
      </c>
    </row>
    <row r="498" ht="22.5" customHeight="1">
      <c r="A498" s="10" t="s">
        <v>517</v>
      </c>
      <c r="B498" s="10" t="s">
        <v>68</v>
      </c>
      <c r="C498" s="6" t="s">
        <v>54</v>
      </c>
      <c r="D498" s="8">
        <v>56.666666666666664</v>
      </c>
      <c r="E498" s="8">
        <v>0.0</v>
      </c>
      <c r="F498" s="13">
        <v>68.0</v>
      </c>
      <c r="G498" s="36">
        <v>46167.0</v>
      </c>
      <c r="H498" s="13">
        <v>2.0</v>
      </c>
      <c r="I498" s="13">
        <v>3.0</v>
      </c>
      <c r="J498" s="13">
        <v>113.33333333333333</v>
      </c>
      <c r="K498" s="13">
        <v>270.0</v>
      </c>
      <c r="L498" s="5" t="s">
        <v>1322</v>
      </c>
      <c r="M498" s="17">
        <v>0.0</v>
      </c>
    </row>
    <row r="499" ht="22.5" customHeight="1">
      <c r="A499" s="10" t="s">
        <v>198</v>
      </c>
      <c r="B499" s="10" t="s">
        <v>68</v>
      </c>
      <c r="C499" s="10" t="s">
        <v>31</v>
      </c>
      <c r="D499" s="8">
        <v>55.0</v>
      </c>
      <c r="E499" s="8">
        <v>0.0</v>
      </c>
      <c r="F499" s="13">
        <v>66.0</v>
      </c>
      <c r="G499" s="14">
        <v>45908.0</v>
      </c>
      <c r="H499" s="13">
        <v>4.0</v>
      </c>
      <c r="I499" s="13">
        <v>4.0</v>
      </c>
      <c r="J499" s="13">
        <v>220.0</v>
      </c>
      <c r="K499" s="13">
        <v>294.79</v>
      </c>
      <c r="L499" s="15"/>
      <c r="M499" s="17">
        <v>0.0</v>
      </c>
    </row>
    <row r="500" ht="22.5" customHeight="1">
      <c r="A500" s="19" t="s">
        <v>957</v>
      </c>
      <c r="B500" s="19" t="s">
        <v>224</v>
      </c>
      <c r="C500" s="19" t="s">
        <v>119</v>
      </c>
      <c r="D500" s="33">
        <v>55.0</v>
      </c>
      <c r="E500" s="33">
        <v>2.0</v>
      </c>
      <c r="F500" s="17">
        <v>66.0</v>
      </c>
      <c r="G500" s="34">
        <v>46011.0</v>
      </c>
      <c r="H500" s="5">
        <v>2.0</v>
      </c>
      <c r="I500" s="17">
        <v>0.0</v>
      </c>
      <c r="J500" s="17">
        <v>110.0</v>
      </c>
      <c r="K500" s="17">
        <v>0.0</v>
      </c>
      <c r="L500" s="5"/>
      <c r="M500" s="17">
        <v>110.0</v>
      </c>
    </row>
    <row r="501" ht="22.5" customHeight="1">
      <c r="A501" s="19" t="s">
        <v>667</v>
      </c>
      <c r="B501" s="19" t="s">
        <v>68</v>
      </c>
      <c r="C501" s="19" t="s">
        <v>1052</v>
      </c>
      <c r="D501" s="33">
        <v>55.0</v>
      </c>
      <c r="E501" s="33">
        <v>6.0</v>
      </c>
      <c r="F501" s="17">
        <v>66.0</v>
      </c>
      <c r="G501" s="34">
        <v>46164.0</v>
      </c>
      <c r="H501" s="5">
        <v>12.0</v>
      </c>
      <c r="I501" s="17">
        <v>6.0</v>
      </c>
      <c r="J501" s="17">
        <v>660.0</v>
      </c>
      <c r="K501" s="17">
        <v>435.0</v>
      </c>
      <c r="L501" s="5"/>
      <c r="M501" s="17">
        <v>440.0</v>
      </c>
    </row>
    <row r="502" ht="22.5" customHeight="1">
      <c r="A502" s="19" t="s">
        <v>1078</v>
      </c>
      <c r="B502" s="19" t="s">
        <v>68</v>
      </c>
      <c r="C502" s="19" t="s">
        <v>1052</v>
      </c>
      <c r="D502" s="33">
        <v>55.0</v>
      </c>
      <c r="E502" s="33">
        <v>1.0</v>
      </c>
      <c r="F502" s="17">
        <v>66.0</v>
      </c>
      <c r="G502" s="34">
        <v>46032.0</v>
      </c>
      <c r="H502" s="5">
        <v>1.0</v>
      </c>
      <c r="I502" s="17">
        <v>0.0</v>
      </c>
      <c r="J502" s="17">
        <v>55.0</v>
      </c>
      <c r="K502" s="17">
        <v>0.0</v>
      </c>
      <c r="L502" s="5"/>
      <c r="M502" s="17">
        <v>55.0</v>
      </c>
    </row>
    <row r="503" ht="22.5" customHeight="1">
      <c r="A503" s="19" t="s">
        <v>1118</v>
      </c>
      <c r="B503" s="19" t="s">
        <v>472</v>
      </c>
      <c r="C503" s="19" t="s">
        <v>51</v>
      </c>
      <c r="D503" s="33">
        <v>55.0</v>
      </c>
      <c r="E503" s="33">
        <v>6.0</v>
      </c>
      <c r="F503" s="17">
        <v>66.0</v>
      </c>
      <c r="G503" s="34">
        <v>46060.0</v>
      </c>
      <c r="H503" s="5">
        <v>6.0</v>
      </c>
      <c r="I503" s="17">
        <v>0.0</v>
      </c>
      <c r="J503" s="17">
        <v>330.0</v>
      </c>
      <c r="K503" s="17">
        <v>0.0</v>
      </c>
      <c r="L503" s="5"/>
      <c r="M503" s="17">
        <v>330.0</v>
      </c>
    </row>
    <row r="504" ht="22.5" customHeight="1">
      <c r="A504" s="19" t="s">
        <v>593</v>
      </c>
      <c r="B504" s="19" t="s">
        <v>48</v>
      </c>
      <c r="C504" s="19" t="s">
        <v>51</v>
      </c>
      <c r="D504" s="33">
        <v>55.0</v>
      </c>
      <c r="E504" s="33">
        <v>8.0</v>
      </c>
      <c r="F504" s="17">
        <v>66.0</v>
      </c>
      <c r="G504" s="34">
        <v>46098.0</v>
      </c>
      <c r="H504" s="5">
        <v>12.0</v>
      </c>
      <c r="I504" s="17">
        <v>4.0</v>
      </c>
      <c r="J504" s="5">
        <v>660.0</v>
      </c>
      <c r="K504" s="17">
        <v>320.0</v>
      </c>
      <c r="L504" s="5"/>
      <c r="M504" s="17">
        <v>440.0</v>
      </c>
    </row>
    <row r="505" ht="22.5" customHeight="1">
      <c r="A505" s="10" t="s">
        <v>1330</v>
      </c>
      <c r="B505" s="10" t="s">
        <v>974</v>
      </c>
      <c r="C505" s="10" t="s">
        <v>125</v>
      </c>
      <c r="D505" s="8">
        <v>55.0</v>
      </c>
      <c r="E505" s="8">
        <v>5.0</v>
      </c>
      <c r="F505" s="13">
        <v>66.0</v>
      </c>
      <c r="G505" s="14">
        <v>46095.0</v>
      </c>
      <c r="H505" s="13">
        <v>5.0</v>
      </c>
      <c r="I505" s="13">
        <v>0.0</v>
      </c>
      <c r="J505" s="13">
        <v>275.0</v>
      </c>
      <c r="K505" s="13">
        <v>0.0</v>
      </c>
      <c r="L505" s="15"/>
      <c r="M505" s="17">
        <v>275.0</v>
      </c>
    </row>
    <row r="506" ht="22.5" customHeight="1">
      <c r="A506" s="19" t="s">
        <v>1160</v>
      </c>
      <c r="B506" s="19" t="s">
        <v>927</v>
      </c>
      <c r="C506" s="19" t="s">
        <v>436</v>
      </c>
      <c r="D506" s="33">
        <v>55.0</v>
      </c>
      <c r="E506" s="33">
        <v>4.0</v>
      </c>
      <c r="F506" s="17">
        <v>66.0</v>
      </c>
      <c r="G506" s="34">
        <v>46149.0</v>
      </c>
      <c r="H506" s="17">
        <v>5.0</v>
      </c>
      <c r="I506" s="17">
        <v>1.0</v>
      </c>
      <c r="J506" s="17">
        <v>275.0</v>
      </c>
      <c r="K506" s="17">
        <v>60.0</v>
      </c>
      <c r="L506" s="5"/>
      <c r="M506" s="17">
        <v>275.0</v>
      </c>
    </row>
    <row r="507" ht="22.5" customHeight="1">
      <c r="A507" s="19" t="s">
        <v>1173</v>
      </c>
      <c r="B507" s="19" t="s">
        <v>472</v>
      </c>
      <c r="C507" s="19" t="s">
        <v>1059</v>
      </c>
      <c r="D507" s="33">
        <v>55.0</v>
      </c>
      <c r="E507" s="33">
        <v>8.4</v>
      </c>
      <c r="F507" s="17">
        <v>66.0</v>
      </c>
      <c r="G507" s="34">
        <v>46168.0</v>
      </c>
      <c r="H507" s="5">
        <v>12.0</v>
      </c>
      <c r="I507" s="5">
        <v>3.6</v>
      </c>
      <c r="J507" s="17">
        <v>660.0</v>
      </c>
      <c r="K507" s="17">
        <v>240.0</v>
      </c>
      <c r="L507" s="19"/>
      <c r="M507" s="17"/>
    </row>
    <row r="508" ht="22.5" customHeight="1">
      <c r="A508" s="19" t="s">
        <v>802</v>
      </c>
      <c r="B508" s="19" t="s">
        <v>836</v>
      </c>
      <c r="C508" s="19"/>
      <c r="D508" s="33">
        <v>53.33</v>
      </c>
      <c r="E508" s="33">
        <v>17.200000000000003</v>
      </c>
      <c r="F508" s="17">
        <v>64.0</v>
      </c>
      <c r="G508" s="34">
        <v>46507.04166666667</v>
      </c>
      <c r="H508" s="5">
        <v>24.0</v>
      </c>
      <c r="I508" s="17">
        <v>6.800000000000001</v>
      </c>
      <c r="J508" s="17">
        <v>1280.0</v>
      </c>
      <c r="K508" s="17">
        <v>480.0</v>
      </c>
      <c r="L508" s="5"/>
      <c r="M508" s="17">
        <v>1087.932</v>
      </c>
    </row>
    <row r="509" ht="22.5" customHeight="1">
      <c r="A509" s="19" t="s">
        <v>445</v>
      </c>
      <c r="B509" s="19" t="s">
        <v>840</v>
      </c>
      <c r="C509" s="19" t="s">
        <v>119</v>
      </c>
      <c r="D509" s="33">
        <v>52.0</v>
      </c>
      <c r="E509" s="33">
        <v>1.0</v>
      </c>
      <c r="F509" s="17">
        <v>62.4</v>
      </c>
      <c r="G509" s="34">
        <v>46159.0</v>
      </c>
      <c r="H509" s="5">
        <v>2.0</v>
      </c>
      <c r="I509" s="17">
        <v>1.0</v>
      </c>
      <c r="J509" s="17">
        <v>104.0</v>
      </c>
      <c r="K509" s="17">
        <v>70.0</v>
      </c>
      <c r="L509" s="5"/>
      <c r="M509" s="17">
        <v>104.0</v>
      </c>
    </row>
    <row r="510" ht="22.5" customHeight="1">
      <c r="A510" s="10" t="s">
        <v>1242</v>
      </c>
      <c r="B510" s="10" t="s">
        <v>483</v>
      </c>
      <c r="C510" s="10" t="s">
        <v>125</v>
      </c>
      <c r="D510" s="8">
        <v>52.0</v>
      </c>
      <c r="E510" s="8">
        <v>2.0</v>
      </c>
      <c r="F510" s="13">
        <v>62.4</v>
      </c>
      <c r="G510" s="14">
        <v>46095.0</v>
      </c>
      <c r="H510" s="13">
        <v>2.0</v>
      </c>
      <c r="I510" s="13">
        <v>0.0</v>
      </c>
      <c r="J510" s="13">
        <v>104.0</v>
      </c>
      <c r="K510" s="13">
        <v>0.0</v>
      </c>
      <c r="L510" s="15"/>
      <c r="M510" s="17">
        <v>104.0</v>
      </c>
    </row>
    <row r="511" ht="22.5" customHeight="1">
      <c r="A511" s="19" t="s">
        <v>567</v>
      </c>
      <c r="B511" s="19" t="s">
        <v>579</v>
      </c>
      <c r="C511" s="19" t="s">
        <v>119</v>
      </c>
      <c r="D511" s="33">
        <v>51.0</v>
      </c>
      <c r="E511" s="33">
        <v>0.0</v>
      </c>
      <c r="F511" s="17">
        <v>61.2</v>
      </c>
      <c r="G511" s="34">
        <v>46100.0</v>
      </c>
      <c r="H511" s="5">
        <v>6.0</v>
      </c>
      <c r="I511" s="17">
        <v>6.0</v>
      </c>
      <c r="J511" s="17">
        <v>306.0</v>
      </c>
      <c r="K511" s="17">
        <v>430.0</v>
      </c>
      <c r="L511" s="5"/>
      <c r="M511" s="17">
        <v>0.0</v>
      </c>
    </row>
    <row r="512" ht="22.5" customHeight="1">
      <c r="A512" s="10" t="s">
        <v>381</v>
      </c>
      <c r="B512" s="10" t="s">
        <v>185</v>
      </c>
      <c r="C512" s="10" t="s">
        <v>31</v>
      </c>
      <c r="D512" s="8">
        <v>50.0</v>
      </c>
      <c r="E512" s="8">
        <v>4.0</v>
      </c>
      <c r="F512" s="13">
        <v>60.0</v>
      </c>
      <c r="G512" s="14">
        <v>46159.0</v>
      </c>
      <c r="H512" s="13">
        <v>5.0</v>
      </c>
      <c r="I512" s="13">
        <v>1.0</v>
      </c>
      <c r="J512" s="13">
        <v>250.0</v>
      </c>
      <c r="K512" s="13">
        <v>85.0</v>
      </c>
      <c r="L512" s="15"/>
      <c r="M512" s="17">
        <v>250.0</v>
      </c>
    </row>
    <row r="513" ht="22.5" customHeight="1">
      <c r="A513" s="10" t="s">
        <v>570</v>
      </c>
      <c r="B513" s="10" t="s">
        <v>138</v>
      </c>
      <c r="C513" s="10" t="s">
        <v>31</v>
      </c>
      <c r="D513" s="8">
        <v>50.0</v>
      </c>
      <c r="E513" s="8">
        <v>5.0</v>
      </c>
      <c r="F513" s="13">
        <v>60.0</v>
      </c>
      <c r="G513" s="14">
        <v>45856.0</v>
      </c>
      <c r="H513" s="13">
        <v>5.0</v>
      </c>
      <c r="I513" s="13">
        <v>0.0</v>
      </c>
      <c r="J513" s="13">
        <v>250.0</v>
      </c>
      <c r="K513" s="13">
        <v>0.0</v>
      </c>
      <c r="L513" s="15"/>
      <c r="M513" s="17">
        <v>250.0</v>
      </c>
    </row>
    <row r="514" ht="22.5" customHeight="1">
      <c r="A514" s="10" t="s">
        <v>515</v>
      </c>
      <c r="B514" s="10" t="s">
        <v>185</v>
      </c>
      <c r="C514" s="10" t="s">
        <v>31</v>
      </c>
      <c r="D514" s="8">
        <v>50.0</v>
      </c>
      <c r="E514" s="8">
        <v>0.0</v>
      </c>
      <c r="F514" s="13">
        <v>60.0</v>
      </c>
      <c r="G514" s="14">
        <v>46100.0</v>
      </c>
      <c r="H514" s="13">
        <v>1.0</v>
      </c>
      <c r="I514" s="13">
        <v>5.0</v>
      </c>
      <c r="J514" s="13">
        <v>50.0</v>
      </c>
      <c r="K514" s="13">
        <v>300.0</v>
      </c>
      <c r="L514" s="15"/>
      <c r="M514" s="17">
        <v>0.0</v>
      </c>
    </row>
    <row r="515" ht="22.5" customHeight="1">
      <c r="A515" s="19" t="s">
        <v>216</v>
      </c>
      <c r="B515" s="19" t="s">
        <v>472</v>
      </c>
      <c r="C515" s="19" t="s">
        <v>51</v>
      </c>
      <c r="D515" s="33">
        <v>50.0</v>
      </c>
      <c r="E515" s="33">
        <v>3.0</v>
      </c>
      <c r="F515" s="17">
        <v>60.0</v>
      </c>
      <c r="G515" s="34">
        <v>46152.0</v>
      </c>
      <c r="H515" s="5">
        <v>5.0</v>
      </c>
      <c r="I515" s="17">
        <v>1.7999999999999998</v>
      </c>
      <c r="J515" s="17">
        <v>250.0</v>
      </c>
      <c r="K515" s="17">
        <v>135.0</v>
      </c>
      <c r="L515" s="19" t="s">
        <v>1343</v>
      </c>
      <c r="M515" s="17">
        <v>170.0</v>
      </c>
    </row>
    <row r="516" ht="22.5" customHeight="1">
      <c r="A516" s="19" t="s">
        <v>662</v>
      </c>
      <c r="B516" s="19" t="s">
        <v>68</v>
      </c>
      <c r="C516" s="19" t="s">
        <v>1052</v>
      </c>
      <c r="D516" s="33">
        <v>50.0</v>
      </c>
      <c r="E516" s="33">
        <v>1.0</v>
      </c>
      <c r="F516" s="17">
        <v>60.0</v>
      </c>
      <c r="G516" s="34">
        <v>46147.0</v>
      </c>
      <c r="H516" s="5">
        <v>9.0</v>
      </c>
      <c r="I516" s="17">
        <v>8.0</v>
      </c>
      <c r="J516" s="17">
        <v>450.0</v>
      </c>
      <c r="K516" s="17">
        <v>585.0</v>
      </c>
      <c r="L516" s="5"/>
      <c r="M516" s="17">
        <v>150.0</v>
      </c>
    </row>
    <row r="517" ht="22.5" customHeight="1">
      <c r="A517" s="19" t="s">
        <v>1100</v>
      </c>
      <c r="B517" s="19" t="s">
        <v>327</v>
      </c>
      <c r="C517" s="19" t="s">
        <v>119</v>
      </c>
      <c r="D517" s="33">
        <v>50.0</v>
      </c>
      <c r="E517" s="33">
        <v>5.0</v>
      </c>
      <c r="F517" s="17">
        <v>60.0</v>
      </c>
      <c r="G517" s="34">
        <v>46060.0</v>
      </c>
      <c r="H517" s="5">
        <v>5.0</v>
      </c>
      <c r="I517" s="17">
        <v>0.0</v>
      </c>
      <c r="J517" s="17">
        <v>250.0</v>
      </c>
      <c r="K517" s="17">
        <v>0.0</v>
      </c>
      <c r="L517" s="5"/>
      <c r="M517" s="17">
        <v>250.0</v>
      </c>
    </row>
    <row r="518" ht="22.5" customHeight="1">
      <c r="A518" s="19" t="s">
        <v>1014</v>
      </c>
      <c r="B518" s="19" t="s">
        <v>354</v>
      </c>
      <c r="C518" s="19" t="s">
        <v>119</v>
      </c>
      <c r="D518" s="33">
        <v>50.0</v>
      </c>
      <c r="E518" s="33">
        <v>0.0</v>
      </c>
      <c r="F518" s="17">
        <v>60.0</v>
      </c>
      <c r="G518" s="34">
        <v>46100.0</v>
      </c>
      <c r="H518" s="5">
        <v>3.0</v>
      </c>
      <c r="I518" s="17">
        <v>3.0</v>
      </c>
      <c r="J518" s="17">
        <v>150.0</v>
      </c>
      <c r="K518" s="17">
        <v>240.0</v>
      </c>
      <c r="L518" s="5"/>
      <c r="M518" s="17">
        <v>0.0</v>
      </c>
    </row>
    <row r="519" ht="22.5" customHeight="1">
      <c r="A519" s="19" t="s">
        <v>1349</v>
      </c>
      <c r="B519" s="19" t="s">
        <v>68</v>
      </c>
      <c r="C519" s="19" t="s">
        <v>51</v>
      </c>
      <c r="D519" s="33">
        <v>50.0</v>
      </c>
      <c r="E519" s="33">
        <v>0.0</v>
      </c>
      <c r="F519" s="17">
        <v>60.0</v>
      </c>
      <c r="G519" s="34">
        <v>46097.0</v>
      </c>
      <c r="H519" s="5">
        <v>12.0</v>
      </c>
      <c r="I519" s="17">
        <v>12.0</v>
      </c>
      <c r="J519" s="17">
        <v>600.0</v>
      </c>
      <c r="K519" s="17">
        <v>890.0</v>
      </c>
      <c r="L519" s="5"/>
      <c r="M519" s="17">
        <v>0.0</v>
      </c>
    </row>
    <row r="520" ht="22.5" customHeight="1">
      <c r="A520" s="10" t="s">
        <v>991</v>
      </c>
      <c r="B520" s="10" t="s">
        <v>1171</v>
      </c>
      <c r="C520" s="10" t="s">
        <v>51</v>
      </c>
      <c r="D520" s="8">
        <v>50.0</v>
      </c>
      <c r="E520" s="8">
        <v>12.0</v>
      </c>
      <c r="F520" s="13">
        <v>60.0</v>
      </c>
      <c r="G520" s="14">
        <v>46099.0</v>
      </c>
      <c r="H520" s="13">
        <v>12.0</v>
      </c>
      <c r="I520" s="13">
        <v>0.0</v>
      </c>
      <c r="J520" s="13">
        <v>600.0</v>
      </c>
      <c r="K520" s="13">
        <v>0.0</v>
      </c>
      <c r="L520" s="15"/>
      <c r="M520" s="17">
        <v>600.0</v>
      </c>
    </row>
    <row r="521" ht="22.5" customHeight="1">
      <c r="A521" s="19" t="s">
        <v>674</v>
      </c>
      <c r="B521" s="19" t="s">
        <v>472</v>
      </c>
      <c r="C521" s="19" t="s">
        <v>51</v>
      </c>
      <c r="D521" s="33">
        <v>50.0</v>
      </c>
      <c r="E521" s="33">
        <v>1.0</v>
      </c>
      <c r="F521" s="17">
        <v>60.0</v>
      </c>
      <c r="G521" s="34">
        <v>46116.0</v>
      </c>
      <c r="H521" s="17">
        <v>1.0</v>
      </c>
      <c r="I521" s="17">
        <v>0.0</v>
      </c>
      <c r="J521" s="17">
        <v>50.0</v>
      </c>
      <c r="K521" s="17">
        <v>0.0</v>
      </c>
      <c r="L521" s="5"/>
      <c r="M521" s="17">
        <v>50.0</v>
      </c>
    </row>
    <row r="522" ht="22.5" customHeight="1">
      <c r="A522" s="10" t="s">
        <v>395</v>
      </c>
      <c r="B522" s="10" t="s">
        <v>472</v>
      </c>
      <c r="C522" s="10" t="s">
        <v>154</v>
      </c>
      <c r="D522" s="8">
        <v>50.0</v>
      </c>
      <c r="E522" s="8">
        <v>9.583333333333334</v>
      </c>
      <c r="F522" s="13">
        <v>60.0</v>
      </c>
      <c r="G522" s="14">
        <v>46168.0</v>
      </c>
      <c r="H522" s="13">
        <v>12.0</v>
      </c>
      <c r="I522" s="13">
        <v>2.4166666666666665</v>
      </c>
      <c r="J522" s="13">
        <v>600.0</v>
      </c>
      <c r="K522" s="13">
        <v>225.0</v>
      </c>
      <c r="L522" s="15"/>
      <c r="M522" s="17">
        <v>575.0</v>
      </c>
    </row>
    <row r="523" ht="22.5" customHeight="1">
      <c r="A523" s="19" t="s">
        <v>975</v>
      </c>
      <c r="B523" s="19" t="s">
        <v>840</v>
      </c>
      <c r="C523" s="19" t="s">
        <v>119</v>
      </c>
      <c r="D523" s="33">
        <v>49.0</v>
      </c>
      <c r="E523" s="33">
        <v>1.0</v>
      </c>
      <c r="F523" s="17">
        <v>58.8</v>
      </c>
      <c r="G523" s="34">
        <v>44997.0</v>
      </c>
      <c r="H523" s="5">
        <v>2.0</v>
      </c>
      <c r="I523" s="17">
        <v>1.0</v>
      </c>
      <c r="J523" s="17">
        <v>98.0</v>
      </c>
      <c r="K523" s="17">
        <v>70.0</v>
      </c>
      <c r="L523" s="5"/>
      <c r="M523" s="17">
        <v>49.0</v>
      </c>
    </row>
    <row r="524" ht="22.5" customHeight="1">
      <c r="A524" s="10" t="s">
        <v>805</v>
      </c>
      <c r="B524" s="10" t="s">
        <v>30</v>
      </c>
      <c r="C524" s="10" t="s">
        <v>125</v>
      </c>
      <c r="D524" s="8">
        <v>49.0</v>
      </c>
      <c r="E524" s="8">
        <v>3.0</v>
      </c>
      <c r="F524" s="13">
        <v>58.8</v>
      </c>
      <c r="G524" s="14">
        <v>46095.0</v>
      </c>
      <c r="H524" s="13">
        <v>3.0</v>
      </c>
      <c r="I524" s="13">
        <v>0.0</v>
      </c>
      <c r="J524" s="13">
        <v>147.0</v>
      </c>
      <c r="K524" s="13">
        <v>0.0</v>
      </c>
      <c r="L524" s="15"/>
      <c r="M524" s="17">
        <v>147.0</v>
      </c>
    </row>
    <row r="525" ht="22.5" customHeight="1">
      <c r="A525" s="10" t="s">
        <v>1167</v>
      </c>
      <c r="B525" s="10" t="s">
        <v>30</v>
      </c>
      <c r="C525" s="10" t="s">
        <v>125</v>
      </c>
      <c r="D525" s="8">
        <v>49.0</v>
      </c>
      <c r="E525" s="8">
        <v>0.0</v>
      </c>
      <c r="F525" s="13">
        <v>58.8</v>
      </c>
      <c r="G525" s="14">
        <v>46160.0</v>
      </c>
      <c r="H525" s="13">
        <v>1.0</v>
      </c>
      <c r="I525" s="13">
        <v>1.0</v>
      </c>
      <c r="J525" s="13">
        <v>49.0</v>
      </c>
      <c r="K525" s="13">
        <v>100.0</v>
      </c>
      <c r="L525" s="15"/>
      <c r="M525" s="17">
        <v>49.0</v>
      </c>
    </row>
    <row r="526" ht="22.5" customHeight="1">
      <c r="A526" s="19" t="s">
        <v>1179</v>
      </c>
      <c r="B526" s="19" t="s">
        <v>1180</v>
      </c>
      <c r="C526" s="19" t="s">
        <v>119</v>
      </c>
      <c r="D526" s="33">
        <v>46.0</v>
      </c>
      <c r="E526" s="33">
        <v>2.0</v>
      </c>
      <c r="F526" s="17">
        <v>55.2</v>
      </c>
      <c r="G526" s="34">
        <v>46067.0</v>
      </c>
      <c r="H526" s="5">
        <v>2.0</v>
      </c>
      <c r="I526" s="17">
        <v>0.0</v>
      </c>
      <c r="J526" s="17">
        <v>92.0</v>
      </c>
      <c r="K526" s="17">
        <v>0.0</v>
      </c>
      <c r="L526" s="5"/>
      <c r="M526" s="17">
        <v>92.0</v>
      </c>
    </row>
    <row r="527" ht="22.5" customHeight="1">
      <c r="A527" s="10" t="s">
        <v>173</v>
      </c>
      <c r="B527" s="10" t="s">
        <v>169</v>
      </c>
      <c r="C527" s="10" t="s">
        <v>31</v>
      </c>
      <c r="D527" s="8">
        <v>45.0</v>
      </c>
      <c r="E527" s="8">
        <v>1.0</v>
      </c>
      <c r="F527" s="13">
        <v>54.0</v>
      </c>
      <c r="G527" s="14">
        <v>45757.0</v>
      </c>
      <c r="H527" s="13">
        <v>2.0</v>
      </c>
      <c r="I527" s="13">
        <v>1.0</v>
      </c>
      <c r="J527" s="13">
        <v>90.0</v>
      </c>
      <c r="K527" s="13">
        <v>60.0</v>
      </c>
      <c r="L527" s="15"/>
      <c r="M527" s="17">
        <v>45.0</v>
      </c>
    </row>
    <row r="528" ht="22.5" customHeight="1">
      <c r="A528" s="10" t="s">
        <v>287</v>
      </c>
      <c r="B528" s="10" t="s">
        <v>68</v>
      </c>
      <c r="C528" s="10" t="s">
        <v>31</v>
      </c>
      <c r="D528" s="8">
        <v>45.0</v>
      </c>
      <c r="E528" s="8">
        <v>25.0</v>
      </c>
      <c r="F528" s="13">
        <v>54.0</v>
      </c>
      <c r="G528" s="14">
        <v>46165.0</v>
      </c>
      <c r="H528" s="13">
        <v>43.0</v>
      </c>
      <c r="I528" s="13">
        <v>18.0</v>
      </c>
      <c r="J528" s="13">
        <v>1935.0</v>
      </c>
      <c r="K528" s="13">
        <v>1095.0</v>
      </c>
      <c r="L528" s="15"/>
      <c r="M528" s="17">
        <v>1440.0</v>
      </c>
    </row>
    <row r="529" ht="22.5" customHeight="1">
      <c r="A529" s="19" t="s">
        <v>674</v>
      </c>
      <c r="B529" s="19" t="s">
        <v>68</v>
      </c>
      <c r="C529" s="19" t="s">
        <v>436</v>
      </c>
      <c r="D529" s="33">
        <v>45.0</v>
      </c>
      <c r="E529" s="33">
        <v>5.0</v>
      </c>
      <c r="F529" s="17">
        <v>54.0</v>
      </c>
      <c r="G529" s="34">
        <v>46167.0</v>
      </c>
      <c r="H529" s="5">
        <v>6.0</v>
      </c>
      <c r="I529" s="17">
        <v>1.0</v>
      </c>
      <c r="J529" s="17">
        <v>270.0</v>
      </c>
      <c r="K529" s="17">
        <v>95.0</v>
      </c>
      <c r="L529" s="5"/>
      <c r="M529" s="17">
        <v>270.0</v>
      </c>
    </row>
    <row r="530" ht="22.5" customHeight="1">
      <c r="A530" s="19" t="s">
        <v>792</v>
      </c>
      <c r="B530" s="19" t="s">
        <v>494</v>
      </c>
      <c r="C530" s="19" t="s">
        <v>154</v>
      </c>
      <c r="D530" s="33">
        <v>45.0</v>
      </c>
      <c r="E530" s="33">
        <v>3.0</v>
      </c>
      <c r="F530" s="17">
        <v>54.0</v>
      </c>
      <c r="G530" s="34">
        <v>46165.0</v>
      </c>
      <c r="H530" s="5">
        <v>4.0</v>
      </c>
      <c r="I530" s="5">
        <v>1.0</v>
      </c>
      <c r="J530" s="17">
        <v>180.0</v>
      </c>
      <c r="K530" s="17">
        <v>70.0</v>
      </c>
      <c r="L530" s="19"/>
      <c r="M530" s="17"/>
    </row>
    <row r="531" ht="22.5" customHeight="1">
      <c r="A531" s="19" t="s">
        <v>480</v>
      </c>
      <c r="B531" s="19" t="s">
        <v>472</v>
      </c>
      <c r="C531" s="19" t="s">
        <v>51</v>
      </c>
      <c r="D531" s="33">
        <v>45.0</v>
      </c>
      <c r="E531" s="33">
        <v>18.0</v>
      </c>
      <c r="F531" s="17">
        <v>58.5</v>
      </c>
      <c r="G531" s="34">
        <v>46114.0</v>
      </c>
      <c r="H531" s="5">
        <v>15.0</v>
      </c>
      <c r="I531" s="5">
        <v>2.0</v>
      </c>
      <c r="J531" s="17"/>
      <c r="K531" s="17">
        <v>130.0</v>
      </c>
      <c r="L531" s="5" t="s">
        <v>1365</v>
      </c>
      <c r="M531" s="17">
        <v>675.0</v>
      </c>
    </row>
    <row r="532" ht="22.5" customHeight="1">
      <c r="A532" s="19" t="s">
        <v>580</v>
      </c>
      <c r="B532" s="19" t="s">
        <v>579</v>
      </c>
      <c r="C532" s="19" t="s">
        <v>119</v>
      </c>
      <c r="D532" s="33">
        <v>43.75</v>
      </c>
      <c r="E532" s="33">
        <v>1.0</v>
      </c>
      <c r="F532" s="17">
        <v>52.5</v>
      </c>
      <c r="G532" s="34">
        <v>46016.0</v>
      </c>
      <c r="H532" s="5">
        <v>2.0</v>
      </c>
      <c r="I532" s="17">
        <v>1.0</v>
      </c>
      <c r="J532" s="17">
        <v>87.5</v>
      </c>
      <c r="K532" s="17">
        <v>75.0</v>
      </c>
      <c r="L532" s="5"/>
      <c r="M532" s="17">
        <v>43.75</v>
      </c>
    </row>
    <row r="533" ht="22.5" customHeight="1">
      <c r="A533" s="19" t="s">
        <v>188</v>
      </c>
      <c r="B533" s="19" t="s">
        <v>256</v>
      </c>
      <c r="C533" s="19" t="s">
        <v>31</v>
      </c>
      <c r="D533" s="33">
        <v>40.0</v>
      </c>
      <c r="E533" s="33">
        <v>2.0</v>
      </c>
      <c r="F533" s="17">
        <v>48.0</v>
      </c>
      <c r="G533" s="5" t="s">
        <v>72</v>
      </c>
      <c r="H533" s="17">
        <v>3.0</v>
      </c>
      <c r="I533" s="17">
        <v>1.0</v>
      </c>
      <c r="J533" s="17">
        <v>120.0</v>
      </c>
      <c r="K533" s="17">
        <v>50.0</v>
      </c>
      <c r="L533" s="15"/>
      <c r="M533" s="17">
        <v>80.0</v>
      </c>
    </row>
    <row r="534" ht="22.5" customHeight="1">
      <c r="A534" s="10" t="s">
        <v>565</v>
      </c>
      <c r="B534" s="10" t="s">
        <v>138</v>
      </c>
      <c r="C534" s="10" t="s">
        <v>31</v>
      </c>
      <c r="D534" s="8">
        <v>40.0</v>
      </c>
      <c r="E534" s="8">
        <v>6.0</v>
      </c>
      <c r="F534" s="13">
        <v>48.0</v>
      </c>
      <c r="G534" s="14">
        <v>45856.0</v>
      </c>
      <c r="H534" s="13">
        <v>6.0</v>
      </c>
      <c r="I534" s="13">
        <v>0.0</v>
      </c>
      <c r="J534" s="13">
        <v>240.0</v>
      </c>
      <c r="K534" s="13">
        <v>0.0</v>
      </c>
      <c r="L534" s="15"/>
      <c r="M534" s="17">
        <v>240.0</v>
      </c>
    </row>
    <row r="535" ht="22.5" customHeight="1">
      <c r="A535" s="10" t="s">
        <v>511</v>
      </c>
      <c r="B535" s="10" t="s">
        <v>169</v>
      </c>
      <c r="C535" s="10" t="s">
        <v>31</v>
      </c>
      <c r="D535" s="8">
        <v>40.0</v>
      </c>
      <c r="E535" s="8">
        <v>0.0</v>
      </c>
      <c r="F535" s="13">
        <v>48.0</v>
      </c>
      <c r="G535" s="14">
        <v>46149.0</v>
      </c>
      <c r="H535" s="13">
        <v>10.0</v>
      </c>
      <c r="I535" s="13">
        <v>10.0</v>
      </c>
      <c r="J535" s="13">
        <v>400.0</v>
      </c>
      <c r="K535" s="13">
        <v>664.94</v>
      </c>
      <c r="L535" s="15"/>
      <c r="M535" s="17">
        <v>80.0</v>
      </c>
    </row>
    <row r="536" ht="22.5" customHeight="1">
      <c r="A536" s="19" t="s">
        <v>1320</v>
      </c>
      <c r="B536" s="19" t="s">
        <v>286</v>
      </c>
      <c r="C536" s="19" t="s">
        <v>51</v>
      </c>
      <c r="D536" s="33">
        <v>40.0</v>
      </c>
      <c r="E536" s="33">
        <v>6.0</v>
      </c>
      <c r="F536" s="17">
        <v>48.0</v>
      </c>
      <c r="G536" s="34">
        <v>46095.0</v>
      </c>
      <c r="H536" s="5">
        <v>6.0</v>
      </c>
      <c r="I536" s="17">
        <v>0.0</v>
      </c>
      <c r="J536" s="5">
        <v>240.0</v>
      </c>
      <c r="K536" s="17">
        <v>0.0</v>
      </c>
      <c r="L536" s="5"/>
      <c r="M536" s="17">
        <v>240.0</v>
      </c>
    </row>
    <row r="537" ht="22.5" customHeight="1">
      <c r="A537" s="19" t="s">
        <v>1168</v>
      </c>
      <c r="B537" s="19" t="s">
        <v>1374</v>
      </c>
      <c r="C537" s="19" t="s">
        <v>119</v>
      </c>
      <c r="D537" s="33">
        <v>40.0</v>
      </c>
      <c r="E537" s="33">
        <v>0.0</v>
      </c>
      <c r="F537" s="17">
        <v>48.0</v>
      </c>
      <c r="G537" s="34">
        <v>46165.0</v>
      </c>
      <c r="H537" s="5">
        <v>3.0</v>
      </c>
      <c r="I537" s="5">
        <v>3.0</v>
      </c>
      <c r="J537" s="17">
        <v>120.0</v>
      </c>
      <c r="K537" s="17">
        <v>175.0</v>
      </c>
      <c r="L537" s="19"/>
      <c r="M537" s="17"/>
    </row>
    <row r="538" ht="22.5" customHeight="1">
      <c r="A538" s="19" t="s">
        <v>1080</v>
      </c>
      <c r="B538" s="19" t="s">
        <v>1376</v>
      </c>
      <c r="C538" s="19" t="s">
        <v>119</v>
      </c>
      <c r="D538" s="33">
        <v>40.0</v>
      </c>
      <c r="E538" s="33">
        <v>2.0</v>
      </c>
      <c r="F538" s="17">
        <v>48.0</v>
      </c>
      <c r="G538" s="34">
        <v>46165.0</v>
      </c>
      <c r="H538" s="5">
        <v>2.0</v>
      </c>
      <c r="I538" s="5">
        <v>0.0</v>
      </c>
      <c r="J538" s="17">
        <v>80.0</v>
      </c>
      <c r="K538" s="17">
        <v>0.0</v>
      </c>
      <c r="L538" s="19"/>
      <c r="M538" s="17"/>
    </row>
    <row r="539" ht="22.5" customHeight="1">
      <c r="A539" s="19" t="s">
        <v>625</v>
      </c>
      <c r="B539" s="19"/>
      <c r="C539" s="19" t="s">
        <v>119</v>
      </c>
      <c r="D539" s="33">
        <v>39.0</v>
      </c>
      <c r="E539" s="33">
        <v>0.5</v>
      </c>
      <c r="F539" s="17">
        <v>46.8</v>
      </c>
      <c r="G539" s="37">
        <v>46387.0</v>
      </c>
      <c r="H539" s="17">
        <v>1.0</v>
      </c>
      <c r="I539" s="17">
        <v>0.5</v>
      </c>
      <c r="J539" s="17">
        <v>39.0</v>
      </c>
      <c r="K539" s="17">
        <v>30.0</v>
      </c>
      <c r="L539" s="16"/>
      <c r="M539" s="17">
        <v>19.5</v>
      </c>
    </row>
    <row r="540" ht="22.5" customHeight="1">
      <c r="A540" s="19" t="s">
        <v>1263</v>
      </c>
      <c r="B540" s="19" t="s">
        <v>1380</v>
      </c>
      <c r="C540" s="19" t="s">
        <v>119</v>
      </c>
      <c r="D540" s="33">
        <f>39/10</f>
        <v>3.9</v>
      </c>
      <c r="E540" s="33">
        <f>3*10</f>
        <v>30</v>
      </c>
      <c r="F540" s="17">
        <v>46.8</v>
      </c>
      <c r="G540" s="34">
        <v>46165.0</v>
      </c>
      <c r="H540" s="5">
        <v>3.0</v>
      </c>
      <c r="I540" s="5">
        <v>0.0</v>
      </c>
      <c r="J540" s="17">
        <v>117.0</v>
      </c>
      <c r="K540" s="17">
        <v>0.0</v>
      </c>
      <c r="L540" s="19"/>
      <c r="M540" s="17"/>
    </row>
    <row r="541" ht="22.5" customHeight="1">
      <c r="A541" s="10" t="s">
        <v>48</v>
      </c>
      <c r="B541" s="10" t="s">
        <v>68</v>
      </c>
      <c r="C541" s="10" t="s">
        <v>31</v>
      </c>
      <c r="D541" s="8">
        <v>37.0</v>
      </c>
      <c r="E541" s="8">
        <v>10.0</v>
      </c>
      <c r="F541" s="13">
        <v>44.4</v>
      </c>
      <c r="G541" s="14">
        <v>45812.0</v>
      </c>
      <c r="H541" s="13">
        <v>10.0</v>
      </c>
      <c r="I541" s="13">
        <v>0.0</v>
      </c>
      <c r="J541" s="13">
        <v>370.0</v>
      </c>
      <c r="K541" s="13">
        <v>0.0</v>
      </c>
      <c r="L541" s="15"/>
      <c r="M541" s="16">
        <f>D541*E541</f>
        <v>370</v>
      </c>
    </row>
    <row r="542" ht="22.5" customHeight="1">
      <c r="A542" s="10" t="s">
        <v>1386</v>
      </c>
      <c r="B542" s="10" t="s">
        <v>238</v>
      </c>
      <c r="C542" s="10" t="s">
        <v>31</v>
      </c>
      <c r="D542" s="8">
        <v>35.0</v>
      </c>
      <c r="E542" s="8">
        <v>0.0</v>
      </c>
      <c r="F542" s="13">
        <v>42.0</v>
      </c>
      <c r="G542" s="14">
        <v>46107.11439670139</v>
      </c>
      <c r="H542" s="13">
        <v>48.0</v>
      </c>
      <c r="I542" s="13">
        <v>45.0</v>
      </c>
      <c r="J542" s="13">
        <v>1680.0</v>
      </c>
      <c r="K542" s="13">
        <v>2164.92</v>
      </c>
      <c r="L542" s="6" t="s">
        <v>1388</v>
      </c>
      <c r="M542" s="17">
        <v>0.0</v>
      </c>
    </row>
    <row r="543" ht="22.5" customHeight="1">
      <c r="A543" s="19" t="s">
        <v>91</v>
      </c>
      <c r="B543" s="19" t="s">
        <v>238</v>
      </c>
      <c r="C543" s="19" t="s">
        <v>436</v>
      </c>
      <c r="D543" s="33">
        <v>35.0</v>
      </c>
      <c r="E543" s="33">
        <v>121.0</v>
      </c>
      <c r="F543" s="5">
        <v>42.0</v>
      </c>
      <c r="G543" s="37">
        <v>46166.0</v>
      </c>
      <c r="H543" s="17">
        <v>180.0</v>
      </c>
      <c r="I543" s="17">
        <v>19.0</v>
      </c>
      <c r="J543" s="17">
        <v>6300.0</v>
      </c>
      <c r="K543" s="17">
        <v>924.0</v>
      </c>
      <c r="L543" s="5" t="s">
        <v>1390</v>
      </c>
      <c r="M543" s="17">
        <v>4585.0</v>
      </c>
    </row>
    <row r="544" ht="22.5" customHeight="1">
      <c r="A544" s="19" t="s">
        <v>1041</v>
      </c>
      <c r="B544" s="19" t="s">
        <v>1041</v>
      </c>
      <c r="C544" s="19" t="s">
        <v>51</v>
      </c>
      <c r="D544" s="33">
        <v>35.0</v>
      </c>
      <c r="E544" s="33">
        <v>0.0</v>
      </c>
      <c r="F544" s="17">
        <v>42.0</v>
      </c>
      <c r="G544" s="34">
        <v>46025.0</v>
      </c>
      <c r="H544" s="5">
        <v>2.0</v>
      </c>
      <c r="I544" s="17">
        <v>0.0</v>
      </c>
      <c r="J544" s="17">
        <v>70.0</v>
      </c>
      <c r="K544" s="17">
        <v>0.0</v>
      </c>
      <c r="L544" s="5" t="s">
        <v>1393</v>
      </c>
      <c r="M544" s="17">
        <v>0.0</v>
      </c>
    </row>
    <row r="545" ht="22.5" customHeight="1">
      <c r="A545" s="19" t="s">
        <v>1046</v>
      </c>
      <c r="B545" s="19" t="s">
        <v>472</v>
      </c>
      <c r="C545" s="19" t="s">
        <v>51</v>
      </c>
      <c r="D545" s="33">
        <v>35.0</v>
      </c>
      <c r="E545" s="33">
        <v>12.0</v>
      </c>
      <c r="F545" s="17">
        <v>42.0</v>
      </c>
      <c r="G545" s="34">
        <v>46025.0</v>
      </c>
      <c r="H545" s="5">
        <v>12.0</v>
      </c>
      <c r="I545" s="17">
        <v>0.0</v>
      </c>
      <c r="J545" s="17">
        <v>420.0</v>
      </c>
      <c r="K545" s="17">
        <v>0.0</v>
      </c>
      <c r="L545" s="5"/>
      <c r="M545" s="17">
        <v>420.0</v>
      </c>
    </row>
    <row r="546" ht="22.5" customHeight="1">
      <c r="A546" s="19" t="s">
        <v>724</v>
      </c>
      <c r="B546" s="19" t="s">
        <v>68</v>
      </c>
      <c r="C546" s="19" t="s">
        <v>1052</v>
      </c>
      <c r="D546" s="33">
        <v>35.0</v>
      </c>
      <c r="E546" s="33">
        <v>0.0</v>
      </c>
      <c r="F546" s="17">
        <v>42.0</v>
      </c>
      <c r="G546" s="34">
        <v>46100.0</v>
      </c>
      <c r="H546" s="5">
        <v>7.0</v>
      </c>
      <c r="I546" s="17">
        <v>7.0</v>
      </c>
      <c r="J546" s="17">
        <v>245.0</v>
      </c>
      <c r="K546" s="17">
        <v>350.0</v>
      </c>
      <c r="L546" s="5"/>
      <c r="M546" s="17">
        <v>0.0</v>
      </c>
    </row>
    <row r="547" ht="22.5" customHeight="1">
      <c r="A547" s="19" t="s">
        <v>908</v>
      </c>
      <c r="B547" s="19" t="s">
        <v>472</v>
      </c>
      <c r="C547" s="19" t="s">
        <v>154</v>
      </c>
      <c r="D547" s="33">
        <v>35.0</v>
      </c>
      <c r="E547" s="33">
        <v>10.028571428571428</v>
      </c>
      <c r="F547" s="17">
        <v>42.0</v>
      </c>
      <c r="G547" s="34">
        <v>46089.0</v>
      </c>
      <c r="H547" s="5">
        <v>12.0</v>
      </c>
      <c r="I547" s="17">
        <v>0.4</v>
      </c>
      <c r="J547" s="17">
        <v>420.0</v>
      </c>
      <c r="K547" s="17">
        <v>20.0</v>
      </c>
      <c r="L547" s="5" t="s">
        <v>1399</v>
      </c>
      <c r="M547" s="17">
        <v>351.0</v>
      </c>
    </row>
    <row r="548" ht="22.5" customHeight="1">
      <c r="A548" s="19" t="s">
        <v>1096</v>
      </c>
      <c r="B548" s="19" t="s">
        <v>836</v>
      </c>
      <c r="C548" s="19"/>
      <c r="D548" s="33">
        <v>34.17</v>
      </c>
      <c r="E548" s="33">
        <v>12.0</v>
      </c>
      <c r="F548" s="17">
        <v>41.0</v>
      </c>
      <c r="G548" s="34">
        <v>46058.0</v>
      </c>
      <c r="H548" s="5">
        <v>12.0</v>
      </c>
      <c r="I548" s="17">
        <v>0.0</v>
      </c>
      <c r="J548" s="17">
        <v>410.0</v>
      </c>
      <c r="K548" s="17">
        <v>0.0</v>
      </c>
      <c r="L548" s="5"/>
      <c r="M548" s="17">
        <v>410.04</v>
      </c>
    </row>
    <row r="549" ht="22.5" customHeight="1">
      <c r="A549" s="10" t="s">
        <v>586</v>
      </c>
      <c r="B549" s="10" t="s">
        <v>138</v>
      </c>
      <c r="C549" s="10" t="s">
        <v>581</v>
      </c>
      <c r="D549" s="8">
        <v>34.0</v>
      </c>
      <c r="E549" s="8">
        <v>11.0</v>
      </c>
      <c r="F549" s="13">
        <v>40.8</v>
      </c>
      <c r="G549" s="14">
        <v>46082.0</v>
      </c>
      <c r="H549" s="13">
        <v>12.0</v>
      </c>
      <c r="I549" s="13">
        <v>1.0</v>
      </c>
      <c r="J549" s="13">
        <v>408.0</v>
      </c>
      <c r="K549" s="13">
        <v>35.0</v>
      </c>
      <c r="L549" s="15"/>
      <c r="M549" s="17">
        <v>374.0</v>
      </c>
    </row>
    <row r="550" ht="22.5" customHeight="1">
      <c r="A550" s="19" t="s">
        <v>513</v>
      </c>
      <c r="B550" s="19" t="s">
        <v>68</v>
      </c>
      <c r="C550" s="5" t="s">
        <v>54</v>
      </c>
      <c r="D550" s="33">
        <v>32.707142857142856</v>
      </c>
      <c r="E550" s="33">
        <v>3.0</v>
      </c>
      <c r="F550" s="17">
        <v>39.248571428571424</v>
      </c>
      <c r="G550" s="34">
        <v>46097.0</v>
      </c>
      <c r="H550" s="5">
        <v>6.0</v>
      </c>
      <c r="I550" s="17">
        <v>3.0</v>
      </c>
      <c r="J550" s="5">
        <v>196.24285714285713</v>
      </c>
      <c r="K550" s="17">
        <v>200.0</v>
      </c>
      <c r="L550" s="5" t="s">
        <v>623</v>
      </c>
      <c r="M550" s="17">
        <v>98.12142857142857</v>
      </c>
    </row>
    <row r="551" ht="22.5" customHeight="1">
      <c r="A551" s="10" t="s">
        <v>559</v>
      </c>
      <c r="B551" s="10" t="s">
        <v>316</v>
      </c>
      <c r="C551" s="6" t="s">
        <v>54</v>
      </c>
      <c r="D551" s="8">
        <v>32.333333333333336</v>
      </c>
      <c r="E551" s="8">
        <v>30.0</v>
      </c>
      <c r="F551" s="13">
        <v>38.800000000000004</v>
      </c>
      <c r="G551" s="36">
        <v>46098.0</v>
      </c>
      <c r="H551" s="13">
        <v>15.0</v>
      </c>
      <c r="I551" s="13">
        <v>15.0</v>
      </c>
      <c r="J551" s="13">
        <v>485.0</v>
      </c>
      <c r="K551" s="13">
        <v>705.0</v>
      </c>
      <c r="L551" s="5" t="s">
        <v>1322</v>
      </c>
      <c r="M551" s="17">
        <v>0.0</v>
      </c>
    </row>
    <row r="552" ht="22.5" customHeight="1">
      <c r="A552" s="10" t="s">
        <v>352</v>
      </c>
      <c r="B552" s="10" t="s">
        <v>169</v>
      </c>
      <c r="C552" s="10" t="s">
        <v>31</v>
      </c>
      <c r="D552" s="8">
        <v>32.0</v>
      </c>
      <c r="E552" s="8">
        <v>14.0</v>
      </c>
      <c r="F552" s="13">
        <v>38.4</v>
      </c>
      <c r="G552" s="14">
        <v>46099.0</v>
      </c>
      <c r="H552" s="13">
        <v>18.0</v>
      </c>
      <c r="I552" s="13">
        <v>4.0</v>
      </c>
      <c r="J552" s="13">
        <v>576.0</v>
      </c>
      <c r="K552" s="13">
        <v>260.0</v>
      </c>
      <c r="L552" s="15"/>
      <c r="M552" s="17">
        <v>448.0</v>
      </c>
    </row>
    <row r="553" ht="22.5" customHeight="1">
      <c r="A553" s="10" t="s">
        <v>48</v>
      </c>
      <c r="B553" s="10" t="s">
        <v>68</v>
      </c>
      <c r="C553" s="10" t="s">
        <v>31</v>
      </c>
      <c r="D553" s="8">
        <v>31.5</v>
      </c>
      <c r="E553" s="8">
        <v>11.0</v>
      </c>
      <c r="F553" s="13">
        <v>37.8</v>
      </c>
      <c r="G553" s="14">
        <v>46147.0</v>
      </c>
      <c r="H553" s="13">
        <v>64.0</v>
      </c>
      <c r="I553" s="13">
        <v>53.0</v>
      </c>
      <c r="J553" s="13">
        <v>2016.0</v>
      </c>
      <c r="K553" s="13">
        <v>2659.65</v>
      </c>
      <c r="L553" s="15"/>
      <c r="M553" s="17">
        <v>472.5</v>
      </c>
    </row>
    <row r="554" ht="22.5" customHeight="1">
      <c r="A554" s="19" t="s">
        <v>758</v>
      </c>
      <c r="B554" s="19" t="s">
        <v>579</v>
      </c>
      <c r="C554" s="19" t="s">
        <v>119</v>
      </c>
      <c r="D554" s="33">
        <v>31.25</v>
      </c>
      <c r="E554" s="33">
        <v>12.0</v>
      </c>
      <c r="F554" s="17">
        <v>37.5</v>
      </c>
      <c r="G554" s="34">
        <v>46011.0</v>
      </c>
      <c r="H554" s="5">
        <v>12.0</v>
      </c>
      <c r="I554" s="17">
        <v>0.0</v>
      </c>
      <c r="J554" s="17">
        <v>375.0</v>
      </c>
      <c r="K554" s="17">
        <v>0.0</v>
      </c>
      <c r="L554" s="5"/>
      <c r="M554" s="17">
        <v>375.0</v>
      </c>
    </row>
    <row r="555" ht="22.5" customHeight="1">
      <c r="A555" s="10" t="s">
        <v>297</v>
      </c>
      <c r="B555" s="10" t="s">
        <v>185</v>
      </c>
      <c r="C555" s="10" t="s">
        <v>31</v>
      </c>
      <c r="D555" s="8">
        <v>30.0</v>
      </c>
      <c r="E555" s="8">
        <v>0.5</v>
      </c>
      <c r="F555" s="13">
        <v>36.0</v>
      </c>
      <c r="G555" s="14">
        <v>46057.0</v>
      </c>
      <c r="H555" s="13">
        <v>7.0</v>
      </c>
      <c r="I555" s="13">
        <v>6.5</v>
      </c>
      <c r="J555" s="13">
        <v>210.0</v>
      </c>
      <c r="K555" s="13">
        <v>349.99</v>
      </c>
      <c r="L555" s="15"/>
      <c r="M555" s="17">
        <v>15.0</v>
      </c>
    </row>
    <row r="556" ht="22.5" customHeight="1">
      <c r="A556" s="10" t="s">
        <v>416</v>
      </c>
      <c r="B556" s="10" t="s">
        <v>185</v>
      </c>
      <c r="C556" s="10" t="s">
        <v>31</v>
      </c>
      <c r="D556" s="8">
        <v>30.0</v>
      </c>
      <c r="E556" s="8">
        <v>4.0</v>
      </c>
      <c r="F556" s="13">
        <v>36.0</v>
      </c>
      <c r="G556" s="14">
        <v>46159.0</v>
      </c>
      <c r="H556" s="13">
        <v>14.0</v>
      </c>
      <c r="I556" s="13">
        <v>10.0</v>
      </c>
      <c r="J556" s="13">
        <v>420.0</v>
      </c>
      <c r="K556" s="13">
        <v>385.0</v>
      </c>
      <c r="L556" s="15"/>
      <c r="M556" s="17">
        <v>180.0</v>
      </c>
    </row>
    <row r="557" ht="22.5" customHeight="1">
      <c r="A557" s="10" t="s">
        <v>726</v>
      </c>
      <c r="B557" s="10" t="s">
        <v>185</v>
      </c>
      <c r="C557" s="10" t="s">
        <v>31</v>
      </c>
      <c r="D557" s="8">
        <v>30.0</v>
      </c>
      <c r="E557" s="8">
        <v>6.0</v>
      </c>
      <c r="F557" s="13">
        <v>36.0</v>
      </c>
      <c r="G557" s="14">
        <v>46076.0</v>
      </c>
      <c r="H557" s="13">
        <v>12.0</v>
      </c>
      <c r="I557" s="13">
        <v>6.0</v>
      </c>
      <c r="J557" s="13">
        <v>360.0</v>
      </c>
      <c r="K557" s="13">
        <v>190.0</v>
      </c>
      <c r="L557" s="15"/>
      <c r="M557" s="17">
        <v>180.0</v>
      </c>
    </row>
    <row r="558" ht="22.5" customHeight="1">
      <c r="A558" s="10" t="s">
        <v>768</v>
      </c>
      <c r="B558" s="10" t="s">
        <v>169</v>
      </c>
      <c r="C558" s="10" t="s">
        <v>31</v>
      </c>
      <c r="D558" s="8">
        <v>30.0</v>
      </c>
      <c r="E558" s="8">
        <v>5.0</v>
      </c>
      <c r="F558" s="13">
        <v>36.0</v>
      </c>
      <c r="G558" s="14">
        <v>46149.0</v>
      </c>
      <c r="H558" s="13">
        <v>8.0</v>
      </c>
      <c r="I558" s="13">
        <v>3.0</v>
      </c>
      <c r="J558" s="13">
        <v>240.0</v>
      </c>
      <c r="K558" s="13">
        <v>224.97</v>
      </c>
      <c r="L558" s="15"/>
      <c r="M558" s="17">
        <v>180.0</v>
      </c>
    </row>
    <row r="559" ht="22.5" customHeight="1">
      <c r="A559" s="19" t="s">
        <v>932</v>
      </c>
      <c r="B559" s="19" t="s">
        <v>927</v>
      </c>
      <c r="C559" s="19" t="s">
        <v>436</v>
      </c>
      <c r="D559" s="33">
        <v>30.0</v>
      </c>
      <c r="E559" s="33">
        <v>47.0</v>
      </c>
      <c r="F559" s="17">
        <v>36.0</v>
      </c>
      <c r="G559" s="37">
        <v>46007.0</v>
      </c>
      <c r="H559" s="17">
        <v>50.0</v>
      </c>
      <c r="I559" s="17">
        <v>0.0</v>
      </c>
      <c r="J559" s="17">
        <v>1500.0</v>
      </c>
      <c r="K559" s="17">
        <v>0.0</v>
      </c>
      <c r="L559" s="5" t="s">
        <v>1424</v>
      </c>
      <c r="M559" s="17">
        <v>1410.0</v>
      </c>
    </row>
    <row r="560" ht="22.5" customHeight="1">
      <c r="A560" s="19" t="s">
        <v>1426</v>
      </c>
      <c r="B560" s="19" t="s">
        <v>472</v>
      </c>
      <c r="C560" s="19" t="s">
        <v>154</v>
      </c>
      <c r="D560" s="33">
        <v>30.0</v>
      </c>
      <c r="E560" s="33">
        <v>17.0</v>
      </c>
      <c r="F560" s="17">
        <v>36.0</v>
      </c>
      <c r="G560" s="34">
        <v>46098.0</v>
      </c>
      <c r="H560" s="5">
        <v>24.0</v>
      </c>
      <c r="I560" s="17">
        <v>2.0</v>
      </c>
      <c r="J560" s="17">
        <v>720.0</v>
      </c>
      <c r="K560" s="17">
        <v>80.0</v>
      </c>
      <c r="L560" s="5" t="s">
        <v>1428</v>
      </c>
      <c r="M560" s="17">
        <v>660.0</v>
      </c>
    </row>
    <row r="561" ht="22.5" customHeight="1">
      <c r="A561" s="19" t="s">
        <v>863</v>
      </c>
      <c r="B561" s="19" t="s">
        <v>68</v>
      </c>
      <c r="C561" s="5" t="s">
        <v>54</v>
      </c>
      <c r="D561" s="33">
        <v>30.0</v>
      </c>
      <c r="E561" s="33">
        <v>6.0</v>
      </c>
      <c r="F561" s="17">
        <v>36.0</v>
      </c>
      <c r="G561" s="34">
        <v>46082.0</v>
      </c>
      <c r="H561" s="5">
        <v>7.0</v>
      </c>
      <c r="I561" s="17">
        <v>1.0</v>
      </c>
      <c r="J561" s="17">
        <v>210.0</v>
      </c>
      <c r="K561" s="17">
        <v>70.0</v>
      </c>
      <c r="L561" s="5" t="s">
        <v>1431</v>
      </c>
      <c r="M561" s="17">
        <v>180.0</v>
      </c>
    </row>
    <row r="562" ht="22.5" customHeight="1">
      <c r="A562" s="19" t="s">
        <v>1432</v>
      </c>
      <c r="B562" s="19" t="s">
        <v>68</v>
      </c>
      <c r="C562" s="19" t="s">
        <v>154</v>
      </c>
      <c r="D562" s="33">
        <v>30.0</v>
      </c>
      <c r="E562" s="33">
        <v>0.0</v>
      </c>
      <c r="F562" s="17">
        <v>36.0</v>
      </c>
      <c r="G562" s="34">
        <v>46139.0</v>
      </c>
      <c r="H562" s="5">
        <v>12.0</v>
      </c>
      <c r="I562" s="17">
        <v>8.285714285714286</v>
      </c>
      <c r="J562" s="17">
        <v>360.0</v>
      </c>
      <c r="K562" s="17">
        <v>525.0</v>
      </c>
      <c r="L562" s="5" t="s">
        <v>1434</v>
      </c>
      <c r="M562" s="17">
        <v>42.85714285714286</v>
      </c>
    </row>
    <row r="563" ht="22.5" customHeight="1">
      <c r="A563" s="19" t="s">
        <v>756</v>
      </c>
      <c r="B563" s="19" t="s">
        <v>472</v>
      </c>
      <c r="C563" s="19" t="s">
        <v>154</v>
      </c>
      <c r="D563" s="33">
        <v>30.0</v>
      </c>
      <c r="E563" s="33">
        <v>14.14</v>
      </c>
      <c r="F563" s="17">
        <v>36.0</v>
      </c>
      <c r="G563" s="34">
        <v>46168.0</v>
      </c>
      <c r="H563" s="17">
        <v>24.0</v>
      </c>
      <c r="I563" s="17">
        <v>10.0</v>
      </c>
      <c r="J563" s="17">
        <v>720.0</v>
      </c>
      <c r="K563" s="17">
        <v>720.0</v>
      </c>
      <c r="L563" s="5"/>
      <c r="M563" s="17">
        <v>720.0</v>
      </c>
    </row>
    <row r="564" ht="22.5" customHeight="1">
      <c r="A564" s="19" t="s">
        <v>611</v>
      </c>
      <c r="B564" s="19" t="s">
        <v>944</v>
      </c>
      <c r="C564" s="19" t="s">
        <v>119</v>
      </c>
      <c r="D564" s="33">
        <v>29.0</v>
      </c>
      <c r="E564" s="33">
        <v>2.0</v>
      </c>
      <c r="F564" s="17">
        <v>34.8</v>
      </c>
      <c r="G564" s="34">
        <v>46149.0</v>
      </c>
      <c r="H564" s="5">
        <v>6.0</v>
      </c>
      <c r="I564" s="17">
        <v>4.0</v>
      </c>
      <c r="J564" s="17">
        <v>174.0</v>
      </c>
      <c r="K564" s="17">
        <v>199.98</v>
      </c>
      <c r="L564" s="5"/>
      <c r="M564" s="17">
        <v>87.0</v>
      </c>
    </row>
    <row r="565" ht="22.5" customHeight="1">
      <c r="A565" s="10" t="s">
        <v>172</v>
      </c>
      <c r="B565" s="10" t="s">
        <v>68</v>
      </c>
      <c r="C565" s="10" t="s">
        <v>31</v>
      </c>
      <c r="D565" s="8">
        <v>28.2</v>
      </c>
      <c r="E565" s="8">
        <v>0.0</v>
      </c>
      <c r="F565" s="13">
        <v>33.84</v>
      </c>
      <c r="G565" s="14">
        <v>46099.0</v>
      </c>
      <c r="H565" s="13">
        <v>40.0</v>
      </c>
      <c r="I565" s="13">
        <v>45.0</v>
      </c>
      <c r="J565" s="13">
        <v>1128.0</v>
      </c>
      <c r="K565" s="13">
        <v>1724.96</v>
      </c>
      <c r="L565" s="15"/>
      <c r="M565" s="17">
        <v>0.0</v>
      </c>
    </row>
    <row r="566" ht="22.5" customHeight="1">
      <c r="A566" s="19" t="s">
        <v>936</v>
      </c>
      <c r="B566" s="19" t="s">
        <v>1224</v>
      </c>
      <c r="C566" s="5"/>
      <c r="D566" s="33">
        <v>28.0</v>
      </c>
      <c r="E566" s="33">
        <v>9.0</v>
      </c>
      <c r="F566" s="17">
        <v>33.6</v>
      </c>
      <c r="G566" s="34">
        <v>46167.0</v>
      </c>
      <c r="H566" s="5">
        <v>12.0</v>
      </c>
      <c r="I566" s="17">
        <v>3.0</v>
      </c>
      <c r="J566" s="17">
        <v>336.0</v>
      </c>
      <c r="K566" s="17">
        <v>175.0</v>
      </c>
      <c r="L566" s="5"/>
      <c r="M566" s="17">
        <v>308.0</v>
      </c>
    </row>
    <row r="567" ht="22.5" customHeight="1">
      <c r="A567" s="19" t="s">
        <v>675</v>
      </c>
      <c r="B567" s="19" t="s">
        <v>224</v>
      </c>
      <c r="C567" s="19" t="s">
        <v>119</v>
      </c>
      <c r="D567" s="33">
        <v>27.5</v>
      </c>
      <c r="E567" s="33">
        <v>3.0</v>
      </c>
      <c r="F567" s="17">
        <v>33.0</v>
      </c>
      <c r="G567" s="34">
        <v>46087.0</v>
      </c>
      <c r="H567" s="5">
        <v>6.0</v>
      </c>
      <c r="I567" s="17">
        <v>3.0</v>
      </c>
      <c r="J567" s="17">
        <v>165.0</v>
      </c>
      <c r="K567" s="17">
        <v>140.0</v>
      </c>
      <c r="L567" s="5"/>
      <c r="M567" s="17">
        <v>82.5</v>
      </c>
    </row>
    <row r="568" ht="22.5" customHeight="1">
      <c r="A568" s="10" t="s">
        <v>1373</v>
      </c>
      <c r="B568" s="10" t="s">
        <v>354</v>
      </c>
      <c r="C568" s="10" t="s">
        <v>125</v>
      </c>
      <c r="D568" s="8">
        <v>27.5</v>
      </c>
      <c r="E568" s="8">
        <v>5.0</v>
      </c>
      <c r="F568" s="13">
        <v>33.0</v>
      </c>
      <c r="G568" s="14">
        <v>46095.0</v>
      </c>
      <c r="H568" s="13">
        <v>5.0</v>
      </c>
      <c r="I568" s="13">
        <v>0.0</v>
      </c>
      <c r="J568" s="13">
        <v>137.5</v>
      </c>
      <c r="K568" s="13">
        <v>0.0</v>
      </c>
      <c r="L568" s="15"/>
      <c r="M568" s="17">
        <v>137.5</v>
      </c>
    </row>
    <row r="569" ht="22.5" customHeight="1">
      <c r="A569" s="19" t="s">
        <v>733</v>
      </c>
      <c r="B569" s="19" t="s">
        <v>68</v>
      </c>
      <c r="C569" s="19" t="s">
        <v>1052</v>
      </c>
      <c r="D569" s="33">
        <v>26.0</v>
      </c>
      <c r="E569" s="33">
        <v>2.0</v>
      </c>
      <c r="F569" s="17">
        <v>31.2</v>
      </c>
      <c r="G569" s="34">
        <v>46105.0</v>
      </c>
      <c r="H569" s="5">
        <v>15.0</v>
      </c>
      <c r="I569" s="17">
        <v>13.0</v>
      </c>
      <c r="J569" s="17">
        <v>390.0</v>
      </c>
      <c r="K569" s="17">
        <v>520.0</v>
      </c>
      <c r="L569" s="5"/>
      <c r="M569" s="17">
        <v>78.0</v>
      </c>
    </row>
    <row r="570" ht="22.5" customHeight="1">
      <c r="A570" s="19" t="s">
        <v>330</v>
      </c>
      <c r="B570" s="19" t="s">
        <v>68</v>
      </c>
      <c r="C570" s="5" t="s">
        <v>54</v>
      </c>
      <c r="D570" s="33">
        <v>25.833333333333332</v>
      </c>
      <c r="E570" s="33">
        <v>5.0</v>
      </c>
      <c r="F570" s="17">
        <v>30.999999999999996</v>
      </c>
      <c r="G570" s="34">
        <v>46165.0</v>
      </c>
      <c r="H570" s="5">
        <v>9.0</v>
      </c>
      <c r="I570" s="17">
        <v>19.0</v>
      </c>
      <c r="J570" s="17">
        <v>232.5</v>
      </c>
      <c r="K570" s="17">
        <v>950.0</v>
      </c>
      <c r="L570" s="5" t="s">
        <v>1447</v>
      </c>
      <c r="M570" s="17">
        <v>25.833333333333332</v>
      </c>
    </row>
    <row r="571" ht="22.5" customHeight="1">
      <c r="A571" s="19" t="s">
        <v>861</v>
      </c>
      <c r="B571" s="19" t="s">
        <v>836</v>
      </c>
      <c r="C571" s="19"/>
      <c r="D571" s="33">
        <v>23.33</v>
      </c>
      <c r="E571" s="33">
        <v>6.0</v>
      </c>
      <c r="F571" s="17">
        <v>28.0</v>
      </c>
      <c r="G571" s="34">
        <v>46100.0</v>
      </c>
      <c r="H571" s="5">
        <v>12.0</v>
      </c>
      <c r="I571" s="17">
        <v>6.0</v>
      </c>
      <c r="J571" s="17">
        <v>280.0</v>
      </c>
      <c r="K571" s="17">
        <v>205.0</v>
      </c>
      <c r="L571" s="5"/>
      <c r="M571" s="17">
        <v>139.98</v>
      </c>
    </row>
    <row r="572" ht="22.5" customHeight="1">
      <c r="A572" s="10" t="s">
        <v>554</v>
      </c>
      <c r="B572" s="10" t="s">
        <v>316</v>
      </c>
      <c r="C572" s="6" t="s">
        <v>54</v>
      </c>
      <c r="D572" s="8">
        <v>23.22222222222222</v>
      </c>
      <c r="E572" s="8">
        <v>22.0</v>
      </c>
      <c r="F572" s="13">
        <v>27.866666666666664</v>
      </c>
      <c r="G572" s="36">
        <v>46167.0</v>
      </c>
      <c r="H572" s="13">
        <v>15.0</v>
      </c>
      <c r="I572" s="13">
        <v>33.0</v>
      </c>
      <c r="J572" s="13">
        <v>348.3333333333333</v>
      </c>
      <c r="K572" s="13">
        <v>1380.0</v>
      </c>
      <c r="L572" s="5" t="s">
        <v>1322</v>
      </c>
      <c r="M572" s="17">
        <v>23.22222222222222</v>
      </c>
    </row>
    <row r="573" ht="22.5" customHeight="1">
      <c r="A573" s="19" t="s">
        <v>255</v>
      </c>
      <c r="B573" s="19" t="s">
        <v>238</v>
      </c>
      <c r="C573" s="5" t="s">
        <v>54</v>
      </c>
      <c r="D573" s="33">
        <v>22.75</v>
      </c>
      <c r="E573" s="33">
        <v>3.0</v>
      </c>
      <c r="F573" s="17">
        <v>27.3</v>
      </c>
      <c r="G573" s="34">
        <v>46081.9714471412</v>
      </c>
      <c r="H573" s="5">
        <v>3.0</v>
      </c>
      <c r="I573" s="17">
        <v>0.0</v>
      </c>
      <c r="J573" s="17">
        <v>68.25</v>
      </c>
      <c r="K573" s="17">
        <v>0.0</v>
      </c>
      <c r="L573" s="5" t="s">
        <v>1452</v>
      </c>
      <c r="M573" s="17">
        <v>68.25</v>
      </c>
    </row>
    <row r="574" ht="22.5" customHeight="1">
      <c r="A574" s="19" t="s">
        <v>745</v>
      </c>
      <c r="B574" s="19" t="s">
        <v>579</v>
      </c>
      <c r="C574" s="19"/>
      <c r="D574" s="33">
        <v>22.5</v>
      </c>
      <c r="E574" s="33">
        <v>12.0</v>
      </c>
      <c r="F574" s="17">
        <v>27.0</v>
      </c>
      <c r="G574" s="34">
        <v>46154.0</v>
      </c>
      <c r="H574" s="5">
        <v>12.0</v>
      </c>
      <c r="I574" s="5">
        <v>0.0</v>
      </c>
      <c r="J574" s="17">
        <v>270.0</v>
      </c>
      <c r="K574" s="17">
        <v>0.0</v>
      </c>
      <c r="L574" s="19"/>
      <c r="M574" s="17"/>
    </row>
    <row r="575" ht="22.5" customHeight="1">
      <c r="A575" s="19" t="s">
        <v>1183</v>
      </c>
      <c r="B575" s="19" t="s">
        <v>1180</v>
      </c>
      <c r="C575" s="19" t="s">
        <v>119</v>
      </c>
      <c r="D575" s="33">
        <v>22.0</v>
      </c>
      <c r="E575" s="33">
        <v>2.0</v>
      </c>
      <c r="F575" s="17">
        <v>26.4</v>
      </c>
      <c r="G575" s="34">
        <v>46067.0</v>
      </c>
      <c r="H575" s="5">
        <v>2.0</v>
      </c>
      <c r="I575" s="17">
        <v>0.0</v>
      </c>
      <c r="J575" s="17">
        <v>44.0</v>
      </c>
      <c r="K575" s="17">
        <v>0.0</v>
      </c>
      <c r="L575" s="5"/>
      <c r="M575" s="17">
        <v>44.0</v>
      </c>
    </row>
    <row r="576" ht="22.5" customHeight="1">
      <c r="A576" s="19" t="s">
        <v>929</v>
      </c>
      <c r="B576" s="19" t="s">
        <v>927</v>
      </c>
      <c r="C576" s="19" t="s">
        <v>436</v>
      </c>
      <c r="D576" s="33">
        <v>21.88</v>
      </c>
      <c r="E576" s="33">
        <v>58.0</v>
      </c>
      <c r="F576" s="5">
        <v>26.26</v>
      </c>
      <c r="G576" s="37">
        <v>46116.0</v>
      </c>
      <c r="H576" s="17">
        <v>80.0</v>
      </c>
      <c r="I576" s="17">
        <v>0.0</v>
      </c>
      <c r="J576" s="17">
        <v>1750.0</v>
      </c>
      <c r="K576" s="17">
        <v>0.0</v>
      </c>
      <c r="L576" s="5" t="s">
        <v>1282</v>
      </c>
      <c r="M576" s="17">
        <v>1290.9199999999998</v>
      </c>
    </row>
    <row r="577" ht="22.5" customHeight="1">
      <c r="A577" s="10" t="s">
        <v>347</v>
      </c>
      <c r="B577" s="10" t="s">
        <v>238</v>
      </c>
      <c r="C577" s="10" t="s">
        <v>51</v>
      </c>
      <c r="D577" s="8">
        <v>20.0</v>
      </c>
      <c r="E577" s="8">
        <v>9.0</v>
      </c>
      <c r="F577" s="13">
        <v>24.0</v>
      </c>
      <c r="G577" s="14">
        <v>44997.0</v>
      </c>
      <c r="H577" s="13">
        <v>10.0</v>
      </c>
      <c r="I577" s="13">
        <v>1.0</v>
      </c>
      <c r="J577" s="13">
        <v>200.0</v>
      </c>
      <c r="K577" s="13">
        <v>50.0</v>
      </c>
      <c r="L577" s="15"/>
      <c r="M577" s="17">
        <v>180.0</v>
      </c>
    </row>
    <row r="578" ht="22.5" customHeight="1">
      <c r="A578" s="10" t="s">
        <v>492</v>
      </c>
      <c r="B578" s="10" t="s">
        <v>185</v>
      </c>
      <c r="C578" s="15"/>
      <c r="D578" s="8">
        <v>20.0</v>
      </c>
      <c r="E578" s="8">
        <v>0.0</v>
      </c>
      <c r="F578" s="6">
        <v>25.0</v>
      </c>
      <c r="G578" s="14">
        <v>46023.83858594907</v>
      </c>
      <c r="H578" s="15"/>
      <c r="I578" s="13">
        <v>8.0</v>
      </c>
      <c r="J578" s="15"/>
      <c r="K578" s="13">
        <v>199.9</v>
      </c>
      <c r="L578" s="15"/>
      <c r="M578" s="17">
        <v>0.0</v>
      </c>
    </row>
    <row r="579" ht="22.5" customHeight="1">
      <c r="A579" s="19" t="s">
        <v>926</v>
      </c>
      <c r="B579" s="19" t="s">
        <v>927</v>
      </c>
      <c r="C579" s="19" t="s">
        <v>436</v>
      </c>
      <c r="D579" s="33">
        <v>20.0</v>
      </c>
      <c r="E579" s="33">
        <v>59.0</v>
      </c>
      <c r="F579" s="5">
        <v>24.0</v>
      </c>
      <c r="G579" s="37">
        <v>46116.0</v>
      </c>
      <c r="H579" s="17">
        <v>80.0</v>
      </c>
      <c r="I579" s="17">
        <v>0.0</v>
      </c>
      <c r="J579" s="17">
        <v>1600.0</v>
      </c>
      <c r="K579" s="17">
        <v>0.0</v>
      </c>
      <c r="L579" s="5" t="s">
        <v>1462</v>
      </c>
      <c r="M579" s="17">
        <v>1180.0</v>
      </c>
    </row>
    <row r="580" ht="22.5" customHeight="1">
      <c r="A580" s="19" t="s">
        <v>699</v>
      </c>
      <c r="B580" s="19" t="s">
        <v>68</v>
      </c>
      <c r="C580" s="5" t="s">
        <v>54</v>
      </c>
      <c r="D580" s="33">
        <v>20.0</v>
      </c>
      <c r="E580" s="33">
        <v>0.0</v>
      </c>
      <c r="F580" s="17">
        <v>24.0</v>
      </c>
      <c r="G580" s="34">
        <v>46165.0</v>
      </c>
      <c r="H580" s="5">
        <v>6.0</v>
      </c>
      <c r="I580" s="17">
        <v>11.0</v>
      </c>
      <c r="J580" s="17">
        <v>60.0</v>
      </c>
      <c r="K580" s="17">
        <v>500.0</v>
      </c>
      <c r="L580" s="5" t="s">
        <v>1464</v>
      </c>
      <c r="M580" s="17">
        <f>D580*E580</f>
        <v>0</v>
      </c>
    </row>
    <row r="581" ht="22.5" customHeight="1">
      <c r="A581" s="19" t="s">
        <v>255</v>
      </c>
      <c r="B581" s="19" t="s">
        <v>238</v>
      </c>
      <c r="C581" s="5"/>
      <c r="D581" s="33">
        <v>20.0</v>
      </c>
      <c r="E581" s="33">
        <v>24.0</v>
      </c>
      <c r="F581" s="17">
        <v>24.0</v>
      </c>
      <c r="G581" s="34">
        <v>46071.0</v>
      </c>
      <c r="H581" s="5">
        <v>24.0</v>
      </c>
      <c r="I581" s="17">
        <v>0.0</v>
      </c>
      <c r="J581" s="17">
        <v>480.0</v>
      </c>
      <c r="K581" s="17">
        <v>0.0</v>
      </c>
      <c r="L581" s="5"/>
      <c r="M581" s="17">
        <v>480.0</v>
      </c>
    </row>
    <row r="582" ht="22.5" customHeight="1">
      <c r="A582" s="19" t="s">
        <v>939</v>
      </c>
      <c r="B582" s="19" t="s">
        <v>1224</v>
      </c>
      <c r="C582" s="5"/>
      <c r="D582" s="33">
        <v>20.0</v>
      </c>
      <c r="E582" s="33">
        <v>8.0</v>
      </c>
      <c r="F582" s="17">
        <v>24.0</v>
      </c>
      <c r="G582" s="34">
        <v>46167.0</v>
      </c>
      <c r="H582" s="5">
        <v>12.0</v>
      </c>
      <c r="I582" s="17">
        <v>4.0</v>
      </c>
      <c r="J582" s="17">
        <v>240.0</v>
      </c>
      <c r="K582" s="17">
        <v>200.0</v>
      </c>
      <c r="L582" s="5"/>
      <c r="M582" s="17">
        <v>220.0</v>
      </c>
    </row>
    <row r="583" ht="22.5" customHeight="1">
      <c r="A583" s="19" t="s">
        <v>309</v>
      </c>
      <c r="B583" s="19" t="s">
        <v>238</v>
      </c>
      <c r="C583" s="19" t="s">
        <v>154</v>
      </c>
      <c r="D583" s="33">
        <v>20.0</v>
      </c>
      <c r="E583" s="33">
        <v>9.0</v>
      </c>
      <c r="F583" s="17">
        <v>24.0</v>
      </c>
      <c r="G583" s="34">
        <v>46168.0</v>
      </c>
      <c r="H583" s="5">
        <v>48.0</v>
      </c>
      <c r="I583" s="17">
        <v>39.0</v>
      </c>
      <c r="J583" s="17">
        <v>960.0</v>
      </c>
      <c r="K583" s="17">
        <v>1830.0</v>
      </c>
      <c r="L583" s="5"/>
      <c r="M583" s="17">
        <v>80.0</v>
      </c>
    </row>
    <row r="584" ht="22.5" customHeight="1">
      <c r="A584" s="19" t="s">
        <v>1133</v>
      </c>
      <c r="B584" s="19" t="s">
        <v>1469</v>
      </c>
      <c r="C584" s="19" t="s">
        <v>119</v>
      </c>
      <c r="D584" s="33">
        <v>20.0</v>
      </c>
      <c r="E584" s="33">
        <v>3.0</v>
      </c>
      <c r="F584" s="17">
        <v>24.0</v>
      </c>
      <c r="G584" s="34">
        <v>46154.0</v>
      </c>
      <c r="H584" s="5">
        <v>3.0</v>
      </c>
      <c r="I584" s="5">
        <v>0.0</v>
      </c>
      <c r="J584" s="17">
        <v>60.0</v>
      </c>
      <c r="K584" s="17">
        <v>0.0</v>
      </c>
      <c r="L584" s="19"/>
      <c r="M584" s="17"/>
    </row>
    <row r="585" ht="22.5" customHeight="1">
      <c r="A585" s="19" t="s">
        <v>1137</v>
      </c>
      <c r="B585" s="19" t="s">
        <v>1469</v>
      </c>
      <c r="C585" s="19" t="s">
        <v>119</v>
      </c>
      <c r="D585" s="33">
        <v>20.0</v>
      </c>
      <c r="E585" s="33">
        <v>1.0</v>
      </c>
      <c r="F585" s="17">
        <v>24.0</v>
      </c>
      <c r="G585" s="34">
        <v>46154.0</v>
      </c>
      <c r="H585" s="5">
        <v>1.0</v>
      </c>
      <c r="I585" s="5">
        <v>0.0</v>
      </c>
      <c r="J585" s="17">
        <v>20.0</v>
      </c>
      <c r="K585" s="17">
        <v>0.0</v>
      </c>
      <c r="L585" s="19"/>
      <c r="M585" s="17"/>
    </row>
    <row r="586" ht="22.5" customHeight="1">
      <c r="A586" s="19" t="s">
        <v>993</v>
      </c>
      <c r="B586" s="19" t="s">
        <v>994</v>
      </c>
      <c r="C586" s="19" t="s">
        <v>119</v>
      </c>
      <c r="D586" s="33">
        <v>19.5</v>
      </c>
      <c r="E586" s="33">
        <v>12.0</v>
      </c>
      <c r="F586" s="17">
        <v>23.4</v>
      </c>
      <c r="G586" s="34">
        <v>46011.0</v>
      </c>
      <c r="H586" s="5">
        <v>1.0</v>
      </c>
      <c r="I586" s="17">
        <v>0.0</v>
      </c>
      <c r="J586" s="17">
        <v>234.0</v>
      </c>
      <c r="K586" s="17">
        <v>0.0</v>
      </c>
      <c r="L586" s="5"/>
      <c r="M586" s="17">
        <v>234.0</v>
      </c>
    </row>
    <row r="587" ht="22.5" customHeight="1">
      <c r="A587" s="19" t="s">
        <v>255</v>
      </c>
      <c r="B587" s="19" t="s">
        <v>50</v>
      </c>
      <c r="C587" s="5" t="s">
        <v>54</v>
      </c>
      <c r="D587" s="33">
        <v>19.5</v>
      </c>
      <c r="E587" s="33">
        <v>0.0</v>
      </c>
      <c r="F587" s="17">
        <v>23.4</v>
      </c>
      <c r="G587" s="34">
        <v>46114.0</v>
      </c>
      <c r="H587" s="5">
        <v>2.0</v>
      </c>
      <c r="I587" s="17">
        <v>2.0</v>
      </c>
      <c r="J587" s="17">
        <v>19.5</v>
      </c>
      <c r="K587" s="17">
        <v>100.0</v>
      </c>
      <c r="L587" s="5" t="s">
        <v>1452</v>
      </c>
      <c r="M587" s="17">
        <v>39.0</v>
      </c>
    </row>
    <row r="588" ht="22.5" customHeight="1">
      <c r="A588" s="19" t="s">
        <v>987</v>
      </c>
      <c r="B588" s="19" t="s">
        <v>354</v>
      </c>
      <c r="C588" s="19" t="s">
        <v>119</v>
      </c>
      <c r="D588" s="33">
        <v>19.0</v>
      </c>
      <c r="E588" s="33">
        <v>1.0</v>
      </c>
      <c r="F588" s="17">
        <v>22.8</v>
      </c>
      <c r="G588" s="34">
        <v>46118.0</v>
      </c>
      <c r="H588" s="5">
        <v>4.0</v>
      </c>
      <c r="I588" s="17">
        <v>3.0</v>
      </c>
      <c r="J588" s="17">
        <v>76.0</v>
      </c>
      <c r="K588" s="17">
        <v>90.0</v>
      </c>
      <c r="L588" s="5"/>
      <c r="M588" s="17">
        <v>57.0</v>
      </c>
    </row>
    <row r="589" ht="22.5" customHeight="1">
      <c r="A589" s="19" t="s">
        <v>963</v>
      </c>
      <c r="B589" s="19" t="s">
        <v>68</v>
      </c>
      <c r="C589" s="5" t="s">
        <v>54</v>
      </c>
      <c r="D589" s="33">
        <v>18.75</v>
      </c>
      <c r="E589" s="33">
        <v>0.0</v>
      </c>
      <c r="F589" s="17">
        <v>19.3125</v>
      </c>
      <c r="G589" s="34">
        <v>46098.0</v>
      </c>
      <c r="H589" s="5">
        <v>4.0</v>
      </c>
      <c r="I589" s="17">
        <v>4.0</v>
      </c>
      <c r="J589" s="17">
        <v>90.0</v>
      </c>
      <c r="K589" s="17">
        <v>140.0</v>
      </c>
      <c r="L589" s="5" t="s">
        <v>1488</v>
      </c>
      <c r="M589" s="17">
        <v>0.0</v>
      </c>
    </row>
    <row r="590" ht="22.5" customHeight="1">
      <c r="A590" s="10" t="s">
        <v>302</v>
      </c>
      <c r="B590" s="10" t="s">
        <v>494</v>
      </c>
      <c r="C590" s="10" t="s">
        <v>31</v>
      </c>
      <c r="D590" s="8">
        <v>18.0</v>
      </c>
      <c r="E590" s="8">
        <v>1.0</v>
      </c>
      <c r="F590" s="13">
        <v>21.6</v>
      </c>
      <c r="G590" s="14">
        <v>46061.0</v>
      </c>
      <c r="H590" s="13">
        <v>24.0</v>
      </c>
      <c r="I590" s="13">
        <v>23.0</v>
      </c>
      <c r="J590" s="13">
        <v>432.0</v>
      </c>
      <c r="K590" s="13">
        <v>575.0</v>
      </c>
      <c r="L590" s="15"/>
      <c r="M590" s="17">
        <v>18.0</v>
      </c>
    </row>
    <row r="591" ht="22.5" customHeight="1">
      <c r="A591" s="10" t="s">
        <v>1395</v>
      </c>
      <c r="B591" s="10" t="s">
        <v>354</v>
      </c>
      <c r="C591" s="10" t="s">
        <v>125</v>
      </c>
      <c r="D591" s="8">
        <v>18.0</v>
      </c>
      <c r="E591" s="8">
        <v>24.0</v>
      </c>
      <c r="F591" s="13">
        <v>21.6</v>
      </c>
      <c r="G591" s="14">
        <v>46095.0</v>
      </c>
      <c r="H591" s="13">
        <v>24.0</v>
      </c>
      <c r="I591" s="13">
        <v>0.0</v>
      </c>
      <c r="J591" s="13">
        <v>432.0</v>
      </c>
      <c r="K591" s="13">
        <v>0.0</v>
      </c>
      <c r="L591" s="15"/>
      <c r="M591" s="17">
        <v>432.0</v>
      </c>
    </row>
    <row r="592" ht="22.5" customHeight="1">
      <c r="A592" s="19" t="s">
        <v>596</v>
      </c>
      <c r="B592" s="19" t="s">
        <v>1032</v>
      </c>
      <c r="C592" s="19" t="s">
        <v>119</v>
      </c>
      <c r="D592" s="33">
        <v>17.92</v>
      </c>
      <c r="E592" s="33">
        <v>0.0</v>
      </c>
      <c r="F592" s="17">
        <v>21.5</v>
      </c>
      <c r="G592" s="34">
        <v>46168.0</v>
      </c>
      <c r="H592" s="5">
        <v>12.0</v>
      </c>
      <c r="I592" s="17">
        <v>12.0</v>
      </c>
      <c r="J592" s="17">
        <v>215.0</v>
      </c>
      <c r="K592" s="17">
        <v>325.0</v>
      </c>
      <c r="L592" s="5"/>
      <c r="M592" s="17">
        <v>179.20000000000002</v>
      </c>
    </row>
    <row r="593" ht="22.5" customHeight="1">
      <c r="A593" s="19" t="s">
        <v>601</v>
      </c>
      <c r="B593" s="19" t="s">
        <v>1032</v>
      </c>
      <c r="C593" s="19" t="s">
        <v>119</v>
      </c>
      <c r="D593" s="33">
        <v>17.92</v>
      </c>
      <c r="E593" s="33">
        <v>3.0</v>
      </c>
      <c r="F593" s="17">
        <v>21.5</v>
      </c>
      <c r="G593" s="34">
        <v>46165.0</v>
      </c>
      <c r="H593" s="5">
        <v>12.0</v>
      </c>
      <c r="I593" s="17">
        <v>9.0</v>
      </c>
      <c r="J593" s="17">
        <v>215.0</v>
      </c>
      <c r="K593" s="17">
        <v>230.0</v>
      </c>
      <c r="L593" s="5"/>
      <c r="M593" s="17">
        <v>197.12</v>
      </c>
    </row>
    <row r="594" ht="22.5" customHeight="1">
      <c r="A594" s="10" t="s">
        <v>549</v>
      </c>
      <c r="B594" s="10" t="s">
        <v>836</v>
      </c>
      <c r="C594" s="10" t="s">
        <v>119</v>
      </c>
      <c r="D594" s="8">
        <v>17.5</v>
      </c>
      <c r="E594" s="8">
        <v>19.0</v>
      </c>
      <c r="F594" s="13">
        <v>21.0</v>
      </c>
      <c r="G594" s="14">
        <v>46149.0</v>
      </c>
      <c r="H594" s="13">
        <v>35.0</v>
      </c>
      <c r="I594" s="13">
        <v>16.0</v>
      </c>
      <c r="J594" s="13">
        <v>612.5</v>
      </c>
      <c r="K594" s="13">
        <v>390.0</v>
      </c>
      <c r="L594" s="15"/>
      <c r="M594" s="17">
        <v>420.0</v>
      </c>
    </row>
    <row r="595" ht="22.5" customHeight="1">
      <c r="A595" s="10" t="s">
        <v>1146</v>
      </c>
      <c r="B595" s="10" t="s">
        <v>354</v>
      </c>
      <c r="C595" s="10" t="s">
        <v>125</v>
      </c>
      <c r="D595" s="8">
        <v>17.5</v>
      </c>
      <c r="E595" s="8">
        <v>5.0</v>
      </c>
      <c r="F595" s="13">
        <v>21.0</v>
      </c>
      <c r="G595" s="14">
        <v>46160.0</v>
      </c>
      <c r="H595" s="13">
        <v>12.0</v>
      </c>
      <c r="I595" s="13">
        <v>7.0</v>
      </c>
      <c r="J595" s="13">
        <v>210.0</v>
      </c>
      <c r="K595" s="13">
        <v>235.0</v>
      </c>
      <c r="L595" s="15"/>
      <c r="M595" s="17">
        <v>157.5</v>
      </c>
    </row>
    <row r="596" ht="22.5" customHeight="1">
      <c r="A596" s="10" t="s">
        <v>116</v>
      </c>
      <c r="B596" s="10" t="s">
        <v>476</v>
      </c>
      <c r="C596" s="10" t="s">
        <v>31</v>
      </c>
      <c r="D596" s="8">
        <v>17.0</v>
      </c>
      <c r="E596" s="8">
        <v>1.0</v>
      </c>
      <c r="F596" s="13">
        <v>20.4</v>
      </c>
      <c r="G596" s="6" t="s">
        <v>72</v>
      </c>
      <c r="H596" s="13">
        <v>12.0</v>
      </c>
      <c r="I596" s="13">
        <v>11.0</v>
      </c>
      <c r="J596" s="13">
        <v>204.0</v>
      </c>
      <c r="K596" s="13">
        <v>274.8</v>
      </c>
      <c r="L596" s="15"/>
      <c r="M596" s="17">
        <v>17.0</v>
      </c>
    </row>
    <row r="597" ht="22.5" customHeight="1">
      <c r="A597" s="19" t="s">
        <v>645</v>
      </c>
      <c r="B597" s="19" t="s">
        <v>68</v>
      </c>
      <c r="C597" s="19" t="s">
        <v>1052</v>
      </c>
      <c r="D597" s="33">
        <v>17.0</v>
      </c>
      <c r="E597" s="33">
        <v>3.0</v>
      </c>
      <c r="F597" s="17">
        <v>20.4</v>
      </c>
      <c r="G597" s="34">
        <v>46100.0</v>
      </c>
      <c r="H597" s="5">
        <v>50.0</v>
      </c>
      <c r="I597" s="17">
        <v>47.0</v>
      </c>
      <c r="J597" s="17">
        <v>850.0</v>
      </c>
      <c r="K597" s="17">
        <v>1140.0</v>
      </c>
      <c r="L597" s="5"/>
      <c r="M597" s="17">
        <v>51.0</v>
      </c>
    </row>
    <row r="598" ht="22.5" customHeight="1">
      <c r="A598" s="19" t="s">
        <v>837</v>
      </c>
      <c r="B598" s="19" t="s">
        <v>472</v>
      </c>
      <c r="C598" s="19" t="s">
        <v>154</v>
      </c>
      <c r="D598" s="33">
        <v>17.0</v>
      </c>
      <c r="E598" s="33">
        <v>3.0</v>
      </c>
      <c r="F598" s="17">
        <v>20.4</v>
      </c>
      <c r="G598" s="34">
        <v>46167.0</v>
      </c>
      <c r="H598" s="5">
        <v>10.0</v>
      </c>
      <c r="I598" s="17">
        <v>7.0</v>
      </c>
      <c r="J598" s="17">
        <v>170.0</v>
      </c>
      <c r="K598" s="17">
        <v>160.0</v>
      </c>
      <c r="L598" s="5"/>
      <c r="M598" s="17">
        <v>85.0</v>
      </c>
    </row>
    <row r="599" ht="22.5" customHeight="1">
      <c r="A599" s="10" t="s">
        <v>452</v>
      </c>
      <c r="B599" s="10" t="s">
        <v>68</v>
      </c>
      <c r="C599" s="10" t="s">
        <v>31</v>
      </c>
      <c r="D599" s="8">
        <v>16.0</v>
      </c>
      <c r="E599" s="8">
        <v>7.0</v>
      </c>
      <c r="F599" s="13">
        <v>19.2</v>
      </c>
      <c r="G599" s="14">
        <v>46057.0</v>
      </c>
      <c r="H599" s="13">
        <v>36.0</v>
      </c>
      <c r="I599" s="6">
        <v>29.0</v>
      </c>
      <c r="J599" s="13">
        <v>576.0</v>
      </c>
      <c r="K599" s="13">
        <v>515.0</v>
      </c>
      <c r="L599" s="15"/>
      <c r="M599" s="17">
        <v>112.0</v>
      </c>
    </row>
    <row r="600" ht="22.5" customHeight="1">
      <c r="A600" s="19" t="s">
        <v>1010</v>
      </c>
      <c r="B600" s="19"/>
      <c r="C600" s="19" t="s">
        <v>51</v>
      </c>
      <c r="D600" s="33">
        <v>15.0</v>
      </c>
      <c r="E600" s="33">
        <v>10.0</v>
      </c>
      <c r="F600" s="17">
        <v>18.0</v>
      </c>
      <c r="G600" s="34">
        <v>46025.0</v>
      </c>
      <c r="H600" s="5">
        <v>10.0</v>
      </c>
      <c r="I600" s="17">
        <v>0.0</v>
      </c>
      <c r="J600" s="17">
        <v>150.0</v>
      </c>
      <c r="K600" s="17">
        <v>0.0</v>
      </c>
      <c r="L600" s="5"/>
      <c r="M600" s="17">
        <v>150.0</v>
      </c>
    </row>
    <row r="601" ht="22.5" customHeight="1">
      <c r="A601" s="19" t="s">
        <v>1501</v>
      </c>
      <c r="B601" s="19" t="s">
        <v>472</v>
      </c>
      <c r="C601" s="19" t="s">
        <v>154</v>
      </c>
      <c r="D601" s="33">
        <v>15.0</v>
      </c>
      <c r="E601" s="33">
        <v>0.0</v>
      </c>
      <c r="F601" s="17">
        <v>18.0</v>
      </c>
      <c r="G601" s="34">
        <v>44997.0</v>
      </c>
      <c r="H601" s="5">
        <v>30.0</v>
      </c>
      <c r="I601" s="17">
        <v>30.0</v>
      </c>
      <c r="J601" s="17">
        <v>450.0</v>
      </c>
      <c r="K601" s="17">
        <v>650.0</v>
      </c>
      <c r="L601" s="5"/>
      <c r="M601" s="17">
        <v>0.0</v>
      </c>
    </row>
    <row r="602" ht="22.5" customHeight="1">
      <c r="A602" s="19" t="s">
        <v>1504</v>
      </c>
      <c r="B602" s="19" t="s">
        <v>68</v>
      </c>
      <c r="C602" s="5" t="s">
        <v>54</v>
      </c>
      <c r="D602" s="33">
        <v>15.0</v>
      </c>
      <c r="E602" s="33">
        <v>1.0</v>
      </c>
      <c r="F602" s="17">
        <v>18.0</v>
      </c>
      <c r="G602" s="34">
        <v>46042.89779096065</v>
      </c>
      <c r="H602" s="5">
        <v>1.0</v>
      </c>
      <c r="I602" s="17">
        <v>0.0</v>
      </c>
      <c r="J602" s="17">
        <v>15.0</v>
      </c>
      <c r="K602" s="17">
        <v>0.0</v>
      </c>
      <c r="L602" s="5" t="s">
        <v>1507</v>
      </c>
      <c r="M602" s="17">
        <v>15.0</v>
      </c>
    </row>
    <row r="603" ht="22.5" customHeight="1">
      <c r="A603" s="19" t="s">
        <v>841</v>
      </c>
      <c r="B603" s="19" t="s">
        <v>1224</v>
      </c>
      <c r="C603" s="5"/>
      <c r="D603" s="33">
        <v>15.0</v>
      </c>
      <c r="E603" s="33">
        <v>8.0</v>
      </c>
      <c r="F603" s="17">
        <v>18.0</v>
      </c>
      <c r="G603" s="34">
        <v>46100.0</v>
      </c>
      <c r="H603" s="5">
        <v>12.0</v>
      </c>
      <c r="I603" s="17">
        <v>4.0</v>
      </c>
      <c r="J603" s="17">
        <v>180.0</v>
      </c>
      <c r="K603" s="17">
        <v>150.0</v>
      </c>
      <c r="L603" s="5"/>
      <c r="M603" s="17">
        <v>120.0</v>
      </c>
    </row>
    <row r="604" ht="22.5" customHeight="1">
      <c r="A604" s="10" t="s">
        <v>1509</v>
      </c>
      <c r="B604" s="10" t="s">
        <v>185</v>
      </c>
      <c r="C604" s="10" t="s">
        <v>154</v>
      </c>
      <c r="D604" s="8">
        <v>15.0</v>
      </c>
      <c r="E604" s="8">
        <v>0.0</v>
      </c>
      <c r="F604" s="13">
        <v>18.0</v>
      </c>
      <c r="G604" s="14">
        <v>46100.0</v>
      </c>
      <c r="H604" s="13">
        <v>20.0</v>
      </c>
      <c r="I604" s="13">
        <v>19.0</v>
      </c>
      <c r="J604" s="13">
        <v>300.0</v>
      </c>
      <c r="K604" s="13">
        <v>415.0</v>
      </c>
      <c r="L604" s="15"/>
      <c r="M604" s="17">
        <v>60.0</v>
      </c>
    </row>
    <row r="605" ht="22.5" customHeight="1">
      <c r="A605" s="19" t="s">
        <v>1509</v>
      </c>
      <c r="B605" s="19" t="s">
        <v>753</v>
      </c>
      <c r="C605" s="19" t="s">
        <v>154</v>
      </c>
      <c r="D605" s="33">
        <v>15.0</v>
      </c>
      <c r="E605" s="33">
        <v>0.0</v>
      </c>
      <c r="F605" s="17">
        <v>18.0</v>
      </c>
      <c r="G605" s="34">
        <v>46107.11438443287</v>
      </c>
      <c r="H605" s="5">
        <v>20.0</v>
      </c>
      <c r="I605" s="17">
        <v>19.0</v>
      </c>
      <c r="J605" s="17">
        <v>300.0</v>
      </c>
      <c r="K605" s="17">
        <v>430.0</v>
      </c>
      <c r="L605" s="5"/>
      <c r="M605" s="17">
        <v>0.0</v>
      </c>
    </row>
    <row r="606" ht="22.5" customHeight="1">
      <c r="A606" s="19" t="s">
        <v>1152</v>
      </c>
      <c r="B606" s="19" t="s">
        <v>354</v>
      </c>
      <c r="C606" s="19" t="s">
        <v>119</v>
      </c>
      <c r="D606" s="33">
        <v>15.0</v>
      </c>
      <c r="E606" s="33">
        <v>0.0</v>
      </c>
      <c r="F606" s="17">
        <v>18.0</v>
      </c>
      <c r="G606" s="34">
        <v>46131.0</v>
      </c>
      <c r="H606" s="5">
        <v>3.0</v>
      </c>
      <c r="I606" s="17">
        <v>3.0</v>
      </c>
      <c r="J606" s="17">
        <v>5.3892648E12</v>
      </c>
      <c r="K606" s="17">
        <v>75.0</v>
      </c>
      <c r="L606" s="5"/>
      <c r="M606" s="17">
        <v>45.0</v>
      </c>
    </row>
    <row r="607" ht="22.5" customHeight="1">
      <c r="A607" s="19" t="s">
        <v>1248</v>
      </c>
      <c r="B607" s="19" t="s">
        <v>169</v>
      </c>
      <c r="C607" s="19" t="s">
        <v>154</v>
      </c>
      <c r="D607" s="33">
        <v>15.0</v>
      </c>
      <c r="E607" s="33">
        <v>30.0</v>
      </c>
      <c r="F607" s="17">
        <v>18.0</v>
      </c>
      <c r="G607" s="34">
        <v>46116.0</v>
      </c>
      <c r="H607" s="17">
        <v>30.0</v>
      </c>
      <c r="I607" s="17">
        <v>0.0</v>
      </c>
      <c r="J607" s="17">
        <v>450.0</v>
      </c>
      <c r="K607" s="17">
        <v>0.0</v>
      </c>
      <c r="L607" s="5"/>
      <c r="M607" s="17">
        <v>450.0</v>
      </c>
    </row>
    <row r="608" ht="22.5" customHeight="1">
      <c r="A608" s="19" t="s">
        <v>1501</v>
      </c>
      <c r="B608" s="19" t="s">
        <v>753</v>
      </c>
      <c r="C608" s="19" t="s">
        <v>154</v>
      </c>
      <c r="D608" s="33">
        <v>15.0</v>
      </c>
      <c r="E608" s="33">
        <v>0.0</v>
      </c>
      <c r="F608" s="17">
        <v>18.0</v>
      </c>
      <c r="G608" s="34">
        <v>46149.0</v>
      </c>
      <c r="H608" s="5">
        <v>50.0</v>
      </c>
      <c r="I608" s="17">
        <v>50.0</v>
      </c>
      <c r="J608" s="5">
        <v>750.0</v>
      </c>
      <c r="K608" s="17">
        <v>1019.91</v>
      </c>
      <c r="L608" s="5"/>
      <c r="M608" s="17">
        <v>330.0</v>
      </c>
    </row>
    <row r="609" ht="22.5" customHeight="1">
      <c r="A609" s="19" t="s">
        <v>252</v>
      </c>
      <c r="B609" s="19" t="s">
        <v>753</v>
      </c>
      <c r="C609" s="19" t="s">
        <v>154</v>
      </c>
      <c r="D609" s="33">
        <v>15.0</v>
      </c>
      <c r="E609" s="33">
        <v>52.0</v>
      </c>
      <c r="F609" s="17">
        <v>18.0</v>
      </c>
      <c r="G609" s="34">
        <v>46168.0</v>
      </c>
      <c r="H609" s="17">
        <v>110.0</v>
      </c>
      <c r="I609" s="17">
        <v>59.0</v>
      </c>
      <c r="J609" s="17">
        <v>1650.0</v>
      </c>
      <c r="K609" s="17">
        <v>1194.85</v>
      </c>
      <c r="L609" s="5"/>
      <c r="M609" s="17">
        <v>900.0</v>
      </c>
    </row>
    <row r="610" ht="22.5" customHeight="1">
      <c r="A610" s="19" t="s">
        <v>1248</v>
      </c>
      <c r="B610" s="19" t="s">
        <v>169</v>
      </c>
      <c r="C610" s="19" t="s">
        <v>1052</v>
      </c>
      <c r="D610" s="33">
        <v>14.0</v>
      </c>
      <c r="E610" s="33">
        <v>0.0</v>
      </c>
      <c r="F610" s="17">
        <v>16.8</v>
      </c>
      <c r="G610" s="34">
        <v>46083.0</v>
      </c>
      <c r="H610" s="5">
        <v>15.0</v>
      </c>
      <c r="I610" s="17">
        <v>0.0</v>
      </c>
      <c r="J610" s="17">
        <v>210.0</v>
      </c>
      <c r="K610" s="17">
        <v>0.0</v>
      </c>
      <c r="L610" s="5" t="s">
        <v>1520</v>
      </c>
      <c r="M610" s="17">
        <v>0.0</v>
      </c>
    </row>
    <row r="611" ht="22.5" customHeight="1">
      <c r="A611" s="19" t="s">
        <v>882</v>
      </c>
      <c r="B611" s="19" t="s">
        <v>994</v>
      </c>
      <c r="C611" s="19" t="s">
        <v>119</v>
      </c>
      <c r="D611" s="33">
        <v>12.5</v>
      </c>
      <c r="E611" s="33">
        <v>9.0</v>
      </c>
      <c r="F611" s="17">
        <v>15.0</v>
      </c>
      <c r="G611" s="34">
        <v>46136.04166666667</v>
      </c>
      <c r="H611" s="5">
        <v>12.0</v>
      </c>
      <c r="I611" s="17">
        <v>3.0</v>
      </c>
      <c r="J611" s="17">
        <v>150.0</v>
      </c>
      <c r="K611" s="17">
        <v>75.0</v>
      </c>
      <c r="L611" s="5"/>
      <c r="M611" s="17">
        <v>137.5</v>
      </c>
    </row>
    <row r="612" ht="22.5" customHeight="1">
      <c r="A612" s="19" t="s">
        <v>1155</v>
      </c>
      <c r="B612" s="19" t="s">
        <v>169</v>
      </c>
      <c r="C612" s="19" t="s">
        <v>154</v>
      </c>
      <c r="D612" s="33">
        <v>12.5</v>
      </c>
      <c r="E612" s="33">
        <v>40.0</v>
      </c>
      <c r="F612" s="17">
        <v>15.0</v>
      </c>
      <c r="G612" s="34">
        <v>46116.0</v>
      </c>
      <c r="H612" s="17">
        <v>40.0</v>
      </c>
      <c r="I612" s="17">
        <v>0.0</v>
      </c>
      <c r="J612" s="17">
        <v>500.0</v>
      </c>
      <c r="K612" s="17">
        <v>0.0</v>
      </c>
      <c r="L612" s="5"/>
      <c r="M612" s="17">
        <v>500.0</v>
      </c>
    </row>
    <row r="613" ht="22.5" customHeight="1">
      <c r="A613" s="19" t="s">
        <v>1347</v>
      </c>
      <c r="B613" s="19" t="s">
        <v>472</v>
      </c>
      <c r="C613" s="19" t="s">
        <v>51</v>
      </c>
      <c r="D613" s="33">
        <v>12.5</v>
      </c>
      <c r="E613" s="33">
        <v>12.0</v>
      </c>
      <c r="F613" s="17">
        <v>15.0</v>
      </c>
      <c r="G613" s="34">
        <v>46095.0</v>
      </c>
      <c r="H613" s="5">
        <v>12.0</v>
      </c>
      <c r="I613" s="17">
        <v>0.0</v>
      </c>
      <c r="J613" s="5">
        <v>150.0</v>
      </c>
      <c r="K613" s="17">
        <v>0.0</v>
      </c>
      <c r="L613" s="5"/>
      <c r="M613" s="17">
        <v>150.0</v>
      </c>
    </row>
    <row r="614" ht="22.5" customHeight="1">
      <c r="A614" s="10" t="s">
        <v>1055</v>
      </c>
      <c r="B614" s="10" t="s">
        <v>1201</v>
      </c>
      <c r="C614" s="10" t="s">
        <v>125</v>
      </c>
      <c r="D614" s="8">
        <v>12.5</v>
      </c>
      <c r="E614" s="8">
        <v>20.0</v>
      </c>
      <c r="F614" s="13">
        <v>15.0</v>
      </c>
      <c r="G614" s="14">
        <v>46099.0</v>
      </c>
      <c r="H614" s="13">
        <v>20.0</v>
      </c>
      <c r="I614" s="13">
        <v>0.0</v>
      </c>
      <c r="J614" s="13">
        <v>250.0</v>
      </c>
      <c r="K614" s="13">
        <v>0.0</v>
      </c>
      <c r="L614" s="15"/>
      <c r="M614" s="17">
        <v>250.0</v>
      </c>
    </row>
    <row r="615" ht="22.5" customHeight="1">
      <c r="A615" s="19" t="s">
        <v>1156</v>
      </c>
      <c r="B615" s="19" t="s">
        <v>68</v>
      </c>
      <c r="C615" s="5" t="s">
        <v>54</v>
      </c>
      <c r="D615" s="33">
        <v>12.5</v>
      </c>
      <c r="E615" s="33">
        <v>15.0</v>
      </c>
      <c r="F615" s="17">
        <v>15.0</v>
      </c>
      <c r="G615" s="34">
        <v>46167.0</v>
      </c>
      <c r="H615" s="5">
        <v>45.0</v>
      </c>
      <c r="I615" s="5">
        <v>30.0</v>
      </c>
      <c r="J615" s="17">
        <v>562.5</v>
      </c>
      <c r="K615" s="17">
        <v>650.0</v>
      </c>
      <c r="L615" s="5" t="s">
        <v>1528</v>
      </c>
      <c r="M615" s="17"/>
    </row>
    <row r="616" ht="22.5" customHeight="1">
      <c r="A616" s="19" t="s">
        <v>670</v>
      </c>
      <c r="B616" s="19" t="s">
        <v>238</v>
      </c>
      <c r="C616" s="19" t="s">
        <v>154</v>
      </c>
      <c r="D616" s="33">
        <v>12.11</v>
      </c>
      <c r="E616" s="33">
        <v>65.0</v>
      </c>
      <c r="F616" s="17">
        <v>14.53</v>
      </c>
      <c r="G616" s="34">
        <v>46168.0</v>
      </c>
      <c r="H616" s="5">
        <v>116.0</v>
      </c>
      <c r="I616" s="17">
        <v>21.0</v>
      </c>
      <c r="J616" s="17">
        <v>1405.0</v>
      </c>
      <c r="K616" s="17">
        <v>565.0</v>
      </c>
      <c r="L616" s="5" t="s">
        <v>1530</v>
      </c>
      <c r="M616" s="17">
        <v>508.26</v>
      </c>
    </row>
    <row r="617" ht="22.5" customHeight="1">
      <c r="A617" s="10" t="s">
        <v>1531</v>
      </c>
      <c r="B617" s="10" t="s">
        <v>185</v>
      </c>
      <c r="C617" s="10" t="s">
        <v>31</v>
      </c>
      <c r="D617" s="8">
        <v>12.0</v>
      </c>
      <c r="E617" s="8">
        <v>0.0</v>
      </c>
      <c r="F617" s="13">
        <v>14.4</v>
      </c>
      <c r="G617" s="14">
        <v>46098.0</v>
      </c>
      <c r="H617" s="13">
        <v>24.0</v>
      </c>
      <c r="I617" s="13">
        <v>23.0</v>
      </c>
      <c r="J617" s="13">
        <v>288.0</v>
      </c>
      <c r="K617" s="13">
        <v>575.0</v>
      </c>
      <c r="L617" s="15"/>
      <c r="M617" s="17">
        <v>12.0</v>
      </c>
    </row>
    <row r="618" ht="22.5" customHeight="1">
      <c r="A618" s="10" t="s">
        <v>1535</v>
      </c>
      <c r="B618" s="10" t="s">
        <v>836</v>
      </c>
      <c r="C618" s="10" t="s">
        <v>119</v>
      </c>
      <c r="D618" s="8">
        <v>11.25</v>
      </c>
      <c r="E618" s="8">
        <v>0.0</v>
      </c>
      <c r="F618" s="13">
        <v>13.5</v>
      </c>
      <c r="G618" s="14">
        <v>46051.0</v>
      </c>
      <c r="H618" s="13">
        <v>6.0</v>
      </c>
      <c r="I618" s="13">
        <v>6.0</v>
      </c>
      <c r="J618" s="13">
        <v>67.5</v>
      </c>
      <c r="K618" s="13">
        <v>120.0</v>
      </c>
      <c r="L618" s="15"/>
      <c r="M618" s="17">
        <v>0.0</v>
      </c>
    </row>
    <row r="619" ht="22.5" customHeight="1">
      <c r="A619" s="19" t="s">
        <v>800</v>
      </c>
      <c r="B619" s="19" t="s">
        <v>836</v>
      </c>
      <c r="C619" s="19" t="s">
        <v>119</v>
      </c>
      <c r="D619" s="33">
        <v>11.25</v>
      </c>
      <c r="E619" s="33">
        <v>43.0</v>
      </c>
      <c r="F619" s="17">
        <v>13.5</v>
      </c>
      <c r="G619" s="37">
        <v>46121.0</v>
      </c>
      <c r="H619" s="17">
        <v>48.0</v>
      </c>
      <c r="I619" s="17">
        <v>5.0</v>
      </c>
      <c r="J619" s="17">
        <v>540.0</v>
      </c>
      <c r="K619" s="17">
        <v>90.0</v>
      </c>
      <c r="L619" s="16"/>
      <c r="M619" s="17">
        <v>517.5</v>
      </c>
    </row>
    <row r="620" ht="22.5" customHeight="1">
      <c r="A620" s="19" t="s">
        <v>941</v>
      </c>
      <c r="B620" s="19" t="s">
        <v>68</v>
      </c>
      <c r="C620" s="5" t="s">
        <v>54</v>
      </c>
      <c r="D620" s="33">
        <v>11.25</v>
      </c>
      <c r="E620" s="33">
        <v>1.0</v>
      </c>
      <c r="F620" s="17">
        <v>13.5</v>
      </c>
      <c r="G620" s="34">
        <v>46091.906410578704</v>
      </c>
      <c r="H620" s="5">
        <v>4.0</v>
      </c>
      <c r="I620" s="17">
        <v>3.0</v>
      </c>
      <c r="J620" s="17">
        <v>45.0</v>
      </c>
      <c r="K620" s="17">
        <v>60.0</v>
      </c>
      <c r="L620" s="5" t="s">
        <v>1539</v>
      </c>
      <c r="M620" s="17">
        <v>11.25</v>
      </c>
    </row>
    <row r="621" ht="22.5" customHeight="1">
      <c r="A621" s="10" t="s">
        <v>540</v>
      </c>
      <c r="B621" s="10" t="s">
        <v>579</v>
      </c>
      <c r="C621" s="10" t="s">
        <v>119</v>
      </c>
      <c r="D621" s="8">
        <v>11.13</v>
      </c>
      <c r="E621" s="8">
        <v>40.0</v>
      </c>
      <c r="F621" s="13">
        <v>13.36</v>
      </c>
      <c r="G621" s="14">
        <v>46097.0</v>
      </c>
      <c r="H621" s="13">
        <v>54.0</v>
      </c>
      <c r="I621" s="13">
        <v>14.0</v>
      </c>
      <c r="J621" s="13">
        <v>600.75</v>
      </c>
      <c r="K621" s="13">
        <v>280.0</v>
      </c>
      <c r="L621" s="15"/>
      <c r="M621" s="17">
        <v>445.20000000000005</v>
      </c>
    </row>
    <row r="622" ht="22.5" customHeight="1">
      <c r="A622" s="19" t="s">
        <v>1055</v>
      </c>
      <c r="B622" s="19" t="s">
        <v>1201</v>
      </c>
      <c r="C622" s="19" t="s">
        <v>119</v>
      </c>
      <c r="D622" s="33">
        <v>11.0</v>
      </c>
      <c r="E622" s="33">
        <v>27.0</v>
      </c>
      <c r="F622" s="17">
        <v>13.2</v>
      </c>
      <c r="G622" s="34">
        <v>46166.0</v>
      </c>
      <c r="H622" s="5">
        <v>40.0</v>
      </c>
      <c r="I622" s="17">
        <v>13.0</v>
      </c>
      <c r="J622" s="17">
        <v>440.0</v>
      </c>
      <c r="K622" s="17">
        <v>189.95</v>
      </c>
      <c r="L622" s="5"/>
      <c r="M622" s="17">
        <v>385.0</v>
      </c>
    </row>
    <row r="623" ht="22.5" customHeight="1">
      <c r="A623" s="19" t="s">
        <v>1087</v>
      </c>
      <c r="B623" s="19" t="s">
        <v>1215</v>
      </c>
      <c r="C623" s="5"/>
      <c r="D623" s="33">
        <v>11.0</v>
      </c>
      <c r="E623" s="33">
        <v>30.0</v>
      </c>
      <c r="F623" s="17">
        <v>13.2</v>
      </c>
      <c r="G623" s="34">
        <v>46136.04166666667</v>
      </c>
      <c r="H623" s="5">
        <v>40.0</v>
      </c>
      <c r="I623" s="17">
        <v>10.0</v>
      </c>
      <c r="J623" s="17">
        <v>440.0</v>
      </c>
      <c r="K623" s="17">
        <v>135.0</v>
      </c>
      <c r="L623" s="5"/>
      <c r="M623" s="17">
        <v>385.0</v>
      </c>
    </row>
    <row r="624" ht="22.5" customHeight="1">
      <c r="A624" s="19" t="s">
        <v>1155</v>
      </c>
      <c r="B624" s="19" t="s">
        <v>169</v>
      </c>
      <c r="C624" s="19" t="s">
        <v>1052</v>
      </c>
      <c r="D624" s="33">
        <v>11.0</v>
      </c>
      <c r="E624" s="33">
        <v>1.0</v>
      </c>
      <c r="F624" s="17">
        <v>13.2</v>
      </c>
      <c r="G624" s="34">
        <v>46165.0</v>
      </c>
      <c r="H624" s="5">
        <v>19.0</v>
      </c>
      <c r="I624" s="17">
        <v>3.0</v>
      </c>
      <c r="J624" s="17">
        <v>209.0</v>
      </c>
      <c r="K624" s="17">
        <v>55.0</v>
      </c>
      <c r="L624" s="5" t="s">
        <v>1520</v>
      </c>
      <c r="M624" s="17">
        <v>44.0</v>
      </c>
    </row>
    <row r="625" ht="22.5" customHeight="1">
      <c r="A625" s="19" t="s">
        <v>1000</v>
      </c>
      <c r="B625" s="19" t="s">
        <v>238</v>
      </c>
      <c r="C625" s="19" t="s">
        <v>154</v>
      </c>
      <c r="D625" s="33">
        <v>11.0</v>
      </c>
      <c r="E625" s="33">
        <v>19.0</v>
      </c>
      <c r="F625" s="17">
        <v>13.2</v>
      </c>
      <c r="G625" s="34">
        <v>46116.0</v>
      </c>
      <c r="H625" s="17">
        <v>19.0</v>
      </c>
      <c r="I625" s="17">
        <v>0.0</v>
      </c>
      <c r="J625" s="17">
        <v>209.0</v>
      </c>
      <c r="K625" s="17">
        <v>0.0</v>
      </c>
      <c r="L625" s="5"/>
      <c r="M625" s="17">
        <v>209.0</v>
      </c>
    </row>
    <row r="626" ht="22.5" customHeight="1">
      <c r="A626" s="19" t="s">
        <v>858</v>
      </c>
      <c r="B626" s="19" t="s">
        <v>68</v>
      </c>
      <c r="C626" s="5" t="s">
        <v>54</v>
      </c>
      <c r="D626" s="33">
        <v>10.845238095238095</v>
      </c>
      <c r="E626" s="33">
        <v>22.0</v>
      </c>
      <c r="F626" s="17">
        <v>13.014285714285714</v>
      </c>
      <c r="G626" s="34">
        <v>46149.0</v>
      </c>
      <c r="H626" s="5">
        <v>21.0</v>
      </c>
      <c r="I626" s="5">
        <v>37.0</v>
      </c>
      <c r="J626" s="17">
        <v>227.75</v>
      </c>
      <c r="K626" s="17">
        <v>691.0</v>
      </c>
      <c r="L626" s="5" t="s">
        <v>1452</v>
      </c>
      <c r="M626" s="17">
        <v>43.38095238095238</v>
      </c>
    </row>
    <row r="627" ht="22.5" customHeight="1">
      <c r="A627" s="19" t="s">
        <v>750</v>
      </c>
      <c r="B627" s="19" t="s">
        <v>579</v>
      </c>
      <c r="C627" s="19" t="s">
        <v>119</v>
      </c>
      <c r="D627" s="33">
        <v>10.5</v>
      </c>
      <c r="E627" s="33">
        <v>24.0</v>
      </c>
      <c r="F627" s="17">
        <v>12.6</v>
      </c>
      <c r="G627" s="34">
        <v>46154.0</v>
      </c>
      <c r="H627" s="5">
        <v>24.0</v>
      </c>
      <c r="I627" s="5">
        <v>0.0</v>
      </c>
      <c r="J627" s="17">
        <v>252.0</v>
      </c>
      <c r="K627" s="17">
        <v>0.0</v>
      </c>
      <c r="L627" s="19"/>
      <c r="M627" s="17"/>
    </row>
    <row r="628" ht="22.5" customHeight="1">
      <c r="A628" s="10" t="s">
        <v>830</v>
      </c>
      <c r="B628" s="10" t="s">
        <v>238</v>
      </c>
      <c r="C628" s="10" t="s">
        <v>51</v>
      </c>
      <c r="D628" s="8">
        <v>10.0</v>
      </c>
      <c r="E628" s="8">
        <v>3.0</v>
      </c>
      <c r="F628" s="13">
        <v>12.0</v>
      </c>
      <c r="G628" s="14">
        <v>46097.0</v>
      </c>
      <c r="H628" s="13">
        <v>10.0</v>
      </c>
      <c r="I628" s="13">
        <v>5.0</v>
      </c>
      <c r="J628" s="13">
        <v>100.0</v>
      </c>
      <c r="K628" s="13">
        <v>55.0</v>
      </c>
      <c r="L628" s="6" t="s">
        <v>1554</v>
      </c>
      <c r="M628" s="17">
        <v>30.0</v>
      </c>
    </row>
    <row r="629" ht="22.5" customHeight="1">
      <c r="A629" s="19" t="s">
        <v>933</v>
      </c>
      <c r="B629" s="19" t="s">
        <v>238</v>
      </c>
      <c r="C629" s="19" t="s">
        <v>436</v>
      </c>
      <c r="D629" s="33">
        <v>10.0</v>
      </c>
      <c r="E629" s="33">
        <v>23.0</v>
      </c>
      <c r="F629" s="17">
        <v>12.0</v>
      </c>
      <c r="G629" s="37">
        <v>46167.0</v>
      </c>
      <c r="H629" s="17">
        <v>50.0</v>
      </c>
      <c r="I629" s="17">
        <v>8.0</v>
      </c>
      <c r="J629" s="17">
        <v>500.0</v>
      </c>
      <c r="K629" s="17">
        <v>210.0</v>
      </c>
      <c r="L629" s="5" t="s">
        <v>1282</v>
      </c>
      <c r="M629" s="17">
        <v>280.0</v>
      </c>
    </row>
    <row r="630" ht="22.5" customHeight="1">
      <c r="A630" s="19" t="s">
        <v>1019</v>
      </c>
      <c r="B630" s="19" t="s">
        <v>994</v>
      </c>
      <c r="C630" s="19" t="s">
        <v>119</v>
      </c>
      <c r="D630" s="33">
        <v>10.0</v>
      </c>
      <c r="E630" s="33">
        <v>12.0</v>
      </c>
      <c r="F630" s="17">
        <v>12.0</v>
      </c>
      <c r="G630" s="34">
        <v>46018.0</v>
      </c>
      <c r="H630" s="5">
        <v>12.0</v>
      </c>
      <c r="I630" s="17">
        <v>0.0</v>
      </c>
      <c r="J630" s="17">
        <v>120.0</v>
      </c>
      <c r="K630" s="17">
        <v>0.0</v>
      </c>
      <c r="L630" s="5"/>
      <c r="M630" s="17">
        <v>120.0</v>
      </c>
    </row>
    <row r="631" ht="22.5" customHeight="1">
      <c r="A631" s="19" t="s">
        <v>699</v>
      </c>
      <c r="B631" s="19" t="s">
        <v>68</v>
      </c>
      <c r="C631" s="5" t="s">
        <v>54</v>
      </c>
      <c r="D631" s="33">
        <v>10.0</v>
      </c>
      <c r="E631" s="33">
        <v>1.0</v>
      </c>
      <c r="F631" s="17">
        <v>12.0</v>
      </c>
      <c r="G631" s="34">
        <v>46092.0</v>
      </c>
      <c r="H631" s="5">
        <v>4.0</v>
      </c>
      <c r="I631" s="17">
        <v>3.0</v>
      </c>
      <c r="J631" s="17">
        <v>40.0</v>
      </c>
      <c r="K631" s="17">
        <v>130.0</v>
      </c>
      <c r="L631" s="5" t="s">
        <v>1562</v>
      </c>
      <c r="M631" s="17">
        <v>10.0</v>
      </c>
    </row>
    <row r="632" ht="22.5" customHeight="1">
      <c r="A632" s="19" t="s">
        <v>1563</v>
      </c>
      <c r="B632" s="19" t="s">
        <v>238</v>
      </c>
      <c r="C632" s="5"/>
      <c r="D632" s="33">
        <v>10.0</v>
      </c>
      <c r="E632" s="33">
        <v>0.0</v>
      </c>
      <c r="F632" s="17">
        <v>12.0</v>
      </c>
      <c r="G632" s="34">
        <v>46071.0</v>
      </c>
      <c r="H632" s="5">
        <v>24.0</v>
      </c>
      <c r="I632" s="17">
        <v>0.0</v>
      </c>
      <c r="J632" s="17">
        <v>240.0</v>
      </c>
      <c r="K632" s="17">
        <v>0.0</v>
      </c>
      <c r="L632" s="5" t="s">
        <v>1566</v>
      </c>
      <c r="M632" s="17">
        <v>60.0</v>
      </c>
    </row>
    <row r="633" ht="22.5" customHeight="1">
      <c r="A633" s="19" t="s">
        <v>1000</v>
      </c>
      <c r="B633" s="19" t="s">
        <v>238</v>
      </c>
      <c r="C633" s="19" t="s">
        <v>1052</v>
      </c>
      <c r="D633" s="33">
        <v>10.0</v>
      </c>
      <c r="E633" s="33">
        <v>4.0</v>
      </c>
      <c r="F633" s="17">
        <v>12.0</v>
      </c>
      <c r="G633" s="34">
        <v>46168.0</v>
      </c>
      <c r="H633" s="5">
        <v>10.0</v>
      </c>
      <c r="I633" s="17">
        <v>6.0</v>
      </c>
      <c r="J633" s="17">
        <v>100.0</v>
      </c>
      <c r="K633" s="17">
        <v>110.0</v>
      </c>
      <c r="L633" s="5"/>
      <c r="M633" s="17">
        <v>80.0</v>
      </c>
    </row>
    <row r="634" ht="22.5" customHeight="1">
      <c r="A634" s="19" t="s">
        <v>933</v>
      </c>
      <c r="B634" s="19" t="s">
        <v>1570</v>
      </c>
      <c r="C634" s="19" t="s">
        <v>1052</v>
      </c>
      <c r="D634" s="33">
        <v>10.0</v>
      </c>
      <c r="E634" s="33">
        <v>50.0</v>
      </c>
      <c r="F634" s="17">
        <v>12.0</v>
      </c>
      <c r="G634" s="34">
        <v>46154.0</v>
      </c>
      <c r="H634" s="5">
        <v>50.0</v>
      </c>
      <c r="I634" s="5">
        <v>0.0</v>
      </c>
      <c r="J634" s="17">
        <v>500.0</v>
      </c>
      <c r="K634" s="17">
        <v>0.0</v>
      </c>
      <c r="L634" s="19"/>
      <c r="M634" s="17"/>
    </row>
    <row r="635" ht="22.5" customHeight="1">
      <c r="A635" s="19" t="s">
        <v>1163</v>
      </c>
      <c r="B635" s="19" t="s">
        <v>68</v>
      </c>
      <c r="C635" s="5" t="s">
        <v>54</v>
      </c>
      <c r="D635" s="33">
        <f>179/18</f>
        <v>9.944444444</v>
      </c>
      <c r="E635" s="33">
        <v>15.722222222222221</v>
      </c>
      <c r="F635" s="33">
        <f>D635*0.2+D635</f>
        <v>11.93333333</v>
      </c>
      <c r="G635" s="34">
        <v>46164.0</v>
      </c>
      <c r="H635" s="5">
        <v>18.0</v>
      </c>
      <c r="I635" s="5">
        <v>2.2777777777777777</v>
      </c>
      <c r="J635" s="17">
        <v>173.0</v>
      </c>
      <c r="K635" s="17">
        <v>100.0</v>
      </c>
      <c r="L635" s="19" t="s">
        <v>1577</v>
      </c>
      <c r="M635" s="17"/>
    </row>
    <row r="636" ht="22.5" customHeight="1">
      <c r="A636" s="19" t="s">
        <v>306</v>
      </c>
      <c r="B636" s="19" t="s">
        <v>472</v>
      </c>
      <c r="C636" s="19" t="s">
        <v>51</v>
      </c>
      <c r="D636" s="33">
        <v>9.17</v>
      </c>
      <c r="E636" s="33">
        <v>5.0</v>
      </c>
      <c r="F636" s="17">
        <v>11.0</v>
      </c>
      <c r="G636" s="34">
        <v>46168.0</v>
      </c>
      <c r="H636" s="5">
        <v>12.0</v>
      </c>
      <c r="I636" s="17">
        <v>8.0</v>
      </c>
      <c r="J636" s="17">
        <v>110.0</v>
      </c>
      <c r="K636" s="17">
        <v>180.0</v>
      </c>
      <c r="L636" s="5"/>
      <c r="M636" s="17">
        <v>110.03999999999999</v>
      </c>
    </row>
    <row r="637" ht="22.5" customHeight="1">
      <c r="A637" s="19" t="s">
        <v>1162</v>
      </c>
      <c r="B637" s="19" t="s">
        <v>68</v>
      </c>
      <c r="C637" s="5" t="s">
        <v>54</v>
      </c>
      <c r="D637" s="33">
        <v>9.083333333333334</v>
      </c>
      <c r="E637" s="33">
        <v>24.0</v>
      </c>
      <c r="F637" s="17">
        <v>10.9</v>
      </c>
      <c r="G637" s="34">
        <v>46163.0</v>
      </c>
      <c r="H637" s="5">
        <v>30.0</v>
      </c>
      <c r="I637" s="5">
        <v>6.0</v>
      </c>
      <c r="J637" s="17">
        <v>272.5</v>
      </c>
      <c r="K637" s="17">
        <v>150.0</v>
      </c>
      <c r="L637" s="5" t="s">
        <v>1583</v>
      </c>
      <c r="M637" s="17"/>
    </row>
    <row r="638" ht="22.5" customHeight="1">
      <c r="A638" s="19" t="s">
        <v>1030</v>
      </c>
      <c r="B638" s="19" t="s">
        <v>994</v>
      </c>
      <c r="C638" s="19" t="s">
        <v>119</v>
      </c>
      <c r="D638" s="33">
        <v>8.33</v>
      </c>
      <c r="E638" s="33">
        <v>11.0</v>
      </c>
      <c r="F638" s="17">
        <v>10.0</v>
      </c>
      <c r="G638" s="34">
        <v>46124.0</v>
      </c>
      <c r="H638" s="5">
        <v>12.0</v>
      </c>
      <c r="I638" s="17">
        <v>1.0</v>
      </c>
      <c r="J638" s="17">
        <v>100.0</v>
      </c>
      <c r="K638" s="17">
        <v>10.0</v>
      </c>
      <c r="L638" s="5"/>
      <c r="M638" s="17">
        <v>99.96000000000001</v>
      </c>
    </row>
    <row r="639" ht="22.5" customHeight="1">
      <c r="A639" s="19" t="s">
        <v>933</v>
      </c>
      <c r="B639" s="19" t="s">
        <v>238</v>
      </c>
      <c r="C639" s="19" t="s">
        <v>1052</v>
      </c>
      <c r="D639" s="33">
        <v>8.0</v>
      </c>
      <c r="E639" s="33">
        <v>10.0</v>
      </c>
      <c r="F639" s="17">
        <v>9.6</v>
      </c>
      <c r="G639" s="34">
        <v>46083.0</v>
      </c>
      <c r="H639" s="5">
        <v>10.0</v>
      </c>
      <c r="I639" s="17">
        <v>0.0</v>
      </c>
      <c r="J639" s="17">
        <v>80.0</v>
      </c>
      <c r="K639" s="17">
        <v>0.0</v>
      </c>
      <c r="L639" s="5"/>
      <c r="M639" s="17">
        <v>80.0</v>
      </c>
    </row>
    <row r="640" ht="22.5" customHeight="1">
      <c r="A640" s="10" t="s">
        <v>1129</v>
      </c>
      <c r="B640" s="10" t="s">
        <v>1352</v>
      </c>
      <c r="C640" s="10" t="s">
        <v>125</v>
      </c>
      <c r="D640" s="8">
        <v>8.0</v>
      </c>
      <c r="E640" s="8">
        <v>2.0</v>
      </c>
      <c r="F640" s="13">
        <v>9.6</v>
      </c>
      <c r="G640" s="14">
        <v>46100.0</v>
      </c>
      <c r="H640" s="13">
        <v>5.0</v>
      </c>
      <c r="I640" s="13">
        <v>3.0</v>
      </c>
      <c r="J640" s="13">
        <v>40.0</v>
      </c>
      <c r="K640" s="13">
        <v>30.0</v>
      </c>
      <c r="L640" s="15"/>
      <c r="M640" s="17">
        <v>16.0</v>
      </c>
    </row>
    <row r="641" ht="22.5" customHeight="1">
      <c r="A641" s="19" t="s">
        <v>496</v>
      </c>
      <c r="B641" s="19" t="s">
        <v>579</v>
      </c>
      <c r="C641" s="19" t="s">
        <v>119</v>
      </c>
      <c r="D641" s="33">
        <v>7.2</v>
      </c>
      <c r="E641" s="33">
        <v>35.0</v>
      </c>
      <c r="F641" s="17">
        <v>8.64</v>
      </c>
      <c r="G641" s="34">
        <v>46147.0</v>
      </c>
      <c r="H641" s="5">
        <v>43.0</v>
      </c>
      <c r="I641" s="17">
        <v>8.0</v>
      </c>
      <c r="J641" s="17">
        <v>309.75</v>
      </c>
      <c r="K641" s="17">
        <v>195.0</v>
      </c>
      <c r="L641" s="5"/>
      <c r="M641" s="17">
        <v>302.40000000000003</v>
      </c>
    </row>
    <row r="642" ht="22.5" customHeight="1">
      <c r="A642" s="19" t="s">
        <v>753</v>
      </c>
      <c r="B642" s="19" t="s">
        <v>185</v>
      </c>
      <c r="C642" s="5" t="s">
        <v>54</v>
      </c>
      <c r="D642" s="33">
        <v>7.083333333333333</v>
      </c>
      <c r="E642" s="33">
        <v>6.0</v>
      </c>
      <c r="F642" s="17">
        <v>8.5</v>
      </c>
      <c r="G642" s="34">
        <v>46052.0</v>
      </c>
      <c r="H642" s="5">
        <v>12.0</v>
      </c>
      <c r="I642" s="17">
        <v>6.0</v>
      </c>
      <c r="J642" s="17">
        <v>85.0</v>
      </c>
      <c r="K642" s="17">
        <v>60.0</v>
      </c>
      <c r="L642" s="5" t="s">
        <v>1599</v>
      </c>
      <c r="M642" s="17">
        <f>D642*E642</f>
        <v>42.5</v>
      </c>
    </row>
    <row r="643" ht="22.5" customHeight="1">
      <c r="A643" s="19" t="s">
        <v>753</v>
      </c>
      <c r="B643" s="19" t="s">
        <v>185</v>
      </c>
      <c r="C643" s="5" t="s">
        <v>54</v>
      </c>
      <c r="D643" s="33">
        <v>7.083333333333333</v>
      </c>
      <c r="E643" s="33">
        <v>3.0</v>
      </c>
      <c r="F643" s="17">
        <v>8.5</v>
      </c>
      <c r="G643" s="34">
        <v>46064.0</v>
      </c>
      <c r="H643" s="5">
        <v>12.0</v>
      </c>
      <c r="I643" s="17">
        <v>9.0</v>
      </c>
      <c r="J643" s="17">
        <v>85.0</v>
      </c>
      <c r="K643" s="17">
        <v>120.0</v>
      </c>
      <c r="L643" s="5" t="s">
        <v>1599</v>
      </c>
      <c r="M643" s="17">
        <v>21.25</v>
      </c>
    </row>
    <row r="644" ht="22.5" customHeight="1">
      <c r="A644" s="19" t="s">
        <v>712</v>
      </c>
      <c r="B644" s="19" t="s">
        <v>1604</v>
      </c>
      <c r="C644" s="5" t="s">
        <v>54</v>
      </c>
      <c r="D644" s="33">
        <v>7.0</v>
      </c>
      <c r="E644" s="33">
        <v>6.0</v>
      </c>
      <c r="F644" s="17">
        <v>8.4</v>
      </c>
      <c r="G644" s="34">
        <v>46165.0</v>
      </c>
      <c r="H644" s="5">
        <v>10.0</v>
      </c>
      <c r="I644" s="17">
        <v>4.0</v>
      </c>
      <c r="J644" s="17">
        <v>70.0</v>
      </c>
      <c r="K644" s="17">
        <v>80.0</v>
      </c>
      <c r="L644" s="5" t="s">
        <v>1608</v>
      </c>
      <c r="M644" s="17">
        <v>49.0</v>
      </c>
    </row>
    <row r="645" ht="22.5" customHeight="1">
      <c r="A645" s="19" t="s">
        <v>935</v>
      </c>
      <c r="B645" s="19" t="s">
        <v>1570</v>
      </c>
      <c r="C645" s="19" t="s">
        <v>1052</v>
      </c>
      <c r="D645" s="33">
        <v>7.0</v>
      </c>
      <c r="E645" s="33">
        <v>50.0</v>
      </c>
      <c r="F645" s="17">
        <v>8.4</v>
      </c>
      <c r="G645" s="34">
        <v>46154.0</v>
      </c>
      <c r="H645" s="5">
        <v>50.0</v>
      </c>
      <c r="I645" s="5">
        <v>0.0</v>
      </c>
      <c r="J645" s="17">
        <v>350.0</v>
      </c>
      <c r="K645" s="17">
        <v>0.0</v>
      </c>
      <c r="L645" s="19"/>
      <c r="M645" s="17"/>
    </row>
    <row r="646" ht="22.5" customHeight="1">
      <c r="A646" s="19" t="s">
        <v>673</v>
      </c>
      <c r="B646" s="19" t="s">
        <v>994</v>
      </c>
      <c r="C646" s="19" t="s">
        <v>119</v>
      </c>
      <c r="D646" s="33">
        <v>6.75</v>
      </c>
      <c r="E646" s="33">
        <v>7.0</v>
      </c>
      <c r="F646" s="17">
        <v>8.1</v>
      </c>
      <c r="G646" s="34">
        <v>46146.0</v>
      </c>
      <c r="H646" s="5">
        <v>12.0</v>
      </c>
      <c r="I646" s="17">
        <v>5.0</v>
      </c>
      <c r="J646" s="17">
        <v>81.0</v>
      </c>
      <c r="K646" s="17">
        <v>65.0</v>
      </c>
      <c r="L646" s="5"/>
      <c r="M646" s="17">
        <v>67.5</v>
      </c>
    </row>
    <row r="647" ht="22.5" customHeight="1">
      <c r="A647" s="10" t="s">
        <v>1381</v>
      </c>
      <c r="B647" s="10" t="s">
        <v>354</v>
      </c>
      <c r="C647" s="10" t="s">
        <v>125</v>
      </c>
      <c r="D647" s="8">
        <v>6.67</v>
      </c>
      <c r="E647" s="8">
        <v>12.0</v>
      </c>
      <c r="F647" s="13">
        <v>8.0</v>
      </c>
      <c r="G647" s="14">
        <v>46095.0</v>
      </c>
      <c r="H647" s="13">
        <v>12.0</v>
      </c>
      <c r="I647" s="13">
        <v>0.0</v>
      </c>
      <c r="J647" s="13">
        <v>80.0</v>
      </c>
      <c r="K647" s="13">
        <v>0.0</v>
      </c>
      <c r="L647" s="15"/>
      <c r="M647" s="17">
        <v>80.03999999999999</v>
      </c>
    </row>
    <row r="648" ht="22.5" customHeight="1">
      <c r="A648" s="19" t="s">
        <v>1250</v>
      </c>
      <c r="B648" s="19" t="s">
        <v>238</v>
      </c>
      <c r="C648" s="19" t="s">
        <v>1052</v>
      </c>
      <c r="D648" s="33">
        <v>6.0</v>
      </c>
      <c r="E648" s="33">
        <v>18.0</v>
      </c>
      <c r="F648" s="17">
        <v>7.2</v>
      </c>
      <c r="G648" s="34">
        <v>46083.0</v>
      </c>
      <c r="H648" s="5">
        <v>24.0</v>
      </c>
      <c r="I648" s="17">
        <v>0.0</v>
      </c>
      <c r="J648" s="17">
        <v>144.0</v>
      </c>
      <c r="K648" s="17">
        <v>0.0</v>
      </c>
      <c r="L648" s="5" t="s">
        <v>1614</v>
      </c>
      <c r="M648" s="17">
        <v>108.0</v>
      </c>
    </row>
    <row r="649" ht="22.5" customHeight="1">
      <c r="A649" s="19" t="s">
        <v>584</v>
      </c>
      <c r="B649" s="19" t="s">
        <v>681</v>
      </c>
      <c r="C649" s="19" t="s">
        <v>119</v>
      </c>
      <c r="D649" s="33">
        <v>5.0</v>
      </c>
      <c r="E649" s="33">
        <v>2.0</v>
      </c>
      <c r="F649" s="17">
        <v>6.0</v>
      </c>
      <c r="G649" s="37">
        <v>46114.0</v>
      </c>
      <c r="H649" s="17">
        <v>36.0</v>
      </c>
      <c r="I649" s="17">
        <v>34.0</v>
      </c>
      <c r="J649" s="17">
        <v>180.0</v>
      </c>
      <c r="K649" s="17">
        <v>340.0</v>
      </c>
      <c r="L649" s="16"/>
      <c r="M649" s="17">
        <v>75.0</v>
      </c>
    </row>
    <row r="650" ht="22.5" customHeight="1">
      <c r="A650" s="19" t="s">
        <v>935</v>
      </c>
      <c r="B650" s="19" t="s">
        <v>238</v>
      </c>
      <c r="C650" s="19" t="s">
        <v>436</v>
      </c>
      <c r="D650" s="33">
        <v>5.0</v>
      </c>
      <c r="E650" s="33">
        <v>7.0</v>
      </c>
      <c r="F650" s="17">
        <v>6.0</v>
      </c>
      <c r="G650" s="37">
        <v>46007.0</v>
      </c>
      <c r="H650" s="17">
        <v>50.0</v>
      </c>
      <c r="I650" s="17">
        <v>0.0</v>
      </c>
      <c r="J650" s="17">
        <v>250.0</v>
      </c>
      <c r="K650" s="17">
        <v>0.0</v>
      </c>
      <c r="L650" s="5" t="s">
        <v>1619</v>
      </c>
      <c r="M650" s="17">
        <v>35.0</v>
      </c>
    </row>
    <row r="651" ht="22.5" customHeight="1">
      <c r="A651" s="19" t="s">
        <v>906</v>
      </c>
      <c r="B651" s="19" t="s">
        <v>238</v>
      </c>
      <c r="C651" s="19" t="s">
        <v>1052</v>
      </c>
      <c r="D651" s="33">
        <v>5.0</v>
      </c>
      <c r="E651" s="33">
        <v>18.0</v>
      </c>
      <c r="F651" s="17">
        <v>6.0</v>
      </c>
      <c r="G651" s="34">
        <v>46089.0</v>
      </c>
      <c r="H651" s="5">
        <v>24.0</v>
      </c>
      <c r="I651" s="17">
        <v>1.0</v>
      </c>
      <c r="J651" s="17">
        <v>120.0</v>
      </c>
      <c r="K651" s="17">
        <v>10.0</v>
      </c>
      <c r="L651" s="5" t="s">
        <v>1621</v>
      </c>
      <c r="M651" s="17">
        <v>90.0</v>
      </c>
    </row>
    <row r="652" ht="22.5" customHeight="1">
      <c r="A652" s="10" t="s">
        <v>1383</v>
      </c>
      <c r="B652" s="10" t="s">
        <v>354</v>
      </c>
      <c r="C652" s="10" t="s">
        <v>125</v>
      </c>
      <c r="D652" s="8">
        <v>5.0</v>
      </c>
      <c r="E652" s="8">
        <v>12.0</v>
      </c>
      <c r="F652" s="13">
        <v>6.0</v>
      </c>
      <c r="G652" s="14">
        <v>46095.0</v>
      </c>
      <c r="H652" s="13">
        <v>12.0</v>
      </c>
      <c r="I652" s="13">
        <v>0.0</v>
      </c>
      <c r="J652" s="13">
        <v>60.0</v>
      </c>
      <c r="K652" s="13">
        <v>0.0</v>
      </c>
      <c r="L652" s="15"/>
      <c r="M652" s="17">
        <v>60.0</v>
      </c>
    </row>
    <row r="653" ht="22.5" customHeight="1">
      <c r="A653" s="19" t="s">
        <v>1626</v>
      </c>
      <c r="B653" s="19" t="s">
        <v>224</v>
      </c>
      <c r="C653" s="19" t="s">
        <v>119</v>
      </c>
      <c r="D653" s="33">
        <v>4.58</v>
      </c>
      <c r="E653" s="33">
        <v>0.0</v>
      </c>
      <c r="F653" s="17">
        <v>5.5</v>
      </c>
      <c r="G653" s="34">
        <v>46100.0</v>
      </c>
      <c r="H653" s="5">
        <v>24.0</v>
      </c>
      <c r="I653" s="17">
        <v>16.0</v>
      </c>
      <c r="J653" s="17">
        <v>110.0</v>
      </c>
      <c r="K653" s="17">
        <v>132.0</v>
      </c>
      <c r="L653" s="5"/>
      <c r="M653" s="17">
        <v>36.64</v>
      </c>
    </row>
    <row r="654" ht="22.5" customHeight="1">
      <c r="A654" s="19" t="s">
        <v>856</v>
      </c>
      <c r="B654" s="19" t="s">
        <v>579</v>
      </c>
      <c r="C654" s="19" t="s">
        <v>119</v>
      </c>
      <c r="D654" s="33">
        <v>4.58</v>
      </c>
      <c r="E654" s="33">
        <v>5.0</v>
      </c>
      <c r="F654" s="17">
        <v>5.5</v>
      </c>
      <c r="G654" s="34">
        <v>46167.0</v>
      </c>
      <c r="H654" s="17">
        <v>24.0</v>
      </c>
      <c r="I654" s="17">
        <v>27.0</v>
      </c>
      <c r="J654" s="17">
        <v>110.0</v>
      </c>
      <c r="K654" s="17">
        <v>157.0</v>
      </c>
      <c r="L654" s="5"/>
      <c r="M654" s="17">
        <v>109.92</v>
      </c>
    </row>
    <row r="655" ht="22.5" customHeight="1">
      <c r="A655" s="19" t="s">
        <v>1047</v>
      </c>
      <c r="B655" s="19" t="s">
        <v>579</v>
      </c>
      <c r="C655" s="19" t="s">
        <v>119</v>
      </c>
      <c r="D655" s="33">
        <v>4.58</v>
      </c>
      <c r="E655" s="33">
        <v>24.0</v>
      </c>
      <c r="F655" s="17">
        <v>5.5</v>
      </c>
      <c r="G655" s="34">
        <v>46154.0</v>
      </c>
      <c r="H655" s="5">
        <v>24.0</v>
      </c>
      <c r="I655" s="5">
        <v>0.0</v>
      </c>
      <c r="J655" s="17">
        <v>110.0</v>
      </c>
      <c r="K655" s="17">
        <v>0.0</v>
      </c>
      <c r="L655" s="19"/>
      <c r="M655" s="17"/>
    </row>
    <row r="656" ht="22.5" customHeight="1">
      <c r="A656" s="19" t="s">
        <v>575</v>
      </c>
      <c r="B656" s="19" t="s">
        <v>579</v>
      </c>
      <c r="C656" s="19" t="s">
        <v>119</v>
      </c>
      <c r="D656" s="33">
        <v>4.5</v>
      </c>
      <c r="E656" s="33">
        <v>5.0</v>
      </c>
      <c r="F656" s="17">
        <v>5.4</v>
      </c>
      <c r="G656" s="34">
        <v>46121.0</v>
      </c>
      <c r="H656" s="5">
        <v>16.0</v>
      </c>
      <c r="I656" s="17">
        <v>11.0</v>
      </c>
      <c r="J656" s="17">
        <v>72.0</v>
      </c>
      <c r="K656" s="17">
        <v>110.0</v>
      </c>
      <c r="L656" s="5"/>
      <c r="M656" s="17">
        <v>27.0</v>
      </c>
    </row>
    <row r="657" ht="22.5" customHeight="1">
      <c r="A657" s="19" t="s">
        <v>572</v>
      </c>
      <c r="B657" s="19" t="s">
        <v>579</v>
      </c>
      <c r="C657" s="19" t="s">
        <v>119</v>
      </c>
      <c r="D657" s="33">
        <v>4.38</v>
      </c>
      <c r="E657" s="33">
        <v>18.0</v>
      </c>
      <c r="F657" s="17">
        <v>5.25</v>
      </c>
      <c r="G657" s="34">
        <v>46152.0</v>
      </c>
      <c r="H657" s="5">
        <v>24.0</v>
      </c>
      <c r="I657" s="17">
        <v>36.0</v>
      </c>
      <c r="J657" s="17">
        <v>105.0</v>
      </c>
      <c r="K657" s="17">
        <v>334.5</v>
      </c>
      <c r="L657" s="5"/>
      <c r="M657" s="17">
        <v>26.28</v>
      </c>
    </row>
    <row r="658" ht="22.5" customHeight="1">
      <c r="A658" s="10" t="s">
        <v>1370</v>
      </c>
      <c r="B658" s="10" t="s">
        <v>354</v>
      </c>
      <c r="C658" s="10" t="s">
        <v>125</v>
      </c>
      <c r="D658" s="8">
        <v>3.75</v>
      </c>
      <c r="E658" s="8">
        <v>7.0</v>
      </c>
      <c r="F658" s="13">
        <v>4.5</v>
      </c>
      <c r="G658" s="14">
        <v>46095.0</v>
      </c>
      <c r="H658" s="13">
        <v>7.0</v>
      </c>
      <c r="I658" s="13">
        <v>0.0</v>
      </c>
      <c r="J658" s="13">
        <v>26.25</v>
      </c>
      <c r="K658" s="13">
        <v>0.0</v>
      </c>
      <c r="L658" s="15"/>
      <c r="M658" s="17">
        <v>26.25</v>
      </c>
    </row>
    <row r="659" ht="22.5" customHeight="1">
      <c r="A659" s="19" t="s">
        <v>1208</v>
      </c>
      <c r="B659" s="19" t="s">
        <v>1486</v>
      </c>
      <c r="C659" s="19" t="s">
        <v>154</v>
      </c>
      <c r="D659" s="33">
        <v>3.5</v>
      </c>
      <c r="E659" s="33">
        <v>142.0</v>
      </c>
      <c r="F659" s="17">
        <v>4.2</v>
      </c>
      <c r="G659" s="34">
        <v>46116.0</v>
      </c>
      <c r="H659" s="17">
        <v>240.0</v>
      </c>
      <c r="I659" s="17">
        <v>0.0</v>
      </c>
      <c r="J659" s="17">
        <v>840.0</v>
      </c>
      <c r="K659" s="17">
        <v>0.0</v>
      </c>
      <c r="L659" s="19" t="s">
        <v>1636</v>
      </c>
      <c r="M659" s="17">
        <v>840.0</v>
      </c>
    </row>
    <row r="660" ht="22.5" customHeight="1">
      <c r="A660" s="19" t="s">
        <v>1547</v>
      </c>
      <c r="B660" s="19" t="s">
        <v>1548</v>
      </c>
      <c r="C660" s="19" t="s">
        <v>119</v>
      </c>
      <c r="D660" s="33">
        <v>3.5</v>
      </c>
      <c r="E660" s="33">
        <v>40.0</v>
      </c>
      <c r="F660" s="17">
        <v>4.2</v>
      </c>
      <c r="G660" s="34">
        <v>46154.0</v>
      </c>
      <c r="H660" s="5">
        <v>40.0</v>
      </c>
      <c r="I660" s="5">
        <v>0.0</v>
      </c>
      <c r="J660" s="17">
        <v>140.0</v>
      </c>
      <c r="K660" s="17">
        <v>0.0</v>
      </c>
      <c r="L660" s="19"/>
      <c r="M660" s="17"/>
    </row>
    <row r="661" ht="22.5" customHeight="1">
      <c r="A661" s="19" t="s">
        <v>879</v>
      </c>
      <c r="B661" s="19" t="s">
        <v>1215</v>
      </c>
      <c r="C661" s="5"/>
      <c r="D661" s="33">
        <v>3.25</v>
      </c>
      <c r="E661" s="33">
        <v>35.0</v>
      </c>
      <c r="F661" s="17">
        <v>3.9</v>
      </c>
      <c r="G661" s="34">
        <v>46165.0</v>
      </c>
      <c r="H661" s="5">
        <v>40.0</v>
      </c>
      <c r="I661" s="17">
        <v>5.0</v>
      </c>
      <c r="J661" s="17">
        <v>130.0</v>
      </c>
      <c r="K661" s="17">
        <v>35.0</v>
      </c>
      <c r="L661" s="5"/>
      <c r="M661" s="17">
        <v>123.5</v>
      </c>
    </row>
    <row r="662" ht="22.5" customHeight="1">
      <c r="A662" s="10" t="s">
        <v>1368</v>
      </c>
      <c r="B662" s="10" t="s">
        <v>354</v>
      </c>
      <c r="C662" s="10" t="s">
        <v>125</v>
      </c>
      <c r="D662" s="8">
        <v>2.25</v>
      </c>
      <c r="E662" s="8">
        <v>45.0</v>
      </c>
      <c r="F662" s="13">
        <v>2.7</v>
      </c>
      <c r="G662" s="14">
        <v>46095.0</v>
      </c>
      <c r="H662" s="13">
        <v>45.0</v>
      </c>
      <c r="I662" s="13">
        <v>0.0</v>
      </c>
      <c r="J662" s="13">
        <v>101.25</v>
      </c>
      <c r="K662" s="13">
        <v>0.0</v>
      </c>
      <c r="L662" s="15"/>
      <c r="M662" s="17">
        <v>101.25</v>
      </c>
    </row>
    <row r="663" ht="22.5" customHeight="1">
      <c r="A663" s="10" t="s">
        <v>1397</v>
      </c>
      <c r="B663" s="10" t="s">
        <v>354</v>
      </c>
      <c r="C663" s="10" t="s">
        <v>125</v>
      </c>
      <c r="D663" s="8">
        <v>1.92</v>
      </c>
      <c r="E663" s="8">
        <v>84.0</v>
      </c>
      <c r="F663" s="13">
        <v>2.3</v>
      </c>
      <c r="G663" s="14">
        <v>46095.0</v>
      </c>
      <c r="H663" s="13">
        <v>84.0</v>
      </c>
      <c r="I663" s="13">
        <v>0.0</v>
      </c>
      <c r="J663" s="13">
        <v>161.0</v>
      </c>
      <c r="K663" s="13">
        <v>0.0</v>
      </c>
      <c r="L663" s="15"/>
      <c r="M663" s="17">
        <v>161.28</v>
      </c>
    </row>
    <row r="664" ht="22.5" customHeight="1">
      <c r="A664" s="10" t="s">
        <v>1378</v>
      </c>
      <c r="B664" s="10" t="s">
        <v>354</v>
      </c>
      <c r="C664" s="10" t="s">
        <v>125</v>
      </c>
      <c r="D664" s="8">
        <v>1.4</v>
      </c>
      <c r="E664" s="8">
        <v>150.0</v>
      </c>
      <c r="F664" s="13">
        <v>1.68</v>
      </c>
      <c r="G664" s="14">
        <v>46095.0</v>
      </c>
      <c r="H664" s="13">
        <v>150.0</v>
      </c>
      <c r="I664" s="13">
        <v>0.0</v>
      </c>
      <c r="J664" s="13">
        <v>210.0</v>
      </c>
      <c r="K664" s="13">
        <v>0.0</v>
      </c>
      <c r="L664" s="15"/>
      <c r="M664" s="17">
        <v>210.0</v>
      </c>
    </row>
    <row r="665" ht="22.5" customHeight="1">
      <c r="A665" s="10" t="s">
        <v>1385</v>
      </c>
      <c r="B665" s="10" t="s">
        <v>354</v>
      </c>
      <c r="C665" s="10" t="s">
        <v>125</v>
      </c>
      <c r="D665" s="8">
        <v>1.25</v>
      </c>
      <c r="E665" s="8">
        <v>84.0</v>
      </c>
      <c r="F665" s="13">
        <v>1.5</v>
      </c>
      <c r="G665" s="14">
        <v>46095.0</v>
      </c>
      <c r="H665" s="13">
        <v>84.0</v>
      </c>
      <c r="I665" s="13">
        <v>0.0</v>
      </c>
      <c r="J665" s="13">
        <v>105.0</v>
      </c>
      <c r="K665" s="13">
        <v>0.0</v>
      </c>
      <c r="L665" s="15"/>
      <c r="M665" s="17">
        <v>105.0</v>
      </c>
    </row>
    <row r="666" ht="22.5" customHeight="1">
      <c r="A666" s="10" t="s">
        <v>1392</v>
      </c>
      <c r="B666" s="10" t="s">
        <v>354</v>
      </c>
      <c r="C666" s="10" t="s">
        <v>125</v>
      </c>
      <c r="D666" s="8">
        <v>1.13</v>
      </c>
      <c r="E666" s="8">
        <v>84.0</v>
      </c>
      <c r="F666" s="13">
        <v>1.35</v>
      </c>
      <c r="G666" s="14">
        <v>46095.0</v>
      </c>
      <c r="H666" s="13">
        <v>84.0</v>
      </c>
      <c r="I666" s="13">
        <v>0.0</v>
      </c>
      <c r="J666" s="13">
        <v>94.5</v>
      </c>
      <c r="K666" s="13">
        <v>0.0</v>
      </c>
      <c r="L666" s="15"/>
      <c r="M666" s="17">
        <v>94.91999999999999</v>
      </c>
    </row>
    <row r="667" ht="22.5" customHeight="1">
      <c r="A667" s="19" t="s">
        <v>1550</v>
      </c>
      <c r="B667" s="19" t="s">
        <v>1548</v>
      </c>
      <c r="C667" s="19" t="s">
        <v>119</v>
      </c>
      <c r="D667" s="33">
        <v>0.97</v>
      </c>
      <c r="E667" s="33">
        <v>100.0</v>
      </c>
      <c r="F667" s="17">
        <v>1.16</v>
      </c>
      <c r="G667" s="34">
        <v>46154.0</v>
      </c>
      <c r="H667" s="5">
        <v>100.0</v>
      </c>
      <c r="I667" s="5">
        <v>0.0</v>
      </c>
      <c r="J667" s="17">
        <v>97.0</v>
      </c>
      <c r="K667" s="17">
        <v>0.0</v>
      </c>
      <c r="L667" s="19"/>
      <c r="M667" s="17"/>
    </row>
    <row r="668" ht="22.5" customHeight="1">
      <c r="A668" s="10" t="s">
        <v>1389</v>
      </c>
      <c r="B668" s="10" t="s">
        <v>354</v>
      </c>
      <c r="C668" s="10" t="s">
        <v>125</v>
      </c>
      <c r="D668" s="8">
        <v>0.88</v>
      </c>
      <c r="E668" s="8">
        <v>132.0</v>
      </c>
      <c r="F668" s="13">
        <v>1.05</v>
      </c>
      <c r="G668" s="14">
        <v>46095.0</v>
      </c>
      <c r="H668" s="13">
        <v>132.0</v>
      </c>
      <c r="I668" s="13">
        <v>0.0</v>
      </c>
      <c r="J668" s="13">
        <v>115.5</v>
      </c>
      <c r="K668" s="13">
        <v>0.0</v>
      </c>
      <c r="L668" s="15"/>
      <c r="M668" s="17">
        <v>116.16</v>
      </c>
    </row>
    <row r="669" ht="22.5" customHeight="1">
      <c r="A669" s="38" t="s">
        <v>96</v>
      </c>
      <c r="B669" s="15"/>
      <c r="C669" s="15"/>
      <c r="D669" s="184"/>
      <c r="E669" s="184"/>
      <c r="F669" s="15"/>
      <c r="G669" s="15"/>
      <c r="H669" s="15"/>
      <c r="I669" s="15"/>
      <c r="J669" s="15"/>
      <c r="K669" s="15"/>
      <c r="L669" s="15"/>
      <c r="M669" s="17">
        <v>0.0</v>
      </c>
    </row>
    <row r="670" ht="22.5" customHeight="1">
      <c r="A670" s="19" t="s">
        <v>579</v>
      </c>
      <c r="B670" s="19"/>
      <c r="C670" s="19"/>
      <c r="D670" s="33"/>
      <c r="E670" s="33"/>
      <c r="F670" s="17"/>
      <c r="G670" s="34"/>
      <c r="H670" s="5"/>
      <c r="I670" s="17"/>
      <c r="J670" s="17"/>
      <c r="K670" s="17"/>
      <c r="L670" s="5"/>
      <c r="M670" s="17">
        <v>0.0</v>
      </c>
    </row>
    <row r="671">
      <c r="E671" s="187"/>
    </row>
    <row r="672">
      <c r="E672" s="187"/>
    </row>
    <row r="673">
      <c r="E673" s="187"/>
    </row>
    <row r="674">
      <c r="E674" s="187"/>
    </row>
    <row r="675">
      <c r="E675" s="187"/>
    </row>
    <row r="676">
      <c r="E676" s="187"/>
    </row>
    <row r="677">
      <c r="E677" s="187"/>
    </row>
    <row r="678">
      <c r="E678" s="187"/>
    </row>
    <row r="679">
      <c r="E679" s="187"/>
    </row>
    <row r="680">
      <c r="E680" s="187"/>
    </row>
  </sheetData>
  <conditionalFormatting sqref="E1:E1267 D629:D632">
    <cfRule type="colorScale" priority="1">
      <colorScale>
        <cfvo type="formula" val="0"/>
        <cfvo type="formula" val="5"/>
        <cfvo type="max"/>
        <color rgb="FFE67C73"/>
        <color rgb="FFFFFFFF"/>
        <color rgb="FF57BB8A"/>
      </colorScale>
    </cfRule>
  </conditionalFormatting>
  <dataValidations>
    <dataValidation type="list" allowBlank="1" showDropDown="1" sqref="A74 A111 A163">
      <formula1>Stock_New!$A:$A</formula1>
    </dataValidation>
    <dataValidation type="custom" allowBlank="1" showDropDown="1" sqref="D2:D670">
      <formula1>AND(ISNUMBER(D2),(NOT(OR(NOT(ISERROR(DATEVALUE(D2))), AND(ISNUMBER(D2), LEFT(CELL("format", D2))="D")))))</formula1>
    </dataValidation>
  </dataValidations>
  <drawing ns1:id="rId1"/>
  <tableParts count="1">
    <tablePart ns1:id="rId3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4.75"/>
    <col customWidth="1" min="2" max="2" width="15.75"/>
    <col customWidth="1" min="3" max="3" width="15.38"/>
    <col customWidth="1" min="4" max="4" width="20.63"/>
    <col customWidth="1" min="5" max="5" width="16.88"/>
    <col customWidth="1" min="6" max="6" width="19.88"/>
    <col customWidth="1" min="7" max="7" width="25.25"/>
    <col customWidth="1" min="8" max="8" width="21.13"/>
    <col customWidth="1" min="9" max="9" width="19.5"/>
  </cols>
  <sheetData>
    <row r="1" ht="22.5" customHeight="1">
      <c r="A1" s="5" t="s">
        <v>5</v>
      </c>
      <c r="B1" s="6" t="s">
        <v>9</v>
      </c>
      <c r="C1" s="6" t="s">
        <v>11</v>
      </c>
      <c r="D1" s="8" t="s">
        <v>15</v>
      </c>
      <c r="E1" s="6" t="s">
        <v>17</v>
      </c>
      <c r="F1" s="5" t="s">
        <v>20</v>
      </c>
      <c r="G1" s="5" t="s">
        <v>22</v>
      </c>
    </row>
    <row r="2" ht="22.5" customHeight="1">
      <c r="A2" s="11" t="s">
        <v>29</v>
      </c>
      <c r="B2" s="16" t="str">
        <f>IF(A2="","",IFERROR(VLOOKUP(A2, Stock_New!A:M, 2, FALSE),""))</f>
        <v>شجر صناعي</v>
      </c>
      <c r="C2" s="16" t="str">
        <f>IF(A2="","",IFERROR(VLOOKUP(A2, Stock_New!A:M, 3, FALSE),""))</f>
        <v>manufactured</v>
      </c>
      <c r="D2" s="6">
        <f>3+2+1+1</f>
        <v>7</v>
      </c>
      <c r="E2" s="5">
        <v>90.0</v>
      </c>
      <c r="F2" s="5">
        <f t="shared" ref="F2:F992" si="1">E2*D2</f>
        <v>630</v>
      </c>
      <c r="G2" s="16">
        <f>IF($A2="", "", IFERROR(VLOOKUP($A2, Stock_New!$A:$M, 5, FALSE), ""))</f>
        <v>4</v>
      </c>
    </row>
    <row r="3" ht="22.5" customHeight="1">
      <c r="A3" s="11" t="s">
        <v>34</v>
      </c>
      <c r="B3" s="16" t="str">
        <f>IF(A3="","",IFERROR(VLOOKUP(A3, Stock_New!A:M, 2, FALSE),""))</f>
        <v>شجر</v>
      </c>
      <c r="C3" s="16" t="str">
        <f>IF(A3="","",IFERROR(VLOOKUP(A3, Stock_New!A:M, 3, FALSE),""))</f>
        <v>manufactured</v>
      </c>
      <c r="D3" s="6">
        <f>2+4+2+1+2</f>
        <v>11</v>
      </c>
      <c r="E3" s="5">
        <v>105.0</v>
      </c>
      <c r="F3" s="5">
        <f t="shared" si="1"/>
        <v>1155</v>
      </c>
      <c r="G3" s="16">
        <f>IF($A3="", "", IFERROR(VLOOKUP($A3, Stock_New!$A:$M, 5, FALSE), ""))</f>
        <v>4</v>
      </c>
    </row>
    <row r="4" ht="22.5" customHeight="1">
      <c r="A4" s="11" t="s">
        <v>38</v>
      </c>
      <c r="B4" s="16" t="str">
        <f>IF(A4="","",IFERROR(VLOOKUP(A4, Stock_New!A:M, 2, FALSE),""))</f>
        <v>شجر صناعي</v>
      </c>
      <c r="C4" s="16" t="str">
        <f>IF(A4="","",IFERROR(VLOOKUP(A4, Stock_New!A:M, 3, FALSE),""))</f>
        <v>manufactured</v>
      </c>
      <c r="D4" s="6">
        <v>1.0</v>
      </c>
      <c r="E4" s="5">
        <v>130.0</v>
      </c>
      <c r="F4" s="5">
        <f t="shared" si="1"/>
        <v>130</v>
      </c>
      <c r="G4" s="16">
        <f>IF($A4="", "", IFERROR(VLOOKUP($A4, Stock_New!$A:$M, 5, FALSE), ""))</f>
        <v>1</v>
      </c>
    </row>
    <row r="5" ht="22.5" customHeight="1">
      <c r="A5" s="11" t="s">
        <v>41</v>
      </c>
      <c r="B5" s="16" t="str">
        <f>IF(A5="","",IFERROR(VLOOKUP(A5, Stock_New!A:M, 2, FALSE),""))</f>
        <v>شجر</v>
      </c>
      <c r="C5" s="16" t="str">
        <f>IF(A5="","",IFERROR(VLOOKUP(A5, Stock_New!A:M, 3, FALSE),""))</f>
        <v>manufactured</v>
      </c>
      <c r="D5" s="5">
        <f>2+1+2+1+3+1+3+1</f>
        <v>14</v>
      </c>
      <c r="E5" s="16">
        <f>35+20+10</f>
        <v>65</v>
      </c>
      <c r="F5" s="5">
        <f t="shared" si="1"/>
        <v>910</v>
      </c>
      <c r="G5" s="16">
        <f>IF($A5="", "", IFERROR(VLOOKUP($A5, Stock_New!$A:$M, 5, FALSE), ""))</f>
        <v>2</v>
      </c>
    </row>
    <row r="6" ht="22.5" customHeight="1">
      <c r="A6" s="11" t="s">
        <v>46</v>
      </c>
      <c r="B6" s="16" t="str">
        <f>IF(A6="","",IFERROR(VLOOKUP(A6, Stock_New!A:M, 2, FALSE),""))</f>
        <v>بوكيه</v>
      </c>
      <c r="C6" s="16" t="str">
        <f>IF(A6="","",IFERROR(VLOOKUP(A6, Stock_New!A:M, 3, FALSE),""))</f>
        <v>manufactured</v>
      </c>
      <c r="D6" s="5">
        <f>2+1+2+3</f>
        <v>8</v>
      </c>
      <c r="E6" s="16">
        <f>70+20+10</f>
        <v>100</v>
      </c>
      <c r="F6" s="5">
        <f t="shared" si="1"/>
        <v>800</v>
      </c>
      <c r="G6" s="16">
        <f>IF($A6="", "", IFERROR(VLOOKUP($A6, Stock_New!$A:$M, 5, FALSE), ""))</f>
        <v>1</v>
      </c>
    </row>
    <row r="7" ht="22.5" customHeight="1">
      <c r="A7" s="11" t="s">
        <v>52</v>
      </c>
      <c r="B7" s="19" t="s">
        <v>50</v>
      </c>
      <c r="C7" s="5" t="s">
        <v>54</v>
      </c>
      <c r="D7" s="5">
        <v>1.0</v>
      </c>
      <c r="E7" s="16">
        <f>100+20+10</f>
        <v>130</v>
      </c>
      <c r="F7" s="5">
        <f t="shared" si="1"/>
        <v>130</v>
      </c>
      <c r="G7" s="16" t="str">
        <f>IF($A7="", "", IFERROR(VLOOKUP($A7, Stock_New!$A:$M, 5, FALSE), ""))</f>
        <v/>
      </c>
    </row>
    <row r="8" ht="22.5" customHeight="1">
      <c r="A8" s="11" t="s">
        <v>60</v>
      </c>
      <c r="B8" s="19" t="s">
        <v>50</v>
      </c>
      <c r="C8" s="5" t="s">
        <v>54</v>
      </c>
      <c r="D8" s="5">
        <v>1.0</v>
      </c>
      <c r="E8" s="16">
        <f>3*90+20+10</f>
        <v>300</v>
      </c>
      <c r="F8" s="5">
        <f t="shared" si="1"/>
        <v>300</v>
      </c>
      <c r="G8" s="16" t="str">
        <f>IF($A8="", "", IFERROR(VLOOKUP($A8, Stock_New!$A:$M, 5, FALSE), ""))</f>
        <v/>
      </c>
    </row>
    <row r="9" ht="22.5" customHeight="1">
      <c r="A9" s="11" t="s">
        <v>71</v>
      </c>
      <c r="B9" s="16" t="str">
        <f>IF(A9="","",IFERROR(VLOOKUP(A9, Stock_New!A:M, 2, FALSE),""))</f>
        <v>شجر</v>
      </c>
      <c r="C9" s="16" t="str">
        <f>IF(A9="","",IFERROR(VLOOKUP(A9, Stock_New!A:M, 3, FALSE),""))</f>
        <v>manufactured</v>
      </c>
      <c r="D9" s="5">
        <v>1.0</v>
      </c>
      <c r="E9" s="16">
        <f>IF($A9="", "", IFERROR(VLOOKUP($A9, Stock_New!$A:$M, 4, FALSE), ""))</f>
        <v>330</v>
      </c>
      <c r="F9" s="5">
        <f t="shared" si="1"/>
        <v>330</v>
      </c>
      <c r="G9" s="16">
        <f>IF($A9="", "", IFERROR(VLOOKUP($A9, Stock_New!$A:$M, 5, FALSE), ""))</f>
        <v>1</v>
      </c>
    </row>
    <row r="10" ht="22.5" customHeight="1">
      <c r="A10" s="11" t="s">
        <v>77</v>
      </c>
      <c r="B10" s="16" t="str">
        <f>IF(A10="","",IFERROR(VLOOKUP(A10, Stock_New!A:M, 2, FALSE),""))</f>
        <v>شجر</v>
      </c>
      <c r="C10" s="16" t="str">
        <f>IF(A10="","",IFERROR(VLOOKUP(A10, Stock_New!A:M, 3, FALSE),""))</f>
        <v>manufactured</v>
      </c>
      <c r="D10" s="5">
        <v>1.0</v>
      </c>
      <c r="E10" s="16">
        <f t="shared" ref="E10:E11" si="2">3*75+10+20</f>
        <v>255</v>
      </c>
      <c r="F10" s="5">
        <f t="shared" si="1"/>
        <v>255</v>
      </c>
      <c r="G10" s="16">
        <f>IF($A10="", "", IFERROR(VLOOKUP($A10, Stock_New!$A:$M, 5, FALSE), ""))</f>
        <v>0</v>
      </c>
    </row>
    <row r="11" ht="22.5" customHeight="1">
      <c r="A11" s="11" t="s">
        <v>83</v>
      </c>
      <c r="B11" s="16" t="str">
        <f>IF(A11="","",IFERROR(VLOOKUP(A11, Stock_New!A:M, 2, FALSE),""))</f>
        <v>شجر</v>
      </c>
      <c r="C11" s="16" t="str">
        <f>IF(A11="","",IFERROR(VLOOKUP(A11, Stock_New!A:M, 3, FALSE),""))</f>
        <v>ذكريا</v>
      </c>
      <c r="D11" s="5">
        <f>1+1+1</f>
        <v>3</v>
      </c>
      <c r="E11" s="16">
        <f t="shared" si="2"/>
        <v>255</v>
      </c>
      <c r="F11" s="5">
        <f t="shared" si="1"/>
        <v>765</v>
      </c>
      <c r="G11" s="16">
        <f>IF($A11="", "", IFERROR(VLOOKUP($A11, Stock_New!$A:$M, 5, FALSE), ""))</f>
        <v>3</v>
      </c>
    </row>
    <row r="12" ht="22.5" customHeight="1">
      <c r="A12" s="11" t="s">
        <v>91</v>
      </c>
      <c r="B12" s="16" t="str">
        <f>IF(A12="","",IFERROR(VLOOKUP(A12, Stock_New!A:M, 2, FALSE),""))</f>
        <v>بوتات</v>
      </c>
      <c r="C12" s="16" t="str">
        <f>IF(A12="","",IFERROR(VLOOKUP(A12, Stock_New!A:M, 3, FALSE),""))</f>
        <v>عبدالفتاح</v>
      </c>
      <c r="D12" s="5">
        <f>13+4+1+4+65+6+12+10+13+14</f>
        <v>142</v>
      </c>
      <c r="E12" s="16">
        <f>IF($A12="", "", IFERROR(VLOOKUP($A12, Stock_New!$A:$M, 4, FALSE), ""))</f>
        <v>35</v>
      </c>
      <c r="F12" s="5">
        <f t="shared" si="1"/>
        <v>4970</v>
      </c>
      <c r="G12" s="16">
        <f>IF($A12="", "", IFERROR(VLOOKUP($A12, Stock_New!$A:$M, 5, FALSE), ""))</f>
        <v>121</v>
      </c>
    </row>
    <row r="13" ht="22.5" customHeight="1">
      <c r="A13" s="11" t="s">
        <v>100</v>
      </c>
      <c r="B13" s="16" t="str">
        <f>IF(A13="","",IFERROR(VLOOKUP(A13, Stock_New!A:M, 2, FALSE),""))</f>
        <v>شجر</v>
      </c>
      <c r="C13" s="16" t="str">
        <f>IF(A13="","",IFERROR(VLOOKUP(A13, Stock_New!A:M, 3, FALSE),""))</f>
        <v>شركة حسين علي</v>
      </c>
      <c r="D13" s="5">
        <f>2+2</f>
        <v>4</v>
      </c>
      <c r="E13" s="16">
        <f>IF($A13="", "", IFERROR(VLOOKUP($A13, Stock_New!$A:$M, 4, FALSE), ""))</f>
        <v>412.5</v>
      </c>
      <c r="F13" s="5">
        <f t="shared" si="1"/>
        <v>1650</v>
      </c>
      <c r="G13" s="16">
        <f>IF($A13="", "", IFERROR(VLOOKUP($A13, Stock_New!$A:$M, 5, FALSE), ""))</f>
        <v>4</v>
      </c>
    </row>
    <row r="14" ht="22.5" customHeight="1">
      <c r="A14" s="11" t="s">
        <v>111</v>
      </c>
      <c r="B14" s="16" t="str">
        <f>IF(A14="","",IFERROR(VLOOKUP(A14, Stock_New!A:M, 2, FALSE),""))</f>
        <v>شجر</v>
      </c>
      <c r="C14" s="16" t="str">
        <f>IF(A14="","",IFERROR(VLOOKUP(A14, Stock_New!A:M, 3, FALSE),""))</f>
        <v>شركة حسين علي</v>
      </c>
      <c r="D14" s="5">
        <f>1+1</f>
        <v>2</v>
      </c>
      <c r="E14" s="16">
        <f>IF($A14="", "", IFERROR(VLOOKUP($A14, Stock_New!$A:$M, 4, FALSE), ""))</f>
        <v>200</v>
      </c>
      <c r="F14" s="5">
        <f t="shared" si="1"/>
        <v>400</v>
      </c>
      <c r="G14" s="16">
        <f>IF($A14="", "", IFERROR(VLOOKUP($A14, Stock_New!$A:$M, 5, FALSE), ""))</f>
        <v>2</v>
      </c>
    </row>
    <row r="15" ht="22.5" customHeight="1">
      <c r="A15" s="11" t="s">
        <v>120</v>
      </c>
      <c r="B15" s="16" t="str">
        <f>IF(A15="","",IFERROR(VLOOKUP(A15, Stock_New!A:M, 2, FALSE),""))</f>
        <v>بوتات</v>
      </c>
      <c r="C15" s="16" t="str">
        <f>IF(A15="","",IFERROR(VLOOKUP(A15, Stock_New!A:M, 3, FALSE),""))</f>
        <v>عبدالفتاح</v>
      </c>
      <c r="D15" s="5">
        <f>2+2+5</f>
        <v>9</v>
      </c>
      <c r="E15" s="16">
        <f>IF($A15="", "", IFERROR(VLOOKUP($A15, Stock_New!$A:$M, 4, FALSE), ""))</f>
        <v>175</v>
      </c>
      <c r="F15" s="5">
        <f t="shared" si="1"/>
        <v>1575</v>
      </c>
      <c r="G15" s="16">
        <f>IF($A15="", "", IFERROR(VLOOKUP($A15, Stock_New!$A:$M, 5, FALSE), ""))</f>
        <v>9</v>
      </c>
    </row>
    <row r="16" ht="22.5" customHeight="1">
      <c r="A16" s="11" t="s">
        <v>128</v>
      </c>
      <c r="B16" s="16" t="str">
        <f>IF(A16="","",IFERROR(VLOOKUP(A16, Stock_New!A:M, 2, FALSE),""))</f>
        <v>شجر</v>
      </c>
      <c r="C16" s="16" t="str">
        <f>IF(A16="","",IFERROR(VLOOKUP(A16, Stock_New!A:M, 3, FALSE),""))</f>
        <v>ذكريا</v>
      </c>
      <c r="D16" s="5">
        <f>2+1+3</f>
        <v>6</v>
      </c>
      <c r="E16" s="16">
        <f>IF($A16="", "", IFERROR(VLOOKUP($A16, Stock_New!$A:$M, 4, FALSE), ""))</f>
        <v>275</v>
      </c>
      <c r="F16" s="5">
        <f t="shared" si="1"/>
        <v>1650</v>
      </c>
      <c r="G16" s="16">
        <f>IF($A16="", "", IFERROR(VLOOKUP($A16, Stock_New!$A:$M, 5, FALSE), ""))</f>
        <v>4</v>
      </c>
    </row>
    <row r="17" ht="22.5" customHeight="1">
      <c r="A17" s="11" t="s">
        <v>133</v>
      </c>
      <c r="B17" s="16" t="str">
        <f>IF(A17="","",IFERROR(VLOOKUP(A17, Stock_New!A:M, 2, FALSE),""))</f>
        <v>بوتات</v>
      </c>
      <c r="C17" s="16" t="str">
        <f>IF(A17="","",IFERROR(VLOOKUP(A17, Stock_New!A:M, 3, FALSE),""))</f>
        <v>ذكريا</v>
      </c>
      <c r="D17" s="5">
        <f>2+1+1</f>
        <v>4</v>
      </c>
      <c r="E17" s="16">
        <f>IF($A17="", "", IFERROR(VLOOKUP($A17, Stock_New!$A:$M, 4, FALSE), ""))</f>
        <v>135</v>
      </c>
      <c r="F17" s="5">
        <f t="shared" si="1"/>
        <v>540</v>
      </c>
      <c r="G17" s="16">
        <f>IF($A17="", "", IFERROR(VLOOKUP($A17, Stock_New!$A:$M, 5, FALSE), ""))</f>
        <v>21</v>
      </c>
    </row>
    <row r="18" ht="22.5" customHeight="1">
      <c r="A18" s="11" t="s">
        <v>142</v>
      </c>
      <c r="B18" s="16" t="str">
        <f>IF(A18="","",IFERROR(VLOOKUP(A18, Stock_New!A:M, 2, FALSE),""))</f>
        <v>شجر</v>
      </c>
      <c r="C18" s="16" t="str">
        <f>IF(A18="","",IFERROR(VLOOKUP(A18, Stock_New!A:M, 3, FALSE),""))</f>
        <v>شركة الفرسان</v>
      </c>
      <c r="D18" s="5">
        <v>1.0</v>
      </c>
      <c r="E18" s="16">
        <f>IF($A18="", "", IFERROR(VLOOKUP($A18, Stock_New!$A:$M, 4, FALSE), ""))</f>
        <v>300</v>
      </c>
      <c r="F18" s="5">
        <f t="shared" si="1"/>
        <v>300</v>
      </c>
      <c r="G18" s="16">
        <f>IF($A18="", "", IFERROR(VLOOKUP($A18, Stock_New!$A:$M, 5, FALSE), ""))</f>
        <v>0</v>
      </c>
    </row>
    <row r="19" ht="22.5" customHeight="1">
      <c r="A19" s="11" t="s">
        <v>102</v>
      </c>
      <c r="B19" s="16" t="str">
        <f>IF(A19="","",IFERROR(VLOOKUP(A19, Stock_New!A:M, 2, FALSE),""))</f>
        <v>شجر</v>
      </c>
      <c r="C19" s="16" t="str">
        <f>IF(A19="","",IFERROR(VLOOKUP(A19, Stock_New!A:M, 3, FALSE),""))</f>
        <v>ذكريا</v>
      </c>
      <c r="D19" s="5">
        <v>1.0</v>
      </c>
      <c r="E19" s="5">
        <v>565.0</v>
      </c>
      <c r="F19" s="5">
        <f t="shared" si="1"/>
        <v>565</v>
      </c>
      <c r="G19" s="16">
        <f>IF($A19="", "", IFERROR(VLOOKUP($A19, Stock_New!$A:$M, 5, FALSE), ""))</f>
        <v>0</v>
      </c>
    </row>
    <row r="20" ht="22.5" customHeight="1">
      <c r="A20" s="11" t="s">
        <v>151</v>
      </c>
      <c r="B20" s="16" t="str">
        <f>IF(A20="","",IFERROR(VLOOKUP(A20, Stock_New!A:M, 2, FALSE),""))</f>
        <v>بوتات</v>
      </c>
      <c r="C20" s="16" t="str">
        <f>IF(A20="","",IFERROR(VLOOKUP(A20, Stock_New!A:M, 3, FALSE),""))</f>
        <v>عبدالفتاح</v>
      </c>
      <c r="D20" s="5">
        <f>2+5+1+17</f>
        <v>25</v>
      </c>
      <c r="E20" s="16">
        <f>IF($A20="", "", IFERROR(VLOOKUP($A20, Stock_New!$A:$M, 4, FALSE), ""))</f>
        <v>65</v>
      </c>
      <c r="F20" s="5">
        <f t="shared" si="1"/>
        <v>1625</v>
      </c>
      <c r="G20" s="16">
        <f>IF($A20="", "", IFERROR(VLOOKUP($A20, Stock_New!$A:$M, 5, FALSE), ""))</f>
        <v>13</v>
      </c>
    </row>
    <row r="21" ht="22.5" customHeight="1">
      <c r="A21" s="11" t="s">
        <v>159</v>
      </c>
      <c r="B21" s="16" t="str">
        <f>IF(A21="","",IFERROR(VLOOKUP(A21, Stock_New!A:M, 2, FALSE),""))</f>
        <v>شجر</v>
      </c>
      <c r="C21" s="16" t="str">
        <f>IF(A21="","",IFERROR(VLOOKUP(A21, Stock_New!A:M, 3, FALSE),""))</f>
        <v>شركة حسين علي</v>
      </c>
      <c r="D21" s="6">
        <v>2.0</v>
      </c>
      <c r="E21" s="16">
        <f>IF($A21="", "", IFERROR(VLOOKUP($A21, Stock_New!$A:$M, 4, FALSE), ""))</f>
        <v>233.33</v>
      </c>
      <c r="F21" s="5">
        <f t="shared" si="1"/>
        <v>466.66</v>
      </c>
      <c r="G21" s="16">
        <f>IF($A21="", "", IFERROR(VLOOKUP($A21, Stock_New!$A:$M, 5, FALSE), ""))</f>
        <v>2</v>
      </c>
    </row>
    <row r="22" ht="22.5" customHeight="1">
      <c r="A22" s="11" t="s">
        <v>165</v>
      </c>
      <c r="B22" s="16" t="str">
        <f>IF(A22="","",IFERROR(VLOOKUP(A22, Stock_New!A:M, 2, FALSE),""))</f>
        <v>بوتات</v>
      </c>
      <c r="C22" s="16" t="str">
        <f>IF(A22="","",IFERROR(VLOOKUP(A22, Stock_New!A:M, 3, FALSE),""))</f>
        <v>ذكريا</v>
      </c>
      <c r="D22" s="5">
        <f>1+7</f>
        <v>8</v>
      </c>
      <c r="E22" s="5">
        <v>90.0</v>
      </c>
      <c r="F22" s="5">
        <f t="shared" si="1"/>
        <v>720</v>
      </c>
      <c r="G22" s="16">
        <f>IF($A22="", "", IFERROR(VLOOKUP($A22, Stock_New!$A:$M, 5, FALSE), ""))</f>
        <v>17</v>
      </c>
    </row>
    <row r="23" ht="22.5" customHeight="1">
      <c r="A23" s="11" t="s">
        <v>174</v>
      </c>
      <c r="B23" s="16" t="str">
        <f>IF(A23="","",IFERROR(VLOOKUP(A23, Stock_New!A:M, 2, FALSE),""))</f>
        <v>بوتات</v>
      </c>
      <c r="C23" s="16" t="str">
        <f>IF(A23="","",IFERROR(VLOOKUP(A23, Stock_New!A:M, 3, FALSE),""))</f>
        <v>ذكريا</v>
      </c>
      <c r="D23" s="5">
        <v>3.0</v>
      </c>
      <c r="E23" s="16">
        <f>IF($A23="", "", IFERROR(VLOOKUP($A23, Stock_New!$A:$M, 4, FALSE), ""))</f>
        <v>85</v>
      </c>
      <c r="F23" s="5">
        <f t="shared" si="1"/>
        <v>255</v>
      </c>
      <c r="G23" s="16">
        <f>IF($A23="", "", IFERROR(VLOOKUP($A23, Stock_New!$A:$M, 5, FALSE), ""))</f>
        <v>3</v>
      </c>
    </row>
    <row r="24" ht="22.5" customHeight="1">
      <c r="A24" s="11" t="s">
        <v>179</v>
      </c>
      <c r="B24" s="16" t="str">
        <f>IF(A24="","",IFERROR(VLOOKUP(A24, Stock_New!A:M, 2, FALSE),""))</f>
        <v>بوتات</v>
      </c>
      <c r="C24" s="16" t="str">
        <f>IF(A24="","",IFERROR(VLOOKUP(A24, Stock_New!A:M, 3, FALSE),""))</f>
        <v>ذكريا</v>
      </c>
      <c r="D24" s="5">
        <f>1+1+1</f>
        <v>3</v>
      </c>
      <c r="E24" s="16">
        <f>IF($A24="", "", IFERROR(VLOOKUP($A24, Stock_New!$A:$M, 4, FALSE), ""))</f>
        <v>105</v>
      </c>
      <c r="F24" s="5">
        <f t="shared" si="1"/>
        <v>315</v>
      </c>
      <c r="G24" s="16">
        <f>IF($A24="", "", IFERROR(VLOOKUP($A24, Stock_New!$A:$M, 5, FALSE), ""))</f>
        <v>2</v>
      </c>
    </row>
    <row r="25" ht="22.5" customHeight="1">
      <c r="A25" s="11" t="s">
        <v>186</v>
      </c>
      <c r="B25" s="16" t="str">
        <f>IF(A25="","",IFERROR(VLOOKUP(A25, Stock_New!A:M, 2, FALSE),""))</f>
        <v>شجر</v>
      </c>
      <c r="C25" s="16" t="str">
        <f>IF(A25="","",IFERROR(VLOOKUP(A25, Stock_New!A:M, 3, FALSE),""))</f>
        <v>ذكريا</v>
      </c>
      <c r="D25" s="5">
        <f>2+2+6</f>
        <v>10</v>
      </c>
      <c r="E25" s="16">
        <f>IF($A25="", "", IFERROR(VLOOKUP($A25, Stock_New!$A:$M, 4, FALSE), ""))</f>
        <v>84</v>
      </c>
      <c r="F25" s="5">
        <f t="shared" si="1"/>
        <v>840</v>
      </c>
      <c r="G25" s="16">
        <f>IF($A25="", "", IFERROR(VLOOKUP($A25, Stock_New!$A:$M, 5, FALSE), ""))</f>
        <v>16</v>
      </c>
    </row>
    <row r="26" ht="22.5" customHeight="1">
      <c r="A26" s="11" t="s">
        <v>193</v>
      </c>
      <c r="B26" s="16" t="str">
        <f>IF(A26="","",IFERROR(VLOOKUP(A26, Stock_New!A:M, 2, FALSE),""))</f>
        <v>شجر</v>
      </c>
      <c r="C26" s="16" t="str">
        <f>IF(A26="","",IFERROR(VLOOKUP(A26, Stock_New!A:M, 3, FALSE),""))</f>
        <v>شركة حسين علي</v>
      </c>
      <c r="D26" s="5">
        <v>7.0</v>
      </c>
      <c r="E26" s="16">
        <f>IF($A26="", "", IFERROR(VLOOKUP($A26, Stock_New!$A:$M, 4, FALSE), ""))</f>
        <v>85</v>
      </c>
      <c r="F26" s="5">
        <f t="shared" si="1"/>
        <v>595</v>
      </c>
      <c r="G26" s="16">
        <f>IF($A26="", "", IFERROR(VLOOKUP($A26, Stock_New!$A:$M, 5, FALSE), ""))</f>
        <v>6</v>
      </c>
    </row>
    <row r="27" ht="22.5" customHeight="1">
      <c r="A27" s="11" t="s">
        <v>200</v>
      </c>
      <c r="B27" s="16" t="str">
        <f>IF(A27="","",IFERROR(VLOOKUP(A27, Stock_New!A:M, 2, FALSE),""))</f>
        <v>شجر</v>
      </c>
      <c r="C27" s="16" t="str">
        <f>IF(A27="","",IFERROR(VLOOKUP(A27, Stock_New!A:M, 3, FALSE),""))</f>
        <v>عبدالفتاح</v>
      </c>
      <c r="D27" s="5">
        <f>1+4</f>
        <v>5</v>
      </c>
      <c r="E27" s="16">
        <f>IF($A27="", "", IFERROR(VLOOKUP($A27, Stock_New!$A:$M, 4, FALSE), ""))</f>
        <v>120</v>
      </c>
      <c r="F27" s="5">
        <f t="shared" si="1"/>
        <v>600</v>
      </c>
      <c r="G27" s="16">
        <f>IF($A27="", "", IFERROR(VLOOKUP($A27, Stock_New!$A:$M, 5, FALSE), ""))</f>
        <v>7</v>
      </c>
    </row>
    <row r="28" ht="22.5" customHeight="1">
      <c r="A28" s="11" t="s">
        <v>208</v>
      </c>
      <c r="B28" s="16" t="str">
        <f>IF(A28="","",IFERROR(VLOOKUP(A28, Stock_New!A:M, 2, FALSE),""))</f>
        <v>ورد لوحدة</v>
      </c>
      <c r="C28" s="16" t="str">
        <f>IF(A28="","",IFERROR(VLOOKUP(A28, Stock_New!A:M, 3, FALSE),""))</f>
        <v>شركة الفرسان</v>
      </c>
      <c r="D28" s="5">
        <v>4.0</v>
      </c>
      <c r="E28" s="16">
        <f>IF($A28="", "", IFERROR(VLOOKUP($A28, Stock_New!$A:$M, 4, FALSE), ""))</f>
        <v>175</v>
      </c>
      <c r="F28" s="5">
        <f t="shared" si="1"/>
        <v>700</v>
      </c>
      <c r="G28" s="16">
        <f>IF($A28="", "", IFERROR(VLOOKUP($A28, Stock_New!$A:$M, 5, FALSE), ""))</f>
        <v>4</v>
      </c>
    </row>
    <row r="29" ht="22.5" customHeight="1">
      <c r="A29" s="11" t="s">
        <v>216</v>
      </c>
      <c r="B29" s="16" t="str">
        <f>IF(A29="","",IFERROR(VLOOKUP(A29, Stock_New!A:M, 2, FALSE),""))</f>
        <v>ورد لوحدة</v>
      </c>
      <c r="C29" s="16" t="str">
        <f>IF(A29="","",IFERROR(VLOOKUP(A29, Stock_New!A:M, 3, FALSE),""))</f>
        <v>شركة الفرسان</v>
      </c>
      <c r="D29" s="5">
        <f>3/5+2</f>
        <v>2.6</v>
      </c>
      <c r="E29" s="16">
        <f>IF($A29="", "", IFERROR(VLOOKUP($A29, Stock_New!$A:$M, 4, FALSE), ""))</f>
        <v>50</v>
      </c>
      <c r="F29" s="5">
        <f t="shared" si="1"/>
        <v>130</v>
      </c>
      <c r="G29" s="16">
        <f>IF($A29="", "", IFERROR(VLOOKUP($A29, Stock_New!$A:$M, 5, FALSE), ""))</f>
        <v>3</v>
      </c>
    </row>
    <row r="30" ht="22.5" customHeight="1">
      <c r="A30" s="11" t="s">
        <v>220</v>
      </c>
      <c r="B30" s="16" t="str">
        <f>IF(A30="","",IFERROR(VLOOKUP(A30, Stock_New!A:M, 2, FALSE),""))</f>
        <v>ورد لوحدة</v>
      </c>
      <c r="C30" s="16" t="str">
        <f>IF(A30="","",IFERROR(VLOOKUP(A30, Stock_New!A:M, 3, FALSE),""))</f>
        <v>شركة الفرسان</v>
      </c>
      <c r="D30" s="5">
        <f>1+3+1+2/12</f>
        <v>5.166666667</v>
      </c>
      <c r="E30" s="16">
        <f>IF($A30="", "", IFERROR(VLOOKUP($A30, Stock_New!$A:$M, 4, FALSE), ""))</f>
        <v>85</v>
      </c>
      <c r="F30" s="5">
        <f t="shared" si="1"/>
        <v>439.1666667</v>
      </c>
      <c r="G30" s="16">
        <f>IF($A30="", "", IFERROR(VLOOKUP($A30, Stock_New!$A:$M, 5, FALSE), ""))</f>
        <v>4.333333333</v>
      </c>
    </row>
    <row r="31" ht="22.5" customHeight="1">
      <c r="A31" s="11" t="s">
        <v>227</v>
      </c>
      <c r="B31" s="16" t="str">
        <f>IF(A31="","",IFERROR(VLOOKUP(A31, Stock_New!A:M, 2, FALSE),""))</f>
        <v>ورد لوحده</v>
      </c>
      <c r="C31" s="16" t="str">
        <f>IF(A31="","",IFERROR(VLOOKUP(A31, Stock_New!A:M, 3, FALSE),""))</f>
        <v>ذكريا</v>
      </c>
      <c r="D31" s="5">
        <f>1+5+3+14</f>
        <v>23</v>
      </c>
      <c r="E31" s="16">
        <f>IF($A31="", "", IFERROR(VLOOKUP($A31, Stock_New!$A:$M, 4, FALSE), ""))</f>
        <v>75</v>
      </c>
      <c r="F31" s="5">
        <f t="shared" si="1"/>
        <v>1725</v>
      </c>
      <c r="G31" s="16">
        <f>IF($A31="", "", IFERROR(VLOOKUP($A31, Stock_New!$A:$M, 5, FALSE), ""))</f>
        <v>29</v>
      </c>
    </row>
    <row r="32" ht="22.5" customHeight="1">
      <c r="A32" s="11" t="s">
        <v>236</v>
      </c>
      <c r="B32" s="16" t="str">
        <f>IF(A32="","",IFERROR(VLOOKUP(A32, Stock_New!A:M, 2, FALSE),""))</f>
        <v>ورد لحدة</v>
      </c>
      <c r="C32" s="16" t="str">
        <f>IF(A32="","",IFERROR(VLOOKUP(A32, Stock_New!A:M, 3, FALSE),""))</f>
        <v>شركة حسين علي</v>
      </c>
      <c r="D32" s="5">
        <f>1+5</f>
        <v>6</v>
      </c>
      <c r="E32" s="16">
        <f>IF($A32="", "", IFERROR(VLOOKUP($A32, Stock_New!$A:$M, 4, FALSE), ""))</f>
        <v>175</v>
      </c>
      <c r="F32" s="5">
        <f t="shared" si="1"/>
        <v>1050</v>
      </c>
      <c r="G32" s="16">
        <f>IF($A32="", "", IFERROR(VLOOKUP($A32, Stock_New!$A:$M, 5, FALSE), ""))</f>
        <v>6</v>
      </c>
    </row>
    <row r="33" ht="22.5" customHeight="1">
      <c r="A33" s="11" t="s">
        <v>245</v>
      </c>
      <c r="B33" s="16" t="str">
        <f>IF(A33="","",IFERROR(VLOOKUP(A33, Stock_New!A:M, 2, FALSE),""))</f>
        <v>ورد لحدة</v>
      </c>
      <c r="C33" s="16" t="str">
        <f>IF(A33="","",IFERROR(VLOOKUP(A33, Stock_New!A:M, 3, FALSE),""))</f>
        <v>شركة حسين علي</v>
      </c>
      <c r="D33" s="5">
        <v>2.0</v>
      </c>
      <c r="E33" s="16">
        <f>IF($A33="", "", IFERROR(VLOOKUP($A33, Stock_New!$A:$M, 4, FALSE), ""))</f>
        <v>150</v>
      </c>
      <c r="F33" s="5">
        <f t="shared" si="1"/>
        <v>300</v>
      </c>
      <c r="G33" s="16">
        <f>IF($A33="", "", IFERROR(VLOOKUP($A33, Stock_New!$A:$M, 5, FALSE), ""))</f>
        <v>7</v>
      </c>
    </row>
    <row r="34" ht="22.5" customHeight="1">
      <c r="A34" s="11" t="s">
        <v>252</v>
      </c>
      <c r="B34" s="16" t="str">
        <f>IF(A34="","",IFERROR(VLOOKUP(A34, Stock_New!A:M, 2, FALSE),""))</f>
        <v>ريش</v>
      </c>
      <c r="C34" s="16" t="str">
        <f>IF(A34="","",IFERROR(VLOOKUP(A34, Stock_New!A:M, 3, FALSE),""))</f>
        <v>شركة حسين علي</v>
      </c>
      <c r="D34" s="5">
        <f>6+1+1+30+9+2</f>
        <v>49</v>
      </c>
      <c r="E34" s="16">
        <f>IF($A34="", "", IFERROR(VLOOKUP($A34, Stock_New!$A:$M, 4, FALSE), ""))</f>
        <v>15</v>
      </c>
      <c r="F34" s="5">
        <f t="shared" si="1"/>
        <v>735</v>
      </c>
      <c r="G34" s="16">
        <f>IF($A34="", "", IFERROR(VLOOKUP($A34, Stock_New!$A:$M, 5, FALSE), ""))</f>
        <v>52</v>
      </c>
    </row>
    <row r="35" ht="22.5" customHeight="1">
      <c r="A35" s="11" t="s">
        <v>259</v>
      </c>
      <c r="B35" s="16" t="str">
        <f>IF(A35="","",IFERROR(VLOOKUP(A35, Stock_New!A:M, 2, FALSE),""))</f>
        <v>ورد لوحده</v>
      </c>
      <c r="C35" s="16" t="str">
        <f>IF(A35="","",IFERROR(VLOOKUP(A35, Stock_New!A:M, 3, FALSE),""))</f>
        <v>ذكريا</v>
      </c>
      <c r="D35" s="5">
        <v>1.0</v>
      </c>
      <c r="E35" s="16">
        <f>IF($A35="", "", IFERROR(VLOOKUP($A35, Stock_New!$A:$M, 4, FALSE), ""))</f>
        <v>145</v>
      </c>
      <c r="F35" s="5">
        <f t="shared" si="1"/>
        <v>145</v>
      </c>
      <c r="G35" s="16">
        <f>IF($A35="", "", IFERROR(VLOOKUP($A35, Stock_New!$A:$M, 5, FALSE), ""))</f>
        <v>0</v>
      </c>
    </row>
    <row r="36" ht="22.5" customHeight="1">
      <c r="A36" s="11" t="s">
        <v>265</v>
      </c>
      <c r="B36" s="16" t="str">
        <f>IF(A36="","",IFERROR(VLOOKUP(A36, Stock_New!A:M, 2, FALSE),""))</f>
        <v>ورد لوحده</v>
      </c>
      <c r="C36" s="16" t="str">
        <f>IF(A36="","",IFERROR(VLOOKUP(A36, Stock_New!A:M, 3, FALSE),""))</f>
        <v>ذكريا</v>
      </c>
      <c r="D36" s="5">
        <v>1.0</v>
      </c>
      <c r="E36" s="16">
        <f>IF($A36="", "", IFERROR(VLOOKUP($A36, Stock_New!$A:$M, 4, FALSE), ""))</f>
        <v>145</v>
      </c>
      <c r="F36" s="5">
        <f t="shared" si="1"/>
        <v>145</v>
      </c>
      <c r="G36" s="16">
        <f>IF($A36="", "", IFERROR(VLOOKUP($A36, Stock_New!$A:$M, 5, FALSE), ""))</f>
        <v>0</v>
      </c>
    </row>
    <row r="37" ht="22.5" customHeight="1">
      <c r="A37" s="11" t="s">
        <v>270</v>
      </c>
      <c r="B37" s="16" t="str">
        <f>IF(A37="","",IFERROR(VLOOKUP(A37, Stock_New!A:M, 2, FALSE),""))</f>
        <v>بوكيه</v>
      </c>
      <c r="C37" s="16" t="str">
        <f>IF(A37="","",IFERROR(VLOOKUP(A37, Stock_New!A:M, 3, FALSE),""))</f>
        <v>ذكريا</v>
      </c>
      <c r="D37" s="5">
        <v>1.0</v>
      </c>
      <c r="E37" s="16">
        <f>IF($A37="", "", IFERROR(VLOOKUP($A37, Stock_New!$A:$M, 4, FALSE), ""))</f>
        <v>112.5</v>
      </c>
      <c r="F37" s="5">
        <f t="shared" si="1"/>
        <v>112.5</v>
      </c>
      <c r="G37" s="16">
        <f>IF($A37="", "", IFERROR(VLOOKUP($A37, Stock_New!$A:$M, 5, FALSE), ""))</f>
        <v>1</v>
      </c>
    </row>
    <row r="38" ht="22.5" customHeight="1">
      <c r="A38" s="11" t="s">
        <v>96</v>
      </c>
      <c r="B38" s="16" t="str">
        <f>IF(A38="","",IFERROR(VLOOKUP(A38, Stock_New!A:M, 2, FALSE),""))</f>
        <v>بوكيه</v>
      </c>
      <c r="C38" s="16" t="str">
        <f>IF(A38="","",IFERROR(VLOOKUP(A38, Stock_New!A:M, 3, FALSE),""))</f>
        <v>ذكريا</v>
      </c>
      <c r="D38" s="5">
        <v>2.0</v>
      </c>
      <c r="E38" s="16">
        <f>IF($A38="", "", IFERROR(VLOOKUP($A38, Stock_New!$A:$M, 4, FALSE), ""))</f>
        <v>160</v>
      </c>
      <c r="F38" s="5">
        <f t="shared" si="1"/>
        <v>320</v>
      </c>
      <c r="G38" s="16">
        <f>IF($A38="", "", IFERROR(VLOOKUP($A38, Stock_New!$A:$M, 5, FALSE), ""))</f>
        <v>0</v>
      </c>
    </row>
    <row r="39" ht="22.5" customHeight="1">
      <c r="A39" s="11" t="s">
        <v>277</v>
      </c>
      <c r="B39" s="16" t="str">
        <f>IF(A39="","",IFERROR(VLOOKUP(A39, Stock_New!A:M, 2, FALSE),""))</f>
        <v>بوكيه</v>
      </c>
      <c r="C39" s="16" t="str">
        <f>IF(A39="","",IFERROR(VLOOKUP(A39, Stock_New!A:M, 3, FALSE),""))</f>
        <v>ذكريا</v>
      </c>
      <c r="D39" s="5">
        <v>1.0</v>
      </c>
      <c r="E39" s="16">
        <f>IF($A39="", "", IFERROR(VLOOKUP($A39, Stock_New!$A:$M, 4, FALSE), ""))</f>
        <v>135</v>
      </c>
      <c r="F39" s="5">
        <f t="shared" si="1"/>
        <v>135</v>
      </c>
      <c r="G39" s="16">
        <f>IF($A39="", "", IFERROR(VLOOKUP($A39, Stock_New!$A:$M, 5, FALSE), ""))</f>
        <v>2</v>
      </c>
    </row>
    <row r="40" ht="22.5" customHeight="1">
      <c r="A40" s="11" t="s">
        <v>283</v>
      </c>
      <c r="B40" s="16" t="str">
        <f>IF(A40="","",IFERROR(VLOOKUP(A40, Stock_New!A:M, 2, FALSE),""))</f>
        <v>بوكيه</v>
      </c>
      <c r="C40" s="16" t="str">
        <f>IF(A40="","",IFERROR(VLOOKUP(A40, Stock_New!A:M, 3, FALSE),""))</f>
        <v>ذكريا</v>
      </c>
      <c r="D40" s="5">
        <v>2.0</v>
      </c>
      <c r="E40" s="16">
        <f>IF($A40="", "", IFERROR(VLOOKUP($A40, Stock_New!$A:$M, 4, FALSE), ""))</f>
        <v>140</v>
      </c>
      <c r="F40" s="5">
        <f t="shared" si="1"/>
        <v>280</v>
      </c>
      <c r="G40" s="16">
        <f>IF($A40="", "", IFERROR(VLOOKUP($A40, Stock_New!$A:$M, 5, FALSE), ""))</f>
        <v>2</v>
      </c>
    </row>
    <row r="41" ht="22.5" customHeight="1">
      <c r="A41" s="11" t="s">
        <v>289</v>
      </c>
      <c r="B41" s="16" t="str">
        <f>IF(A41="","",IFERROR(VLOOKUP(A41, Stock_New!A:M, 2, FALSE),""))</f>
        <v>بوكيه</v>
      </c>
      <c r="C41" s="16" t="str">
        <f>IF(A41="","",IFERROR(VLOOKUP(A41, Stock_New!A:M, 3, FALSE),""))</f>
        <v>manufactured</v>
      </c>
      <c r="D41" s="5">
        <v>1.0</v>
      </c>
      <c r="E41" s="5">
        <v>90.0</v>
      </c>
      <c r="F41" s="5">
        <f t="shared" si="1"/>
        <v>90</v>
      </c>
      <c r="G41" s="16">
        <f>IF($A41="", "", IFERROR(VLOOKUP($A41, Stock_New!$A:$M, 5, FALSE), ""))</f>
        <v>1</v>
      </c>
    </row>
    <row r="42" ht="22.5" customHeight="1">
      <c r="A42" s="11" t="s">
        <v>293</v>
      </c>
      <c r="B42" s="16" t="str">
        <f>IF(A42="","",IFERROR(VLOOKUP(A42, Stock_New!A:M, 2, FALSE),""))</f>
        <v>ورد لوحده</v>
      </c>
      <c r="C42" s="16" t="str">
        <f>IF(A42="","",IFERROR(VLOOKUP(A42, Stock_New!A:M, 3, FALSE),""))</f>
        <v>ذكريا</v>
      </c>
      <c r="D42" s="5">
        <f>1+2+1</f>
        <v>4</v>
      </c>
      <c r="E42" s="16">
        <f>IF($A42="", "", IFERROR(VLOOKUP($A42, Stock_New!$A:$M, 4, FALSE), ""))</f>
        <v>175</v>
      </c>
      <c r="F42" s="5">
        <f t="shared" si="1"/>
        <v>700</v>
      </c>
      <c r="G42" s="16">
        <f>IF($A42="", "", IFERROR(VLOOKUP($A42, Stock_New!$A:$M, 5, FALSE), ""))</f>
        <v>3</v>
      </c>
    </row>
    <row r="43" ht="22.5" customHeight="1">
      <c r="A43" s="11" t="s">
        <v>297</v>
      </c>
      <c r="B43" s="16" t="str">
        <f>IF(A43="","",IFERROR(VLOOKUP(A43, Stock_New!A:M, 2, FALSE),""))</f>
        <v>ورد لوحده</v>
      </c>
      <c r="C43" s="16" t="str">
        <f>IF(A43="","",IFERROR(VLOOKUP(A43, Stock_New!A:M, 3, FALSE),""))</f>
        <v>ذكريا</v>
      </c>
      <c r="D43" s="5">
        <f>1+1+2+3+1</f>
        <v>8</v>
      </c>
      <c r="E43" s="16">
        <f>IF($A43="", "", IFERROR(VLOOKUP($A43, Stock_New!$A:$M, 4, FALSE), ""))</f>
        <v>30</v>
      </c>
      <c r="F43" s="5">
        <f t="shared" si="1"/>
        <v>240</v>
      </c>
      <c r="G43" s="16">
        <f>IF($A43="", "", IFERROR(VLOOKUP($A43, Stock_New!$A:$M, 5, FALSE), ""))</f>
        <v>0.5</v>
      </c>
    </row>
    <row r="44" ht="22.5" customHeight="1">
      <c r="A44" s="11" t="s">
        <v>303</v>
      </c>
      <c r="B44" s="16" t="str">
        <f>IF(A44="","",IFERROR(VLOOKUP(A44, Stock_New!A:M, 2, FALSE),""))</f>
        <v>ورد لوحدة</v>
      </c>
      <c r="C44" s="16" t="str">
        <f>IF(A44="","",IFERROR(VLOOKUP(A44, Stock_New!A:M, 3, FALSE),""))</f>
        <v>شركة علاء شاكر</v>
      </c>
      <c r="D44" s="5">
        <f>1+6+1</f>
        <v>8</v>
      </c>
      <c r="E44" s="16">
        <f>IF($A44="", "", IFERROR(VLOOKUP($A44, Stock_New!$A:$M, 4, FALSE), ""))</f>
        <v>70</v>
      </c>
      <c r="F44" s="5">
        <f t="shared" si="1"/>
        <v>560</v>
      </c>
      <c r="G44" s="16">
        <f>IF($A44="", "", IFERROR(VLOOKUP($A44, Stock_New!$A:$M, 5, FALSE), ""))</f>
        <v>8</v>
      </c>
    </row>
    <row r="45" ht="22.5" customHeight="1">
      <c r="A45" s="11" t="s">
        <v>309</v>
      </c>
      <c r="B45" s="16" t="str">
        <f>IF(A45="","",IFERROR(VLOOKUP(A45, Stock_New!A:M, 2, FALSE),""))</f>
        <v>بوتات</v>
      </c>
      <c r="C45" s="16" t="str">
        <f>IF(A45="","",IFERROR(VLOOKUP(A45, Stock_New!A:M, 3, FALSE),""))</f>
        <v>شركة حسين علي</v>
      </c>
      <c r="D45" s="5">
        <f>5+9+1+9+1+2+14+8</f>
        <v>49</v>
      </c>
      <c r="E45" s="16">
        <f>IF($A45="", "", IFERROR(VLOOKUP($A45, Stock_New!$A:$M, 4, FALSE), ""))</f>
        <v>20</v>
      </c>
      <c r="F45" s="5">
        <f t="shared" si="1"/>
        <v>980</v>
      </c>
      <c r="G45" s="16">
        <f>IF($A45="", "", IFERROR(VLOOKUP($A45, Stock_New!$A:$M, 5, FALSE), ""))</f>
        <v>9</v>
      </c>
    </row>
    <row r="46" ht="22.5" customHeight="1">
      <c r="A46" s="11" t="s">
        <v>316</v>
      </c>
      <c r="B46" s="19" t="s">
        <v>68</v>
      </c>
      <c r="C46" s="5" t="s">
        <v>318</v>
      </c>
      <c r="D46" s="5">
        <f>36+12+9+15</f>
        <v>72</v>
      </c>
      <c r="E46" s="5">
        <v>10.0</v>
      </c>
      <c r="F46" s="5">
        <f t="shared" si="1"/>
        <v>720</v>
      </c>
      <c r="G46" s="16" t="str">
        <f>IF($A46="", "", IFERROR(VLOOKUP($A46, Stock_New!$A:$M, 5, FALSE), ""))</f>
        <v/>
      </c>
    </row>
    <row r="47" ht="22.5" customHeight="1">
      <c r="A47" s="11" t="s">
        <v>48</v>
      </c>
      <c r="B47" s="16" t="str">
        <f>IF(A47="","",IFERROR(VLOOKUP(A47, Stock_New!A:M, 2, FALSE),""))</f>
        <v>بوكيه</v>
      </c>
      <c r="C47" s="16" t="str">
        <f>IF(A47="","",IFERROR(VLOOKUP(A47, Stock_New!A:M, 3, FALSE),""))</f>
        <v>ذكريا</v>
      </c>
      <c r="D47" s="5">
        <v>24.0</v>
      </c>
      <c r="E47" s="16">
        <f>IF($A47="", "", IFERROR(VLOOKUP($A47, Stock_New!$A:$M, 4, FALSE), ""))</f>
        <v>37</v>
      </c>
      <c r="F47" s="5">
        <f t="shared" si="1"/>
        <v>888</v>
      </c>
      <c r="G47" s="16">
        <f>IF($A47="", "", IFERROR(VLOOKUP($A47, Stock_New!$A:$M, 5, FALSE), ""))</f>
        <v>10</v>
      </c>
    </row>
    <row r="48" ht="22.5" customHeight="1">
      <c r="A48" s="11" t="s">
        <v>330</v>
      </c>
      <c r="B48" s="16" t="str">
        <f>IF(A48="","",IFERROR(VLOOKUP(A48, Stock_New!A:M, 2, FALSE),""))</f>
        <v>بوكيه</v>
      </c>
      <c r="C48" s="16" t="str">
        <f>IF(A48="","",IFERROR(VLOOKUP(A48, Stock_New!A:M, 3, FALSE),""))</f>
        <v>manufactured</v>
      </c>
      <c r="D48" s="5">
        <v>10.0</v>
      </c>
      <c r="E48" s="5">
        <f>21.5</f>
        <v>21.5</v>
      </c>
      <c r="F48" s="5">
        <f t="shared" si="1"/>
        <v>215</v>
      </c>
      <c r="G48" s="16">
        <f>IF($A48="", "", IFERROR(VLOOKUP($A48, Stock_New!$A:$M, 5, FALSE), ""))</f>
        <v>5</v>
      </c>
    </row>
    <row r="49" ht="22.5" customHeight="1">
      <c r="A49" s="11" t="s">
        <v>336</v>
      </c>
      <c r="B49" s="16" t="str">
        <f>IF(A49="","",IFERROR(VLOOKUP(A49, Stock_New!A:M, 2, FALSE),""))</f>
        <v>بوتات</v>
      </c>
      <c r="C49" s="16" t="str">
        <f>IF(A49="","",IFERROR(VLOOKUP(A49, Stock_New!A:M, 3, FALSE),""))</f>
        <v>شركة حسين علي</v>
      </c>
      <c r="D49" s="5">
        <f>2+1+3+5</f>
        <v>11</v>
      </c>
      <c r="E49" s="16">
        <f>IF($A49="", "", IFERROR(VLOOKUP($A49, Stock_New!$A:$M, 4, FALSE), ""))</f>
        <v>100</v>
      </c>
      <c r="F49" s="5">
        <f t="shared" si="1"/>
        <v>1100</v>
      </c>
      <c r="G49" s="16">
        <f>IF($A49="", "", IFERROR(VLOOKUP($A49, Stock_New!$A:$M, 5, FALSE), ""))</f>
        <v>11</v>
      </c>
    </row>
    <row r="50" ht="22.5" customHeight="1">
      <c r="A50" s="11" t="s">
        <v>340</v>
      </c>
      <c r="B50" s="19" t="s">
        <v>50</v>
      </c>
      <c r="C50" s="19" t="s">
        <v>154</v>
      </c>
      <c r="D50" s="5">
        <f>1+2</f>
        <v>3</v>
      </c>
      <c r="E50" s="5">
        <v>220.0</v>
      </c>
      <c r="F50" s="5">
        <f t="shared" si="1"/>
        <v>660</v>
      </c>
      <c r="G50" s="16" t="str">
        <f>IF($A50="", "", IFERROR(VLOOKUP($A50, Stock_New!$A:$M, 5, FALSE), ""))</f>
        <v/>
      </c>
    </row>
    <row r="51" ht="22.5" customHeight="1">
      <c r="A51" s="11" t="s">
        <v>344</v>
      </c>
      <c r="B51" s="19" t="s">
        <v>50</v>
      </c>
      <c r="C51" s="5" t="s">
        <v>54</v>
      </c>
      <c r="D51" s="5">
        <v>1.0</v>
      </c>
      <c r="E51" s="5">
        <f>65+75+10</f>
        <v>150</v>
      </c>
      <c r="F51" s="5">
        <f t="shared" si="1"/>
        <v>150</v>
      </c>
      <c r="G51" s="16" t="str">
        <f>IF($A51="", "", IFERROR(VLOOKUP($A51, Stock_New!$A:$M, 5, FALSE), ""))</f>
        <v/>
      </c>
    </row>
    <row r="52" ht="22.5" customHeight="1">
      <c r="A52" s="11" t="s">
        <v>347</v>
      </c>
      <c r="B52" s="16" t="str">
        <f>IF(A52="","",IFERROR(VLOOKUP(A52, Stock_New!A:M, 2, FALSE),""))</f>
        <v>بوتات</v>
      </c>
      <c r="C52" s="16" t="str">
        <f>IF(A52="","",IFERROR(VLOOKUP(A52, Stock_New!A:M, 3, FALSE),""))</f>
        <v>شركة الفرسان</v>
      </c>
      <c r="D52" s="5">
        <f>1+5+2</f>
        <v>8</v>
      </c>
      <c r="E52" s="16">
        <f>IF($A52="", "", IFERROR(VLOOKUP($A52, Stock_New!$A:$M, 4, FALSE), ""))</f>
        <v>20</v>
      </c>
      <c r="F52" s="5">
        <f t="shared" si="1"/>
        <v>160</v>
      </c>
      <c r="G52" s="16">
        <f>IF($A52="", "", IFERROR(VLOOKUP($A52, Stock_New!$A:$M, 5, FALSE), ""))</f>
        <v>9</v>
      </c>
    </row>
    <row r="53" ht="22.5" customHeight="1">
      <c r="A53" s="11" t="s">
        <v>356</v>
      </c>
      <c r="B53" s="16" t="str">
        <f>IF(A53="","",IFERROR(VLOOKUP(A53, Stock_New!A:M, 2, FALSE),""))</f>
        <v>ورد لوحدة</v>
      </c>
      <c r="C53" s="16" t="str">
        <f>IF(A53="","",IFERROR(VLOOKUP(A53, Stock_New!A:M, 3, FALSE),""))</f>
        <v>شركة الفرسان</v>
      </c>
      <c r="D53" s="5">
        <v>7.0</v>
      </c>
      <c r="E53" s="16">
        <f>IF($A53="", "", IFERROR(VLOOKUP($A53, Stock_New!$A:$M, 4, FALSE), ""))</f>
        <v>85</v>
      </c>
      <c r="F53" s="5">
        <f t="shared" si="1"/>
        <v>595</v>
      </c>
      <c r="G53" s="16">
        <f>IF($A53="", "", IFERROR(VLOOKUP($A53, Stock_New!$A:$M, 5, FALSE), ""))</f>
        <v>5</v>
      </c>
    </row>
    <row r="54" ht="22.5" customHeight="1">
      <c r="A54" s="11" t="s">
        <v>363</v>
      </c>
      <c r="B54" s="16" t="str">
        <f>IF(A54="","",IFERROR(VLOOKUP(A54, Stock_New!A:M, 2, FALSE),""))</f>
        <v>ورد لوحدة</v>
      </c>
      <c r="C54" s="16" t="str">
        <f>IF(A54="","",IFERROR(VLOOKUP(A54, Stock_New!A:M, 3, FALSE),""))</f>
        <v>شركة الفرسان</v>
      </c>
      <c r="D54" s="16">
        <f>6/18+6+7+2</f>
        <v>15.33333333</v>
      </c>
      <c r="E54" s="16">
        <f>IF($A54="", "", IFERROR(VLOOKUP($A54, Stock_New!$A:$M, 4, FALSE), ""))</f>
        <v>110</v>
      </c>
      <c r="F54" s="5">
        <f t="shared" si="1"/>
        <v>1686.666667</v>
      </c>
      <c r="G54" s="16">
        <f>IF($A54="", "", IFERROR(VLOOKUP($A54, Stock_New!$A:$M, 5, FALSE), ""))</f>
        <v>1.444444444</v>
      </c>
    </row>
    <row r="55" ht="22.5" customHeight="1">
      <c r="A55" s="11" t="s">
        <v>369</v>
      </c>
      <c r="B55" s="19" t="s">
        <v>286</v>
      </c>
      <c r="C55" s="19" t="s">
        <v>31</v>
      </c>
      <c r="D55" s="5">
        <v>1.0</v>
      </c>
      <c r="E55" s="5">
        <v>350.0</v>
      </c>
      <c r="F55" s="5">
        <f t="shared" si="1"/>
        <v>350</v>
      </c>
      <c r="G55" s="16" t="str">
        <f>IF($A55="", "", IFERROR(VLOOKUP($A55, Stock_New!$A:$M, 5, FALSE), ""))</f>
        <v/>
      </c>
    </row>
    <row r="56" ht="22.5" customHeight="1">
      <c r="A56" s="11" t="s">
        <v>372</v>
      </c>
      <c r="B56" s="16" t="str">
        <f>IF(A56="","",IFERROR(VLOOKUP(A56, Stock_New!A:M, 2, FALSE),""))</f>
        <v>بوكيه</v>
      </c>
      <c r="C56" s="16" t="str">
        <f>IF(A56="","",IFERROR(VLOOKUP(A56, Stock_New!A:M, 3, FALSE),""))</f>
        <v>ذكريا</v>
      </c>
      <c r="D56" s="5">
        <v>1.0</v>
      </c>
      <c r="E56" s="16">
        <f>IF($A56="", "", IFERROR(VLOOKUP($A56, Stock_New!$A:$M, 4, FALSE), ""))</f>
        <v>180</v>
      </c>
      <c r="F56" s="5">
        <f t="shared" si="1"/>
        <v>180</v>
      </c>
      <c r="G56" s="16">
        <f>IF($A56="", "", IFERROR(VLOOKUP($A56, Stock_New!$A:$M, 5, FALSE), ""))</f>
        <v>0</v>
      </c>
    </row>
    <row r="57" ht="22.5" customHeight="1">
      <c r="A57" s="19" t="s">
        <v>377</v>
      </c>
      <c r="B57" s="16" t="str">
        <f>IF(A57="","",IFERROR(VLOOKUP(A57, Stock_New!A:M, 2, FALSE),""))</f>
        <v>فازة زجاج</v>
      </c>
      <c r="C57" s="16" t="str">
        <f>IF(A57="","",IFERROR(VLOOKUP(A57, Stock_New!A:M, 3, FALSE),""))</f>
        <v>سنتر محمد رشدي</v>
      </c>
      <c r="D57" s="5">
        <v>2.0</v>
      </c>
      <c r="E57" s="16">
        <f>IF($A57="", "", IFERROR(VLOOKUP($A57, Stock_New!$A:$M, 4, FALSE), ""))</f>
        <v>139</v>
      </c>
      <c r="F57" s="5">
        <f t="shared" si="1"/>
        <v>278</v>
      </c>
      <c r="G57" s="16">
        <f>IF($A57="", "", IFERROR(VLOOKUP($A57, Stock_New!$A:$M, 5, FALSE), ""))</f>
        <v>2</v>
      </c>
    </row>
    <row r="58" ht="22.5" customHeight="1">
      <c r="A58" s="11" t="s">
        <v>208</v>
      </c>
      <c r="B58" s="16" t="str">
        <f>IF(A58="","",IFERROR(VLOOKUP(A58, Stock_New!A:M, 2, FALSE),""))</f>
        <v>ورد لوحدة</v>
      </c>
      <c r="C58" s="16" t="str">
        <f>IF(A58="","",IFERROR(VLOOKUP(A58, Stock_New!A:M, 3, FALSE),""))</f>
        <v>شركة الفرسان</v>
      </c>
      <c r="D58" s="5">
        <v>1.0</v>
      </c>
      <c r="E58" s="16">
        <f>IF($A58="", "", IFERROR(VLOOKUP($A58, Stock_New!$A:$M, 4, FALSE), ""))</f>
        <v>175</v>
      </c>
      <c r="F58" s="5">
        <f t="shared" si="1"/>
        <v>175</v>
      </c>
      <c r="G58" s="16">
        <f>IF($A58="", "", IFERROR(VLOOKUP($A58, Stock_New!$A:$M, 5, FALSE), ""))</f>
        <v>4</v>
      </c>
    </row>
    <row r="59" ht="22.5" customHeight="1">
      <c r="A59" s="11" t="s">
        <v>146</v>
      </c>
      <c r="B59" s="16" t="str">
        <f>IF(A59="","",IFERROR(VLOOKUP(A59, Stock_New!A:M, 2, FALSE),""))</f>
        <v>بوكيه</v>
      </c>
      <c r="C59" s="16" t="str">
        <f>IF(A59="","",IFERROR(VLOOKUP(A59, Stock_New!A:M, 3, FALSE),""))</f>
        <v>ذكريا</v>
      </c>
      <c r="D59" s="5">
        <v>1.0</v>
      </c>
      <c r="E59" s="16">
        <f>IF($A59="", "", IFERROR(VLOOKUP($A59, Stock_New!$A:$M, 4, FALSE), ""))</f>
        <v>420</v>
      </c>
      <c r="F59" s="5">
        <f t="shared" si="1"/>
        <v>420</v>
      </c>
      <c r="G59" s="16">
        <f>IF($A59="", "", IFERROR(VLOOKUP($A59, Stock_New!$A:$M, 5, FALSE), ""))</f>
        <v>1</v>
      </c>
    </row>
    <row r="60" ht="22.5" customHeight="1">
      <c r="A60" s="11" t="s">
        <v>391</v>
      </c>
      <c r="B60" s="16" t="str">
        <f>IF(A60="","",IFERROR(VLOOKUP(A60, Stock_New!A:M, 2, FALSE),""))</f>
        <v>ورد لوحده</v>
      </c>
      <c r="C60" s="16" t="str">
        <f>IF(A60="","",IFERROR(VLOOKUP(A60, Stock_New!A:M, 3, FALSE),""))</f>
        <v>ذكريا</v>
      </c>
      <c r="D60" s="5">
        <v>3.0</v>
      </c>
      <c r="E60" s="16">
        <f>IF($A60="", "", IFERROR(VLOOKUP($A60, Stock_New!$A:$M, 4, FALSE), ""))</f>
        <v>85</v>
      </c>
      <c r="F60" s="5">
        <f t="shared" si="1"/>
        <v>255</v>
      </c>
      <c r="G60" s="16">
        <f>IF($A60="", "", IFERROR(VLOOKUP($A60, Stock_New!$A:$M, 5, FALSE), ""))</f>
        <v>3</v>
      </c>
    </row>
    <row r="61" ht="22.5" customHeight="1">
      <c r="A61" s="11" t="s">
        <v>395</v>
      </c>
      <c r="B61" s="16" t="str">
        <f>IF(A61="","",IFERROR(VLOOKUP(A61, Stock_New!A:M, 2, FALSE),""))</f>
        <v>ورد لوحدة</v>
      </c>
      <c r="C61" s="16" t="str">
        <f>IF(A61="","",IFERROR(VLOOKUP(A61, Stock_New!A:M, 3, FALSE),""))</f>
        <v>شركة حسين علي</v>
      </c>
      <c r="D61" s="5">
        <f>1+6</f>
        <v>7</v>
      </c>
      <c r="E61" s="16">
        <f>IF($A61="", "", IFERROR(VLOOKUP($A61, Stock_New!$A:$M, 4, FALSE), ""))</f>
        <v>50</v>
      </c>
      <c r="F61" s="5">
        <f t="shared" si="1"/>
        <v>350</v>
      </c>
      <c r="G61" s="16">
        <f>IF($A61="", "", IFERROR(VLOOKUP($A61, Stock_New!$A:$M, 5, FALSE), ""))</f>
        <v>9.583333333</v>
      </c>
    </row>
    <row r="62" ht="22.5" customHeight="1">
      <c r="A62" s="11" t="s">
        <v>175</v>
      </c>
      <c r="B62" s="16" t="str">
        <f>IF(A62="","",IFERROR(VLOOKUP(A62, Stock_New!A:M, 2, FALSE),""))</f>
        <v>شجر</v>
      </c>
      <c r="C62" s="16" t="str">
        <f>IF(A62="","",IFERROR(VLOOKUP(A62, Stock_New!A:M, 3, FALSE),""))</f>
        <v>ذكريا</v>
      </c>
      <c r="D62" s="5">
        <v>1.0</v>
      </c>
      <c r="E62" s="16">
        <f>IF($A62="", "", IFERROR(VLOOKUP($A62, Stock_New!$A:$M, 4, FALSE), ""))</f>
        <v>375</v>
      </c>
      <c r="F62" s="5">
        <f t="shared" si="1"/>
        <v>375</v>
      </c>
      <c r="G62" s="16">
        <f>IF($A62="", "", IFERROR(VLOOKUP($A62, Stock_New!$A:$M, 5, FALSE), ""))</f>
        <v>1</v>
      </c>
    </row>
    <row r="63" ht="22.5" customHeight="1">
      <c r="A63" s="11" t="s">
        <v>405</v>
      </c>
      <c r="B63" s="16" t="str">
        <f>IF(A63="","",IFERROR(VLOOKUP(A63, Stock_New!A:M, 2, FALSE),""))</f>
        <v>ورد لوحده</v>
      </c>
      <c r="C63" s="16" t="str">
        <f>IF(A63="","",IFERROR(VLOOKUP(A63, Stock_New!A:M, 3, FALSE),""))</f>
        <v>ذكريا</v>
      </c>
      <c r="D63" s="5">
        <v>1.0</v>
      </c>
      <c r="E63" s="16">
        <f>IF($A63="", "", IFERROR(VLOOKUP($A63, Stock_New!$A:$M, 4, FALSE), ""))</f>
        <v>105</v>
      </c>
      <c r="F63" s="5">
        <f t="shared" si="1"/>
        <v>105</v>
      </c>
      <c r="G63" s="16">
        <f>IF($A63="", "", IFERROR(VLOOKUP($A63, Stock_New!$A:$M, 5, FALSE), ""))</f>
        <v>1</v>
      </c>
    </row>
    <row r="64" ht="22.5" customHeight="1">
      <c r="A64" s="11" t="s">
        <v>412</v>
      </c>
      <c r="B64" s="16" t="str">
        <f>IF(A64="","",IFERROR(VLOOKUP(A64, Stock_New!A:M, 2, FALSE),""))</f>
        <v>سيلفرات</v>
      </c>
      <c r="C64" s="16" t="str">
        <f>IF(A64="","",IFERROR(VLOOKUP(A64, Stock_New!A:M, 3, FALSE),""))</f>
        <v>ذكريا</v>
      </c>
      <c r="D64" s="5">
        <v>2.0</v>
      </c>
      <c r="E64" s="16">
        <f>IF($A64="", "", IFERROR(VLOOKUP($A64, Stock_New!$A:$M, 4, FALSE), ""))</f>
        <v>195</v>
      </c>
      <c r="F64" s="5">
        <f t="shared" si="1"/>
        <v>390</v>
      </c>
      <c r="G64" s="16">
        <f>IF($A64="", "", IFERROR(VLOOKUP($A64, Stock_New!$A:$M, 5, FALSE), ""))</f>
        <v>1</v>
      </c>
    </row>
    <row r="65" ht="22.5" customHeight="1">
      <c r="A65" s="11" t="s">
        <v>418</v>
      </c>
      <c r="B65" s="16" t="str">
        <f>IF(A65="","",IFERROR(VLOOKUP(A65, Stock_New!A:M, 2, FALSE),""))</f>
        <v>ورد لوحده</v>
      </c>
      <c r="C65" s="16" t="str">
        <f>IF(A65="","",IFERROR(VLOOKUP(A65, Stock_New!A:M, 3, FALSE),""))</f>
        <v>ذكريا</v>
      </c>
      <c r="D65" s="5">
        <v>1.0</v>
      </c>
      <c r="E65" s="16">
        <f>IF($A65="", "", IFERROR(VLOOKUP($A65, Stock_New!$A:$M, 4, FALSE), ""))</f>
        <v>185</v>
      </c>
      <c r="F65" s="5">
        <f t="shared" si="1"/>
        <v>185</v>
      </c>
      <c r="G65" s="16">
        <f>IF($A65="", "", IFERROR(VLOOKUP($A65, Stock_New!$A:$M, 5, FALSE), ""))</f>
        <v>1</v>
      </c>
    </row>
    <row r="66" ht="22.5" customHeight="1">
      <c r="A66" s="11" t="s">
        <v>424</v>
      </c>
      <c r="B66" s="19" t="s">
        <v>185</v>
      </c>
      <c r="C66" s="19" t="s">
        <v>31</v>
      </c>
      <c r="D66" s="5">
        <v>1.0</v>
      </c>
      <c r="E66" s="5">
        <v>55.0</v>
      </c>
      <c r="F66" s="5">
        <f t="shared" si="1"/>
        <v>55</v>
      </c>
      <c r="G66" s="16" t="str">
        <f>IF($A66="", "", IFERROR(VLOOKUP($A66, Stock_New!$A:$M, 5, FALSE), ""))</f>
        <v/>
      </c>
    </row>
    <row r="67" ht="22.5" customHeight="1">
      <c r="A67" s="11" t="s">
        <v>372</v>
      </c>
      <c r="B67" s="19" t="s">
        <v>286</v>
      </c>
      <c r="C67" s="16" t="str">
        <f>IF(A67="","",IFERROR(VLOOKUP(A67, Stock_New!A:M, 3, FALSE),""))</f>
        <v>ذكريا</v>
      </c>
      <c r="D67" s="5">
        <v>2.0</v>
      </c>
      <c r="E67" s="5">
        <v>70.0</v>
      </c>
      <c r="F67" s="5">
        <f t="shared" si="1"/>
        <v>140</v>
      </c>
      <c r="G67" s="16">
        <f>IF($A67="", "", IFERROR(VLOOKUP($A67, Stock_New!$A:$M, 5, FALSE), ""))</f>
        <v>0</v>
      </c>
    </row>
    <row r="68" ht="22.5" customHeight="1">
      <c r="A68" s="11" t="s">
        <v>431</v>
      </c>
      <c r="B68" s="16" t="str">
        <f>IF(A68="","",IFERROR(VLOOKUP(A68, Stock_New!A:M, 2, FALSE),""))</f>
        <v>ورد لوحدة</v>
      </c>
      <c r="C68" s="16" t="str">
        <f>IF(A68="","",IFERROR(VLOOKUP(A68, Stock_New!A:M, 3, FALSE),""))</f>
        <v>شركة حسين علي</v>
      </c>
      <c r="D68" s="5">
        <f>1+1+3+1+6/10</f>
        <v>6.6</v>
      </c>
      <c r="E68" s="16">
        <f>IF($A68="", "", IFERROR(VLOOKUP($A68, Stock_New!$A:$M, 4, FALSE), ""))</f>
        <v>135</v>
      </c>
      <c r="F68" s="5">
        <f t="shared" si="1"/>
        <v>891</v>
      </c>
      <c r="G68" s="16">
        <f>IF($A68="", "", IFERROR(VLOOKUP($A68, Stock_New!$A:$M, 5, FALSE), ""))</f>
        <v>6</v>
      </c>
    </row>
    <row r="69" ht="22.5" customHeight="1">
      <c r="A69" s="11" t="s">
        <v>438</v>
      </c>
      <c r="B69" s="16" t="str">
        <f>IF(A69="","",IFERROR(VLOOKUP(A69, Stock_New!A:M, 2, FALSE),""))</f>
        <v>ورد لوحدة</v>
      </c>
      <c r="C69" s="16" t="str">
        <f>IF(A69="","",IFERROR(VLOOKUP(A69, Stock_New!A:M, 3, FALSE),""))</f>
        <v>شركة حسين علي</v>
      </c>
      <c r="D69" s="5">
        <f>1+4+1</f>
        <v>6</v>
      </c>
      <c r="E69" s="16">
        <f>IF($A69="", "", IFERROR(VLOOKUP($A69, Stock_New!$A:$M, 4, FALSE), ""))</f>
        <v>135</v>
      </c>
      <c r="F69" s="5">
        <f t="shared" si="1"/>
        <v>810</v>
      </c>
      <c r="G69" s="16">
        <f>IF($A69="", "", IFERROR(VLOOKUP($A69, Stock_New!$A:$M, 5, FALSE), ""))</f>
        <v>6</v>
      </c>
    </row>
    <row r="70" ht="22.5" customHeight="1">
      <c r="A70" s="11" t="s">
        <v>445</v>
      </c>
      <c r="B70" s="16" t="str">
        <f>IF(A70="","",IFERROR(VLOOKUP(A70, Stock_New!A:M, 2, FALSE),""))</f>
        <v>كريستال</v>
      </c>
      <c r="C70" s="16" t="str">
        <f>IF(A70="","",IFERROR(VLOOKUP(A70, Stock_New!A:M, 3, FALSE),""))</f>
        <v>محمد رشدي</v>
      </c>
      <c r="D70" s="5">
        <v>2.0</v>
      </c>
      <c r="E70" s="16">
        <f>IF($A70="", "", IFERROR(VLOOKUP($A70, Stock_New!$A:$M, 4, FALSE), ""))</f>
        <v>58</v>
      </c>
      <c r="F70" s="5">
        <f t="shared" si="1"/>
        <v>116</v>
      </c>
      <c r="G70" s="16">
        <f>IF($A70="", "", IFERROR(VLOOKUP($A70, Stock_New!$A:$M, 5, FALSE), ""))</f>
        <v>2</v>
      </c>
    </row>
    <row r="71" ht="22.5" customHeight="1">
      <c r="A71" s="11" t="s">
        <v>451</v>
      </c>
      <c r="B71" s="16" t="str">
        <f>IF(A71="","",IFERROR(VLOOKUP(A71, Stock_New!A:M, 2, FALSE),""))</f>
        <v>كريستال</v>
      </c>
      <c r="C71" s="16" t="str">
        <f>IF(A71="","",IFERROR(VLOOKUP(A71, Stock_New!A:M, 3, FALSE),""))</f>
        <v>محمد رشدي</v>
      </c>
      <c r="D71" s="5">
        <v>2.0</v>
      </c>
      <c r="E71" s="16">
        <f>IF($A71="", "", IFERROR(VLOOKUP($A71, Stock_New!$A:$M, 4, FALSE), ""))</f>
        <v>75</v>
      </c>
      <c r="F71" s="5">
        <f t="shared" si="1"/>
        <v>150</v>
      </c>
      <c r="G71" s="16">
        <f>IF($A71="", "", IFERROR(VLOOKUP($A71, Stock_New!$A:$M, 5, FALSE), ""))</f>
        <v>2</v>
      </c>
    </row>
    <row r="72" ht="22.5" customHeight="1">
      <c r="A72" s="11" t="s">
        <v>322</v>
      </c>
      <c r="B72" s="16" t="str">
        <f>IF(A72="","",IFERROR(VLOOKUP(A72, Stock_New!A:M, 2, FALSE),""))</f>
        <v>خزف</v>
      </c>
      <c r="C72" s="16" t="str">
        <f>IF(A72="","",IFERROR(VLOOKUP(A72, Stock_New!A:M, 3, FALSE),""))</f>
        <v>ذكريا</v>
      </c>
      <c r="D72" s="5">
        <f>2+2</f>
        <v>4</v>
      </c>
      <c r="E72" s="16">
        <f>IF($A72="", "", IFERROR(VLOOKUP($A72, Stock_New!$A:$M, 4, FALSE), ""))</f>
        <v>75</v>
      </c>
      <c r="F72" s="5">
        <f t="shared" si="1"/>
        <v>300</v>
      </c>
      <c r="G72" s="16">
        <f>IF($A72="", "", IFERROR(VLOOKUP($A72, Stock_New!$A:$M, 5, FALSE), ""))</f>
        <v>2</v>
      </c>
    </row>
    <row r="73" ht="22.5" customHeight="1">
      <c r="A73" s="11" t="s">
        <v>325</v>
      </c>
      <c r="B73" s="16" t="str">
        <f>IF(A73="","",IFERROR(VLOOKUP(A73, Stock_New!A:M, 2, FALSE),""))</f>
        <v>خزف</v>
      </c>
      <c r="C73" s="16" t="str">
        <f>IF(A73="","",IFERROR(VLOOKUP(A73, Stock_New!A:M, 3, FALSE),""))</f>
        <v>ذكريا</v>
      </c>
      <c r="D73" s="5">
        <v>1.0</v>
      </c>
      <c r="E73" s="16">
        <f>IF($A73="", "", IFERROR(VLOOKUP($A73, Stock_New!$A:$M, 4, FALSE), ""))</f>
        <v>95</v>
      </c>
      <c r="F73" s="5">
        <f t="shared" si="1"/>
        <v>95</v>
      </c>
      <c r="G73" s="16">
        <f>IF($A73="", "", IFERROR(VLOOKUP($A73, Stock_New!$A:$M, 5, FALSE), ""))</f>
        <v>1</v>
      </c>
    </row>
    <row r="74" ht="22.5" customHeight="1">
      <c r="A74" s="11" t="s">
        <v>134</v>
      </c>
      <c r="B74" s="16" t="str">
        <f>IF(A74="","",IFERROR(VLOOKUP(A74, Stock_New!A:M, 2, FALSE),""))</f>
        <v>بوكيه</v>
      </c>
      <c r="C74" s="16" t="str">
        <f>IF(A74="","",IFERROR(VLOOKUP(A74, Stock_New!A:M, 3, FALSE),""))</f>
        <v>ذكريا</v>
      </c>
      <c r="D74" s="5">
        <v>1.0</v>
      </c>
      <c r="E74" s="16">
        <f>IF($A74="", "", IFERROR(VLOOKUP($A74, Stock_New!$A:$M, 4, FALSE), ""))</f>
        <v>155</v>
      </c>
      <c r="F74" s="5">
        <f t="shared" si="1"/>
        <v>155</v>
      </c>
      <c r="G74" s="16">
        <f>IF($A74="", "", IFERROR(VLOOKUP($A74, Stock_New!$A:$M, 5, FALSE), ""))</f>
        <v>1</v>
      </c>
    </row>
    <row r="75" ht="22.5" customHeight="1">
      <c r="A75" s="11" t="s">
        <v>82</v>
      </c>
      <c r="B75" s="16" t="str">
        <f>IF(A75="","",IFERROR(VLOOKUP(A75, Stock_New!A:M, 2, FALSE),""))</f>
        <v>بوكيه</v>
      </c>
      <c r="C75" s="16" t="str">
        <f>IF(A75="","",IFERROR(VLOOKUP(A75, Stock_New!A:M, 3, FALSE),""))</f>
        <v>ذكريا</v>
      </c>
      <c r="D75" s="5">
        <v>1.0</v>
      </c>
      <c r="E75" s="16">
        <f>IF($A75="", "", IFERROR(VLOOKUP($A75, Stock_New!$A:$M, 4, FALSE), ""))</f>
        <v>325</v>
      </c>
      <c r="F75" s="5">
        <f t="shared" si="1"/>
        <v>325</v>
      </c>
      <c r="G75" s="16">
        <f>IF($A75="", "", IFERROR(VLOOKUP($A75, Stock_New!$A:$M, 5, FALSE), ""))</f>
        <v>1</v>
      </c>
    </row>
    <row r="76" ht="22.5" customHeight="1">
      <c r="A76" s="11" t="s">
        <v>162</v>
      </c>
      <c r="B76" s="16" t="str">
        <f>IF(A76="","",IFERROR(VLOOKUP(A76, Stock_New!A:M, 2, FALSE),""))</f>
        <v>زجاج ابيض</v>
      </c>
      <c r="C76" s="16" t="str">
        <f>IF(A76="","",IFERROR(VLOOKUP(A76, Stock_New!A:M, 3, FALSE),""))</f>
        <v>ذكريا</v>
      </c>
      <c r="D76" s="5">
        <v>3.0</v>
      </c>
      <c r="E76" s="16">
        <f>IF($A76="", "", IFERROR(VLOOKUP($A76, Stock_New!$A:$M, 4, FALSE), ""))</f>
        <v>125</v>
      </c>
      <c r="F76" s="5">
        <f t="shared" si="1"/>
        <v>375</v>
      </c>
      <c r="G76" s="16">
        <f>IF($A76="", "", IFERROR(VLOOKUP($A76, Stock_New!$A:$M, 5, FALSE), ""))</f>
        <v>1</v>
      </c>
    </row>
    <row r="77" ht="22.5" customHeight="1">
      <c r="A77" s="11" t="s">
        <v>480</v>
      </c>
      <c r="B77" s="16" t="str">
        <f>IF(A77="","",IFERROR(VLOOKUP(A77, Stock_New!A:M, 2, FALSE),""))</f>
        <v>ورد لوحدة</v>
      </c>
      <c r="C77" s="16" t="str">
        <f>IF(A77="","",IFERROR(VLOOKUP(A77, Stock_New!A:M, 3, FALSE),""))</f>
        <v>شركة الفرسان</v>
      </c>
      <c r="D77" s="5">
        <f>2+12</f>
        <v>14</v>
      </c>
      <c r="E77" s="16">
        <f>IF($A77="", "", IFERROR(VLOOKUP($A77, Stock_New!$A:$M, 4, FALSE), ""))</f>
        <v>45</v>
      </c>
      <c r="F77" s="5">
        <f t="shared" si="1"/>
        <v>630</v>
      </c>
      <c r="G77" s="16">
        <f>IF($A77="", "", IFERROR(VLOOKUP($A77, Stock_New!$A:$M, 5, FALSE), ""))</f>
        <v>18</v>
      </c>
    </row>
    <row r="78" ht="22.5" customHeight="1">
      <c r="A78" s="11" t="s">
        <v>173</v>
      </c>
      <c r="B78" s="16" t="str">
        <f>IF(A78="","",IFERROR(VLOOKUP(A78, Stock_New!A:M, 2, FALSE),""))</f>
        <v>خزف</v>
      </c>
      <c r="C78" s="16" t="str">
        <f>IF(A78="","",IFERROR(VLOOKUP(A78, Stock_New!A:M, 3, FALSE),""))</f>
        <v>ذكريا</v>
      </c>
      <c r="D78" s="5">
        <v>1.0</v>
      </c>
      <c r="E78" s="16">
        <f>IF($A78="", "", IFERROR(VLOOKUP($A78, Stock_New!$A:$M, 4, FALSE), ""))</f>
        <v>45</v>
      </c>
      <c r="F78" s="5">
        <f t="shared" si="1"/>
        <v>45</v>
      </c>
      <c r="G78" s="16">
        <f>IF($A78="", "", IFERROR(VLOOKUP($A78, Stock_New!$A:$M, 5, FALSE), ""))</f>
        <v>1</v>
      </c>
    </row>
    <row r="79" ht="22.5" customHeight="1">
      <c r="A79" s="11" t="s">
        <v>287</v>
      </c>
      <c r="B79" s="16" t="str">
        <f>IF(A79="","",IFERROR(VLOOKUP(A79, Stock_New!A:M, 2, FALSE),""))</f>
        <v>بوكيه</v>
      </c>
      <c r="C79" s="16" t="str">
        <f>IF(A79="","",IFERROR(VLOOKUP(A79, Stock_New!A:M, 3, FALSE),""))</f>
        <v>ذكريا</v>
      </c>
      <c r="D79" s="5">
        <f>1+23</f>
        <v>24</v>
      </c>
      <c r="E79" s="16">
        <f>IF($A79="", "", IFERROR(VLOOKUP($A79, Stock_New!$A:$M, 4, FALSE), ""))</f>
        <v>45</v>
      </c>
      <c r="F79" s="5">
        <f t="shared" si="1"/>
        <v>1080</v>
      </c>
      <c r="G79" s="16">
        <f>IF($A79="", "", IFERROR(VLOOKUP($A79, Stock_New!$A:$M, 5, FALSE), ""))</f>
        <v>25</v>
      </c>
    </row>
    <row r="80" ht="22.5" customHeight="1">
      <c r="A80" s="11" t="s">
        <v>428</v>
      </c>
      <c r="B80" s="16" t="str">
        <f>IF(A80="","",IFERROR(VLOOKUP(A80, Stock_New!A:M, 2, FALSE),""))</f>
        <v>بوكيه</v>
      </c>
      <c r="C80" s="16" t="str">
        <f>IF(A80="","",IFERROR(VLOOKUP(A80, Stock_New!A:M, 3, FALSE),""))</f>
        <v>ذكريا</v>
      </c>
      <c r="D80" s="5">
        <v>1.0</v>
      </c>
      <c r="E80" s="16">
        <f>IF($A80="", "", IFERROR(VLOOKUP($A80, Stock_New!$A:$M, 4, FALSE), ""))</f>
        <v>175</v>
      </c>
      <c r="F80" s="5">
        <f t="shared" si="1"/>
        <v>175</v>
      </c>
      <c r="G80" s="16">
        <f>IF($A80="", "", IFERROR(VLOOKUP($A80, Stock_New!$A:$M, 5, FALSE), ""))</f>
        <v>0</v>
      </c>
    </row>
    <row r="81" ht="22.5" customHeight="1">
      <c r="A81" s="11" t="s">
        <v>407</v>
      </c>
      <c r="B81" s="16" t="str">
        <f>IF(A81="","",IFERROR(VLOOKUP(A81, Stock_New!A:M, 2, FALSE),""))</f>
        <v>بوكيه</v>
      </c>
      <c r="C81" s="16" t="str">
        <f>IF(A81="","",IFERROR(VLOOKUP(A81, Stock_New!A:M, 3, FALSE),""))</f>
        <v>ذكريا</v>
      </c>
      <c r="D81" s="5">
        <v>1.0</v>
      </c>
      <c r="E81" s="16">
        <f>IF($A81="", "", IFERROR(VLOOKUP($A81, Stock_New!$A:$M, 4, FALSE), ""))</f>
        <v>192.5</v>
      </c>
      <c r="F81" s="5">
        <f t="shared" si="1"/>
        <v>192.5</v>
      </c>
      <c r="G81" s="16">
        <f>IF($A81="", "", IFERROR(VLOOKUP($A81, Stock_New!$A:$M, 5, FALSE), ""))</f>
        <v>2</v>
      </c>
    </row>
    <row r="82" ht="22.5" customHeight="1">
      <c r="A82" s="11" t="s">
        <v>500</v>
      </c>
      <c r="B82" s="16" t="str">
        <f>IF(A82="","",IFERROR(VLOOKUP(A82, Stock_New!A:M, 2, FALSE),""))</f>
        <v>ورد لوحدة</v>
      </c>
      <c r="C82" s="16" t="str">
        <f>IF(A82="","",IFERROR(VLOOKUP(A82, Stock_New!A:M, 3, FALSE),""))</f>
        <v>شركة الفرسان</v>
      </c>
      <c r="D82" s="5">
        <f>1+1+10+1+2+1+1+7/9</f>
        <v>17.77777778</v>
      </c>
      <c r="E82" s="16">
        <f>IF($A82="", "", IFERROR(VLOOKUP($A82, Stock_New!$A:$M, 4, FALSE), ""))</f>
        <v>125</v>
      </c>
      <c r="F82" s="5">
        <f t="shared" si="1"/>
        <v>2222.222222</v>
      </c>
      <c r="G82" s="16">
        <f>IF($A82="", "", IFERROR(VLOOKUP($A82, Stock_New!$A:$M, 5, FALSE), ""))</f>
        <v>6.777777778</v>
      </c>
    </row>
    <row r="83" ht="22.5" customHeight="1">
      <c r="A83" s="11" t="s">
        <v>409</v>
      </c>
      <c r="B83" s="16" t="str">
        <f>IF(A83="","",IFERROR(VLOOKUP(A83, Stock_New!A:M, 2, FALSE),""))</f>
        <v>ورد لوحده</v>
      </c>
      <c r="C83" s="16" t="str">
        <f>IF(A83="","",IFERROR(VLOOKUP(A83, Stock_New!A:M, 3, FALSE),""))</f>
        <v>ذكريا</v>
      </c>
      <c r="D83" s="5">
        <f>1+2+5</f>
        <v>8</v>
      </c>
      <c r="E83" s="16">
        <f>IF($A83="", "", IFERROR(VLOOKUP($A83, Stock_New!$A:$M, 4, FALSE), ""))</f>
        <v>95</v>
      </c>
      <c r="F83" s="5">
        <f t="shared" si="1"/>
        <v>760</v>
      </c>
      <c r="G83" s="16">
        <f>IF($A83="", "", IFERROR(VLOOKUP($A83, Stock_New!$A:$M, 5, FALSE), ""))</f>
        <v>10.5</v>
      </c>
    </row>
    <row r="84" ht="22.5" customHeight="1">
      <c r="A84" s="11" t="s">
        <v>435</v>
      </c>
      <c r="B84" s="16" t="str">
        <f>IF(A84="","",IFERROR(VLOOKUP(A84, Stock_New!A:M, 2, FALSE),""))</f>
        <v>ورق شجر</v>
      </c>
      <c r="C84" s="16" t="str">
        <f>IF(A84="","",IFERROR(VLOOKUP(A84, Stock_New!A:M, 3, FALSE),""))</f>
        <v>عبدالفتاح</v>
      </c>
      <c r="D84" s="16">
        <f>3/12</f>
        <v>0.25</v>
      </c>
      <c r="E84" s="16">
        <f>IF($A84="", "", IFERROR(VLOOKUP($A84, Stock_New!$A:$M, 4, FALSE), ""))</f>
        <v>220</v>
      </c>
      <c r="F84" s="5">
        <f t="shared" si="1"/>
        <v>55</v>
      </c>
      <c r="G84" s="16">
        <f>IF($A84="", "", IFERROR(VLOOKUP($A84, Stock_New!$A:$M, 5, FALSE), ""))</f>
        <v>0</v>
      </c>
    </row>
    <row r="85" ht="22.5" customHeight="1">
      <c r="A85" s="11" t="s">
        <v>513</v>
      </c>
      <c r="B85" s="16" t="str">
        <f>IF(A85="","",IFERROR(VLOOKUP(A85, Stock_New!A:M, 2, FALSE),""))</f>
        <v>بوكيه</v>
      </c>
      <c r="C85" s="16" t="str">
        <f>IF(A85="","",IFERROR(VLOOKUP(A85, Stock_New!A:M, 3, FALSE),""))</f>
        <v>manufactured</v>
      </c>
      <c r="D85" s="5">
        <v>2.0</v>
      </c>
      <c r="E85" s="16">
        <f>IF($A85="", "", IFERROR(VLOOKUP($A85, Stock_New!$A:$M, 4, FALSE), ""))</f>
        <v>32.70714286</v>
      </c>
      <c r="F85" s="5">
        <f t="shared" si="1"/>
        <v>65.41428571</v>
      </c>
      <c r="G85" s="16">
        <f>IF($A85="", "", IFERROR(VLOOKUP($A85, Stock_New!$A:$M, 5, FALSE), ""))</f>
        <v>3</v>
      </c>
    </row>
    <row r="86" ht="22.5" customHeight="1">
      <c r="A86" s="11" t="s">
        <v>517</v>
      </c>
      <c r="B86" s="16" t="str">
        <f>IF(A86="","",IFERROR(VLOOKUP(A86, Stock_New!A:M, 2, FALSE),""))</f>
        <v>بوكيه</v>
      </c>
      <c r="C86" s="16" t="str">
        <f>IF(A86="","",IFERROR(VLOOKUP(A86, Stock_New!A:M, 3, FALSE),""))</f>
        <v>manufactured</v>
      </c>
      <c r="D86" s="5">
        <v>1.0</v>
      </c>
      <c r="E86" s="16">
        <f>IF($A86="", "", IFERROR(VLOOKUP($A86, Stock_New!$A:$M, 4, FALSE), ""))</f>
        <v>56.66666667</v>
      </c>
      <c r="F86" s="5">
        <f t="shared" si="1"/>
        <v>56.66666667</v>
      </c>
      <c r="G86" s="16">
        <f>IF($A86="", "", IFERROR(VLOOKUP($A86, Stock_New!$A:$M, 5, FALSE), ""))</f>
        <v>0</v>
      </c>
    </row>
    <row r="87" ht="22.5" customHeight="1">
      <c r="A87" s="11" t="s">
        <v>524</v>
      </c>
      <c r="B87" s="19" t="s">
        <v>68</v>
      </c>
      <c r="C87" s="5" t="s">
        <v>525</v>
      </c>
      <c r="D87" s="5">
        <v>1.0</v>
      </c>
      <c r="E87" s="5">
        <v>40.0</v>
      </c>
      <c r="F87" s="5">
        <f t="shared" si="1"/>
        <v>40</v>
      </c>
      <c r="G87" s="16" t="str">
        <f>IF($A87="", "", IFERROR(VLOOKUP($A87, Stock_New!$A:$M, 5, FALSE), ""))</f>
        <v/>
      </c>
    </row>
    <row r="88" ht="22.5" customHeight="1">
      <c r="A88" s="11" t="s">
        <v>529</v>
      </c>
      <c r="B88" s="19" t="s">
        <v>68</v>
      </c>
      <c r="C88" s="5" t="s">
        <v>525</v>
      </c>
      <c r="D88" s="5">
        <v>1.0</v>
      </c>
      <c r="E88" s="5">
        <v>40.0</v>
      </c>
      <c r="F88" s="5">
        <f t="shared" si="1"/>
        <v>40</v>
      </c>
      <c r="G88" s="16" t="str">
        <f>IF($A88="", "", IFERROR(VLOOKUP($A88, Stock_New!$A:$M, 5, FALSE), ""))</f>
        <v/>
      </c>
    </row>
    <row r="89" ht="22.5" customHeight="1">
      <c r="A89" s="11" t="s">
        <v>531</v>
      </c>
      <c r="B89" s="16" t="str">
        <f>IF(A89="","",IFERROR(VLOOKUP(A89, Stock_New!A:M, 2, FALSE),""))</f>
        <v>فازة</v>
      </c>
      <c r="C89" s="16" t="str">
        <f>IF(A89="","",IFERROR(VLOOKUP(A89, Stock_New!A:M, 3, FALSE),""))</f>
        <v>شركة الفرسان</v>
      </c>
      <c r="D89" s="5">
        <f t="shared" ref="D89:D90" si="3">1+1</f>
        <v>2</v>
      </c>
      <c r="E89" s="16">
        <f>IF($A89="", "", IFERROR(VLOOKUP($A89, Stock_New!$A:$M, 4, FALSE), ""))</f>
        <v>175</v>
      </c>
      <c r="F89" s="5">
        <f t="shared" si="1"/>
        <v>350</v>
      </c>
      <c r="G89" s="16">
        <f>IF($A89="", "", IFERROR(VLOOKUP($A89, Stock_New!$A:$M, 5, FALSE), ""))</f>
        <v>1</v>
      </c>
    </row>
    <row r="90" ht="22.5" customHeight="1">
      <c r="A90" s="11" t="s">
        <v>426</v>
      </c>
      <c r="B90" s="16" t="str">
        <f>IF(A90="","",IFERROR(VLOOKUP(A90, Stock_New!A:M, 2, FALSE),""))</f>
        <v>فازة</v>
      </c>
      <c r="C90" s="16" t="str">
        <f>IF(A90="","",IFERROR(VLOOKUP(A90, Stock_New!A:M, 3, FALSE),""))</f>
        <v>شركة الفرسان</v>
      </c>
      <c r="D90" s="5">
        <f t="shared" si="3"/>
        <v>2</v>
      </c>
      <c r="E90" s="16">
        <f>IF($A90="", "", IFERROR(VLOOKUP($A90, Stock_New!$A:$M, 4, FALSE), ""))</f>
        <v>225</v>
      </c>
      <c r="F90" s="5">
        <f t="shared" si="1"/>
        <v>450</v>
      </c>
      <c r="G90" s="16">
        <f>IF($A90="", "", IFERROR(VLOOKUP($A90, Stock_New!$A:$M, 5, FALSE), ""))</f>
        <v>1</v>
      </c>
    </row>
    <row r="91" ht="22.5" customHeight="1">
      <c r="A91" s="11" t="s">
        <v>166</v>
      </c>
      <c r="B91" s="16" t="str">
        <f>IF(A91="","",IFERROR(VLOOKUP(A91, Stock_New!A:M, 2, FALSE),""))</f>
        <v>بورسلين</v>
      </c>
      <c r="C91" s="16" t="str">
        <f>IF(A91="","",IFERROR(VLOOKUP(A91, Stock_New!A:M, 3, FALSE),""))</f>
        <v>شركة حسين علي</v>
      </c>
      <c r="D91" s="5">
        <v>2.0</v>
      </c>
      <c r="E91" s="16">
        <f>IF($A91="", "", IFERROR(VLOOKUP($A91, Stock_New!$A:$M, 4, FALSE), ""))</f>
        <v>400</v>
      </c>
      <c r="F91" s="5">
        <f t="shared" si="1"/>
        <v>800</v>
      </c>
      <c r="G91" s="16">
        <f>IF($A91="", "", IFERROR(VLOOKUP($A91, Stock_New!$A:$M, 5, FALSE), ""))</f>
        <v>3</v>
      </c>
    </row>
    <row r="92" ht="22.5" customHeight="1">
      <c r="A92" s="11" t="s">
        <v>275</v>
      </c>
      <c r="B92" s="16" t="str">
        <f>IF(A92="","",IFERROR(VLOOKUP(A92, Stock_New!A:M, 2, FALSE),""))</f>
        <v>بورسلين</v>
      </c>
      <c r="C92" s="16" t="str">
        <f>IF(A92="","",IFERROR(VLOOKUP(A92, Stock_New!A:M, 3, FALSE),""))</f>
        <v>شركة حسين علي</v>
      </c>
      <c r="D92" s="5">
        <v>2.0</v>
      </c>
      <c r="E92" s="16">
        <f>IF($A92="", "", IFERROR(VLOOKUP($A92, Stock_New!$A:$M, 4, FALSE), ""))</f>
        <v>300</v>
      </c>
      <c r="F92" s="5">
        <f t="shared" si="1"/>
        <v>600</v>
      </c>
      <c r="G92" s="16">
        <f>IF($A92="", "", IFERROR(VLOOKUP($A92, Stock_New!$A:$M, 5, FALSE), ""))</f>
        <v>2</v>
      </c>
    </row>
    <row r="93" ht="22.5" customHeight="1">
      <c r="A93" s="11" t="s">
        <v>345</v>
      </c>
      <c r="B93" s="16" t="str">
        <f>IF(A93="","",IFERROR(VLOOKUP(A93, Stock_New!A:M, 2, FALSE),""))</f>
        <v>بورسلين</v>
      </c>
      <c r="C93" s="16" t="str">
        <f>IF(A93="","",IFERROR(VLOOKUP(A93, Stock_New!A:M, 3, FALSE),""))</f>
        <v>شركة حسين علي</v>
      </c>
      <c r="D93" s="5">
        <v>2.0</v>
      </c>
      <c r="E93" s="16">
        <f>IF($A93="", "", IFERROR(VLOOKUP($A93, Stock_New!$A:$M, 4, FALSE), ""))</f>
        <v>250</v>
      </c>
      <c r="F93" s="5">
        <f t="shared" si="1"/>
        <v>500</v>
      </c>
      <c r="G93" s="16">
        <f>IF($A93="", "", IFERROR(VLOOKUP($A93, Stock_New!$A:$M, 5, FALSE), ""))</f>
        <v>2</v>
      </c>
    </row>
    <row r="94" ht="22.5" customHeight="1">
      <c r="A94" s="11" t="s">
        <v>285</v>
      </c>
      <c r="B94" s="16" t="str">
        <f>IF(A94="","",IFERROR(VLOOKUP(A94, Stock_New!A:M, 2, FALSE),""))</f>
        <v>فازة</v>
      </c>
      <c r="C94" s="16" t="str">
        <f>IF(A94="","",IFERROR(VLOOKUP(A94, Stock_New!A:M, 3, FALSE),""))</f>
        <v>شركة الفرسان</v>
      </c>
      <c r="D94" s="5">
        <v>2.0</v>
      </c>
      <c r="E94" s="16">
        <f>IF($A94="", "", IFERROR(VLOOKUP($A94, Stock_New!$A:$M, 4, FALSE), ""))</f>
        <v>300</v>
      </c>
      <c r="F94" s="5">
        <f t="shared" si="1"/>
        <v>600</v>
      </c>
      <c r="G94" s="16">
        <f>IF($A94="", "", IFERROR(VLOOKUP($A94, Stock_New!$A:$M, 5, FALSE), ""))</f>
        <v>2</v>
      </c>
    </row>
    <row r="95" ht="22.5" customHeight="1">
      <c r="A95" s="11" t="s">
        <v>554</v>
      </c>
      <c r="B95" s="16" t="str">
        <f>IF(A95="","",IFERROR(VLOOKUP(A95, Stock_New!A:M, 2, FALSE),""))</f>
        <v>مقزمات</v>
      </c>
      <c r="C95" s="16" t="str">
        <f>IF(A95="","",IFERROR(VLOOKUP(A95, Stock_New!A:M, 3, FALSE),""))</f>
        <v>manufactured</v>
      </c>
      <c r="D95" s="5">
        <v>8.0</v>
      </c>
      <c r="E95" s="16">
        <f>IF($A95="", "", IFERROR(VLOOKUP($A95, Stock_New!$A:$M, 4, FALSE), ""))</f>
        <v>23.22222222</v>
      </c>
      <c r="F95" s="5">
        <f t="shared" si="1"/>
        <v>185.7777778</v>
      </c>
      <c r="G95" s="16">
        <f>IF($A95="", "", IFERROR(VLOOKUP($A95, Stock_New!$A:$M, 5, FALSE), ""))</f>
        <v>22</v>
      </c>
    </row>
    <row r="96" ht="22.5" customHeight="1">
      <c r="A96" s="11" t="s">
        <v>559</v>
      </c>
      <c r="B96" s="16" t="str">
        <f>IF(A96="","",IFERROR(VLOOKUP(A96, Stock_New!A:M, 2, FALSE),""))</f>
        <v>مقزمات</v>
      </c>
      <c r="C96" s="16" t="str">
        <f>IF(A96="","",IFERROR(VLOOKUP(A96, Stock_New!A:M, 3, FALSE),""))</f>
        <v>manufactured</v>
      </c>
      <c r="D96" s="5">
        <v>7.0</v>
      </c>
      <c r="E96" s="16">
        <f>IF($A96="", "", IFERROR(VLOOKUP($A96, Stock_New!$A:$M, 4, FALSE), ""))</f>
        <v>32.33333333</v>
      </c>
      <c r="F96" s="5">
        <f t="shared" si="1"/>
        <v>226.3333333</v>
      </c>
      <c r="G96" s="16">
        <f>IF($A96="", "", IFERROR(VLOOKUP($A96, Stock_New!$A:$M, 5, FALSE), ""))</f>
        <v>30</v>
      </c>
    </row>
    <row r="97" ht="22.5" customHeight="1">
      <c r="A97" s="11" t="s">
        <v>511</v>
      </c>
      <c r="B97" s="16" t="str">
        <f>IF(A97="","",IFERROR(VLOOKUP(A97, Stock_New!A:M, 2, FALSE),""))</f>
        <v>خزف</v>
      </c>
      <c r="C97" s="16" t="str">
        <f>IF(A97="","",IFERROR(VLOOKUP(A97, Stock_New!A:M, 3, FALSE),""))</f>
        <v>ذكريا</v>
      </c>
      <c r="D97" s="5">
        <f>1+3</f>
        <v>4</v>
      </c>
      <c r="E97" s="16">
        <f>IF($A97="", "", IFERROR(VLOOKUP($A97, Stock_New!$A:$M, 4, FALSE), ""))</f>
        <v>40</v>
      </c>
      <c r="F97" s="5">
        <f t="shared" si="1"/>
        <v>160</v>
      </c>
      <c r="G97" s="16">
        <f>IF($A97="", "", IFERROR(VLOOKUP($A97, Stock_New!$A:$M, 5, FALSE), ""))</f>
        <v>0</v>
      </c>
    </row>
    <row r="98" ht="22.5" customHeight="1">
      <c r="A98" s="11" t="s">
        <v>566</v>
      </c>
      <c r="B98" s="16" t="str">
        <f>IF(A98="","",IFERROR(VLOOKUP(A98, Stock_New!A:M, 2, FALSE),""))</f>
        <v>خزف</v>
      </c>
      <c r="C98" s="16" t="str">
        <f>IF(A98="","",IFERROR(VLOOKUP(A98, Stock_New!A:M, 3, FALSE),""))</f>
        <v>شركة حسين علي</v>
      </c>
      <c r="D98" s="5">
        <v>2.0</v>
      </c>
      <c r="E98" s="16">
        <f>IF($A98="", "", IFERROR(VLOOKUP($A98, Stock_New!$A:$M, 4, FALSE), ""))</f>
        <v>150</v>
      </c>
      <c r="F98" s="5">
        <f t="shared" si="1"/>
        <v>300</v>
      </c>
      <c r="G98" s="16">
        <f>IF($A98="", "", IFERROR(VLOOKUP($A98, Stock_New!$A:$M, 5, FALSE), ""))</f>
        <v>2</v>
      </c>
    </row>
    <row r="99" ht="22.5" customHeight="1">
      <c r="A99" s="11" t="s">
        <v>152</v>
      </c>
      <c r="B99" s="16" t="str">
        <f>IF(A99="","",IFERROR(VLOOKUP(A99, Stock_New!A:M, 2, FALSE),""))</f>
        <v>بوكيه</v>
      </c>
      <c r="C99" s="16" t="str">
        <f>IF(A99="","",IFERROR(VLOOKUP(A99, Stock_New!A:M, 3, FALSE),""))</f>
        <v>ذكريا</v>
      </c>
      <c r="D99" s="5">
        <v>1.0</v>
      </c>
      <c r="E99" s="16">
        <f>IF($A99="", "", IFERROR(VLOOKUP($A99, Stock_New!$A:$M, 4, FALSE), ""))</f>
        <v>125</v>
      </c>
      <c r="F99" s="5">
        <f t="shared" si="1"/>
        <v>125</v>
      </c>
      <c r="G99" s="16">
        <f>IF($A99="", "", IFERROR(VLOOKUP($A99, Stock_New!$A:$M, 5, FALSE), ""))</f>
        <v>3</v>
      </c>
    </row>
    <row r="100" ht="22.5" customHeight="1">
      <c r="A100" s="11" t="s">
        <v>43</v>
      </c>
      <c r="B100" s="16" t="str">
        <f>IF(A100="","",IFERROR(VLOOKUP(A100, Stock_New!A:M, 2, FALSE),""))</f>
        <v>بوكيه</v>
      </c>
      <c r="C100" s="16" t="str">
        <f>IF(A100="","",IFERROR(VLOOKUP(A100, Stock_New!A:M, 3, FALSE),""))</f>
        <v>ذكريا</v>
      </c>
      <c r="D100" s="5">
        <v>2.0</v>
      </c>
      <c r="E100" s="16">
        <f>IF($A100="", "", IFERROR(VLOOKUP($A100, Stock_New!$A:$M, 4, FALSE), ""))</f>
        <v>135</v>
      </c>
      <c r="F100" s="5">
        <f t="shared" si="1"/>
        <v>270</v>
      </c>
      <c r="G100" s="16">
        <f>IF($A100="", "", IFERROR(VLOOKUP($A100, Stock_New!$A:$M, 5, FALSE), ""))</f>
        <v>0</v>
      </c>
    </row>
    <row r="101" ht="22.5" customHeight="1">
      <c r="A101" s="11" t="s">
        <v>157</v>
      </c>
      <c r="B101" s="16" t="str">
        <f>IF(A101="","",IFERROR(VLOOKUP(A101, Stock_New!A:M, 2, FALSE),""))</f>
        <v>بوكيه</v>
      </c>
      <c r="C101" s="16" t="str">
        <f>IF(A101="","",IFERROR(VLOOKUP(A101, Stock_New!A:M, 3, FALSE),""))</f>
        <v>ذكريا</v>
      </c>
      <c r="D101" s="5">
        <v>1.0</v>
      </c>
      <c r="E101" s="16">
        <f>IF($A101="", "", IFERROR(VLOOKUP($A101, Stock_New!$A:$M, 4, FALSE), ""))</f>
        <v>120</v>
      </c>
      <c r="F101" s="5">
        <f t="shared" si="1"/>
        <v>120</v>
      </c>
      <c r="G101" s="16">
        <f>IF($A101="", "", IFERROR(VLOOKUP($A101, Stock_New!$A:$M, 5, FALSE), ""))</f>
        <v>1</v>
      </c>
    </row>
    <row r="102" ht="22.5" customHeight="1">
      <c r="A102" s="11" t="s">
        <v>590</v>
      </c>
      <c r="B102" s="16" t="str">
        <f>IF(A102="","",IFERROR(VLOOKUP(A102, Stock_New!A:M, 2, FALSE),""))</f>
        <v>ورد ديكور</v>
      </c>
      <c r="C102" s="16" t="str">
        <f>IF(A102="","",IFERROR(VLOOKUP(A102, Stock_New!A:M, 3, FALSE),""))</f>
        <v>سنتر محمد رشدي</v>
      </c>
      <c r="D102" s="5">
        <f>31+3</f>
        <v>34</v>
      </c>
      <c r="E102" s="16">
        <f>IF($A102="", "", IFERROR(VLOOKUP($A102, Stock_New!$A:$M, 4, FALSE), ""))</f>
        <v>103</v>
      </c>
      <c r="F102" s="5">
        <f t="shared" si="1"/>
        <v>3502</v>
      </c>
      <c r="G102" s="16">
        <f>IF($A102="", "", IFERROR(VLOOKUP($A102, Stock_New!$A:$M, 5, FALSE), ""))</f>
        <v>32</v>
      </c>
    </row>
    <row r="103" ht="22.5" customHeight="1">
      <c r="A103" s="11" t="s">
        <v>593</v>
      </c>
      <c r="B103" s="16" t="str">
        <f>IF(A103="","",IFERROR(VLOOKUP(A103, Stock_New!A:M, 2, FALSE),""))</f>
        <v>مزرعة</v>
      </c>
      <c r="C103" s="16" t="str">
        <f>IF(A103="","",IFERROR(VLOOKUP(A103, Stock_New!A:M, 3, FALSE),""))</f>
        <v>شركة الفرسان</v>
      </c>
      <c r="D103" s="5">
        <v>10.0</v>
      </c>
      <c r="E103" s="16">
        <f>IF($A103="", "", IFERROR(VLOOKUP($A103, Stock_New!$A:$M, 4, FALSE), ""))</f>
        <v>55</v>
      </c>
      <c r="F103" s="5">
        <f t="shared" si="1"/>
        <v>550</v>
      </c>
      <c r="G103" s="16">
        <f>IF($A103="", "", IFERROR(VLOOKUP($A103, Stock_New!$A:$M, 5, FALSE), ""))</f>
        <v>8</v>
      </c>
    </row>
    <row r="104" ht="22.5" customHeight="1">
      <c r="A104" s="11" t="s">
        <v>599</v>
      </c>
      <c r="B104" s="16" t="str">
        <f>IF(A104="","",IFERROR(VLOOKUP(A104, Stock_New!A:M, 2, FALSE),""))</f>
        <v>بوكيه</v>
      </c>
      <c r="C104" s="16" t="str">
        <f>IF(A104="","",IFERROR(VLOOKUP(A104, Stock_New!A:M, 3, FALSE),""))</f>
        <v>شركة الفرسان</v>
      </c>
      <c r="D104" s="5">
        <v>2.0</v>
      </c>
      <c r="E104" s="16">
        <f>IF($A104="", "", IFERROR(VLOOKUP($A104, Stock_New!$A:$M, 4, FALSE), ""))</f>
        <v>125</v>
      </c>
      <c r="F104" s="5">
        <f t="shared" si="1"/>
        <v>250</v>
      </c>
      <c r="G104" s="16">
        <f>IF($A104="", "", IFERROR(VLOOKUP($A104, Stock_New!$A:$M, 5, FALSE), ""))</f>
        <v>2</v>
      </c>
    </row>
    <row r="105" ht="22.5" customHeight="1">
      <c r="A105" s="11" t="s">
        <v>571</v>
      </c>
      <c r="B105" s="16" t="str">
        <f>IF(A105="","",IFERROR(VLOOKUP(A105, Stock_New!A:M, 2, FALSE),""))</f>
        <v>بوكيه</v>
      </c>
      <c r="C105" s="16" t="str">
        <f>IF(A105="","",IFERROR(VLOOKUP(A105, Stock_New!A:M, 3, FALSE),""))</f>
        <v>شركة الفرسان</v>
      </c>
      <c r="D105" s="5">
        <v>2.0</v>
      </c>
      <c r="E105" s="16">
        <f>IF($A105="", "", IFERROR(VLOOKUP($A105, Stock_New!$A:$M, 4, FALSE), ""))</f>
        <v>175</v>
      </c>
      <c r="F105" s="5">
        <f t="shared" si="1"/>
        <v>350</v>
      </c>
      <c r="G105" s="16">
        <f>IF($A105="", "", IFERROR(VLOOKUP($A105, Stock_New!$A:$M, 5, FALSE), ""))</f>
        <v>2</v>
      </c>
    </row>
    <row r="106" ht="22.5" customHeight="1">
      <c r="A106" s="11" t="s">
        <v>607</v>
      </c>
      <c r="B106" s="16" t="str">
        <f>IF(A106="","",IFERROR(VLOOKUP(A106, Stock_New!A:M, 2, FALSE),""))</f>
        <v>بوكيه</v>
      </c>
      <c r="C106" s="16" t="str">
        <f>IF(A106="","",IFERROR(VLOOKUP(A106, Stock_New!A:M, 3, FALSE),""))</f>
        <v>شركة الفرسان</v>
      </c>
      <c r="D106" s="5">
        <v>2.0</v>
      </c>
      <c r="E106" s="16">
        <f>IF($A106="", "", IFERROR(VLOOKUP($A106, Stock_New!$A:$M, 4, FALSE), ""))</f>
        <v>125</v>
      </c>
      <c r="F106" s="5">
        <f t="shared" si="1"/>
        <v>250</v>
      </c>
      <c r="G106" s="16">
        <f>IF($A106="", "", IFERROR(VLOOKUP($A106, Stock_New!$A:$M, 5, FALSE), ""))</f>
        <v>2</v>
      </c>
    </row>
    <row r="107" ht="22.5" customHeight="1">
      <c r="A107" s="11" t="s">
        <v>419</v>
      </c>
      <c r="B107" s="16" t="str">
        <f>IF(A107="","",IFERROR(VLOOKUP(A107, Stock_New!A:M, 2, FALSE),""))</f>
        <v>بوكيه</v>
      </c>
      <c r="C107" s="16" t="str">
        <f>IF(A107="","",IFERROR(VLOOKUP(A107, Stock_New!A:M, 3, FALSE),""))</f>
        <v>شركة الفرسان</v>
      </c>
      <c r="D107" s="5">
        <v>2.0</v>
      </c>
      <c r="E107" s="16">
        <f>IF($A107="", "", IFERROR(VLOOKUP($A107, Stock_New!$A:$M, 4, FALSE), ""))</f>
        <v>225</v>
      </c>
      <c r="F107" s="5">
        <f t="shared" si="1"/>
        <v>450</v>
      </c>
      <c r="G107" s="16">
        <f>IF($A107="", "", IFERROR(VLOOKUP($A107, Stock_New!$A:$M, 5, FALSE), ""))</f>
        <v>2</v>
      </c>
    </row>
    <row r="108" ht="22.5" customHeight="1">
      <c r="A108" s="11" t="s">
        <v>423</v>
      </c>
      <c r="B108" s="16" t="str">
        <f>IF(A108="","",IFERROR(VLOOKUP(A108, Stock_New!A:M, 2, FALSE),""))</f>
        <v>بوكيه</v>
      </c>
      <c r="C108" s="16" t="str">
        <f>IF(A108="","",IFERROR(VLOOKUP(A108, Stock_New!A:M, 3, FALSE),""))</f>
        <v>شركة الفرسان</v>
      </c>
      <c r="D108" s="5">
        <v>2.0</v>
      </c>
      <c r="E108" s="16">
        <f>IF($A108="", "", IFERROR(VLOOKUP($A108, Stock_New!$A:$M, 4, FALSE), ""))</f>
        <v>225</v>
      </c>
      <c r="F108" s="5">
        <f t="shared" si="1"/>
        <v>450</v>
      </c>
      <c r="G108" s="16">
        <f>IF($A108="", "", IFERROR(VLOOKUP($A108, Stock_New!$A:$M, 5, FALSE), ""))</f>
        <v>2</v>
      </c>
    </row>
    <row r="109" ht="22.5" customHeight="1">
      <c r="A109" s="11" t="s">
        <v>622</v>
      </c>
      <c r="B109" s="16" t="str">
        <f>IF(A109="","",IFERROR(VLOOKUP(A109, Stock_New!A:M, 2, FALSE),""))</f>
        <v>مقزمات</v>
      </c>
      <c r="C109" s="16" t="str">
        <f>IF(A109="","",IFERROR(VLOOKUP(A109, Stock_New!A:M, 3, FALSE),""))</f>
        <v>شركة حسين علي</v>
      </c>
      <c r="D109" s="5">
        <f>7+6</f>
        <v>13</v>
      </c>
      <c r="E109" s="16">
        <f>IF($A109="", "", IFERROR(VLOOKUP($A109, Stock_New!$A:$M, 4, FALSE), ""))</f>
        <v>100</v>
      </c>
      <c r="F109" s="5">
        <f t="shared" si="1"/>
        <v>1300</v>
      </c>
      <c r="G109" s="16">
        <f>IF($A109="", "", IFERROR(VLOOKUP($A109, Stock_New!$A:$M, 5, FALSE), ""))</f>
        <v>12</v>
      </c>
    </row>
    <row r="110" ht="22.5" customHeight="1">
      <c r="A110" s="11" t="s">
        <v>629</v>
      </c>
      <c r="B110" s="16" t="str">
        <f>IF(A110="","",IFERROR(VLOOKUP(A110, Stock_New!A:M, 2, FALSE),""))</f>
        <v>مقزمات</v>
      </c>
      <c r="C110" s="16" t="str">
        <f>IF(A110="","",IFERROR(VLOOKUP(A110, Stock_New!A:M, 3, FALSE),""))</f>
        <v>شركة حسين علي</v>
      </c>
      <c r="D110" s="5">
        <f>6+6</f>
        <v>12</v>
      </c>
      <c r="E110" s="16">
        <f>IF($A110="", "", IFERROR(VLOOKUP($A110, Stock_New!$A:$M, 4, FALSE), ""))</f>
        <v>85</v>
      </c>
      <c r="F110" s="5">
        <f t="shared" si="1"/>
        <v>1020</v>
      </c>
      <c r="G110" s="16">
        <f>IF($A110="", "", IFERROR(VLOOKUP($A110, Stock_New!$A:$M, 5, FALSE), ""))</f>
        <v>12</v>
      </c>
    </row>
    <row r="111" ht="22.5" customHeight="1">
      <c r="A111" s="11" t="s">
        <v>635</v>
      </c>
      <c r="B111" s="16" t="str">
        <f>IF(A111="","",IFERROR(VLOOKUP(A111, Stock_New!A:M, 2, FALSE),""))</f>
        <v>بوكيه</v>
      </c>
      <c r="C111" s="16" t="str">
        <f>IF(A111="","",IFERROR(VLOOKUP(A111, Stock_New!A:M, 3, FALSE),""))</f>
        <v>شركة حسين علي</v>
      </c>
      <c r="D111" s="5">
        <v>3.0</v>
      </c>
      <c r="E111" s="16">
        <f>IF($A111="", "", IFERROR(VLOOKUP($A111, Stock_New!$A:$M, 4, FALSE), ""))</f>
        <v>75</v>
      </c>
      <c r="F111" s="5">
        <f t="shared" si="1"/>
        <v>225</v>
      </c>
      <c r="G111" s="16">
        <f>IF($A111="", "", IFERROR(VLOOKUP($A111, Stock_New!$A:$M, 5, FALSE), ""))</f>
        <v>5</v>
      </c>
    </row>
    <row r="112" ht="22.5" customHeight="1">
      <c r="A112" s="11" t="s">
        <v>177</v>
      </c>
      <c r="B112" s="16" t="str">
        <f>IF(A112="","",IFERROR(VLOOKUP(A112, Stock_New!A:M, 2, FALSE),""))</f>
        <v>بورسلين</v>
      </c>
      <c r="C112" s="16" t="str">
        <f>IF(A112="","",IFERROR(VLOOKUP(A112, Stock_New!A:M, 3, FALSE),""))</f>
        <v>شركة حسين علي</v>
      </c>
      <c r="D112" s="5">
        <v>4.0</v>
      </c>
      <c r="E112" s="16">
        <f>IF($A112="", "", IFERROR(VLOOKUP($A112, Stock_New!$A:$M, 4, FALSE), ""))</f>
        <v>75</v>
      </c>
      <c r="F112" s="5">
        <f t="shared" si="1"/>
        <v>300</v>
      </c>
      <c r="G112" s="16">
        <f>IF($A112="", "", IFERROR(VLOOKUP($A112, Stock_New!$A:$M, 5, FALSE), ""))</f>
        <v>6</v>
      </c>
    </row>
    <row r="113" ht="22.5" customHeight="1">
      <c r="A113" s="11" t="s">
        <v>235</v>
      </c>
      <c r="B113" s="16" t="str">
        <f>IF(A113="","",IFERROR(VLOOKUP(A113, Stock_New!A:M, 2, FALSE),""))</f>
        <v>خزف</v>
      </c>
      <c r="C113" s="16" t="str">
        <f>IF(A113="","",IFERROR(VLOOKUP(A113, Stock_New!A:M, 3, FALSE),""))</f>
        <v>ذكريا</v>
      </c>
      <c r="D113" s="5">
        <v>6.0</v>
      </c>
      <c r="E113" s="16">
        <f>IF($A113="", "", IFERROR(VLOOKUP($A113, Stock_New!$A:$M, 4, FALSE), ""))</f>
        <v>75</v>
      </c>
      <c r="F113" s="5">
        <f t="shared" si="1"/>
        <v>450</v>
      </c>
      <c r="G113" s="16">
        <f>IF($A113="", "", IFERROR(VLOOKUP($A113, Stock_New!$A:$M, 5, FALSE), ""))</f>
        <v>1</v>
      </c>
    </row>
    <row r="114" ht="22.5" customHeight="1">
      <c r="A114" s="11" t="s">
        <v>648</v>
      </c>
      <c r="B114" s="16" t="str">
        <f>IF(A114="","",IFERROR(VLOOKUP(A114, Stock_New!A:M, 2, FALSE),""))</f>
        <v>سيلفرات</v>
      </c>
      <c r="C114" s="16" t="str">
        <f>IF(A114="","",IFERROR(VLOOKUP(A114, Stock_New!A:M, 3, FALSE),""))</f>
        <v>شركة حسين علي</v>
      </c>
      <c r="D114" s="5">
        <v>1.0</v>
      </c>
      <c r="E114" s="16">
        <f>IF($A114="", "", IFERROR(VLOOKUP($A114, Stock_New!$A:$M, 4, FALSE), ""))</f>
        <v>150</v>
      </c>
      <c r="F114" s="5">
        <f t="shared" si="1"/>
        <v>150</v>
      </c>
      <c r="G114" s="16">
        <f>IF($A114="", "", IFERROR(VLOOKUP($A114, Stock_New!$A:$M, 5, FALSE), ""))</f>
        <v>1</v>
      </c>
    </row>
    <row r="115" ht="22.5" customHeight="1">
      <c r="A115" s="11" t="s">
        <v>655</v>
      </c>
      <c r="B115" s="16" t="str">
        <f>IF(A115="","",IFERROR(VLOOKUP(A115, Stock_New!A:M, 2, FALSE),""))</f>
        <v>سيلفرات</v>
      </c>
      <c r="C115" s="16" t="str">
        <f>IF(A115="","",IFERROR(VLOOKUP(A115, Stock_New!A:M, 3, FALSE),""))</f>
        <v>شركة حسين علي</v>
      </c>
      <c r="D115" s="5">
        <v>6.0</v>
      </c>
      <c r="E115" s="16">
        <f>IF($A115="", "", IFERROR(VLOOKUP($A115, Stock_New!$A:$M, 4, FALSE), ""))</f>
        <v>150</v>
      </c>
      <c r="F115" s="5">
        <f t="shared" si="1"/>
        <v>900</v>
      </c>
      <c r="G115" s="16">
        <f>IF($A115="", "", IFERROR(VLOOKUP($A115, Stock_New!$A:$M, 5, FALSE), ""))</f>
        <v>6</v>
      </c>
    </row>
    <row r="116" ht="22.5" customHeight="1">
      <c r="A116" s="11" t="s">
        <v>658</v>
      </c>
      <c r="B116" s="16" t="str">
        <f>IF(A116="","",IFERROR(VLOOKUP(A116, Stock_New!A:M, 2, FALSE),""))</f>
        <v>تحف</v>
      </c>
      <c r="C116" s="16" t="str">
        <f>IF(A116="","",IFERROR(VLOOKUP(A116, Stock_New!A:M, 3, FALSE),""))</f>
        <v>محمد رشدي</v>
      </c>
      <c r="D116" s="5">
        <v>2.0</v>
      </c>
      <c r="E116" s="16">
        <f>IF($A116="", "", IFERROR(VLOOKUP($A116, Stock_New!$A:$M, 4, FALSE), ""))</f>
        <v>110</v>
      </c>
      <c r="F116" s="5">
        <f t="shared" si="1"/>
        <v>220</v>
      </c>
      <c r="G116" s="16">
        <f>IF($A116="", "", IFERROR(VLOOKUP($A116, Stock_New!$A:$M, 5, FALSE), ""))</f>
        <v>2</v>
      </c>
    </row>
    <row r="117" ht="22.5" customHeight="1">
      <c r="A117" s="11" t="s">
        <v>662</v>
      </c>
      <c r="B117" s="16" t="str">
        <f>IF(A117="","",IFERROR(VLOOKUP(A117, Stock_New!A:M, 2, FALSE),""))</f>
        <v>بوكيه</v>
      </c>
      <c r="C117" s="16" t="str">
        <f>IF(A117="","",IFERROR(VLOOKUP(A117, Stock_New!A:M, 3, FALSE),""))</f>
        <v>المهندس</v>
      </c>
      <c r="D117" s="5">
        <v>4.0</v>
      </c>
      <c r="E117" s="16">
        <f>IF($A117="", "", IFERROR(VLOOKUP($A117, Stock_New!$A:$M, 4, FALSE), ""))</f>
        <v>50</v>
      </c>
      <c r="F117" s="5">
        <f t="shared" si="1"/>
        <v>200</v>
      </c>
      <c r="G117" s="16">
        <f>IF($A117="", "", IFERROR(VLOOKUP($A117, Stock_New!$A:$M, 5, FALSE), ""))</f>
        <v>1</v>
      </c>
    </row>
    <row r="118" ht="22.5" customHeight="1">
      <c r="A118" s="11" t="s">
        <v>667</v>
      </c>
      <c r="B118" s="16" t="str">
        <f>IF(A118="","",IFERROR(VLOOKUP(A118, Stock_New!A:M, 2, FALSE),""))</f>
        <v>بوكيه</v>
      </c>
      <c r="C118" s="16" t="str">
        <f>IF(A118="","",IFERROR(VLOOKUP(A118, Stock_New!A:M, 3, FALSE),""))</f>
        <v>المهندس</v>
      </c>
      <c r="D118" s="5">
        <v>6.0</v>
      </c>
      <c r="E118" s="16">
        <f>IF($A118="", "", IFERROR(VLOOKUP($A118, Stock_New!$A:$M, 4, FALSE), ""))</f>
        <v>55</v>
      </c>
      <c r="F118" s="5">
        <f t="shared" si="1"/>
        <v>330</v>
      </c>
      <c r="G118" s="16">
        <f>IF($A118="", "", IFERROR(VLOOKUP($A118, Stock_New!$A:$M, 5, FALSE), ""))</f>
        <v>6</v>
      </c>
    </row>
    <row r="119" ht="22.5" customHeight="1">
      <c r="A119" s="11" t="s">
        <v>670</v>
      </c>
      <c r="B119" s="16" t="str">
        <f>IF(A119="","",IFERROR(VLOOKUP(A119, Stock_New!A:M, 2, FALSE),""))</f>
        <v>بوتات</v>
      </c>
      <c r="C119" s="16" t="str">
        <f>IF(A119="","",IFERROR(VLOOKUP(A119, Stock_New!A:M, 3, FALSE),""))</f>
        <v>شركة حسين علي</v>
      </c>
      <c r="D119" s="5">
        <f>5+3+50</f>
        <v>58</v>
      </c>
      <c r="E119" s="16">
        <f>IF($A119="", "", IFERROR(VLOOKUP($A119, Stock_New!$A:$M, 4, FALSE), ""))</f>
        <v>12.11</v>
      </c>
      <c r="F119" s="5">
        <f t="shared" si="1"/>
        <v>702.38</v>
      </c>
      <c r="G119" s="16">
        <f>IF($A119="", "", IFERROR(VLOOKUP($A119, Stock_New!$A:$M, 5, FALSE), ""))</f>
        <v>65</v>
      </c>
    </row>
    <row r="120" ht="22.5" customHeight="1">
      <c r="A120" s="11" t="s">
        <v>674</v>
      </c>
      <c r="B120" s="16" t="str">
        <f>IF(A120="","",IFERROR(VLOOKUP(A120, Stock_New!A:M, 2, FALSE),""))</f>
        <v>ورد لوحدة</v>
      </c>
      <c r="C120" s="16" t="str">
        <f>IF(A120="","",IFERROR(VLOOKUP(A120, Stock_New!A:M, 3, FALSE),""))</f>
        <v>شركة الفرسان</v>
      </c>
      <c r="D120" s="5">
        <f>4/5+4</f>
        <v>4.8</v>
      </c>
      <c r="E120" s="16">
        <f>IF($A120="", "", IFERROR(VLOOKUP($A120, Stock_New!$A:$M, 4, FALSE), ""))</f>
        <v>50</v>
      </c>
      <c r="F120" s="5">
        <f t="shared" si="1"/>
        <v>240</v>
      </c>
      <c r="G120" s="16">
        <f>IF($A120="", "", IFERROR(VLOOKUP($A120, Stock_New!$A:$M, 5, FALSE), ""))</f>
        <v>1</v>
      </c>
    </row>
    <row r="121" ht="22.5" customHeight="1">
      <c r="A121" s="11" t="s">
        <v>586</v>
      </c>
      <c r="B121" s="16" t="str">
        <f>IF(A121="","",IFERROR(VLOOKUP(A121, Stock_New!A:M, 2, FALSE),""))</f>
        <v>مطبخ</v>
      </c>
      <c r="C121" s="16" t="str">
        <f>IF(A121="","",IFERROR(VLOOKUP(A121, Stock_New!A:M, 3, FALSE),""))</f>
        <v>شركة الهضبة</v>
      </c>
      <c r="D121" s="5">
        <f>3+4+3</f>
        <v>10</v>
      </c>
      <c r="E121" s="16">
        <f>IF($A121="", "", IFERROR(VLOOKUP($A121, Stock_New!$A:$M, 4, FALSE), ""))</f>
        <v>34</v>
      </c>
      <c r="F121" s="5">
        <f t="shared" si="1"/>
        <v>340</v>
      </c>
      <c r="G121" s="16">
        <f>IF($A121="", "", IFERROR(VLOOKUP($A121, Stock_New!$A:$M, 5, FALSE), ""))</f>
        <v>11</v>
      </c>
    </row>
    <row r="122" ht="22.5" customHeight="1">
      <c r="A122" s="11" t="s">
        <v>558</v>
      </c>
      <c r="B122" s="16" t="str">
        <f>IF(A122="","",IFERROR(VLOOKUP(A122, Stock_New!A:M, 2, FALSE),""))</f>
        <v>كهربائيات</v>
      </c>
      <c r="C122" s="16" t="str">
        <f>IF(A122="","",IFERROR(VLOOKUP(A122, Stock_New!A:M, 3, FALSE),""))</f>
        <v>سنتر محمد رشدي</v>
      </c>
      <c r="D122" s="5">
        <v>3.0</v>
      </c>
      <c r="E122" s="16">
        <f>IF($A122="", "", IFERROR(VLOOKUP($A122, Stock_New!$A:$M, 4, FALSE), ""))</f>
        <v>125</v>
      </c>
      <c r="F122" s="5">
        <f t="shared" si="1"/>
        <v>375</v>
      </c>
      <c r="G122" s="16">
        <f>IF($A122="", "", IFERROR(VLOOKUP($A122, Stock_New!$A:$M, 5, FALSE), ""))</f>
        <v>8</v>
      </c>
    </row>
    <row r="123" ht="22.5" customHeight="1">
      <c r="A123" s="11" t="s">
        <v>689</v>
      </c>
      <c r="B123" s="16" t="str">
        <f>IF(A123="","",IFERROR(VLOOKUP(A123, Stock_New!A:M, 2, FALSE),""))</f>
        <v>كهربائيات</v>
      </c>
      <c r="C123" s="16" t="str">
        <f>IF(A123="","",IFERROR(VLOOKUP(A123, Stock_New!A:M, 3, FALSE),""))</f>
        <v>سنتر محمد رشدي</v>
      </c>
      <c r="D123" s="5">
        <v>5.0</v>
      </c>
      <c r="E123" s="16">
        <f>IF($A123="", "", IFERROR(VLOOKUP($A123, Stock_New!$A:$M, 4, FALSE), ""))</f>
        <v>130</v>
      </c>
      <c r="F123" s="5">
        <f t="shared" si="1"/>
        <v>650</v>
      </c>
      <c r="G123" s="16">
        <f>IF($A123="", "", IFERROR(VLOOKUP($A123, Stock_New!$A:$M, 5, FALSE), ""))</f>
        <v>1</v>
      </c>
    </row>
    <row r="124" ht="22.5" customHeight="1">
      <c r="A124" s="11" t="s">
        <v>144</v>
      </c>
      <c r="B124" s="16" t="str">
        <f>IF(A124="","",IFERROR(VLOOKUP(A124, Stock_New!A:M, 2, FALSE),""))</f>
        <v>كهربائيات</v>
      </c>
      <c r="C124" s="16" t="str">
        <f>IF(A124="","",IFERROR(VLOOKUP(A124, Stock_New!A:M, 3, FALSE),""))</f>
        <v>شركة البطل</v>
      </c>
      <c r="D124" s="5">
        <f>2+4+31</f>
        <v>37</v>
      </c>
      <c r="E124" s="16">
        <f>IF($A124="", "", IFERROR(VLOOKUP($A124, Stock_New!$A:$M, 4, FALSE), ""))</f>
        <v>120</v>
      </c>
      <c r="F124" s="5">
        <f t="shared" si="1"/>
        <v>4440</v>
      </c>
      <c r="G124" s="16">
        <f>IF($A124="", "", IFERROR(VLOOKUP($A124, Stock_New!$A:$M, 5, FALSE), ""))</f>
        <v>40</v>
      </c>
    </row>
    <row r="125" ht="22.5" customHeight="1">
      <c r="A125" s="11" t="s">
        <v>697</v>
      </c>
      <c r="B125" s="16" t="str">
        <f>IF(A125="","",IFERROR(VLOOKUP(A125, Stock_New!A:M, 2, FALSE),""))</f>
        <v>ديكور مكتب</v>
      </c>
      <c r="C125" s="16" t="str">
        <f>IF(A125="","",IFERROR(VLOOKUP(A125, Stock_New!A:M, 3, FALSE),""))</f>
        <v>شركة علاء شاكر</v>
      </c>
      <c r="D125" s="5">
        <v>2.0</v>
      </c>
      <c r="E125" s="16">
        <f>IF($A125="", "", IFERROR(VLOOKUP($A125, Stock_New!$A:$M, 4, FALSE), ""))</f>
        <v>125</v>
      </c>
      <c r="F125" s="5">
        <f t="shared" si="1"/>
        <v>250</v>
      </c>
      <c r="G125" s="16">
        <f>IF($A125="", "", IFERROR(VLOOKUP($A125, Stock_New!$A:$M, 5, FALSE), ""))</f>
        <v>2</v>
      </c>
    </row>
    <row r="126" ht="22.5" customHeight="1">
      <c r="A126" s="11" t="s">
        <v>704</v>
      </c>
      <c r="B126" s="16" t="str">
        <f>IF(A126="","",IFERROR(VLOOKUP(A126, Stock_New!A:M, 2, FALSE),""))</f>
        <v>كهربائيات</v>
      </c>
      <c r="C126" s="16" t="str">
        <f>IF(A126="","",IFERROR(VLOOKUP(A126, Stock_New!A:M, 3, FALSE),""))</f>
        <v>سنتر محمد رشدي</v>
      </c>
      <c r="D126" s="5">
        <v>1.0</v>
      </c>
      <c r="E126" s="16">
        <f>IF($A126="", "", IFERROR(VLOOKUP($A126, Stock_New!$A:$M, 4, FALSE), ""))</f>
        <v>150</v>
      </c>
      <c r="F126" s="5">
        <f t="shared" si="1"/>
        <v>150</v>
      </c>
      <c r="G126" s="16">
        <f>IF($A126="", "", IFERROR(VLOOKUP($A126, Stock_New!$A:$M, 5, FALSE), ""))</f>
        <v>1</v>
      </c>
    </row>
    <row r="127" ht="22.5" customHeight="1">
      <c r="A127" s="11" t="s">
        <v>530</v>
      </c>
      <c r="B127" s="16" t="str">
        <f>IF(A127="","",IFERROR(VLOOKUP(A127, Stock_New!A:M, 2, FALSE),""))</f>
        <v>كهربائيات</v>
      </c>
      <c r="C127" s="16" t="str">
        <f>IF(A127="","",IFERROR(VLOOKUP(A127, Stock_New!A:M, 3, FALSE),""))</f>
        <v>سنتر محمد رشدي</v>
      </c>
      <c r="D127" s="5">
        <v>1.0</v>
      </c>
      <c r="E127" s="16">
        <f>IF($A127="", "", IFERROR(VLOOKUP($A127, Stock_New!$A:$M, 4, FALSE), ""))</f>
        <v>167.5</v>
      </c>
      <c r="F127" s="5">
        <f t="shared" si="1"/>
        <v>167.5</v>
      </c>
      <c r="G127" s="16">
        <f>IF($A127="", "", IFERROR(VLOOKUP($A127, Stock_New!$A:$M, 5, FALSE), ""))</f>
        <v>0</v>
      </c>
    </row>
    <row r="128" ht="22.5" customHeight="1">
      <c r="A128" s="11" t="s">
        <v>709</v>
      </c>
      <c r="B128" s="16" t="str">
        <f>IF(A128="","",IFERROR(VLOOKUP(A128, Stock_New!A:M, 2, FALSE),""))</f>
        <v>كهربائيات</v>
      </c>
      <c r="C128" s="16" t="str">
        <f>IF(A128="","",IFERROR(VLOOKUP(A128, Stock_New!A:M, 3, FALSE),""))</f>
        <v>سنتر محمد رشدي</v>
      </c>
      <c r="D128" s="5">
        <v>1.0</v>
      </c>
      <c r="E128" s="16">
        <f>IF($A128="", "", IFERROR(VLOOKUP($A128, Stock_New!$A:$M, 4, FALSE), ""))</f>
        <v>143</v>
      </c>
      <c r="F128" s="5">
        <f t="shared" si="1"/>
        <v>143</v>
      </c>
      <c r="G128" s="16">
        <f>IF($A128="", "", IFERROR(VLOOKUP($A128, Stock_New!$A:$M, 5, FALSE), ""))</f>
        <v>1</v>
      </c>
    </row>
    <row r="129" ht="22.5" customHeight="1">
      <c r="A129" s="11" t="s">
        <v>714</v>
      </c>
      <c r="B129" s="16" t="str">
        <f>IF(A129="","",IFERROR(VLOOKUP(A129, Stock_New!A:M, 2, FALSE),""))</f>
        <v>كهربائيات</v>
      </c>
      <c r="C129" s="16" t="str">
        <f>IF(A129="","",IFERROR(VLOOKUP(A129, Stock_New!A:M, 3, FALSE),""))</f>
        <v>سنتر محمد رشدي</v>
      </c>
      <c r="D129" s="5">
        <v>2.0</v>
      </c>
      <c r="E129" s="16">
        <f>IF($A129="", "", IFERROR(VLOOKUP($A129, Stock_New!$A:$M, 4, FALSE), ""))</f>
        <v>154</v>
      </c>
      <c r="F129" s="5">
        <f t="shared" si="1"/>
        <v>308</v>
      </c>
      <c r="G129" s="16">
        <f>IF($A129="", "", IFERROR(VLOOKUP($A129, Stock_New!$A:$M, 5, FALSE), ""))</f>
        <v>0</v>
      </c>
    </row>
    <row r="130" ht="22.5" customHeight="1">
      <c r="A130" s="11" t="s">
        <v>688</v>
      </c>
      <c r="B130" s="16" t="str">
        <f>IF(A130="","",IFERROR(VLOOKUP(A130, Stock_New!A:M, 2, FALSE),""))</f>
        <v>كهربائيات</v>
      </c>
      <c r="C130" s="16" t="str">
        <f>IF(A130="","",IFERROR(VLOOKUP(A130, Stock_New!A:M, 3, FALSE),""))</f>
        <v>سنتر محمد رشدي</v>
      </c>
      <c r="D130" s="5">
        <v>2.0</v>
      </c>
      <c r="E130" s="16">
        <f>IF($A130="", "", IFERROR(VLOOKUP($A130, Stock_New!$A:$M, 4, FALSE), ""))</f>
        <v>160</v>
      </c>
      <c r="F130" s="5">
        <f t="shared" si="1"/>
        <v>320</v>
      </c>
      <c r="G130" s="16">
        <f>IF($A130="", "", IFERROR(VLOOKUP($A130, Stock_New!$A:$M, 5, FALSE), ""))</f>
        <v>2</v>
      </c>
    </row>
    <row r="131" ht="22.5" customHeight="1">
      <c r="A131" s="11" t="s">
        <v>723</v>
      </c>
      <c r="B131" s="16" t="str">
        <f>IF(A131="","",IFERROR(VLOOKUP(A131, Stock_New!A:M, 2, FALSE),""))</f>
        <v>كهربائيات</v>
      </c>
      <c r="C131" s="16" t="str">
        <f>IF(A131="","",IFERROR(VLOOKUP(A131, Stock_New!A:M, 3, FALSE),""))</f>
        <v>سنتر محمد رشدي</v>
      </c>
      <c r="D131" s="5">
        <v>1.0</v>
      </c>
      <c r="E131" s="16">
        <f>IF($A131="", "", IFERROR(VLOOKUP($A131, Stock_New!$A:$M, 4, FALSE), ""))</f>
        <v>139</v>
      </c>
      <c r="F131" s="5">
        <f t="shared" si="1"/>
        <v>139</v>
      </c>
      <c r="G131" s="16">
        <f>IF($A131="", "", IFERROR(VLOOKUP($A131, Stock_New!$A:$M, 5, FALSE), ""))</f>
        <v>1</v>
      </c>
    </row>
    <row r="132" ht="22.5" customHeight="1">
      <c r="A132" s="11" t="s">
        <v>730</v>
      </c>
      <c r="B132" s="16" t="str">
        <f>IF(A132="","",IFERROR(VLOOKUP(A132, Stock_New!A:M, 2, FALSE),""))</f>
        <v>مباخر</v>
      </c>
      <c r="C132" s="16" t="str">
        <f>IF(A132="","",IFERROR(VLOOKUP(A132, Stock_New!A:M, 3, FALSE),""))</f>
        <v>سنتر محمد رشدي</v>
      </c>
      <c r="D132" s="5">
        <v>1.0</v>
      </c>
      <c r="E132" s="16">
        <f>IF($A132="", "", IFERROR(VLOOKUP($A132, Stock_New!$A:$M, 4, FALSE), ""))</f>
        <v>140</v>
      </c>
      <c r="F132" s="5">
        <f t="shared" si="1"/>
        <v>140</v>
      </c>
      <c r="G132" s="16">
        <f>IF($A132="", "", IFERROR(VLOOKUP($A132, Stock_New!$A:$M, 5, FALSE), ""))</f>
        <v>1</v>
      </c>
    </row>
    <row r="133" ht="22.5" customHeight="1">
      <c r="A133" s="11" t="s">
        <v>735</v>
      </c>
      <c r="B133" s="16" t="str">
        <f>IF(A133="","",IFERROR(VLOOKUP(A133, Stock_New!A:M, 2, FALSE),""))</f>
        <v>كهربائيات</v>
      </c>
      <c r="C133" s="16" t="str">
        <f>IF(A133="","",IFERROR(VLOOKUP(A133, Stock_New!A:M, 3, FALSE),""))</f>
        <v>سنتر محمد رشدي</v>
      </c>
      <c r="D133" s="5">
        <v>1.0</v>
      </c>
      <c r="E133" s="16">
        <f>IF($A133="", "", IFERROR(VLOOKUP($A133, Stock_New!$A:$M, 4, FALSE), ""))</f>
        <v>125</v>
      </c>
      <c r="F133" s="5">
        <f t="shared" si="1"/>
        <v>125</v>
      </c>
      <c r="G133" s="16">
        <f>IF($A133="", "", IFERROR(VLOOKUP($A133, Stock_New!$A:$M, 5, FALSE), ""))</f>
        <v>0</v>
      </c>
    </row>
    <row r="134" ht="22.5" customHeight="1">
      <c r="A134" s="11" t="s">
        <v>739</v>
      </c>
      <c r="B134" s="16" t="str">
        <f>IF(A134="","",IFERROR(VLOOKUP(A134, Stock_New!A:M, 2, FALSE),""))</f>
        <v>كهربائيات</v>
      </c>
      <c r="C134" s="16" t="str">
        <f>IF(A134="","",IFERROR(VLOOKUP(A134, Stock_New!A:M, 3, FALSE),""))</f>
        <v>سنتر محمد رشدي</v>
      </c>
      <c r="D134" s="5">
        <v>1.0</v>
      </c>
      <c r="E134" s="16">
        <f>IF($A134="", "", IFERROR(VLOOKUP($A134, Stock_New!$A:$M, 4, FALSE), ""))</f>
        <v>125</v>
      </c>
      <c r="F134" s="5">
        <f t="shared" si="1"/>
        <v>125</v>
      </c>
      <c r="G134" s="16">
        <f>IF($A134="", "", IFERROR(VLOOKUP($A134, Stock_New!$A:$M, 5, FALSE), ""))</f>
        <v>1</v>
      </c>
    </row>
    <row r="135" ht="22.5" customHeight="1">
      <c r="A135" s="11" t="s">
        <v>575</v>
      </c>
      <c r="B135" s="16" t="str">
        <f>IF(A135="","",IFERROR(VLOOKUP(A135, Stock_New!A:M, 2, FALSE),""))</f>
        <v>شمع</v>
      </c>
      <c r="C135" s="16" t="str">
        <f>IF(A135="","",IFERROR(VLOOKUP(A135, Stock_New!A:M, 3, FALSE),""))</f>
        <v>سنتر محمد رشدي</v>
      </c>
      <c r="D135" s="5">
        <v>1.0</v>
      </c>
      <c r="E135" s="16">
        <f>IF($A135="", "", IFERROR(VLOOKUP($A135, Stock_New!$A:$M, 4, FALSE), ""))</f>
        <v>4.5</v>
      </c>
      <c r="F135" s="5">
        <f t="shared" si="1"/>
        <v>4.5</v>
      </c>
      <c r="G135" s="16">
        <f>IF($A135="", "", IFERROR(VLOOKUP($A135, Stock_New!$A:$M, 5, FALSE), ""))</f>
        <v>5</v>
      </c>
    </row>
    <row r="136" ht="22.5" customHeight="1">
      <c r="A136" s="11" t="s">
        <v>745</v>
      </c>
      <c r="B136" s="16" t="str">
        <f>IF(A136="","",IFERROR(VLOOKUP(A136, Stock_New!A:M, 2, FALSE),""))</f>
        <v>شمع</v>
      </c>
      <c r="C136" s="16" t="str">
        <f>IF(A136="","",IFERROR(VLOOKUP(A136, Stock_New!A:M, 3, FALSE),""))</f>
        <v/>
      </c>
      <c r="D136" s="5">
        <v>12.0</v>
      </c>
      <c r="E136" s="16">
        <f>IF($A136="", "", IFERROR(VLOOKUP($A136, Stock_New!$A:$M, 4, FALSE), ""))</f>
        <v>22.5</v>
      </c>
      <c r="F136" s="5">
        <f t="shared" si="1"/>
        <v>270</v>
      </c>
      <c r="G136" s="16">
        <f>IF($A136="", "", IFERROR(VLOOKUP($A136, Stock_New!$A:$M, 5, FALSE), ""))</f>
        <v>12</v>
      </c>
    </row>
    <row r="137" ht="22.5" customHeight="1">
      <c r="A137" s="11" t="s">
        <v>750</v>
      </c>
      <c r="B137" s="16" t="str">
        <f>IF(A137="","",IFERROR(VLOOKUP(A137, Stock_New!A:M, 2, FALSE),""))</f>
        <v>شمع</v>
      </c>
      <c r="C137" s="16" t="str">
        <f>IF(A137="","",IFERROR(VLOOKUP(A137, Stock_New!A:M, 3, FALSE),""))</f>
        <v>سنتر محمد رشدي</v>
      </c>
      <c r="D137" s="5">
        <v>24.0</v>
      </c>
      <c r="E137" s="16">
        <f>IF($A137="", "", IFERROR(VLOOKUP($A137, Stock_New!$A:$M, 4, FALSE), ""))</f>
        <v>10.5</v>
      </c>
      <c r="F137" s="5">
        <f t="shared" si="1"/>
        <v>252</v>
      </c>
      <c r="G137" s="16">
        <f>IF($A137="", "", IFERROR(VLOOKUP($A137, Stock_New!$A:$M, 5, FALSE), ""))</f>
        <v>24</v>
      </c>
    </row>
    <row r="138" ht="22.5" customHeight="1">
      <c r="A138" s="11" t="s">
        <v>496</v>
      </c>
      <c r="B138" s="16" t="str">
        <f>IF(A138="","",IFERROR(VLOOKUP(A138, Stock_New!A:M, 2, FALSE),""))</f>
        <v>شمع</v>
      </c>
      <c r="C138" s="16" t="str">
        <f>IF(A138="","",IFERROR(VLOOKUP(A138, Stock_New!A:M, 3, FALSE),""))</f>
        <v>سنتر محمد رشدي</v>
      </c>
      <c r="D138" s="5">
        <v>29.0</v>
      </c>
      <c r="E138" s="16">
        <f>IF($A138="", "", IFERROR(VLOOKUP($A138, Stock_New!$A:$M, 4, FALSE), ""))</f>
        <v>7.2</v>
      </c>
      <c r="F138" s="5">
        <f t="shared" si="1"/>
        <v>208.8</v>
      </c>
      <c r="G138" s="16">
        <f>IF($A138="", "", IFERROR(VLOOKUP($A138, Stock_New!$A:$M, 5, FALSE), ""))</f>
        <v>35</v>
      </c>
    </row>
    <row r="139" ht="22.5" customHeight="1">
      <c r="A139" s="11" t="s">
        <v>758</v>
      </c>
      <c r="B139" s="16" t="str">
        <f>IF(A139="","",IFERROR(VLOOKUP(A139, Stock_New!A:M, 2, FALSE),""))</f>
        <v>شمع</v>
      </c>
      <c r="C139" s="16" t="str">
        <f>IF(A139="","",IFERROR(VLOOKUP(A139, Stock_New!A:M, 3, FALSE),""))</f>
        <v>سنتر محمد رشدي</v>
      </c>
      <c r="D139" s="5">
        <v>12.0</v>
      </c>
      <c r="E139" s="16">
        <f>IF($A139="", "", IFERROR(VLOOKUP($A139, Stock_New!$A:$M, 4, FALSE), ""))</f>
        <v>31.25</v>
      </c>
      <c r="F139" s="5">
        <f t="shared" si="1"/>
        <v>375</v>
      </c>
      <c r="G139" s="16">
        <f>IF($A139="", "", IFERROR(VLOOKUP($A139, Stock_New!$A:$M, 5, FALSE), ""))</f>
        <v>12</v>
      </c>
    </row>
    <row r="140" ht="22.5" customHeight="1">
      <c r="A140" s="11" t="s">
        <v>580</v>
      </c>
      <c r="B140" s="16" t="str">
        <f>IF(A140="","",IFERROR(VLOOKUP(A140, Stock_New!A:M, 2, FALSE),""))</f>
        <v>شمع</v>
      </c>
      <c r="C140" s="16" t="str">
        <f>IF(A140="","",IFERROR(VLOOKUP(A140, Stock_New!A:M, 3, FALSE),""))</f>
        <v>سنتر محمد رشدي</v>
      </c>
      <c r="D140" s="5">
        <v>1.0</v>
      </c>
      <c r="E140" s="16">
        <f>IF($A140="", "", IFERROR(VLOOKUP($A140, Stock_New!$A:$M, 4, FALSE), ""))</f>
        <v>43.75</v>
      </c>
      <c r="F140" s="5">
        <f t="shared" si="1"/>
        <v>43.75</v>
      </c>
      <c r="G140" s="16">
        <f>IF($A140="", "", IFERROR(VLOOKUP($A140, Stock_New!$A:$M, 5, FALSE), ""))</f>
        <v>1</v>
      </c>
    </row>
    <row r="141" ht="22.5" customHeight="1">
      <c r="A141" s="11" t="s">
        <v>572</v>
      </c>
      <c r="B141" s="16" t="str">
        <f>IF(A141="","",IFERROR(VLOOKUP(A141, Stock_New!A:M, 2, FALSE),""))</f>
        <v>شمع</v>
      </c>
      <c r="C141" s="16" t="str">
        <f>IF(A141="","",IFERROR(VLOOKUP(A141, Stock_New!A:M, 3, FALSE),""))</f>
        <v>سنتر محمد رشدي</v>
      </c>
      <c r="D141" s="5">
        <v>58.0</v>
      </c>
      <c r="E141" s="16">
        <f>IF($A141="", "", IFERROR(VLOOKUP($A141, Stock_New!$A:$M, 4, FALSE), ""))</f>
        <v>4.38</v>
      </c>
      <c r="F141" s="5">
        <f t="shared" si="1"/>
        <v>254.04</v>
      </c>
      <c r="G141" s="16">
        <f>IF($A141="", "", IFERROR(VLOOKUP($A141, Stock_New!$A:$M, 5, FALSE), ""))</f>
        <v>18</v>
      </c>
    </row>
    <row r="142" ht="22.5" customHeight="1">
      <c r="A142" s="11" t="s">
        <v>116</v>
      </c>
      <c r="B142" s="16" t="str">
        <f>IF(A142="","",IFERROR(VLOOKUP(A142, Stock_New!A:M, 2, FALSE),""))</f>
        <v>كتب</v>
      </c>
      <c r="C142" s="16" t="str">
        <f>IF(A142="","",IFERROR(VLOOKUP(A142, Stock_New!A:M, 3, FALSE),""))</f>
        <v>ذكريا</v>
      </c>
      <c r="D142" s="5">
        <v>1.0</v>
      </c>
      <c r="E142" s="16">
        <f>IF($A142="", "", IFERROR(VLOOKUP($A142, Stock_New!$A:$M, 4, FALSE), ""))</f>
        <v>17</v>
      </c>
      <c r="F142" s="5">
        <f t="shared" si="1"/>
        <v>17</v>
      </c>
      <c r="G142" s="16">
        <f>IF($A142="", "", IFERROR(VLOOKUP($A142, Stock_New!$A:$M, 5, FALSE), ""))</f>
        <v>1</v>
      </c>
    </row>
    <row r="143" ht="22.5" customHeight="1">
      <c r="A143" s="11" t="s">
        <v>105</v>
      </c>
      <c r="B143" s="16" t="str">
        <f>IF(A143="","",IFERROR(VLOOKUP(A143, Stock_New!A:M, 2, FALSE),""))</f>
        <v>سيلفرات</v>
      </c>
      <c r="C143" s="16" t="str">
        <f>IF(A143="","",IFERROR(VLOOKUP(A143, Stock_New!A:M, 3, FALSE),""))</f>
        <v>ذكريا</v>
      </c>
      <c r="D143" s="5">
        <v>1.0</v>
      </c>
      <c r="E143" s="16">
        <f>IF($A143="", "", IFERROR(VLOOKUP($A143, Stock_New!$A:$M, 4, FALSE), ""))</f>
        <v>525</v>
      </c>
      <c r="F143" s="5">
        <f t="shared" si="1"/>
        <v>525</v>
      </c>
      <c r="G143" s="16">
        <f>IF($A143="", "", IFERROR(VLOOKUP($A143, Stock_New!$A:$M, 5, FALSE), ""))</f>
        <v>1</v>
      </c>
    </row>
    <row r="144" ht="22.5" customHeight="1">
      <c r="A144" s="11" t="s">
        <v>387</v>
      </c>
      <c r="B144" s="16" t="str">
        <f>IF(A144="","",IFERROR(VLOOKUP(A144, Stock_New!A:M, 2, FALSE),""))</f>
        <v>شمعدان</v>
      </c>
      <c r="C144" s="16" t="str">
        <f>IF(A144="","",IFERROR(VLOOKUP(A144, Stock_New!A:M, 3, FALSE),""))</f>
        <v>سنتر محمد رشدي</v>
      </c>
      <c r="D144" s="5">
        <v>1.0</v>
      </c>
      <c r="E144" s="16">
        <f>IF($A144="", "", IFERROR(VLOOKUP($A144, Stock_New!$A:$M, 4, FALSE), ""))</f>
        <v>227</v>
      </c>
      <c r="F144" s="5">
        <f t="shared" si="1"/>
        <v>227</v>
      </c>
      <c r="G144" s="16">
        <f>IF($A144="", "", IFERROR(VLOOKUP($A144, Stock_New!$A:$M, 5, FALSE), ""))</f>
        <v>1</v>
      </c>
    </row>
    <row r="145" ht="22.5" customHeight="1">
      <c r="A145" s="11" t="s">
        <v>446</v>
      </c>
      <c r="B145" s="16" t="str">
        <f>IF(A145="","",IFERROR(VLOOKUP(A145, Stock_New!A:M, 2, FALSE),""))</f>
        <v>شمعدان</v>
      </c>
      <c r="C145" s="16" t="str">
        <f>IF(A145="","",IFERROR(VLOOKUP(A145, Stock_New!A:M, 3, FALSE),""))</f>
        <v>سنتر محمد رشدي</v>
      </c>
      <c r="D145" s="5">
        <v>1.0</v>
      </c>
      <c r="E145" s="16">
        <f>IF($A145="", "", IFERROR(VLOOKUP($A145, Stock_New!$A:$M, 4, FALSE), ""))</f>
        <v>212.5</v>
      </c>
      <c r="F145" s="5">
        <f t="shared" si="1"/>
        <v>212.5</v>
      </c>
      <c r="G145" s="16">
        <f>IF($A145="", "", IFERROR(VLOOKUP($A145, Stock_New!$A:$M, 5, FALSE), ""))</f>
        <v>1</v>
      </c>
    </row>
    <row r="146" ht="22.5" customHeight="1">
      <c r="A146" s="11" t="s">
        <v>649</v>
      </c>
      <c r="B146" s="16" t="str">
        <f>IF(A146="","",IFERROR(VLOOKUP(A146, Stock_New!A:M, 2, FALSE),""))</f>
        <v>كريستال</v>
      </c>
      <c r="C146" s="16" t="str">
        <f>IF(A146="","",IFERROR(VLOOKUP(A146, Stock_New!A:M, 3, FALSE),""))</f>
        <v>محمد رشدي</v>
      </c>
      <c r="D146" s="5">
        <v>1.0</v>
      </c>
      <c r="E146" s="16">
        <f>IF($A146="", "", IFERROR(VLOOKUP($A146, Stock_New!$A:$M, 4, FALSE), ""))</f>
        <v>166</v>
      </c>
      <c r="F146" s="5">
        <f t="shared" si="1"/>
        <v>166</v>
      </c>
      <c r="G146" s="16">
        <f>IF($A146="", "", IFERROR(VLOOKUP($A146, Stock_New!$A:$M, 5, FALSE), ""))</f>
        <v>1</v>
      </c>
    </row>
    <row r="147" ht="22.5" customHeight="1">
      <c r="A147" s="11" t="s">
        <v>788</v>
      </c>
      <c r="B147" s="16" t="str">
        <f>IF(A147="","",IFERROR(VLOOKUP(A147, Stock_New!A:M, 2, FALSE),""))</f>
        <v>سيلفرات</v>
      </c>
      <c r="C147" s="16" t="str">
        <f>IF(A147="","",IFERROR(VLOOKUP(A147, Stock_New!A:M, 3, FALSE),""))</f>
        <v>شركة حسين علي</v>
      </c>
      <c r="D147" s="5">
        <f>3+1</f>
        <v>4</v>
      </c>
      <c r="E147" s="16">
        <f>IF($A147="", "", IFERROR(VLOOKUP($A147, Stock_New!$A:$M, 4, FALSE), ""))</f>
        <v>88.75</v>
      </c>
      <c r="F147" s="5">
        <f t="shared" si="1"/>
        <v>355</v>
      </c>
      <c r="G147" s="16">
        <f>IF($A147="", "", IFERROR(VLOOKUP($A147, Stock_New!$A:$M, 5, FALSE), ""))</f>
        <v>2</v>
      </c>
    </row>
    <row r="148" ht="22.5" customHeight="1">
      <c r="A148" s="11" t="s">
        <v>792</v>
      </c>
      <c r="B148" s="16" t="str">
        <f>IF(A148="","",IFERROR(VLOOKUP(A148, Stock_New!A:M, 2, FALSE),""))</f>
        <v>بلاستيك</v>
      </c>
      <c r="C148" s="16" t="str">
        <f>IF(A148="","",IFERROR(VLOOKUP(A148, Stock_New!A:M, 3, FALSE),""))</f>
        <v>شركة حسين علي</v>
      </c>
      <c r="D148" s="5">
        <v>3.0</v>
      </c>
      <c r="E148" s="16">
        <f>IF($A148="", "", IFERROR(VLOOKUP($A148, Stock_New!$A:$M, 4, FALSE), ""))</f>
        <v>45</v>
      </c>
      <c r="F148" s="5">
        <f t="shared" si="1"/>
        <v>135</v>
      </c>
      <c r="G148" s="16">
        <f>IF($A148="", "", IFERROR(VLOOKUP($A148, Stock_New!$A:$M, 5, FALSE), ""))</f>
        <v>3</v>
      </c>
    </row>
    <row r="149" ht="22.5" customHeight="1">
      <c r="A149" s="11" t="s">
        <v>795</v>
      </c>
      <c r="B149" s="16" t="str">
        <f>IF(A149="","",IFERROR(VLOOKUP(A149, Stock_New!A:M, 2, FALSE),""))</f>
        <v>ديكور</v>
      </c>
      <c r="C149" s="16" t="str">
        <f>IF(A149="","",IFERROR(VLOOKUP(A149, Stock_New!A:M, 3, FALSE),""))</f>
        <v>سنتر محمد رشدي</v>
      </c>
      <c r="D149" s="5">
        <v>4.0</v>
      </c>
      <c r="E149" s="16">
        <f>IF($A149="", "", IFERROR(VLOOKUP($A149, Stock_New!$A:$M, 4, FALSE), ""))</f>
        <v>108</v>
      </c>
      <c r="F149" s="5">
        <f t="shared" si="1"/>
        <v>432</v>
      </c>
      <c r="G149" s="16">
        <f>IF($A149="", "", IFERROR(VLOOKUP($A149, Stock_New!$A:$M, 5, FALSE), ""))</f>
        <v>4</v>
      </c>
    </row>
    <row r="150" ht="22.5" customHeight="1">
      <c r="A150" s="11" t="s">
        <v>383</v>
      </c>
      <c r="B150" s="16" t="str">
        <f>IF(A150="","",IFERROR(VLOOKUP(A150, Stock_New!A:M, 2, FALSE),""))</f>
        <v>كهربائيات</v>
      </c>
      <c r="C150" s="16" t="str">
        <f>IF(A150="","",IFERROR(VLOOKUP(A150, Stock_New!A:M, 3, FALSE),""))</f>
        <v>سنتر محمد رشدي</v>
      </c>
      <c r="D150" s="5">
        <v>2.0</v>
      </c>
      <c r="E150" s="16">
        <f>IF($A150="", "", IFERROR(VLOOKUP($A150, Stock_New!$A:$M, 4, FALSE), ""))</f>
        <v>229.5</v>
      </c>
      <c r="F150" s="5">
        <f t="shared" si="1"/>
        <v>459</v>
      </c>
      <c r="G150" s="16">
        <f>IF($A150="", "", IFERROR(VLOOKUP($A150, Stock_New!$A:$M, 5, FALSE), ""))</f>
        <v>2</v>
      </c>
    </row>
    <row r="151" ht="22.5" customHeight="1">
      <c r="A151" s="11" t="s">
        <v>633</v>
      </c>
      <c r="B151" s="16" t="str">
        <f>IF(A151="","",IFERROR(VLOOKUP(A151, Stock_New!A:M, 2, FALSE),""))</f>
        <v>سيلفرات</v>
      </c>
      <c r="C151" s="16" t="str">
        <f>IF(A151="","",IFERROR(VLOOKUP(A151, Stock_New!A:M, 3, FALSE),""))</f>
        <v>سنتر محمد رشدي</v>
      </c>
      <c r="D151" s="5">
        <v>1.0</v>
      </c>
      <c r="E151" s="16">
        <f>IF($A151="", "", IFERROR(VLOOKUP($A151, Stock_New!$A:$M, 4, FALSE), ""))</f>
        <v>128</v>
      </c>
      <c r="F151" s="5">
        <f t="shared" si="1"/>
        <v>128</v>
      </c>
      <c r="G151" s="16">
        <f>IF($A151="", "", IFERROR(VLOOKUP($A151, Stock_New!$A:$M, 5, FALSE), ""))</f>
        <v>0</v>
      </c>
    </row>
    <row r="152" ht="22.5" customHeight="1">
      <c r="A152" s="11" t="s">
        <v>805</v>
      </c>
      <c r="B152" s="16" t="str">
        <f>IF(A152="","",IFERROR(VLOOKUP(A152, Stock_New!A:M, 2, FALSE),""))</f>
        <v>سيلفرات</v>
      </c>
      <c r="C152" s="16" t="str">
        <f>IF(A152="","",IFERROR(VLOOKUP(A152, Stock_New!A:M, 3, FALSE),""))</f>
        <v>محمد رشدي</v>
      </c>
      <c r="D152" s="5">
        <v>3.0</v>
      </c>
      <c r="E152" s="16">
        <f>IF($A152="", "", IFERROR(VLOOKUP($A152, Stock_New!$A:$M, 4, FALSE), ""))</f>
        <v>49</v>
      </c>
      <c r="F152" s="5">
        <f t="shared" si="1"/>
        <v>147</v>
      </c>
      <c r="G152" s="16">
        <f>IF($A152="", "", IFERROR(VLOOKUP($A152, Stock_New!$A:$M, 5, FALSE), ""))</f>
        <v>3</v>
      </c>
    </row>
    <row r="153" ht="22.5" customHeight="1">
      <c r="A153" s="11" t="s">
        <v>787</v>
      </c>
      <c r="B153" s="16" t="str">
        <f>IF(A153="","",IFERROR(VLOOKUP(A153, Stock_New!A:M, 2, FALSE),""))</f>
        <v>كهربائيات</v>
      </c>
      <c r="C153" s="16" t="str">
        <f>IF(A153="","",IFERROR(VLOOKUP(A153, Stock_New!A:M, 3, FALSE),""))</f>
        <v>سنتر محمد رشدي</v>
      </c>
      <c r="D153" s="5">
        <v>1.0</v>
      </c>
      <c r="E153" s="16">
        <f>IF($A153="", "", IFERROR(VLOOKUP($A153, Stock_New!$A:$M, 4, FALSE), ""))</f>
        <v>135</v>
      </c>
      <c r="F153" s="5">
        <f t="shared" si="1"/>
        <v>135</v>
      </c>
      <c r="G153" s="16">
        <f>IF($A153="", "", IFERROR(VLOOKUP($A153, Stock_New!$A:$M, 5, FALSE), ""))</f>
        <v>1</v>
      </c>
    </row>
    <row r="154" ht="22.5" customHeight="1">
      <c r="A154" s="11" t="s">
        <v>234</v>
      </c>
      <c r="B154" s="16" t="str">
        <f>IF(A154="","",IFERROR(VLOOKUP(A154, Stock_New!A:M, 2, FALSE),""))</f>
        <v>خزف</v>
      </c>
      <c r="C154" s="16" t="str">
        <f>IF(A154="","",IFERROR(VLOOKUP(A154, Stock_New!A:M, 3, FALSE),""))</f>
        <v>ذكريا</v>
      </c>
      <c r="D154" s="5">
        <v>1.0</v>
      </c>
      <c r="E154" s="16">
        <f>IF($A154="", "", IFERROR(VLOOKUP($A154, Stock_New!$A:$M, 4, FALSE), ""))</f>
        <v>165</v>
      </c>
      <c r="F154" s="5">
        <f t="shared" si="1"/>
        <v>165</v>
      </c>
      <c r="G154" s="16">
        <f>IF($A154="", "", IFERROR(VLOOKUP($A154, Stock_New!$A:$M, 5, FALSE), ""))</f>
        <v>0</v>
      </c>
    </row>
    <row r="155" ht="22.5" customHeight="1">
      <c r="A155" s="11" t="s">
        <v>817</v>
      </c>
      <c r="B155" s="16" t="str">
        <f>IF(A155="","",IFERROR(VLOOKUP(A155, Stock_New!A:M, 2, FALSE),""))</f>
        <v>خزف</v>
      </c>
      <c r="C155" s="16" t="str">
        <f>IF(A155="","",IFERROR(VLOOKUP(A155, Stock_New!A:M, 3, FALSE),""))</f>
        <v>ذكريا</v>
      </c>
      <c r="D155" s="5">
        <v>1.0</v>
      </c>
      <c r="E155" s="16">
        <f>IF($A155="", "", IFERROR(VLOOKUP($A155, Stock_New!$A:$M, 4, FALSE), ""))</f>
        <v>135</v>
      </c>
      <c r="F155" s="5">
        <f t="shared" si="1"/>
        <v>135</v>
      </c>
      <c r="G155" s="16">
        <f>IF($A155="", "", IFERROR(VLOOKUP($A155, Stock_New!$A:$M, 5, FALSE), ""))</f>
        <v>0</v>
      </c>
    </row>
    <row r="156" ht="22.5" customHeight="1">
      <c r="A156" s="11" t="s">
        <v>168</v>
      </c>
      <c r="B156" s="16" t="str">
        <f>IF(A156="","",IFERROR(VLOOKUP(A156, Stock_New!A:M, 2, FALSE),""))</f>
        <v>خزف</v>
      </c>
      <c r="C156" s="16" t="str">
        <f>IF(A156="","",IFERROR(VLOOKUP(A156, Stock_New!A:M, 3, FALSE),""))</f>
        <v>شركة حسين علي</v>
      </c>
      <c r="D156" s="5">
        <f>6+1</f>
        <v>7</v>
      </c>
      <c r="E156" s="16">
        <f>IF($A156="", "", IFERROR(VLOOKUP($A156, Stock_New!$A:$M, 4, FALSE), ""))</f>
        <v>110</v>
      </c>
      <c r="F156" s="5">
        <f t="shared" si="1"/>
        <v>770</v>
      </c>
      <c r="G156" s="16">
        <f>IF($A156="", "", IFERROR(VLOOKUP($A156, Stock_New!$A:$M, 5, FALSE), ""))</f>
        <v>4</v>
      </c>
    </row>
    <row r="157" ht="22.5" customHeight="1">
      <c r="A157" s="11" t="s">
        <v>449</v>
      </c>
      <c r="B157" s="16" t="str">
        <f>IF(A157="","",IFERROR(VLOOKUP(A157, Stock_New!A:M, 2, FALSE),""))</f>
        <v>خزف</v>
      </c>
      <c r="C157" s="16" t="str">
        <f>IF(A157="","",IFERROR(VLOOKUP(A157, Stock_New!A:M, 3, FALSE),""))</f>
        <v>ذكريا</v>
      </c>
      <c r="D157" s="5">
        <v>1.0</v>
      </c>
      <c r="E157" s="16">
        <f>IF($A157="", "", IFERROR(VLOOKUP($A157, Stock_New!$A:$M, 4, FALSE), ""))</f>
        <v>135</v>
      </c>
      <c r="F157" s="5">
        <f t="shared" si="1"/>
        <v>135</v>
      </c>
      <c r="G157" s="16">
        <f>IF($A157="", "", IFERROR(VLOOKUP($A157, Stock_New!$A:$M, 5, FALSE), ""))</f>
        <v>0</v>
      </c>
    </row>
    <row r="158" ht="22.5" customHeight="1">
      <c r="A158" s="11" t="s">
        <v>781</v>
      </c>
      <c r="B158" s="16" t="str">
        <f>IF(A158="","",IFERROR(VLOOKUP(A158, Stock_New!A:M, 2, FALSE),""))</f>
        <v>خزف</v>
      </c>
      <c r="C158" s="16" t="str">
        <f>IF(A158="","",IFERROR(VLOOKUP(A158, Stock_New!A:M, 3, FALSE),""))</f>
        <v>شركة حسين علي</v>
      </c>
      <c r="D158" s="5">
        <f>2+3</f>
        <v>5</v>
      </c>
      <c r="E158" s="16">
        <f>IF($A158="", "", IFERROR(VLOOKUP($A158, Stock_New!$A:$M, 4, FALSE), ""))</f>
        <v>150</v>
      </c>
      <c r="F158" s="5">
        <f t="shared" si="1"/>
        <v>750</v>
      </c>
      <c r="G158" s="16">
        <f>IF($A158="", "", IFERROR(VLOOKUP($A158, Stock_New!$A:$M, 5, FALSE), ""))</f>
        <v>5</v>
      </c>
    </row>
    <row r="159" ht="22.5" customHeight="1">
      <c r="A159" s="11" t="s">
        <v>549</v>
      </c>
      <c r="B159" s="16" t="str">
        <f>IF(A159="","",IFERROR(VLOOKUP(A159, Stock_New!A:M, 2, FALSE),""))</f>
        <v>بخور</v>
      </c>
      <c r="C159" s="16" t="str">
        <f>IF(A159="","",IFERROR(VLOOKUP(A159, Stock_New!A:M, 3, FALSE),""))</f>
        <v>سنتر محمد رشدي</v>
      </c>
      <c r="D159" s="5">
        <v>18.0</v>
      </c>
      <c r="E159" s="16">
        <f>IF($A159="", "", IFERROR(VLOOKUP($A159, Stock_New!$A:$M, 4, FALSE), ""))</f>
        <v>17.5</v>
      </c>
      <c r="F159" s="5">
        <f t="shared" si="1"/>
        <v>315</v>
      </c>
      <c r="G159" s="16">
        <f>IF($A159="", "", IFERROR(VLOOKUP($A159, Stock_New!$A:$M, 5, FALSE), ""))</f>
        <v>19</v>
      </c>
    </row>
    <row r="160" ht="22.5" customHeight="1">
      <c r="A160" s="11" t="s">
        <v>800</v>
      </c>
      <c r="B160" s="16" t="str">
        <f>IF(A160="","",IFERROR(VLOOKUP(A160, Stock_New!A:M, 2, FALSE),""))</f>
        <v>بخور</v>
      </c>
      <c r="C160" s="16" t="str">
        <f>IF(A160="","",IFERROR(VLOOKUP(A160, Stock_New!A:M, 3, FALSE),""))</f>
        <v>سنتر محمد رشدي</v>
      </c>
      <c r="D160" s="16">
        <f>29+11</f>
        <v>40</v>
      </c>
      <c r="E160" s="16">
        <f>IF($A160="", "", IFERROR(VLOOKUP($A160, Stock_New!$A:$M, 4, FALSE), ""))</f>
        <v>11.25</v>
      </c>
      <c r="F160" s="5">
        <f t="shared" si="1"/>
        <v>450</v>
      </c>
      <c r="G160" s="16">
        <f>IF($A160="", "", IFERROR(VLOOKUP($A160, Stock_New!$A:$M, 5, FALSE), ""))</f>
        <v>43</v>
      </c>
    </row>
    <row r="161" ht="22.5" customHeight="1">
      <c r="A161" s="11" t="s">
        <v>75</v>
      </c>
      <c r="B161" s="16" t="str">
        <f>IF(A161="","",IFERROR(VLOOKUP(A161, Stock_New!A:M, 2, FALSE),""))</f>
        <v>سيلفرات</v>
      </c>
      <c r="C161" s="16" t="str">
        <f>IF(A161="","",IFERROR(VLOOKUP(A161, Stock_New!A:M, 3, FALSE),""))</f>
        <v>ذكريا</v>
      </c>
      <c r="D161" s="5">
        <v>1.0</v>
      </c>
      <c r="E161" s="16">
        <f>IF($A161="", "", IFERROR(VLOOKUP($A161, Stock_New!$A:$M, 4, FALSE), ""))</f>
        <v>725</v>
      </c>
      <c r="F161" s="5">
        <f t="shared" si="1"/>
        <v>725</v>
      </c>
      <c r="G161" s="16">
        <f>IF($A161="", "", IFERROR(VLOOKUP($A161, Stock_New!$A:$M, 5, FALSE), ""))</f>
        <v>1</v>
      </c>
    </row>
    <row r="162" ht="22.5" customHeight="1">
      <c r="A162" s="11" t="s">
        <v>187</v>
      </c>
      <c r="B162" s="16" t="str">
        <f>IF(A162="","",IFERROR(VLOOKUP(A162, Stock_New!A:M, 2, FALSE),""))</f>
        <v>سيلفرات</v>
      </c>
      <c r="C162" s="16" t="str">
        <f>IF(A162="","",IFERROR(VLOOKUP(A162, Stock_New!A:M, 3, FALSE),""))</f>
        <v>شركة التقوى</v>
      </c>
      <c r="D162" s="5">
        <f>1+1+7</f>
        <v>9</v>
      </c>
      <c r="E162" s="16">
        <f>IF($A162="", "", IFERROR(VLOOKUP($A162, Stock_New!$A:$M, 4, FALSE), ""))</f>
        <v>350</v>
      </c>
      <c r="F162" s="5">
        <f t="shared" si="1"/>
        <v>3150</v>
      </c>
      <c r="G162" s="16">
        <f>IF($A162="", "", IFERROR(VLOOKUP($A162, Stock_New!$A:$M, 5, FALSE), ""))</f>
        <v>9</v>
      </c>
    </row>
    <row r="163" ht="22.5" customHeight="1">
      <c r="A163" s="11" t="s">
        <v>135</v>
      </c>
      <c r="B163" s="16" t="str">
        <f>IF(A163="","",IFERROR(VLOOKUP(A163, Stock_New!A:M, 2, FALSE),""))</f>
        <v>سيلفرات</v>
      </c>
      <c r="C163" s="16" t="str">
        <f>IF(A163="","",IFERROR(VLOOKUP(A163, Stock_New!A:M, 3, FALSE),""))</f>
        <v>شركة التقوى</v>
      </c>
      <c r="D163" s="5">
        <f>2+1+8+1</f>
        <v>12</v>
      </c>
      <c r="E163" s="16">
        <f>IF($A163="", "", IFERROR(VLOOKUP($A163, Stock_New!$A:$M, 4, FALSE), ""))</f>
        <v>450</v>
      </c>
      <c r="F163" s="5">
        <f t="shared" si="1"/>
        <v>5400</v>
      </c>
      <c r="G163" s="16">
        <f>IF($A163="", "", IFERROR(VLOOKUP($A163, Stock_New!$A:$M, 5, FALSE), ""))</f>
        <v>12</v>
      </c>
    </row>
    <row r="164" ht="22.5" customHeight="1">
      <c r="A164" s="11" t="s">
        <v>47</v>
      </c>
      <c r="B164" s="16" t="str">
        <f>IF(A164="","",IFERROR(VLOOKUP(A164, Stock_New!A:M, 2, FALSE),""))</f>
        <v>سيلفرات</v>
      </c>
      <c r="C164" s="16" t="str">
        <f>IF(A164="","",IFERROR(VLOOKUP(A164, Stock_New!A:M, 3, FALSE),""))</f>
        <v>ذكريا</v>
      </c>
      <c r="D164" s="5">
        <v>1.0</v>
      </c>
      <c r="E164" s="16">
        <f>IF($A164="", "", IFERROR(VLOOKUP($A164, Stock_New!$A:$M, 4, FALSE), ""))</f>
        <v>1100</v>
      </c>
      <c r="F164" s="5">
        <f t="shared" si="1"/>
        <v>1100</v>
      </c>
      <c r="G164" s="16">
        <f>IF($A164="", "", IFERROR(VLOOKUP($A164, Stock_New!$A:$M, 5, FALSE), ""))</f>
        <v>2</v>
      </c>
    </row>
    <row r="165" ht="22.5" customHeight="1">
      <c r="A165" s="11" t="s">
        <v>44</v>
      </c>
      <c r="B165" s="16" t="str">
        <f>IF(A165="","",IFERROR(VLOOKUP(A165, Stock_New!A:M, 2, FALSE),""))</f>
        <v>سيلفرات</v>
      </c>
      <c r="C165" s="16" t="str">
        <f>IF(A165="","",IFERROR(VLOOKUP(A165, Stock_New!A:M, 3, FALSE),""))</f>
        <v>ذكريا</v>
      </c>
      <c r="D165" s="5">
        <v>1.0</v>
      </c>
      <c r="E165" s="16">
        <f>IF($A165="", "", IFERROR(VLOOKUP($A165, Stock_New!$A:$M, 4, FALSE), ""))</f>
        <v>1250</v>
      </c>
      <c r="F165" s="5">
        <f t="shared" si="1"/>
        <v>1250</v>
      </c>
      <c r="G165" s="16">
        <f>IF($A165="", "", IFERROR(VLOOKUP($A165, Stock_New!$A:$M, 5, FALSE), ""))</f>
        <v>1</v>
      </c>
    </row>
    <row r="166" ht="22.5" customHeight="1">
      <c r="A166" s="11" t="s">
        <v>69</v>
      </c>
      <c r="B166" s="16" t="str">
        <f>IF(A166="","",IFERROR(VLOOKUP(A166, Stock_New!A:M, 2, FALSE),""))</f>
        <v>سيلفرات</v>
      </c>
      <c r="C166" s="16" t="str">
        <f>IF(A166="","",IFERROR(VLOOKUP(A166, Stock_New!A:M, 3, FALSE),""))</f>
        <v>ذكريا</v>
      </c>
      <c r="D166" s="5">
        <v>1.0</v>
      </c>
      <c r="E166" s="16">
        <f>IF($A166="", "", IFERROR(VLOOKUP($A166, Stock_New!$A:$M, 4, FALSE), ""))</f>
        <v>750</v>
      </c>
      <c r="F166" s="5">
        <f t="shared" si="1"/>
        <v>750</v>
      </c>
      <c r="G166" s="16">
        <f>IF($A166="", "", IFERROR(VLOOKUP($A166, Stock_New!$A:$M, 5, FALSE), ""))</f>
        <v>1</v>
      </c>
    </row>
    <row r="167" ht="22.5" customHeight="1">
      <c r="A167" s="11" t="s">
        <v>85</v>
      </c>
      <c r="B167" s="16" t="str">
        <f>IF(A167="","",IFERROR(VLOOKUP(A167, Stock_New!A:M, 2, FALSE),""))</f>
        <v>سيلفرات</v>
      </c>
      <c r="C167" s="16" t="str">
        <f>IF(A167="","",IFERROR(VLOOKUP(A167, Stock_New!A:M, 3, FALSE),""))</f>
        <v>ذكريا</v>
      </c>
      <c r="D167" s="5">
        <v>1.0</v>
      </c>
      <c r="E167" s="16">
        <f>IF($A167="", "", IFERROR(VLOOKUP($A167, Stock_New!$A:$M, 4, FALSE), ""))</f>
        <v>598.33</v>
      </c>
      <c r="F167" s="5">
        <f t="shared" si="1"/>
        <v>598.33</v>
      </c>
      <c r="G167" s="16">
        <f>IF($A167="", "", IFERROR(VLOOKUP($A167, Stock_New!$A:$M, 5, FALSE), ""))</f>
        <v>1</v>
      </c>
    </row>
    <row r="168" ht="22.5" customHeight="1">
      <c r="A168" s="11" t="s">
        <v>129</v>
      </c>
      <c r="B168" s="16" t="str">
        <f>IF(A168="","",IFERROR(VLOOKUP(A168, Stock_New!A:M, 2, FALSE),""))</f>
        <v>ديكور مكتب</v>
      </c>
      <c r="C168" s="16" t="str">
        <f>IF(A168="","",IFERROR(VLOOKUP(A168, Stock_New!A:M, 3, FALSE),""))</f>
        <v>سنتر محمد رشدي</v>
      </c>
      <c r="D168" s="5">
        <v>1.0</v>
      </c>
      <c r="E168" s="16">
        <f>IF($A168="", "", IFERROR(VLOOKUP($A168, Stock_New!$A:$M, 4, FALSE), ""))</f>
        <v>490</v>
      </c>
      <c r="F168" s="5">
        <f t="shared" si="1"/>
        <v>490</v>
      </c>
      <c r="G168" s="16">
        <f>IF($A168="", "", IFERROR(VLOOKUP($A168, Stock_New!$A:$M, 5, FALSE), ""))</f>
        <v>1</v>
      </c>
    </row>
    <row r="169" ht="22.5" customHeight="1">
      <c r="A169" s="10" t="s">
        <v>201</v>
      </c>
      <c r="B169" s="16" t="str">
        <f>IF(A169="","",IFERROR(VLOOKUP(A169, Stock_New!A:M, 2, FALSE),""))</f>
        <v>تحف</v>
      </c>
      <c r="C169" s="16" t="str">
        <f>IF(A169="","",IFERROR(VLOOKUP(A169, Stock_New!A:M, 3, FALSE),""))</f>
        <v>محمد رشدي</v>
      </c>
      <c r="D169" s="5">
        <v>1.0</v>
      </c>
      <c r="E169" s="16">
        <f>IF($A169="", "", IFERROR(VLOOKUP($A169, Stock_New!$A:$M, 4, FALSE), ""))</f>
        <v>338</v>
      </c>
      <c r="F169" s="5">
        <f t="shared" si="1"/>
        <v>338</v>
      </c>
      <c r="G169" s="16">
        <f>IF($A169="", "", IFERROR(VLOOKUP($A169, Stock_New!$A:$M, 5, FALSE), ""))</f>
        <v>1</v>
      </c>
    </row>
    <row r="170" ht="22.5" customHeight="1">
      <c r="A170" s="11" t="s">
        <v>871</v>
      </c>
      <c r="B170" s="16" t="str">
        <f>IF(A170="","",IFERROR(VLOOKUP(A170, Stock_New!A:M, 2, FALSE),""))</f>
        <v>سيلفرات</v>
      </c>
      <c r="C170" s="16" t="str">
        <f>IF(A170="","",IFERROR(VLOOKUP(A170, Stock_New!A:M, 3, FALSE),""))</f>
        <v>شركة حسين علي</v>
      </c>
      <c r="D170" s="5">
        <f>6+2+2</f>
        <v>10</v>
      </c>
      <c r="E170" s="16">
        <f>IF($A170="", "", IFERROR(VLOOKUP($A170, Stock_New!$A:$M, 4, FALSE), ""))</f>
        <v>93</v>
      </c>
      <c r="F170" s="5">
        <f t="shared" si="1"/>
        <v>930</v>
      </c>
      <c r="G170" s="16">
        <f>IF($A170="", "", IFERROR(VLOOKUP($A170, Stock_New!$A:$M, 5, FALSE), ""))</f>
        <v>6</v>
      </c>
    </row>
    <row r="171" ht="22.5" customHeight="1">
      <c r="A171" s="11" t="s">
        <v>876</v>
      </c>
      <c r="B171" s="16" t="str">
        <f>IF(A171="","",IFERROR(VLOOKUP(A171, Stock_New!A:M, 2, FALSE),""))</f>
        <v>كرستال</v>
      </c>
      <c r="C171" s="16" t="str">
        <f>IF(A171="","",IFERROR(VLOOKUP(A171, Stock_New!A:M, 3, FALSE),""))</f>
        <v>شركة الفرسان</v>
      </c>
      <c r="D171" s="5">
        <v>6.0</v>
      </c>
      <c r="E171" s="16">
        <f>IF($A171="", "", IFERROR(VLOOKUP($A171, Stock_New!$A:$M, 4, FALSE), ""))</f>
        <v>100</v>
      </c>
      <c r="F171" s="5">
        <f t="shared" si="1"/>
        <v>600</v>
      </c>
      <c r="G171" s="16">
        <f>IF($A171="", "", IFERROR(VLOOKUP($A171, Stock_New!$A:$M, 5, FALSE), ""))</f>
        <v>6</v>
      </c>
    </row>
    <row r="172" ht="22.5" customHeight="1">
      <c r="A172" s="11" t="s">
        <v>268</v>
      </c>
      <c r="B172" s="16" t="str">
        <f>IF(A172="","",IFERROR(VLOOKUP(A172, Stock_New!A:M, 2, FALSE),""))</f>
        <v>سيلفرات</v>
      </c>
      <c r="C172" s="16" t="str">
        <f>IF(A172="","",IFERROR(VLOOKUP(A172, Stock_New!A:M, 3, FALSE),""))</f>
        <v>شركة حسين علي</v>
      </c>
      <c r="D172" s="5">
        <v>1.0</v>
      </c>
      <c r="E172" s="16">
        <f>IF($A172="", "", IFERROR(VLOOKUP($A172, Stock_New!$A:$M, 4, FALSE), ""))</f>
        <v>178.75</v>
      </c>
      <c r="F172" s="5">
        <f t="shared" si="1"/>
        <v>178.75</v>
      </c>
      <c r="G172" s="16">
        <f>IF($A172="", "", IFERROR(VLOOKUP($A172, Stock_New!$A:$M, 5, FALSE), ""))</f>
        <v>2</v>
      </c>
    </row>
    <row r="173" ht="22.5" customHeight="1">
      <c r="A173" s="11" t="s">
        <v>334</v>
      </c>
      <c r="B173" s="16" t="str">
        <f>IF(A173="","",IFERROR(VLOOKUP(A173, Stock_New!A:M, 2, FALSE),""))</f>
        <v>ميكاب</v>
      </c>
      <c r="C173" s="16" t="str">
        <f>IF(A173="","",IFERROR(VLOOKUP(A173, Stock_New!A:M, 3, FALSE),""))</f>
        <v>سنتر محمد رشدي</v>
      </c>
      <c r="D173" s="5">
        <v>2.0</v>
      </c>
      <c r="E173" s="16">
        <f>IF($A173="", "", IFERROR(VLOOKUP($A173, Stock_New!$A:$M, 4, FALSE), ""))</f>
        <v>255</v>
      </c>
      <c r="F173" s="5">
        <f t="shared" si="1"/>
        <v>510</v>
      </c>
      <c r="G173" s="16">
        <f>IF($A173="", "", IFERROR(VLOOKUP($A173, Stock_New!$A:$M, 5, FALSE), ""))</f>
        <v>1</v>
      </c>
    </row>
    <row r="174" ht="22.5" customHeight="1">
      <c r="A174" s="11" t="s">
        <v>803</v>
      </c>
      <c r="B174" s="16" t="str">
        <f>IF(A174="","",IFERROR(VLOOKUP(A174, Stock_New!A:M, 2, FALSE),""))</f>
        <v>ديكور معدن</v>
      </c>
      <c r="C174" s="16" t="str">
        <f>IF(A174="","",IFERROR(VLOOKUP(A174, Stock_New!A:M, 3, FALSE),""))</f>
        <v>سنتر محمد رشدي</v>
      </c>
      <c r="D174" s="5">
        <f>2+1</f>
        <v>3</v>
      </c>
      <c r="E174" s="16">
        <f>IF($A174="", "", IFERROR(VLOOKUP($A174, Stock_New!$A:$M, 4, FALSE), ""))</f>
        <v>145</v>
      </c>
      <c r="F174" s="5">
        <f t="shared" si="1"/>
        <v>435</v>
      </c>
      <c r="G174" s="16">
        <f>IF($A174="", "", IFERROR(VLOOKUP($A174, Stock_New!$A:$M, 5, FALSE), ""))</f>
        <v>3</v>
      </c>
    </row>
    <row r="175" ht="22.5" customHeight="1">
      <c r="A175" s="11" t="s">
        <v>637</v>
      </c>
      <c r="B175" s="16" t="str">
        <f>IF(A175="","",IFERROR(VLOOKUP(A175, Stock_New!A:M, 2, FALSE),""))</f>
        <v>سيلفرات</v>
      </c>
      <c r="C175" s="16" t="str">
        <f>IF(A175="","",IFERROR(VLOOKUP(A175, Stock_New!A:M, 3, FALSE),""))</f>
        <v>سنتر محمد رشدي</v>
      </c>
      <c r="D175" s="5">
        <v>3.0</v>
      </c>
      <c r="E175" s="16">
        <f>IF($A175="", "", IFERROR(VLOOKUP($A175, Stock_New!$A:$M, 4, FALSE), ""))</f>
        <v>167</v>
      </c>
      <c r="F175" s="5">
        <f t="shared" si="1"/>
        <v>501</v>
      </c>
      <c r="G175" s="16">
        <f>IF($A175="", "", IFERROR(VLOOKUP($A175, Stock_New!$A:$M, 5, FALSE), ""))</f>
        <v>3</v>
      </c>
    </row>
    <row r="176" ht="22.5" customHeight="1">
      <c r="A176" s="11" t="s">
        <v>634</v>
      </c>
      <c r="B176" s="16" t="str">
        <f>IF(A176="","",IFERROR(VLOOKUP(A176, Stock_New!A:M, 2, FALSE),""))</f>
        <v>سيلفرات</v>
      </c>
      <c r="C176" s="16" t="str">
        <f>IF(A176="","",IFERROR(VLOOKUP(A176, Stock_New!A:M, 3, FALSE),""))</f>
        <v>سنتر محمد رشدي</v>
      </c>
      <c r="D176" s="5">
        <v>3.0</v>
      </c>
      <c r="E176" s="16">
        <f>IF($A176="", "", IFERROR(VLOOKUP($A176, Stock_New!$A:$M, 4, FALSE), ""))</f>
        <v>167</v>
      </c>
      <c r="F176" s="5">
        <f t="shared" si="1"/>
        <v>501</v>
      </c>
      <c r="G176" s="16">
        <f>IF($A176="", "", IFERROR(VLOOKUP($A176, Stock_New!$A:$M, 5, FALSE), ""))</f>
        <v>4</v>
      </c>
    </row>
    <row r="177" ht="22.5" customHeight="1">
      <c r="A177" s="11" t="s">
        <v>807</v>
      </c>
      <c r="B177" s="16" t="str">
        <f>IF(A177="","",IFERROR(VLOOKUP(A177, Stock_New!A:M, 2, FALSE),""))</f>
        <v>ديكور مكتب</v>
      </c>
      <c r="C177" s="16" t="str">
        <f>IF(A177="","",IFERROR(VLOOKUP(A177, Stock_New!A:M, 3, FALSE),""))</f>
        <v>شركة علاء شاكر</v>
      </c>
      <c r="D177" s="5">
        <f>1+1</f>
        <v>2</v>
      </c>
      <c r="E177" s="16">
        <f>IF($A177="", "", IFERROR(VLOOKUP($A177, Stock_New!$A:$M, 4, FALSE), ""))</f>
        <v>145</v>
      </c>
      <c r="F177" s="5">
        <f t="shared" si="1"/>
        <v>290</v>
      </c>
      <c r="G177" s="16">
        <f>IF($A177="", "", IFERROR(VLOOKUP($A177, Stock_New!$A:$M, 5, FALSE), ""))</f>
        <v>2</v>
      </c>
    </row>
    <row r="178" ht="22.5" customHeight="1">
      <c r="A178" s="11" t="s">
        <v>903</v>
      </c>
      <c r="B178" s="16" t="str">
        <f>IF(A178="","",IFERROR(VLOOKUP(A178, Stock_New!A:M, 2, FALSE),""))</f>
        <v>سلة ديكور</v>
      </c>
      <c r="C178" s="16" t="str">
        <f>IF(A178="","",IFERROR(VLOOKUP(A178, Stock_New!A:M, 3, FALSE),""))</f>
        <v>سنتر محمد رشدي</v>
      </c>
      <c r="D178" s="5">
        <v>3.0</v>
      </c>
      <c r="E178" s="16">
        <f>IF($A178="", "", IFERROR(VLOOKUP($A178, Stock_New!$A:$M, 4, FALSE), ""))</f>
        <v>115</v>
      </c>
      <c r="F178" s="5">
        <f t="shared" si="1"/>
        <v>345</v>
      </c>
      <c r="G178" s="16">
        <f>IF($A178="", "", IFERROR(VLOOKUP($A178, Stock_New!$A:$M, 5, FALSE), ""))</f>
        <v>3</v>
      </c>
    </row>
    <row r="179" ht="22.5" customHeight="1">
      <c r="A179" s="11" t="s">
        <v>279</v>
      </c>
      <c r="B179" s="16" t="str">
        <f>IF(A179="","",IFERROR(VLOOKUP(A179, Stock_New!A:M, 2, FALSE),""))</f>
        <v>ميكاب</v>
      </c>
      <c r="C179" s="16" t="str">
        <f>IF(A179="","",IFERROR(VLOOKUP(A179, Stock_New!A:M, 3, FALSE),""))</f>
        <v>سنتر محمد رشدي</v>
      </c>
      <c r="D179" s="5">
        <v>2.0</v>
      </c>
      <c r="E179" s="16">
        <f>IF($A179="", "", IFERROR(VLOOKUP($A179, Stock_New!$A:$M, 4, FALSE), ""))</f>
        <v>300</v>
      </c>
      <c r="F179" s="5">
        <f t="shared" si="1"/>
        <v>600</v>
      </c>
      <c r="G179" s="16">
        <f>IF($A179="", "", IFERROR(VLOOKUP($A179, Stock_New!$A:$M, 5, FALSE), ""))</f>
        <v>2</v>
      </c>
    </row>
    <row r="180" ht="22.5" customHeight="1">
      <c r="A180" s="11" t="s">
        <v>505</v>
      </c>
      <c r="B180" s="16" t="str">
        <f>IF(A180="","",IFERROR(VLOOKUP(A180, Stock_New!A:M, 2, FALSE),""))</f>
        <v>مطبخ</v>
      </c>
      <c r="C180" s="16" t="str">
        <f>IF(A180="","",IFERROR(VLOOKUP(A180, Stock_New!A:M, 3, FALSE),""))</f>
        <v>احمد اشرف جاليري</v>
      </c>
      <c r="D180" s="5">
        <f>6+1</f>
        <v>7</v>
      </c>
      <c r="E180" s="16">
        <f>IF($A180="", "", IFERROR(VLOOKUP($A180, Stock_New!$A:$M, 4, FALSE), ""))</f>
        <v>165</v>
      </c>
      <c r="F180" s="5">
        <f t="shared" si="1"/>
        <v>1155</v>
      </c>
      <c r="G180" s="16">
        <f>IF($A180="", "", IFERROR(VLOOKUP($A180, Stock_New!$A:$M, 5, FALSE), ""))</f>
        <v>8</v>
      </c>
    </row>
    <row r="181" ht="22.5" customHeight="1">
      <c r="A181" s="11" t="s">
        <v>239</v>
      </c>
      <c r="B181" s="16" t="str">
        <f>IF(A181="","",IFERROR(VLOOKUP(A181, Stock_New!A:M, 2, FALSE),""))</f>
        <v>كهربائيات</v>
      </c>
      <c r="C181" s="16" t="str">
        <f>IF(A181="","",IFERROR(VLOOKUP(A181, Stock_New!A:M, 3, FALSE),""))</f>
        <v>ذكريا</v>
      </c>
      <c r="D181" s="5">
        <v>2.0</v>
      </c>
      <c r="E181" s="16">
        <f>IF($A181="", "", IFERROR(VLOOKUP($A181, Stock_New!$A:$M, 4, FALSE), ""))</f>
        <v>325</v>
      </c>
      <c r="F181" s="5">
        <f t="shared" si="1"/>
        <v>650</v>
      </c>
      <c r="G181" s="16">
        <f>IF($A181="", "", IFERROR(VLOOKUP($A181, Stock_New!$A:$M, 5, FALSE), ""))</f>
        <v>2</v>
      </c>
    </row>
    <row r="182" ht="22.5" customHeight="1">
      <c r="A182" s="11" t="s">
        <v>915</v>
      </c>
      <c r="B182" s="16" t="str">
        <f>IF(A182="","",IFERROR(VLOOKUP(A182, Stock_New!A:M, 2, FALSE),""))</f>
        <v>سيلفرات</v>
      </c>
      <c r="C182" s="16" t="str">
        <f>IF(A182="","",IFERROR(VLOOKUP(A182, Stock_New!A:M, 3, FALSE),""))</f>
        <v>شركة حسين علي</v>
      </c>
      <c r="D182" s="5">
        <f>5+1</f>
        <v>6</v>
      </c>
      <c r="E182" s="16">
        <f>IF($A182="", "", IFERROR(VLOOKUP($A182, Stock_New!$A:$M, 4, FALSE), ""))</f>
        <v>115</v>
      </c>
      <c r="F182" s="5">
        <f t="shared" si="1"/>
        <v>690</v>
      </c>
      <c r="G182" s="16">
        <f>IF($A182="", "", IFERROR(VLOOKUP($A182, Stock_New!$A:$M, 5, FALSE), ""))</f>
        <v>6</v>
      </c>
    </row>
    <row r="183" ht="22.5" customHeight="1">
      <c r="A183" s="11" t="s">
        <v>763</v>
      </c>
      <c r="B183" s="16" t="str">
        <f>IF(A183="","",IFERROR(VLOOKUP(A183, Stock_New!A:M, 2, FALSE),""))</f>
        <v>سيلفرات</v>
      </c>
      <c r="C183" s="16" t="str">
        <f>IF(A183="","",IFERROR(VLOOKUP(A183, Stock_New!A:M, 3, FALSE),""))</f>
        <v>سنتر محمد رشدي</v>
      </c>
      <c r="D183" s="5">
        <v>4.0</v>
      </c>
      <c r="E183" s="16">
        <f>IF($A183="", "", IFERROR(VLOOKUP($A183, Stock_New!$A:$M, 4, FALSE), ""))</f>
        <v>150</v>
      </c>
      <c r="F183" s="5">
        <f t="shared" si="1"/>
        <v>600</v>
      </c>
      <c r="G183" s="16">
        <f>IF($A183="", "", IFERROR(VLOOKUP($A183, Stock_New!$A:$M, 5, FALSE), ""))</f>
        <v>4</v>
      </c>
    </row>
    <row r="184" ht="22.5" customHeight="1">
      <c r="A184" s="11" t="s">
        <v>779</v>
      </c>
      <c r="B184" s="16" t="str">
        <f>IF(A184="","",IFERROR(VLOOKUP(A184, Stock_New!A:M, 2, FALSE),""))</f>
        <v>سيلفرات</v>
      </c>
      <c r="C184" s="16" t="str">
        <f>IF(A184="","",IFERROR(VLOOKUP(A184, Stock_New!A:M, 3, FALSE),""))</f>
        <v>سنتر محمد رشدي</v>
      </c>
      <c r="D184" s="5">
        <v>2.0</v>
      </c>
      <c r="E184" s="16">
        <f>IF($A184="", "", IFERROR(VLOOKUP($A184, Stock_New!$A:$M, 4, FALSE), ""))</f>
        <v>150</v>
      </c>
      <c r="F184" s="5">
        <f t="shared" si="1"/>
        <v>300</v>
      </c>
      <c r="G184" s="16">
        <f>IF($A184="", "", IFERROR(VLOOKUP($A184, Stock_New!$A:$M, 5, FALSE), ""))</f>
        <v>2</v>
      </c>
    </row>
    <row r="185" ht="22.5" customHeight="1">
      <c r="A185" s="11" t="s">
        <v>776</v>
      </c>
      <c r="B185" s="16" t="str">
        <f>IF(A185="","",IFERROR(VLOOKUP(A185, Stock_New!A:M, 2, FALSE),""))</f>
        <v>سيلفرات</v>
      </c>
      <c r="C185" s="16" t="str">
        <f>IF(A185="","",IFERROR(VLOOKUP(A185, Stock_New!A:M, 3, FALSE),""))</f>
        <v>سنتر محمد رشدي</v>
      </c>
      <c r="D185" s="5">
        <v>1.0</v>
      </c>
      <c r="E185" s="16">
        <f>IF($A185="", "", IFERROR(VLOOKUP($A185, Stock_New!$A:$M, 4, FALSE), ""))</f>
        <v>150</v>
      </c>
      <c r="F185" s="5">
        <f t="shared" si="1"/>
        <v>150</v>
      </c>
      <c r="G185" s="16">
        <f>IF($A185="", "", IFERROR(VLOOKUP($A185, Stock_New!$A:$M, 5, FALSE), ""))</f>
        <v>1</v>
      </c>
    </row>
    <row r="186" ht="22.5" customHeight="1">
      <c r="A186" s="11" t="s">
        <v>930</v>
      </c>
      <c r="B186" s="16" t="str">
        <f>IF(A186="","",IFERROR(VLOOKUP(A186, Stock_New!A:M, 2, FALSE),""))</f>
        <v>براويز</v>
      </c>
      <c r="C186" s="16" t="str">
        <f>IF(A186="","",IFERROR(VLOOKUP(A186, Stock_New!A:M, 3, FALSE),""))</f>
        <v>شركة الفرسان للاستيراد والتصدير</v>
      </c>
      <c r="D186" s="5">
        <v>5.0</v>
      </c>
      <c r="E186" s="16">
        <f>IF($A186="", "", IFERROR(VLOOKUP($A186, Stock_New!$A:$M, 4, FALSE), ""))</f>
        <v>90</v>
      </c>
      <c r="F186" s="5">
        <f t="shared" si="1"/>
        <v>450</v>
      </c>
      <c r="G186" s="16">
        <f>IF($A186="", "", IFERROR(VLOOKUP($A186, Stock_New!$A:$M, 5, FALSE), ""))</f>
        <v>15</v>
      </c>
    </row>
    <row r="187" ht="22.5" customHeight="1">
      <c r="A187" s="11" t="s">
        <v>936</v>
      </c>
      <c r="B187" s="16" t="str">
        <f>IF(A187="","",IFERROR(VLOOKUP(A187, Stock_New!A:M, 2, FALSE),""))</f>
        <v>لزق</v>
      </c>
      <c r="C187" s="16" t="str">
        <f>IF(A187="","",IFERROR(VLOOKUP(A187, Stock_New!A:M, 3, FALSE),""))</f>
        <v/>
      </c>
      <c r="D187" s="5">
        <v>8.0</v>
      </c>
      <c r="E187" s="16">
        <f>IF($A187="", "", IFERROR(VLOOKUP($A187, Stock_New!$A:$M, 4, FALSE), ""))</f>
        <v>28</v>
      </c>
      <c r="F187" s="5">
        <f t="shared" si="1"/>
        <v>224</v>
      </c>
      <c r="G187" s="16">
        <f>IF($A187="", "", IFERROR(VLOOKUP($A187, Stock_New!$A:$M, 5, FALSE), ""))</f>
        <v>9</v>
      </c>
    </row>
    <row r="188" ht="22.5" customHeight="1">
      <c r="A188" s="11" t="s">
        <v>939</v>
      </c>
      <c r="B188" s="16" t="str">
        <f>IF(A188="","",IFERROR(VLOOKUP(A188, Stock_New!A:M, 2, FALSE),""))</f>
        <v>لزق</v>
      </c>
      <c r="C188" s="16" t="str">
        <f>IF(A188="","",IFERROR(VLOOKUP(A188, Stock_New!A:M, 3, FALSE),""))</f>
        <v/>
      </c>
      <c r="D188" s="5">
        <v>8.0</v>
      </c>
      <c r="E188" s="16">
        <f>IF($A188="", "", IFERROR(VLOOKUP($A188, Stock_New!$A:$M, 4, FALSE), ""))</f>
        <v>20</v>
      </c>
      <c r="F188" s="5">
        <f t="shared" si="1"/>
        <v>160</v>
      </c>
      <c r="G188" s="16">
        <f>IF($A188="", "", IFERROR(VLOOKUP($A188, Stock_New!$A:$M, 5, FALSE), ""))</f>
        <v>8</v>
      </c>
    </row>
    <row r="189" ht="22.5" customHeight="1">
      <c r="A189" s="11" t="s">
        <v>841</v>
      </c>
      <c r="B189" s="16" t="str">
        <f>IF(A189="","",IFERROR(VLOOKUP(A189, Stock_New!A:M, 2, FALSE),""))</f>
        <v>لزق</v>
      </c>
      <c r="C189" s="19"/>
      <c r="D189" s="5">
        <v>6.0</v>
      </c>
      <c r="E189" s="16">
        <f>IF($A189="", "", IFERROR(VLOOKUP($A189, Stock_New!$A:$M, 4, FALSE), ""))</f>
        <v>15</v>
      </c>
      <c r="F189" s="5">
        <f t="shared" si="1"/>
        <v>90</v>
      </c>
      <c r="G189" s="16">
        <f>IF($A189="", "", IFERROR(VLOOKUP($A189, Stock_New!$A:$M, 5, FALSE), ""))</f>
        <v>8</v>
      </c>
    </row>
    <row r="190" ht="22.5" customHeight="1">
      <c r="A190" s="11" t="s">
        <v>902</v>
      </c>
      <c r="B190" s="16" t="str">
        <f>IF(A190="","",IFERROR(VLOOKUP(A190, Stock_New!A:M, 2, FALSE),""))</f>
        <v>خشب</v>
      </c>
      <c r="C190" s="16" t="str">
        <f>IF(A190="","",IFERROR(VLOOKUP(A190, Stock_New!A:M, 3, FALSE),""))</f>
        <v>شركة حسين علي</v>
      </c>
      <c r="D190" s="5">
        <v>6.0</v>
      </c>
      <c r="E190" s="16">
        <f>IF($A190="", "", IFERROR(VLOOKUP($A190, Stock_New!$A:$M, 4, FALSE), ""))</f>
        <v>90.29</v>
      </c>
      <c r="F190" s="5">
        <f t="shared" si="1"/>
        <v>541.74</v>
      </c>
      <c r="G190" s="16">
        <f>IF($A190="", "", IFERROR(VLOOKUP($A190, Stock_New!$A:$M, 5, FALSE), ""))</f>
        <v>4</v>
      </c>
    </row>
    <row r="191" ht="22.5" customHeight="1">
      <c r="A191" s="11" t="s">
        <v>802</v>
      </c>
      <c r="B191" s="16" t="str">
        <f>IF(A191="","",IFERROR(VLOOKUP(A191, Stock_New!A:M, 2, FALSE),""))</f>
        <v>بخور</v>
      </c>
      <c r="C191" s="16" t="str">
        <f>IF(A191="","",IFERROR(VLOOKUP(A191, Stock_New!A:M, 3, FALSE),""))</f>
        <v/>
      </c>
      <c r="D191" s="5">
        <v>17.0</v>
      </c>
      <c r="E191" s="16">
        <f>IF($A191="", "", IFERROR(VLOOKUP($A191, Stock_New!$A:$M, 4, FALSE), ""))</f>
        <v>53.33</v>
      </c>
      <c r="F191" s="5">
        <f t="shared" si="1"/>
        <v>906.61</v>
      </c>
      <c r="G191" s="16">
        <f>IF($A191="", "", IFERROR(VLOOKUP($A191, Stock_New!$A:$M, 5, FALSE), ""))</f>
        <v>17.2</v>
      </c>
    </row>
    <row r="192" ht="22.5" customHeight="1">
      <c r="A192" s="11" t="s">
        <v>861</v>
      </c>
      <c r="B192" s="16" t="str">
        <f>IF(A192="","",IFERROR(VLOOKUP(A192, Stock_New!A:M, 2, FALSE),""))</f>
        <v>بخور</v>
      </c>
      <c r="C192" s="16" t="str">
        <f>IF(A192="","",IFERROR(VLOOKUP(A192, Stock_New!A:M, 3, FALSE),""))</f>
        <v/>
      </c>
      <c r="D192" s="5">
        <v>8.0</v>
      </c>
      <c r="E192" s="16">
        <f>IF($A192="", "", IFERROR(VLOOKUP($A192, Stock_New!$A:$M, 4, FALSE), ""))</f>
        <v>23.33</v>
      </c>
      <c r="F192" s="5">
        <f t="shared" si="1"/>
        <v>186.64</v>
      </c>
      <c r="G192" s="16">
        <f>IF($A192="", "", IFERROR(VLOOKUP($A192, Stock_New!$A:$M, 5, FALSE), ""))</f>
        <v>6</v>
      </c>
    </row>
    <row r="193" ht="22.5" customHeight="1">
      <c r="A193" s="11" t="s">
        <v>955</v>
      </c>
      <c r="B193" s="19" t="s">
        <v>30</v>
      </c>
      <c r="C193" s="19" t="s">
        <v>154</v>
      </c>
      <c r="D193" s="5">
        <v>1.0</v>
      </c>
      <c r="E193" s="16" t="str">
        <f>IF($A193="", "", IFERROR(VLOOKUP($A193, Stock_New!$A:$M, 4, FALSE), ""))</f>
        <v/>
      </c>
      <c r="F193" s="5">
        <f t="shared" si="1"/>
        <v>0</v>
      </c>
      <c r="G193" s="5">
        <v>1.0</v>
      </c>
    </row>
    <row r="194" ht="22.5" customHeight="1">
      <c r="A194" s="11" t="s">
        <v>139</v>
      </c>
      <c r="B194" s="16" t="str">
        <f>IF(A194="","",IFERROR(VLOOKUP(A194, Stock_New!A:M, 2, FALSE),""))</f>
        <v>سيلفرات</v>
      </c>
      <c r="C194" s="16" t="str">
        <f>IF(A194="","",IFERROR(VLOOKUP(A194, Stock_New!A:M, 3, FALSE),""))</f>
        <v>ذكريا</v>
      </c>
      <c r="D194" s="5">
        <v>2.0</v>
      </c>
      <c r="E194" s="16">
        <f>IF($A194="", "", IFERROR(VLOOKUP($A194, Stock_New!$A:$M, 4, FALSE), ""))</f>
        <v>110</v>
      </c>
      <c r="F194" s="5">
        <f t="shared" si="1"/>
        <v>220</v>
      </c>
      <c r="G194" s="16">
        <f>IF($A194="", "", IFERROR(VLOOKUP($A194, Stock_New!$A:$M, 5, FALSE), ""))</f>
        <v>2</v>
      </c>
    </row>
    <row r="195" ht="22.5" customHeight="1">
      <c r="A195" s="11" t="s">
        <v>652</v>
      </c>
      <c r="B195" s="16" t="str">
        <f>IF(A195="","",IFERROR(VLOOKUP(A195, Stock_New!A:M, 2, FALSE),""))</f>
        <v>سيلفرات</v>
      </c>
      <c r="C195" s="16" t="str">
        <f>IF(A195="","",IFERROR(VLOOKUP(A195, Stock_New!A:M, 3, FALSE),""))</f>
        <v>ذكريا</v>
      </c>
      <c r="D195" s="5">
        <v>1.0</v>
      </c>
      <c r="E195" s="16">
        <f>IF($A195="", "", IFERROR(VLOOKUP($A195, Stock_New!$A:$M, 4, FALSE), ""))</f>
        <v>70</v>
      </c>
      <c r="F195" s="5">
        <f t="shared" si="1"/>
        <v>70</v>
      </c>
      <c r="G195" s="16">
        <f>IF($A195="", "", IFERROR(VLOOKUP($A195, Stock_New!$A:$M, 5, FALSE), ""))</f>
        <v>1</v>
      </c>
    </row>
    <row r="196" ht="22.5" customHeight="1">
      <c r="A196" s="11" t="s">
        <v>242</v>
      </c>
      <c r="B196" s="16" t="str">
        <f>IF(A196="","",IFERROR(VLOOKUP(A196, Stock_New!A:M, 2, FALSE),""))</f>
        <v>سيلفرات</v>
      </c>
      <c r="C196" s="16" t="str">
        <f>IF(A196="","",IFERROR(VLOOKUP(A196, Stock_New!A:M, 3, FALSE),""))</f>
        <v>ذكريا</v>
      </c>
      <c r="D196" s="5">
        <v>1.0</v>
      </c>
      <c r="E196" s="16">
        <f>IF($A196="", "", IFERROR(VLOOKUP($A196, Stock_New!$A:$M, 4, FALSE), ""))</f>
        <v>325</v>
      </c>
      <c r="F196" s="5">
        <f t="shared" si="1"/>
        <v>325</v>
      </c>
      <c r="G196" s="16">
        <f>IF($A196="", "", IFERROR(VLOOKUP($A196, Stock_New!$A:$M, 5, FALSE), ""))</f>
        <v>1</v>
      </c>
    </row>
    <row r="197" ht="22.5" customHeight="1">
      <c r="A197" s="11" t="s">
        <v>583</v>
      </c>
      <c r="B197" s="16" t="str">
        <f>IF(A197="","",IFERROR(VLOOKUP(A197, Stock_New!A:M, 2, FALSE),""))</f>
        <v>لوح</v>
      </c>
      <c r="C197" s="16" t="str">
        <f>IF(A197="","",IFERROR(VLOOKUP(A197, Stock_New!A:M, 3, FALSE),""))</f>
        <v>شركة الفرسان</v>
      </c>
      <c r="D197" s="5">
        <v>3.0</v>
      </c>
      <c r="E197" s="16">
        <f>IF($A197="", "", IFERROR(VLOOKUP($A197, Stock_New!$A:$M, 4, FALSE), ""))</f>
        <v>175</v>
      </c>
      <c r="F197" s="5">
        <f t="shared" si="1"/>
        <v>525</v>
      </c>
      <c r="G197" s="16">
        <f>IF($A197="", "", IFERROR(VLOOKUP($A197, Stock_New!$A:$M, 5, FALSE), ""))</f>
        <v>3</v>
      </c>
    </row>
    <row r="198" ht="22.5" customHeight="1">
      <c r="A198" s="11" t="s">
        <v>971</v>
      </c>
      <c r="B198" s="16" t="str">
        <f>IF(A198="","",IFERROR(VLOOKUP(A198, Stock_New!A:M, 2, FALSE),""))</f>
        <v>تابلوه ديكور</v>
      </c>
      <c r="C198" s="16" t="str">
        <f>IF(A198="","",IFERROR(VLOOKUP(A198, Stock_New!A:M, 3, FALSE),""))</f>
        <v>سنتر محمد رشدي</v>
      </c>
      <c r="D198" s="5">
        <v>2.0</v>
      </c>
      <c r="E198" s="16">
        <f>IF($A198="", "", IFERROR(VLOOKUP($A198, Stock_New!$A:$M, 4, FALSE), ""))</f>
        <v>120</v>
      </c>
      <c r="F198" s="5">
        <f t="shared" si="1"/>
        <v>240</v>
      </c>
      <c r="G198" s="16">
        <f>IF($A198="", "", IFERROR(VLOOKUP($A198, Stock_New!$A:$M, 5, FALSE), ""))</f>
        <v>2</v>
      </c>
    </row>
    <row r="199" ht="22.5" customHeight="1">
      <c r="A199" s="11" t="s">
        <v>616</v>
      </c>
      <c r="B199" s="16" t="str">
        <f>IF(A199="","",IFERROR(VLOOKUP(A199, Stock_New!A:M, 2, FALSE),""))</f>
        <v>تابلوه ديكور</v>
      </c>
      <c r="C199" s="16" t="str">
        <f>IF(A199="","",IFERROR(VLOOKUP(A199, Stock_New!A:M, 3, FALSE),""))</f>
        <v>سنتر محمد رشدي</v>
      </c>
      <c r="D199" s="5">
        <v>3.0</v>
      </c>
      <c r="E199" s="16">
        <f>IF($A199="", "", IFERROR(VLOOKUP($A199, Stock_New!$A:$M, 4, FALSE), ""))</f>
        <v>170</v>
      </c>
      <c r="F199" s="5">
        <f t="shared" si="1"/>
        <v>510</v>
      </c>
      <c r="G199" s="16">
        <f>IF($A199="", "", IFERROR(VLOOKUP($A199, Stock_New!$A:$M, 5, FALSE), ""))</f>
        <v>3</v>
      </c>
    </row>
    <row r="200" ht="22.5" customHeight="1">
      <c r="A200" s="11" t="s">
        <v>594</v>
      </c>
      <c r="B200" s="16" t="str">
        <f>IF(A200="","",IFERROR(VLOOKUP(A200, Stock_New!A:M, 2, FALSE),""))</f>
        <v>تابلوه ديكور</v>
      </c>
      <c r="C200" s="16" t="str">
        <f>IF(A200="","",IFERROR(VLOOKUP(A200, Stock_New!A:M, 3, FALSE),""))</f>
        <v>سنتر محمد رشدي</v>
      </c>
      <c r="D200" s="5">
        <v>1.0</v>
      </c>
      <c r="E200" s="16">
        <f>IF($A200="", "", IFERROR(VLOOKUP($A200, Stock_New!$A:$M, 4, FALSE), ""))</f>
        <v>175</v>
      </c>
      <c r="F200" s="5">
        <f t="shared" si="1"/>
        <v>175</v>
      </c>
      <c r="G200" s="16">
        <f>IF($A200="", "", IFERROR(VLOOKUP($A200, Stock_New!$A:$M, 5, FALSE), ""))</f>
        <v>1</v>
      </c>
    </row>
    <row r="201" ht="22.5" customHeight="1">
      <c r="A201" s="11" t="s">
        <v>930</v>
      </c>
      <c r="B201" s="16" t="str">
        <f>IF(A201="","",IFERROR(VLOOKUP(A201, Stock_New!A:M, 2, FALSE),""))</f>
        <v>براويز</v>
      </c>
      <c r="C201" s="16" t="str">
        <f>IF(A201="","",IFERROR(VLOOKUP(A201, Stock_New!A:M, 3, FALSE),""))</f>
        <v>شركة الفرسان للاستيراد والتصدير</v>
      </c>
      <c r="D201" s="5">
        <v>15.0</v>
      </c>
      <c r="E201" s="16">
        <f>IF($A201="", "", IFERROR(VLOOKUP($A201, Stock_New!$A:$M, 4, FALSE), ""))</f>
        <v>90</v>
      </c>
      <c r="F201" s="5">
        <f t="shared" si="1"/>
        <v>1350</v>
      </c>
      <c r="G201" s="16">
        <f>IF($A201="", "", IFERROR(VLOOKUP($A201, Stock_New!$A:$M, 5, FALSE), ""))</f>
        <v>15</v>
      </c>
    </row>
    <row r="202" ht="22.5" customHeight="1">
      <c r="A202" s="11" t="s">
        <v>988</v>
      </c>
      <c r="B202" s="16" t="str">
        <f>IF(A202="","",IFERROR(VLOOKUP(A202, Stock_New!A:M, 2, FALSE),""))</f>
        <v>براويز</v>
      </c>
      <c r="C202" s="16" t="str">
        <f>IF(A202="","",IFERROR(VLOOKUP(A202, Stock_New!A:M, 3, FALSE),""))</f>
        <v>شركة الفرسان</v>
      </c>
      <c r="D202" s="5">
        <v>4.0</v>
      </c>
      <c r="E202" s="16">
        <f>IF($A202="", "", IFERROR(VLOOKUP($A202, Stock_New!$A:$M, 4, FALSE), ""))</f>
        <v>75</v>
      </c>
      <c r="F202" s="5">
        <f t="shared" si="1"/>
        <v>300</v>
      </c>
      <c r="G202" s="16">
        <f>IF($A202="", "", IFERROR(VLOOKUP($A202, Stock_New!$A:$M, 5, FALSE), ""))</f>
        <v>4</v>
      </c>
    </row>
    <row r="203" ht="22.5" customHeight="1">
      <c r="A203" s="11" t="s">
        <v>991</v>
      </c>
      <c r="B203" s="16" t="str">
        <f>IF(A203="","",IFERROR(VLOOKUP(A203, Stock_New!A:M, 2, FALSE),""))</f>
        <v>براويز</v>
      </c>
      <c r="C203" s="16" t="str">
        <f>IF(A203="","",IFERROR(VLOOKUP(A203, Stock_New!A:M, 3, FALSE),""))</f>
        <v>شركة الفرسان</v>
      </c>
      <c r="D203" s="5">
        <v>12.0</v>
      </c>
      <c r="E203" s="16">
        <f>IF($A203="", "", IFERROR(VLOOKUP($A203, Stock_New!$A:$M, 4, FALSE), ""))</f>
        <v>50</v>
      </c>
      <c r="F203" s="5">
        <f t="shared" si="1"/>
        <v>600</v>
      </c>
      <c r="G203" s="16">
        <f>IF($A203="", "", IFERROR(VLOOKUP($A203, Stock_New!$A:$M, 5, FALSE), ""))</f>
        <v>12</v>
      </c>
    </row>
    <row r="204" ht="22.5" customHeight="1">
      <c r="A204" s="11" t="s">
        <v>996</v>
      </c>
      <c r="B204" s="16" t="str">
        <f>IF(A204="","",IFERROR(VLOOKUP(A204, Stock_New!A:M, 2, FALSE),""))</f>
        <v>براويز</v>
      </c>
      <c r="C204" s="16" t="str">
        <f>IF(A204="","",IFERROR(VLOOKUP(A204, Stock_New!A:M, 3, FALSE),""))</f>
        <v>شركة الفرسان</v>
      </c>
      <c r="D204" s="5">
        <v>9.0</v>
      </c>
      <c r="E204" s="16">
        <f>IF($A204="", "", IFERROR(VLOOKUP($A204, Stock_New!$A:$M, 4, FALSE), ""))</f>
        <v>75</v>
      </c>
      <c r="F204" s="5">
        <f t="shared" si="1"/>
        <v>675</v>
      </c>
      <c r="G204" s="16">
        <f>IF($A204="", "", IFERROR(VLOOKUP($A204, Stock_New!$A:$M, 5, FALSE), ""))</f>
        <v>9</v>
      </c>
    </row>
    <row r="205" ht="22.5" customHeight="1">
      <c r="A205" s="11" t="s">
        <v>920</v>
      </c>
      <c r="B205" s="16" t="str">
        <f>IF(A205="","",IFERROR(VLOOKUP(A205, Stock_New!A:M, 2, FALSE),""))</f>
        <v>ديكور مكتب</v>
      </c>
      <c r="C205" s="16" t="str">
        <f>IF(A205="","",IFERROR(VLOOKUP(A205, Stock_New!A:M, 3, FALSE),""))</f>
        <v>شركة علاء شاكر</v>
      </c>
      <c r="D205" s="5">
        <v>5.0</v>
      </c>
      <c r="E205" s="16">
        <f>IF($A205="", "", IFERROR(VLOOKUP($A205, Stock_New!$A:$M, 4, FALSE), ""))</f>
        <v>130</v>
      </c>
      <c r="F205" s="5">
        <f t="shared" si="1"/>
        <v>650</v>
      </c>
      <c r="G205" s="16">
        <f>IF($A205="", "", IFERROR(VLOOKUP($A205, Stock_New!$A:$M, 5, FALSE), ""))</f>
        <v>5</v>
      </c>
    </row>
    <row r="206" ht="22.5" customHeight="1">
      <c r="A206" s="11" t="s">
        <v>923</v>
      </c>
      <c r="B206" s="16" t="str">
        <f>IF(A206="","",IFERROR(VLOOKUP(A206, Stock_New!A:M, 2, FALSE),""))</f>
        <v>سيلفرات</v>
      </c>
      <c r="C206" s="16" t="str">
        <f>IF(A206="","",IFERROR(VLOOKUP(A206, Stock_New!A:M, 3, FALSE),""))</f>
        <v>محمد رشدي</v>
      </c>
      <c r="D206" s="5">
        <v>2.0</v>
      </c>
      <c r="E206" s="16">
        <f>IF($A206="", "", IFERROR(VLOOKUP($A206, Stock_New!$A:$M, 4, FALSE), ""))</f>
        <v>129</v>
      </c>
      <c r="F206" s="5">
        <f t="shared" si="1"/>
        <v>258</v>
      </c>
      <c r="G206" s="16">
        <f>IF($A206="", "", IFERROR(VLOOKUP($A206, Stock_New!$A:$M, 5, FALSE), ""))</f>
        <v>0</v>
      </c>
    </row>
    <row r="207" ht="22.5" customHeight="1">
      <c r="A207" s="11" t="s">
        <v>813</v>
      </c>
      <c r="B207" s="16" t="str">
        <f>IF(A207="","",IFERROR(VLOOKUP(A207, Stock_New!A:M, 2, FALSE),""))</f>
        <v>سيلفر</v>
      </c>
      <c r="C207" s="16" t="str">
        <f>IF(A207="","",IFERROR(VLOOKUP(A207, Stock_New!A:M, 3, FALSE),""))</f>
        <v>سنتر محمد رشدي</v>
      </c>
      <c r="D207" s="5">
        <v>2.0</v>
      </c>
      <c r="E207" s="16">
        <f>IF($A207="", "", IFERROR(VLOOKUP($A207, Stock_New!$A:$M, 4, FALSE), ""))</f>
        <v>141</v>
      </c>
      <c r="F207" s="5">
        <f t="shared" si="1"/>
        <v>282</v>
      </c>
      <c r="G207" s="16">
        <f>IF($A207="", "", IFERROR(VLOOKUP($A207, Stock_New!$A:$M, 5, FALSE), ""))</f>
        <v>2</v>
      </c>
    </row>
    <row r="208" ht="22.5" customHeight="1">
      <c r="A208" s="11" t="s">
        <v>718</v>
      </c>
      <c r="B208" s="16" t="str">
        <f>IF(A208="","",IFERROR(VLOOKUP(A208, Stock_New!A:M, 2, FALSE),""))</f>
        <v>ديكور معدن</v>
      </c>
      <c r="C208" s="16" t="str">
        <f>IF(A208="","",IFERROR(VLOOKUP(A208, Stock_New!A:M, 3, FALSE),""))</f>
        <v>سنتر محمد رشدي</v>
      </c>
      <c r="D208" s="5">
        <v>1.0</v>
      </c>
      <c r="E208" s="16">
        <f>IF($A208="", "", IFERROR(VLOOKUP($A208, Stock_New!$A:$M, 4, FALSE), ""))</f>
        <v>155</v>
      </c>
      <c r="F208" s="5">
        <f t="shared" si="1"/>
        <v>155</v>
      </c>
      <c r="G208" s="16">
        <f>IF($A208="", "", IFERROR(VLOOKUP($A208, Stock_New!$A:$M, 5, FALSE), ""))</f>
        <v>1</v>
      </c>
    </row>
    <row r="209" ht="22.5" customHeight="1">
      <c r="A209" s="11" t="s">
        <v>942</v>
      </c>
      <c r="B209" s="16" t="str">
        <f>IF(A209="","",IFERROR(VLOOKUP(A209, Stock_New!A:M, 2, FALSE),""))</f>
        <v>سيلفر</v>
      </c>
      <c r="C209" s="16" t="str">
        <f>IF(A209="","",IFERROR(VLOOKUP(A209, Stock_New!A:M, 3, FALSE),""))</f>
        <v>سنتر محمد رشدي</v>
      </c>
      <c r="D209" s="5">
        <v>2.0</v>
      </c>
      <c r="E209" s="16">
        <f>IF($A209="", "", IFERROR(VLOOKUP($A209, Stock_New!$A:$M, 4, FALSE), ""))</f>
        <v>126</v>
      </c>
      <c r="F209" s="5">
        <f t="shared" si="1"/>
        <v>252</v>
      </c>
      <c r="G209" s="16">
        <f>IF($A209="", "", IFERROR(VLOOKUP($A209, Stock_New!$A:$M, 5, FALSE), ""))</f>
        <v>2</v>
      </c>
    </row>
    <row r="210" ht="22.5" customHeight="1">
      <c r="A210" s="11" t="s">
        <v>642</v>
      </c>
      <c r="B210" s="16" t="str">
        <f>IF(A210="","",IFERROR(VLOOKUP(A210, Stock_New!A:M, 2, FALSE),""))</f>
        <v>سيلفرات</v>
      </c>
      <c r="C210" s="16" t="str">
        <f>IF(A210="","",IFERROR(VLOOKUP(A210, Stock_New!A:M, 3, FALSE),""))</f>
        <v>ذكريا</v>
      </c>
      <c r="D210" s="5">
        <v>2.0</v>
      </c>
      <c r="E210" s="16">
        <f>IF($A210="", "", IFERROR(VLOOKUP($A210, Stock_New!$A:$M, 4, FALSE), ""))</f>
        <v>105</v>
      </c>
      <c r="F210" s="5">
        <f t="shared" si="1"/>
        <v>210</v>
      </c>
      <c r="G210" s="16">
        <f>IF($A210="", "", IFERROR(VLOOKUP($A210, Stock_New!$A:$M, 5, FALSE), ""))</f>
        <v>4</v>
      </c>
    </row>
    <row r="211" ht="22.5" customHeight="1">
      <c r="A211" s="11" t="s">
        <v>351</v>
      </c>
      <c r="B211" s="16" t="str">
        <f>IF(A211="","",IFERROR(VLOOKUP(A211, Stock_New!A:M, 2, FALSE),""))</f>
        <v>سيلفرات</v>
      </c>
      <c r="C211" s="16" t="str">
        <f>IF(A211="","",IFERROR(VLOOKUP(A211, Stock_New!A:M, 3, FALSE),""))</f>
        <v>ذكريا</v>
      </c>
      <c r="D211" s="5">
        <v>2.0</v>
      </c>
      <c r="E211" s="16">
        <f>IF($A211="", "", IFERROR(VLOOKUP($A211, Stock_New!$A:$M, 4, FALSE), ""))</f>
        <v>120</v>
      </c>
      <c r="F211" s="5">
        <f t="shared" si="1"/>
        <v>240</v>
      </c>
      <c r="G211" s="16">
        <f>IF($A211="", "", IFERROR(VLOOKUP($A211, Stock_New!$A:$M, 5, FALSE), ""))</f>
        <v>1</v>
      </c>
    </row>
    <row r="212" ht="22.5" customHeight="1">
      <c r="A212" s="11" t="s">
        <v>519</v>
      </c>
      <c r="B212" s="16" t="str">
        <f>IF(A212="","",IFERROR(VLOOKUP(A212, Stock_New!A:M, 2, FALSE),""))</f>
        <v>كهربائيات</v>
      </c>
      <c r="C212" s="16" t="str">
        <f>IF(A212="","",IFERROR(VLOOKUP(A212, Stock_New!A:M, 3, FALSE),""))</f>
        <v>سنتر محمد رشدي</v>
      </c>
      <c r="D212" s="5">
        <v>1.0</v>
      </c>
      <c r="E212" s="16">
        <f>IF($A212="", "", IFERROR(VLOOKUP($A212, Stock_New!$A:$M, 4, FALSE), ""))</f>
        <v>180</v>
      </c>
      <c r="F212" s="5">
        <f t="shared" si="1"/>
        <v>180</v>
      </c>
      <c r="G212" s="16">
        <f>IF($A212="", "", IFERROR(VLOOKUP($A212, Stock_New!$A:$M, 5, FALSE), ""))</f>
        <v>1</v>
      </c>
    </row>
    <row r="213" ht="22.5" customHeight="1">
      <c r="A213" s="11" t="s">
        <v>965</v>
      </c>
      <c r="B213" s="16" t="str">
        <f>IF(A213="","",IFERROR(VLOOKUP(A213, Stock_New!A:M, 2, FALSE),""))</f>
        <v>كهربائيات</v>
      </c>
      <c r="C213" s="16" t="str">
        <f>IF(A213="","",IFERROR(VLOOKUP(A213, Stock_New!A:M, 3, FALSE),""))</f>
        <v>سنتر محمد رشدي</v>
      </c>
      <c r="D213" s="5">
        <f>2+1</f>
        <v>3</v>
      </c>
      <c r="E213" s="16">
        <f>IF($A213="", "", IFERROR(VLOOKUP($A213, Stock_New!$A:$M, 4, FALSE), ""))</f>
        <v>125</v>
      </c>
      <c r="F213" s="5">
        <f t="shared" si="1"/>
        <v>375</v>
      </c>
      <c r="G213" s="16">
        <f>IF($A213="", "", IFERROR(VLOOKUP($A213, Stock_New!$A:$M, 5, FALSE), ""))</f>
        <v>3</v>
      </c>
    </row>
    <row r="214" ht="22.5" customHeight="1">
      <c r="A214" s="11" t="s">
        <v>300</v>
      </c>
      <c r="B214" s="16" t="str">
        <f>IF(A214="","",IFERROR(VLOOKUP(A214, Stock_New!A:M, 2, FALSE),""))</f>
        <v>سيلفر</v>
      </c>
      <c r="C214" s="16" t="str">
        <f>IF(A214="","",IFERROR(VLOOKUP(A214, Stock_New!A:M, 3, FALSE),""))</f>
        <v>سنتر محمد رشدي</v>
      </c>
      <c r="D214" s="5">
        <v>2.0</v>
      </c>
      <c r="E214" s="16">
        <f>IF($A214="", "", IFERROR(VLOOKUP($A214, Stock_New!$A:$M, 4, FALSE), ""))</f>
        <v>288</v>
      </c>
      <c r="F214" s="5">
        <f t="shared" si="1"/>
        <v>576</v>
      </c>
      <c r="G214" s="16">
        <f>IF($A214="", "", IFERROR(VLOOKUP($A214, Stock_New!$A:$M, 5, FALSE), ""))</f>
        <v>1</v>
      </c>
    </row>
    <row r="215" ht="22.5" customHeight="1">
      <c r="A215" s="11" t="s">
        <v>680</v>
      </c>
      <c r="B215" s="16" t="str">
        <f>IF(A215="","",IFERROR(VLOOKUP(A215, Stock_New!A:M, 2, FALSE),""))</f>
        <v>بوكيه جاهز</v>
      </c>
      <c r="C215" s="16" t="str">
        <f>IF(A215="","",IFERROR(VLOOKUP(A215, Stock_New!A:M, 3, FALSE),""))</f>
        <v>سنتر محمد رشدي</v>
      </c>
      <c r="D215" s="5">
        <v>1.0</v>
      </c>
      <c r="E215" s="16">
        <f>IF($A215="", "", IFERROR(VLOOKUP($A215, Stock_New!$A:$M, 4, FALSE), ""))</f>
        <v>160</v>
      </c>
      <c r="F215" s="5">
        <f t="shared" si="1"/>
        <v>160</v>
      </c>
      <c r="G215" s="16">
        <f>IF($A215="", "", IFERROR(VLOOKUP($A215, Stock_New!$A:$M, 5, FALSE), ""))</f>
        <v>1</v>
      </c>
    </row>
    <row r="216" ht="22.5" customHeight="1">
      <c r="A216" s="11" t="s">
        <v>604</v>
      </c>
      <c r="B216" s="16" t="str">
        <f>IF(A216="","",IFERROR(VLOOKUP(A216, Stock_New!A:M, 2, FALSE),""))</f>
        <v>كهربائيات</v>
      </c>
      <c r="C216" s="16" t="str">
        <f>IF(A216="","",IFERROR(VLOOKUP(A216, Stock_New!A:M, 3, FALSE),""))</f>
        <v>سنتر محمد رشدي</v>
      </c>
      <c r="D216" s="5">
        <f t="shared" ref="D216:D218" si="4">1+1</f>
        <v>2</v>
      </c>
      <c r="E216" s="16">
        <f>IF($A216="", "", IFERROR(VLOOKUP($A216, Stock_New!$A:$M, 4, FALSE), ""))</f>
        <v>171</v>
      </c>
      <c r="F216" s="5">
        <f t="shared" si="1"/>
        <v>342</v>
      </c>
      <c r="G216" s="16">
        <f>IF($A216="", "", IFERROR(VLOOKUP($A216, Stock_New!$A:$M, 5, FALSE), ""))</f>
        <v>2</v>
      </c>
    </row>
    <row r="217" ht="22.5" customHeight="1">
      <c r="A217" s="11" t="s">
        <v>631</v>
      </c>
      <c r="B217" s="16" t="str">
        <f>IF(A217="","",IFERROR(VLOOKUP(A217, Stock_New!A:M, 2, FALSE),""))</f>
        <v>كهربائيات</v>
      </c>
      <c r="C217" s="16" t="str">
        <f>IF(A217="","",IFERROR(VLOOKUP(A217, Stock_New!A:M, 3, FALSE),""))</f>
        <v>سنتر محمد رشدي</v>
      </c>
      <c r="D217" s="5">
        <f t="shared" si="4"/>
        <v>2</v>
      </c>
      <c r="E217" s="16">
        <f>IF($A217="", "", IFERROR(VLOOKUP($A217, Stock_New!$A:$M, 4, FALSE), ""))</f>
        <v>167</v>
      </c>
      <c r="F217" s="5">
        <f t="shared" si="1"/>
        <v>334</v>
      </c>
      <c r="G217" s="16">
        <f>IF($A217="", "", IFERROR(VLOOKUP($A217, Stock_New!$A:$M, 5, FALSE), ""))</f>
        <v>2</v>
      </c>
    </row>
    <row r="218" ht="22.5" customHeight="1">
      <c r="A218" s="11" t="s">
        <v>845</v>
      </c>
      <c r="B218" s="16" t="str">
        <f>IF(A218="","",IFERROR(VLOOKUP(A218, Stock_New!A:M, 2, FALSE),""))</f>
        <v>كهربائيات</v>
      </c>
      <c r="C218" s="16" t="str">
        <f>IF(A218="","",IFERROR(VLOOKUP(A218, Stock_New!A:M, 3, FALSE),""))</f>
        <v>سنتر محمد رشدي</v>
      </c>
      <c r="D218" s="5">
        <f t="shared" si="4"/>
        <v>2</v>
      </c>
      <c r="E218" s="16">
        <f>IF($A218="", "", IFERROR(VLOOKUP($A218, Stock_New!$A:$M, 4, FALSE), ""))</f>
        <v>115</v>
      </c>
      <c r="F218" s="5">
        <f t="shared" si="1"/>
        <v>230</v>
      </c>
      <c r="G218" s="16">
        <f>IF($A218="", "", IFERROR(VLOOKUP($A218, Stock_New!$A:$M, 5, FALSE), ""))</f>
        <v>2</v>
      </c>
    </row>
    <row r="219" ht="22.5" customHeight="1">
      <c r="A219" s="11" t="s">
        <v>957</v>
      </c>
      <c r="B219" s="16" t="str">
        <f>IF(A219="","",IFERROR(VLOOKUP(A219, Stock_New!A:M, 2, FALSE),""))</f>
        <v>كهربائيات</v>
      </c>
      <c r="C219" s="16" t="str">
        <f>IF(A219="","",IFERROR(VLOOKUP(A219, Stock_New!A:M, 3, FALSE),""))</f>
        <v>سنتر محمد رشدي</v>
      </c>
      <c r="D219" s="5">
        <v>1.0</v>
      </c>
      <c r="E219" s="16">
        <f>IF($A219="", "", IFERROR(VLOOKUP($A219, Stock_New!$A:$M, 4, FALSE), ""))</f>
        <v>55</v>
      </c>
      <c r="F219" s="5">
        <f t="shared" si="1"/>
        <v>55</v>
      </c>
      <c r="G219" s="16">
        <f>IF($A219="", "", IFERROR(VLOOKUP($A219, Stock_New!$A:$M, 5, FALSE), ""))</f>
        <v>2</v>
      </c>
    </row>
    <row r="220" ht="22.5" customHeight="1">
      <c r="A220" s="11" t="s">
        <v>611</v>
      </c>
      <c r="B220" s="16" t="str">
        <f>IF(A220="","",IFERROR(VLOOKUP(A220, Stock_New!A:M, 2, FALSE),""))</f>
        <v>مجسم</v>
      </c>
      <c r="C220" s="16" t="str">
        <f>IF(A220="","",IFERROR(VLOOKUP(A220, Stock_New!A:M, 3, FALSE),""))</f>
        <v>سنتر محمد رشدي</v>
      </c>
      <c r="D220" s="5">
        <v>1.0</v>
      </c>
      <c r="E220" s="16">
        <f>IF($A220="", "", IFERROR(VLOOKUP($A220, Stock_New!$A:$M, 4, FALSE), ""))</f>
        <v>29</v>
      </c>
      <c r="F220" s="5">
        <f t="shared" si="1"/>
        <v>29</v>
      </c>
      <c r="G220" s="16">
        <f>IF($A220="", "", IFERROR(VLOOKUP($A220, Stock_New!$A:$M, 5, FALSE), ""))</f>
        <v>2</v>
      </c>
    </row>
    <row r="221" ht="22.5" customHeight="1">
      <c r="A221" s="11" t="s">
        <v>1047</v>
      </c>
      <c r="B221" s="16" t="str">
        <f>IF(A221="","",IFERROR(VLOOKUP(A221, Stock_New!A:M, 2, FALSE),""))</f>
        <v>شمع</v>
      </c>
      <c r="C221" s="16" t="str">
        <f>IF(A221="","",IFERROR(VLOOKUP(A221, Stock_New!A:M, 3, FALSE),""))</f>
        <v>سنتر محمد رشدي</v>
      </c>
      <c r="D221" s="5">
        <f>11+24</f>
        <v>35</v>
      </c>
      <c r="E221" s="16">
        <f>IF($A221="", "", IFERROR(VLOOKUP($A221, Stock_New!$A:$M, 4, FALSE), ""))</f>
        <v>4.58</v>
      </c>
      <c r="F221" s="5">
        <f t="shared" si="1"/>
        <v>160.3</v>
      </c>
      <c r="G221" s="16">
        <f>IF($A221="", "", IFERROR(VLOOKUP($A221, Stock_New!$A:$M, 5, FALSE), ""))</f>
        <v>24</v>
      </c>
    </row>
    <row r="222" ht="22.5" customHeight="1">
      <c r="A222" s="11" t="s">
        <v>353</v>
      </c>
      <c r="B222" s="16" t="str">
        <f>IF(A222="","",IFERROR(VLOOKUP(A222, Stock_New!A:M, 2, FALSE),""))</f>
        <v>لعب</v>
      </c>
      <c r="C222" s="16" t="str">
        <f>IF(A222="","",IFERROR(VLOOKUP(A222, Stock_New!A:M, 3, FALSE),""))</f>
        <v>محمد رشدي</v>
      </c>
      <c r="D222" s="5">
        <v>2.0</v>
      </c>
      <c r="E222" s="16">
        <f>IF($A222="", "", IFERROR(VLOOKUP($A222, Stock_New!$A:$M, 4, FALSE), ""))</f>
        <v>250</v>
      </c>
      <c r="F222" s="5">
        <f t="shared" si="1"/>
        <v>500</v>
      </c>
      <c r="G222" s="16">
        <f>IF($A222="", "", IFERROR(VLOOKUP($A222, Stock_New!$A:$M, 5, FALSE), ""))</f>
        <v>3</v>
      </c>
    </row>
    <row r="223" ht="22.5" customHeight="1">
      <c r="A223" s="11" t="s">
        <v>1050</v>
      </c>
      <c r="B223" s="16" t="str">
        <f>IF(A223="","",IFERROR(VLOOKUP(A223, Stock_New!A:M, 2, FALSE),""))</f>
        <v>كهربائيات</v>
      </c>
      <c r="C223" s="16" t="str">
        <f>IF(A223="","",IFERROR(VLOOKUP(A223, Stock_New!A:M, 3, FALSE),""))</f>
        <v>سنتر محمد رشدي</v>
      </c>
      <c r="D223" s="5">
        <v>3.0</v>
      </c>
      <c r="E223" s="16">
        <f>IF($A223="", "", IFERROR(VLOOKUP($A223, Stock_New!$A:$M, 4, FALSE), ""))</f>
        <v>110</v>
      </c>
      <c r="F223" s="5">
        <f t="shared" si="1"/>
        <v>330</v>
      </c>
      <c r="G223" s="16">
        <f>IF($A223="", "", IFERROR(VLOOKUP($A223, Stock_New!$A:$M, 5, FALSE), ""))</f>
        <v>2</v>
      </c>
    </row>
    <row r="224" ht="22.5" customHeight="1">
      <c r="A224" s="11" t="s">
        <v>896</v>
      </c>
      <c r="B224" s="16" t="str">
        <f>IF(A224="","",IFERROR(VLOOKUP(A224, Stock_New!A:M, 2, FALSE),""))</f>
        <v>كهربائيات</v>
      </c>
      <c r="C224" s="16" t="str">
        <f>IF(A224="","",IFERROR(VLOOKUP(A224, Stock_New!A:M, 3, FALSE),""))</f>
        <v>سنتر محمد رشدي</v>
      </c>
      <c r="D224" s="5">
        <v>1.0</v>
      </c>
      <c r="E224" s="16">
        <f>IF($A224="", "", IFERROR(VLOOKUP($A224, Stock_New!$A:$M, 4, FALSE), ""))</f>
        <v>135</v>
      </c>
      <c r="F224" s="5">
        <f t="shared" si="1"/>
        <v>135</v>
      </c>
      <c r="G224" s="16">
        <f>IF($A224="", "", IFERROR(VLOOKUP($A224, Stock_New!$A:$M, 5, FALSE), ""))</f>
        <v>6</v>
      </c>
    </row>
    <row r="225" ht="22.5" customHeight="1">
      <c r="A225" s="11" t="s">
        <v>522</v>
      </c>
      <c r="B225" s="16" t="str">
        <f>IF(A225="","",IFERROR(VLOOKUP(A225, Stock_New!A:M, 2, FALSE),""))</f>
        <v>سيلفرات</v>
      </c>
      <c r="C225" s="16" t="str">
        <f>IF(A225="","",IFERROR(VLOOKUP(A225, Stock_New!A:M, 3, FALSE),""))</f>
        <v>سنتر محمد رشدي</v>
      </c>
      <c r="D225" s="5">
        <v>1.0</v>
      </c>
      <c r="E225" s="16">
        <f>IF($A225="", "", IFERROR(VLOOKUP($A225, Stock_New!$A:$M, 4, FALSE), ""))</f>
        <v>180</v>
      </c>
      <c r="F225" s="5">
        <f t="shared" si="1"/>
        <v>180</v>
      </c>
      <c r="G225" s="16">
        <f>IF($A225="", "", IFERROR(VLOOKUP($A225, Stock_New!$A:$M, 5, FALSE), ""))</f>
        <v>0</v>
      </c>
    </row>
    <row r="226" ht="22.5" customHeight="1">
      <c r="A226" s="11" t="s">
        <v>754</v>
      </c>
      <c r="B226" s="16" t="str">
        <f>IF(A226="","",IFERROR(VLOOKUP(A226, Stock_New!A:M, 2, FALSE),""))</f>
        <v>سيلفرات</v>
      </c>
      <c r="C226" s="16" t="str">
        <f>IF(A226="","",IFERROR(VLOOKUP(A226, Stock_New!A:M, 3, FALSE),""))</f>
        <v>سنتر محمد رشدي</v>
      </c>
      <c r="D226" s="5">
        <v>1.0</v>
      </c>
      <c r="E226" s="16">
        <f>IF($A226="", "", IFERROR(VLOOKUP($A226, Stock_New!$A:$M, 4, FALSE), ""))</f>
        <v>150</v>
      </c>
      <c r="F226" s="5">
        <f t="shared" si="1"/>
        <v>150</v>
      </c>
      <c r="G226" s="16">
        <f>IF($A226="", "", IFERROR(VLOOKUP($A226, Stock_New!$A:$M, 5, FALSE), ""))</f>
        <v>1</v>
      </c>
    </row>
    <row r="227" ht="22.5" customHeight="1">
      <c r="A227" s="11" t="s">
        <v>893</v>
      </c>
      <c r="B227" s="16" t="str">
        <f>IF(A227="","",IFERROR(VLOOKUP(A227, Stock_New!A:M, 2, FALSE),""))</f>
        <v>كهربائيات</v>
      </c>
      <c r="C227" s="16" t="str">
        <f>IF(A227="","",IFERROR(VLOOKUP(A227, Stock_New!A:M, 3, FALSE),""))</f>
        <v>سنتر محمد رشدي</v>
      </c>
      <c r="D227" s="5">
        <v>1.0</v>
      </c>
      <c r="E227" s="16">
        <f>IF($A227="", "", IFERROR(VLOOKUP($A227, Stock_New!$A:$M, 4, FALSE), ""))</f>
        <v>135</v>
      </c>
      <c r="F227" s="5">
        <f t="shared" si="1"/>
        <v>135</v>
      </c>
      <c r="G227" s="16">
        <f>IF($A227="", "", IFERROR(VLOOKUP($A227, Stock_New!$A:$M, 5, FALSE), ""))</f>
        <v>1</v>
      </c>
    </row>
    <row r="228" ht="22.5" customHeight="1">
      <c r="A228" s="11" t="s">
        <v>799</v>
      </c>
      <c r="B228" s="16" t="str">
        <f>IF(A228="","",IFERROR(VLOOKUP(A228, Stock_New!A:M, 2, FALSE),""))</f>
        <v>كهربائيات</v>
      </c>
      <c r="C228" s="16" t="str">
        <f>IF(A228="","",IFERROR(VLOOKUP(A228, Stock_New!A:M, 3, FALSE),""))</f>
        <v>سنتر محمد رشدي</v>
      </c>
      <c r="D228" s="5">
        <v>1.0</v>
      </c>
      <c r="E228" s="16">
        <f>IF($A228="", "", IFERROR(VLOOKUP($A228, Stock_New!$A:$M, 4, FALSE), ""))</f>
        <v>145</v>
      </c>
      <c r="F228" s="5">
        <f t="shared" si="1"/>
        <v>145</v>
      </c>
      <c r="G228" s="16">
        <f>IF($A228="", "", IFERROR(VLOOKUP($A228, Stock_New!$A:$M, 5, FALSE), ""))</f>
        <v>2</v>
      </c>
    </row>
    <row r="229" ht="22.5" customHeight="1">
      <c r="A229" s="11" t="s">
        <v>801</v>
      </c>
      <c r="B229" s="16" t="str">
        <f>IF(A229="","",IFERROR(VLOOKUP(A229, Stock_New!A:M, 2, FALSE),""))</f>
        <v>كهربائيات</v>
      </c>
      <c r="C229" s="16" t="str">
        <f>IF(A229="","",IFERROR(VLOOKUP(A229, Stock_New!A:M, 3, FALSE),""))</f>
        <v>سنتر محمد رشدي</v>
      </c>
      <c r="D229" s="5">
        <v>1.0</v>
      </c>
      <c r="E229" s="16">
        <f>IF($A229="", "", IFERROR(VLOOKUP($A229, Stock_New!$A:$M, 4, FALSE), ""))</f>
        <v>145</v>
      </c>
      <c r="F229" s="5">
        <f t="shared" si="1"/>
        <v>145</v>
      </c>
      <c r="G229" s="16">
        <f>IF($A229="", "", IFERROR(VLOOKUP($A229, Stock_New!$A:$M, 5, FALSE), ""))</f>
        <v>2</v>
      </c>
    </row>
    <row r="230" ht="22.5" customHeight="1">
      <c r="A230" s="11" t="s">
        <v>1080</v>
      </c>
      <c r="B230" s="16" t="str">
        <f>IF(A230="","",IFERROR(VLOOKUP(A230, Stock_New!A:M, 2, FALSE),""))</f>
        <v>ديكور نافورة</v>
      </c>
      <c r="C230" s="16" t="str">
        <f>IF(A230="","",IFERROR(VLOOKUP(A230, Stock_New!A:M, 3, FALSE),""))</f>
        <v>سنتر محمد رشدي</v>
      </c>
      <c r="D230" s="5">
        <v>2.0</v>
      </c>
      <c r="E230" s="16">
        <f>IF($A230="", "", IFERROR(VLOOKUP($A230, Stock_New!$A:$M, 4, FALSE), ""))</f>
        <v>40</v>
      </c>
      <c r="F230" s="5">
        <f t="shared" si="1"/>
        <v>80</v>
      </c>
      <c r="G230" s="16">
        <f>IF($A230="", "", IFERROR(VLOOKUP($A230, Stock_New!$A:$M, 5, FALSE), ""))</f>
        <v>2</v>
      </c>
    </row>
    <row r="231" ht="22.5" customHeight="1">
      <c r="A231" s="11" t="s">
        <v>1055</v>
      </c>
      <c r="B231" s="16" t="str">
        <f>IF(A231="","",IFERROR(VLOOKUP(A231, Stock_New!A:M, 2, FALSE),""))</f>
        <v>حجر</v>
      </c>
      <c r="C231" s="16" t="str">
        <f>IF(A231="","",IFERROR(VLOOKUP(A231, Stock_New!A:M, 3, FALSE),""))</f>
        <v>محمد رشدي</v>
      </c>
      <c r="D231" s="5">
        <v>12.0</v>
      </c>
      <c r="E231" s="16">
        <f>IF($A231="", "", IFERROR(VLOOKUP($A231, Stock_New!$A:$M, 4, FALSE), ""))</f>
        <v>12.5</v>
      </c>
      <c r="F231" s="5">
        <f t="shared" si="1"/>
        <v>150</v>
      </c>
      <c r="G231" s="16">
        <f>IF($A231="", "", IFERROR(VLOOKUP($A231, Stock_New!$A:$M, 5, FALSE), ""))</f>
        <v>20</v>
      </c>
    </row>
    <row r="232" ht="22.5" customHeight="1">
      <c r="A232" s="11" t="s">
        <v>1087</v>
      </c>
      <c r="B232" s="16" t="str">
        <f>IF(A232="","",IFERROR(VLOOKUP(A232, Stock_New!A:M, 2, FALSE),""))</f>
        <v>حجارة</v>
      </c>
      <c r="C232" s="16" t="str">
        <f>IF(A232="","",IFERROR(VLOOKUP(A232, Stock_New!A:M, 3, FALSE),""))</f>
        <v/>
      </c>
      <c r="D232" s="5">
        <v>26.0</v>
      </c>
      <c r="E232" s="16">
        <f>IF($A232="", "", IFERROR(VLOOKUP($A232, Stock_New!$A:$M, 4, FALSE), ""))</f>
        <v>11</v>
      </c>
      <c r="F232" s="5">
        <f t="shared" si="1"/>
        <v>286</v>
      </c>
      <c r="G232" s="16">
        <f>IF($A232="", "", IFERROR(VLOOKUP($A232, Stock_New!$A:$M, 5, FALSE), ""))</f>
        <v>30</v>
      </c>
    </row>
    <row r="233" ht="22.5" customHeight="1">
      <c r="A233" s="11" t="s">
        <v>712</v>
      </c>
      <c r="B233" s="16" t="str">
        <f>IF(A233="","",IFERROR(VLOOKUP(A233, Stock_New!A:M, 2, FALSE),""))</f>
        <v>ورد مجفف</v>
      </c>
      <c r="C233" s="16" t="str">
        <f>IF(A233="","",IFERROR(VLOOKUP(A233, Stock_New!A:M, 3, FALSE),""))</f>
        <v>manufactured</v>
      </c>
      <c r="D233" s="5">
        <f>6+4</f>
        <v>10</v>
      </c>
      <c r="E233" s="16">
        <f>IF($A233="", "", IFERROR(VLOOKUP($A233, Stock_New!$A:$M, 4, FALSE), ""))</f>
        <v>7</v>
      </c>
      <c r="F233" s="5">
        <f t="shared" si="1"/>
        <v>70</v>
      </c>
      <c r="G233" s="16">
        <f>IF($A233="", "", IFERROR(VLOOKUP($A233, Stock_New!$A:$M, 5, FALSE), ""))</f>
        <v>6</v>
      </c>
    </row>
    <row r="234" ht="22.5" customHeight="1">
      <c r="A234" s="11" t="s">
        <v>724</v>
      </c>
      <c r="B234" s="16" t="str">
        <f>IF(A234="","",IFERROR(VLOOKUP(A234, Stock_New!A:M, 2, FALSE),""))</f>
        <v>بوكيه</v>
      </c>
      <c r="C234" s="16" t="str">
        <f>IF(A234="","",IFERROR(VLOOKUP(A234, Stock_New!A:M, 3, FALSE),""))</f>
        <v>المهندس</v>
      </c>
      <c r="D234" s="5">
        <v>3.0</v>
      </c>
      <c r="E234" s="16">
        <f>IF($A234="", "", IFERROR(VLOOKUP($A234, Stock_New!$A:$M, 4, FALSE), ""))</f>
        <v>35</v>
      </c>
      <c r="F234" s="5">
        <f t="shared" si="1"/>
        <v>105</v>
      </c>
      <c r="G234" s="16">
        <f>IF($A234="", "", IFERROR(VLOOKUP($A234, Stock_New!$A:$M, 5, FALSE), ""))</f>
        <v>0</v>
      </c>
    </row>
    <row r="235" ht="22.5" customHeight="1">
      <c r="A235" s="11" t="s">
        <v>882</v>
      </c>
      <c r="B235" s="16" t="str">
        <f>IF(A235="","",IFERROR(VLOOKUP(A235, Stock_New!A:M, 2, FALSE),""))</f>
        <v>شنط</v>
      </c>
      <c r="C235" s="16" t="str">
        <f>IF(A235="","",IFERROR(VLOOKUP(A235, Stock_New!A:M, 3, FALSE),""))</f>
        <v>سنتر محمد رشدي</v>
      </c>
      <c r="D235" s="5">
        <v>11.0</v>
      </c>
      <c r="E235" s="16">
        <f>IF($A235="", "", IFERROR(VLOOKUP($A235, Stock_New!$A:$M, 4, FALSE), ""))</f>
        <v>12.5</v>
      </c>
      <c r="F235" s="5">
        <f t="shared" si="1"/>
        <v>137.5</v>
      </c>
      <c r="G235" s="16">
        <f>IF($A235="", "", IFERROR(VLOOKUP($A235, Stock_New!$A:$M, 5, FALSE), ""))</f>
        <v>9</v>
      </c>
    </row>
    <row r="236" ht="22.5" customHeight="1">
      <c r="A236" s="11" t="s">
        <v>993</v>
      </c>
      <c r="B236" s="16" t="str">
        <f>IF(A236="","",IFERROR(VLOOKUP(A236, Stock_New!A:M, 2, FALSE),""))</f>
        <v>شنط</v>
      </c>
      <c r="C236" s="16" t="str">
        <f>IF(A236="","",IFERROR(VLOOKUP(A236, Stock_New!A:M, 3, FALSE),""))</f>
        <v>سنتر محمد رشدي</v>
      </c>
      <c r="D236" s="5">
        <v>9.0</v>
      </c>
      <c r="E236" s="16">
        <f>IF($A236="", "", IFERROR(VLOOKUP($A236, Stock_New!$A:$M, 4, FALSE), ""))</f>
        <v>19.5</v>
      </c>
      <c r="F236" s="5">
        <f t="shared" si="1"/>
        <v>175.5</v>
      </c>
      <c r="G236" s="16">
        <f>IF($A236="", "", IFERROR(VLOOKUP($A236, Stock_New!$A:$M, 5, FALSE), ""))</f>
        <v>12</v>
      </c>
    </row>
    <row r="237" ht="22.5" customHeight="1">
      <c r="A237" s="11" t="s">
        <v>1030</v>
      </c>
      <c r="B237" s="16" t="str">
        <f>IF(A237="","",IFERROR(VLOOKUP(A237, Stock_New!A:M, 2, FALSE),""))</f>
        <v>شنط</v>
      </c>
      <c r="C237" s="16" t="str">
        <f>IF(A237="","",IFERROR(VLOOKUP(A237, Stock_New!A:M, 3, FALSE),""))</f>
        <v>سنتر محمد رشدي</v>
      </c>
      <c r="D237" s="5">
        <v>11.0</v>
      </c>
      <c r="E237" s="16">
        <f>IF($A237="", "", IFERROR(VLOOKUP($A237, Stock_New!$A:$M, 4, FALSE), ""))</f>
        <v>8.33</v>
      </c>
      <c r="F237" s="5">
        <f t="shared" si="1"/>
        <v>91.63</v>
      </c>
      <c r="G237" s="16">
        <f>IF($A237="", "", IFERROR(VLOOKUP($A237, Stock_New!$A:$M, 5, FALSE), ""))</f>
        <v>11</v>
      </c>
    </row>
    <row r="238" ht="22.5" customHeight="1">
      <c r="A238" s="11" t="s">
        <v>673</v>
      </c>
      <c r="B238" s="16" t="str">
        <f>IF(A238="","",IFERROR(VLOOKUP(A238, Stock_New!A:M, 2, FALSE),""))</f>
        <v>شنط</v>
      </c>
      <c r="C238" s="16" t="str">
        <f>IF(A238="","",IFERROR(VLOOKUP(A238, Stock_New!A:M, 3, FALSE),""))</f>
        <v>سنتر محمد رشدي</v>
      </c>
      <c r="D238" s="5">
        <v>8.0</v>
      </c>
      <c r="E238" s="16">
        <f>IF($A238="", "", IFERROR(VLOOKUP($A238, Stock_New!$A:$M, 4, FALSE), ""))</f>
        <v>6.75</v>
      </c>
      <c r="F238" s="5">
        <f t="shared" si="1"/>
        <v>54</v>
      </c>
      <c r="G238" s="16">
        <f>IF($A238="", "", IFERROR(VLOOKUP($A238, Stock_New!$A:$M, 5, FALSE), ""))</f>
        <v>7</v>
      </c>
    </row>
    <row r="239" ht="22.5" customHeight="1">
      <c r="A239" s="11" t="s">
        <v>1019</v>
      </c>
      <c r="B239" s="16" t="str">
        <f>IF(A239="","",IFERROR(VLOOKUP(A239, Stock_New!A:M, 2, FALSE),""))</f>
        <v>شنط</v>
      </c>
      <c r="C239" s="16" t="str">
        <f>IF(A239="","",IFERROR(VLOOKUP(A239, Stock_New!A:M, 3, FALSE),""))</f>
        <v>سنتر محمد رشدي</v>
      </c>
      <c r="D239" s="5">
        <v>11.0</v>
      </c>
      <c r="E239" s="16">
        <f>IF($A239="", "", IFERROR(VLOOKUP($A239, Stock_New!$A:$M, 4, FALSE), ""))</f>
        <v>10</v>
      </c>
      <c r="F239" s="5">
        <f t="shared" si="1"/>
        <v>110</v>
      </c>
      <c r="G239" s="16">
        <f>IF($A239="", "", IFERROR(VLOOKUP($A239, Stock_New!$A:$M, 5, FALSE), ""))</f>
        <v>12</v>
      </c>
    </row>
    <row r="240" ht="22.5" customHeight="1">
      <c r="A240" s="11" t="s">
        <v>1073</v>
      </c>
      <c r="B240" s="16" t="str">
        <f>IF(A240="","",IFERROR(VLOOKUP(A240, Stock_New!A:M, 2, FALSE),""))</f>
        <v>العاب</v>
      </c>
      <c r="C240" s="16" t="str">
        <f>IF(A240="","",IFERROR(VLOOKUP(A240, Stock_New!A:M, 3, FALSE),""))</f>
        <v>سنتر محمد رشدي</v>
      </c>
      <c r="D240" s="5">
        <v>2.0</v>
      </c>
      <c r="E240" s="16">
        <f>IF($A240="", "", IFERROR(VLOOKUP($A240, Stock_New!$A:$M, 4, FALSE), ""))</f>
        <v>106</v>
      </c>
      <c r="F240" s="5">
        <f t="shared" si="1"/>
        <v>212</v>
      </c>
      <c r="G240" s="16">
        <f>IF($A240="", "", IFERROR(VLOOKUP($A240, Stock_New!$A:$M, 5, FALSE), ""))</f>
        <v>1</v>
      </c>
    </row>
    <row r="241" ht="22.5" customHeight="1">
      <c r="A241" s="11" t="s">
        <v>1063</v>
      </c>
      <c r="B241" s="16" t="str">
        <f>IF(A241="","",IFERROR(VLOOKUP(A241, Stock_New!A:M, 2, FALSE),""))</f>
        <v>سلة ديكور</v>
      </c>
      <c r="C241" s="16" t="str">
        <f>IF(A241="","",IFERROR(VLOOKUP(A241, Stock_New!A:M, 3, FALSE),""))</f>
        <v>سنتر محمد رشدي</v>
      </c>
      <c r="D241" s="5">
        <v>2.0</v>
      </c>
      <c r="E241" s="16">
        <f>IF($A241="", "", IFERROR(VLOOKUP($A241, Stock_New!$A:$M, 4, FALSE), ""))</f>
        <v>108</v>
      </c>
      <c r="F241" s="5">
        <f t="shared" si="1"/>
        <v>216</v>
      </c>
      <c r="G241" s="16">
        <f>IF($A241="", "", IFERROR(VLOOKUP($A241, Stock_New!$A:$M, 5, FALSE), ""))</f>
        <v>2</v>
      </c>
    </row>
    <row r="242" ht="22.5" customHeight="1">
      <c r="A242" s="11" t="s">
        <v>775</v>
      </c>
      <c r="B242" s="16" t="str">
        <f>IF(A242="","",IFERROR(VLOOKUP(A242, Stock_New!A:M, 2, FALSE),""))</f>
        <v>ديكور مكتب</v>
      </c>
      <c r="C242" s="16" t="str">
        <f>IF(A242="","",IFERROR(VLOOKUP(A242, Stock_New!A:M, 3, FALSE),""))</f>
        <v>محمد رشدي</v>
      </c>
      <c r="D242" s="5">
        <v>1.0</v>
      </c>
      <c r="E242" s="16">
        <f>IF($A242="", "", IFERROR(VLOOKUP($A242, Stock_New!$A:$M, 4, FALSE), ""))</f>
        <v>94</v>
      </c>
      <c r="F242" s="5">
        <f t="shared" si="1"/>
        <v>94</v>
      </c>
      <c r="G242" s="16">
        <f>IF($A242="", "", IFERROR(VLOOKUP($A242, Stock_New!$A:$M, 5, FALSE), ""))</f>
        <v>3</v>
      </c>
    </row>
    <row r="243" ht="22.5" customHeight="1">
      <c r="A243" s="11" t="s">
        <v>1121</v>
      </c>
      <c r="B243" s="16" t="str">
        <f>IF(A243="","",IFERROR(VLOOKUP(A243, Stock_New!A:M, 2, FALSE),""))</f>
        <v>ديكور مكتب</v>
      </c>
      <c r="C243" s="16" t="str">
        <f>IF(A243="","",IFERROR(VLOOKUP(A243, Stock_New!A:M, 3, FALSE),""))</f>
        <v>محمد رشدي</v>
      </c>
      <c r="D243" s="5">
        <v>1.0</v>
      </c>
      <c r="E243" s="16">
        <f>IF($A243="", "", IFERROR(VLOOKUP($A243, Stock_New!$A:$M, 4, FALSE), ""))</f>
        <v>90</v>
      </c>
      <c r="F243" s="5">
        <f t="shared" si="1"/>
        <v>90</v>
      </c>
      <c r="G243" s="16">
        <f>IF($A243="", "", IFERROR(VLOOKUP($A243, Stock_New!$A:$M, 5, FALSE), ""))</f>
        <v>0</v>
      </c>
    </row>
    <row r="244" ht="22.5" customHeight="1">
      <c r="A244" s="11" t="s">
        <v>613</v>
      </c>
      <c r="B244" s="16" t="str">
        <f>IF(A244="","",IFERROR(VLOOKUP(A244, Stock_New!A:M, 2, FALSE),""))</f>
        <v>لوح</v>
      </c>
      <c r="C244" s="16" t="str">
        <f>IF(A244="","",IFERROR(VLOOKUP(A244, Stock_New!A:M, 3, FALSE),""))</f>
        <v>ذكريا</v>
      </c>
      <c r="D244" s="5">
        <v>1.0</v>
      </c>
      <c r="E244" s="16">
        <f>IF($A244="", "", IFERROR(VLOOKUP($A244, Stock_New!$A:$M, 4, FALSE), ""))</f>
        <v>170</v>
      </c>
      <c r="F244" s="5">
        <f t="shared" si="1"/>
        <v>170</v>
      </c>
      <c r="G244" s="16">
        <f>IF($A244="", "", IFERROR(VLOOKUP($A244, Stock_New!$A:$M, 5, FALSE), ""))</f>
        <v>2</v>
      </c>
    </row>
    <row r="245" ht="22.5" customHeight="1">
      <c r="A245" s="11" t="s">
        <v>997</v>
      </c>
      <c r="B245" s="16" t="str">
        <f>IF(A245="","",IFERROR(VLOOKUP(A245, Stock_New!A:M, 2, FALSE),""))</f>
        <v>ساعة</v>
      </c>
      <c r="C245" s="16" t="str">
        <f>IF(A245="","",IFERROR(VLOOKUP(A245, Stock_New!A:M, 3, FALSE),""))</f>
        <v>سنتر محمد رشدي</v>
      </c>
      <c r="D245" s="5">
        <v>2.0</v>
      </c>
      <c r="E245" s="16">
        <f>IF($A245="", "", IFERROR(VLOOKUP($A245, Stock_New!$A:$M, 4, FALSE), ""))</f>
        <v>112</v>
      </c>
      <c r="F245" s="5">
        <f t="shared" si="1"/>
        <v>224</v>
      </c>
      <c r="G245" s="16">
        <f>IF($A245="", "", IFERROR(VLOOKUP($A245, Stock_New!$A:$M, 5, FALSE), ""))</f>
        <v>2</v>
      </c>
    </row>
    <row r="246" ht="22.5" customHeight="1">
      <c r="A246" s="11" t="s">
        <v>1133</v>
      </c>
      <c r="B246" s="16" t="str">
        <f>IF(A246="","",IFERROR(VLOOKUP(A246, Stock_New!A:M, 2, FALSE),""))</f>
        <v>لعبة/ديكور</v>
      </c>
      <c r="C246" s="16" t="str">
        <f>IF(A246="","",IFERROR(VLOOKUP(A246, Stock_New!A:M, 3, FALSE),""))</f>
        <v>سنتر محمد رشدي</v>
      </c>
      <c r="D246" s="5">
        <v>1.0</v>
      </c>
      <c r="E246" s="16">
        <f>IF($A246="", "", IFERROR(VLOOKUP($A246, Stock_New!$A:$M, 4, FALSE), ""))</f>
        <v>20</v>
      </c>
      <c r="F246" s="5">
        <f t="shared" si="1"/>
        <v>20</v>
      </c>
      <c r="G246" s="16">
        <f>IF($A246="", "", IFERROR(VLOOKUP($A246, Stock_New!$A:$M, 5, FALSE), ""))</f>
        <v>3</v>
      </c>
    </row>
    <row r="247" ht="22.5" customHeight="1">
      <c r="A247" s="11" t="s">
        <v>1137</v>
      </c>
      <c r="B247" s="16" t="str">
        <f>IF(A247="","",IFERROR(VLOOKUP(A247, Stock_New!A:M, 2, FALSE),""))</f>
        <v>لعبة/ديكور</v>
      </c>
      <c r="C247" s="16" t="str">
        <f>IF(A247="","",IFERROR(VLOOKUP(A247, Stock_New!A:M, 3, FALSE),""))</f>
        <v>سنتر محمد رشدي</v>
      </c>
      <c r="D247" s="5">
        <v>3.0</v>
      </c>
      <c r="E247" s="16">
        <f>IF($A247="", "", IFERROR(VLOOKUP($A247, Stock_New!$A:$M, 4, FALSE), ""))</f>
        <v>20</v>
      </c>
      <c r="F247" s="5">
        <f t="shared" si="1"/>
        <v>60</v>
      </c>
      <c r="G247" s="16">
        <f>IF($A247="", "", IFERROR(VLOOKUP($A247, Stock_New!$A:$M, 5, FALSE), ""))</f>
        <v>1</v>
      </c>
    </row>
    <row r="248" ht="22.5" customHeight="1">
      <c r="A248" s="11" t="s">
        <v>70</v>
      </c>
      <c r="B248" s="16" t="str">
        <f>IF(A248="","",IFERROR(VLOOKUP(A248, Stock_New!A:M, 2, FALSE),""))</f>
        <v>مطبخ</v>
      </c>
      <c r="C248" s="16" t="str">
        <f>IF(A248="","",IFERROR(VLOOKUP(A248, Stock_New!A:M, 3, FALSE),""))</f>
        <v>ذكريا</v>
      </c>
      <c r="D248" s="5">
        <v>3.0</v>
      </c>
      <c r="E248" s="16">
        <f>IF($A248="", "", IFERROR(VLOOKUP($A248, Stock_New!$A:$M, 4, FALSE), ""))</f>
        <v>75</v>
      </c>
      <c r="F248" s="5">
        <f t="shared" si="1"/>
        <v>225</v>
      </c>
      <c r="G248" s="16">
        <f>IF($A248="", "", IFERROR(VLOOKUP($A248, Stock_New!$A:$M, 5, FALSE), ""))</f>
        <v>0</v>
      </c>
    </row>
    <row r="249" ht="22.5" customHeight="1">
      <c r="A249" s="11" t="s">
        <v>143</v>
      </c>
      <c r="B249" s="16" t="str">
        <f>IF(A249="","",IFERROR(VLOOKUP(A249, Stock_New!A:M, 2, FALSE),""))</f>
        <v>بوكيه</v>
      </c>
      <c r="C249" s="16" t="str">
        <f>IF(A249="","",IFERROR(VLOOKUP(A249, Stock_New!A:M, 3, FALSE),""))</f>
        <v>ذكريا</v>
      </c>
      <c r="D249" s="5">
        <v>2.0</v>
      </c>
      <c r="E249" s="16">
        <f>IF($A249="", "", IFERROR(VLOOKUP($A249, Stock_New!$A:$M, 4, FALSE), ""))</f>
        <v>425</v>
      </c>
      <c r="F249" s="5">
        <f t="shared" si="1"/>
        <v>850</v>
      </c>
      <c r="G249" s="16">
        <f>IF($A249="", "", IFERROR(VLOOKUP($A249, Stock_New!$A:$M, 5, FALSE), ""))</f>
        <v>2</v>
      </c>
    </row>
    <row r="250" ht="22.5" customHeight="1">
      <c r="A250" s="11" t="s">
        <v>487</v>
      </c>
      <c r="B250" s="16" t="str">
        <f>IF(A250="","",IFERROR(VLOOKUP(A250, Stock_New!A:M, 2, FALSE),""))</f>
        <v>سيلفرات</v>
      </c>
      <c r="C250" s="16" t="str">
        <f>IF(A250="","",IFERROR(VLOOKUP(A250, Stock_New!A:M, 3, FALSE),""))</f>
        <v>شركة الهضبة</v>
      </c>
      <c r="D250" s="5">
        <f>5+3</f>
        <v>8</v>
      </c>
      <c r="E250" s="16">
        <f>IF($A250="", "", IFERROR(VLOOKUP($A250, Stock_New!$A:$M, 4, FALSE), ""))</f>
        <v>95</v>
      </c>
      <c r="F250" s="5">
        <f t="shared" si="1"/>
        <v>760</v>
      </c>
      <c r="G250" s="16">
        <f>IF($A250="", "", IFERROR(VLOOKUP($A250, Stock_New!$A:$M, 5, FALSE), ""))</f>
        <v>9</v>
      </c>
    </row>
    <row r="251" ht="22.5" customHeight="1">
      <c r="A251" s="11" t="s">
        <v>1100</v>
      </c>
      <c r="B251" s="16" t="str">
        <f>IF(A251="","",IFERROR(VLOOKUP(A251, Stock_New!A:M, 2, FALSE),""))</f>
        <v>لوح</v>
      </c>
      <c r="C251" s="16" t="str">
        <f>IF(A251="","",IFERROR(VLOOKUP(A251, Stock_New!A:M, 3, FALSE),""))</f>
        <v>سنتر محمد رشدي</v>
      </c>
      <c r="D251" s="5">
        <f>1+3</f>
        <v>4</v>
      </c>
      <c r="E251" s="16">
        <f>IF($A251="", "", IFERROR(VLOOKUP($A251, Stock_New!$A:$M, 4, FALSE), ""))</f>
        <v>50</v>
      </c>
      <c r="F251" s="5">
        <f t="shared" si="1"/>
        <v>200</v>
      </c>
      <c r="G251" s="16">
        <f>IF($A251="", "", IFERROR(VLOOKUP($A251, Stock_New!$A:$M, 5, FALSE), ""))</f>
        <v>5</v>
      </c>
    </row>
    <row r="252" ht="22.5" customHeight="1">
      <c r="A252" s="11" t="s">
        <v>801</v>
      </c>
      <c r="B252" s="16" t="str">
        <f>IF(A252="","",IFERROR(VLOOKUP(A252, Stock_New!A:M, 2, FALSE),""))</f>
        <v>كهربائيات</v>
      </c>
      <c r="C252" s="16" t="str">
        <f>IF(A252="","",IFERROR(VLOOKUP(A252, Stock_New!A:M, 3, FALSE),""))</f>
        <v>سنتر محمد رشدي</v>
      </c>
      <c r="D252" s="5">
        <v>2.0</v>
      </c>
      <c r="E252" s="16">
        <f>IF($A252="", "", IFERROR(VLOOKUP($A252, Stock_New!$A:$M, 4, FALSE), ""))</f>
        <v>145</v>
      </c>
      <c r="F252" s="5">
        <f t="shared" si="1"/>
        <v>290</v>
      </c>
      <c r="G252" s="16">
        <f>IF($A252="", "", IFERROR(VLOOKUP($A252, Stock_New!$A:$M, 5, FALSE), ""))</f>
        <v>2</v>
      </c>
    </row>
    <row r="253" ht="22.5" customHeight="1">
      <c r="A253" s="11" t="s">
        <v>331</v>
      </c>
      <c r="B253" s="16" t="str">
        <f>IF(A253="","",IFERROR(VLOOKUP(A253, Stock_New!A:M, 2, FALSE),""))</f>
        <v>كهربائيات</v>
      </c>
      <c r="C253" s="16" t="str">
        <f>IF(A253="","",IFERROR(VLOOKUP(A253, Stock_New!A:M, 3, FALSE),""))</f>
        <v>سنتر محمد رشدي</v>
      </c>
      <c r="D253" s="5">
        <v>3.0</v>
      </c>
      <c r="E253" s="16">
        <f>IF($A253="", "", IFERROR(VLOOKUP($A253, Stock_New!$A:$M, 4, FALSE), ""))</f>
        <v>255</v>
      </c>
      <c r="F253" s="5">
        <f t="shared" si="1"/>
        <v>765</v>
      </c>
      <c r="G253" s="16">
        <f>IF($A253="", "", IFERROR(VLOOKUP($A253, Stock_New!$A:$M, 5, FALSE), ""))</f>
        <v>5</v>
      </c>
    </row>
    <row r="254" ht="22.5" customHeight="1">
      <c r="A254" s="103" t="s">
        <v>28</v>
      </c>
      <c r="B254" s="16" t="str">
        <f>IF(A254="","",IFERROR(VLOOKUP(A254, Stock_New!A:M, 2, FALSE),""))</f>
        <v>سيلفرات</v>
      </c>
      <c r="C254" s="16" t="str">
        <f>IF(A254="","",IFERROR(VLOOKUP(A254, Stock_New!A:M, 3, FALSE),""))</f>
        <v>ذكريا</v>
      </c>
      <c r="D254" s="5">
        <v>1.0</v>
      </c>
      <c r="E254" s="16">
        <f>IF($A254="", "", IFERROR(VLOOKUP($A254, Stock_New!$A:$M, 4, FALSE), ""))</f>
        <v>1599</v>
      </c>
      <c r="F254" s="5">
        <f t="shared" si="1"/>
        <v>1599</v>
      </c>
      <c r="G254" s="16">
        <f>IF($A254="", "", IFERROR(VLOOKUP($A254, Stock_New!$A:$M, 5, FALSE), ""))</f>
        <v>1</v>
      </c>
    </row>
    <row r="255" ht="22.5" customHeight="1">
      <c r="A255" s="11" t="s">
        <v>33</v>
      </c>
      <c r="B255" s="16" t="str">
        <f>IF(A255="","",IFERROR(VLOOKUP(A255, Stock_New!A:M, 2, FALSE),""))</f>
        <v>سيلفرات</v>
      </c>
      <c r="C255" s="16" t="str">
        <f>IF(A255="","",IFERROR(VLOOKUP(A255, Stock_New!A:M, 3, FALSE),""))</f>
        <v>ذكريا</v>
      </c>
      <c r="D255" s="5">
        <v>1.0</v>
      </c>
      <c r="E255" s="16">
        <f>IF($A255="", "", IFERROR(VLOOKUP($A255, Stock_New!$A:$M, 4, FALSE), ""))</f>
        <v>1499</v>
      </c>
      <c r="F255" s="5">
        <f t="shared" si="1"/>
        <v>1499</v>
      </c>
      <c r="G255" s="16">
        <f>IF($A255="", "", IFERROR(VLOOKUP($A255, Stock_New!$A:$M, 5, FALSE), ""))</f>
        <v>1</v>
      </c>
    </row>
    <row r="256" ht="22.5" customHeight="1">
      <c r="A256" s="11" t="s">
        <v>44</v>
      </c>
      <c r="B256" s="16" t="str">
        <f>IF(A256="","",IFERROR(VLOOKUP(A256, Stock_New!A:M, 2, FALSE),""))</f>
        <v>سيلفرات</v>
      </c>
      <c r="C256" s="16" t="str">
        <f>IF(A256="","",IFERROR(VLOOKUP(A256, Stock_New!A:M, 3, FALSE),""))</f>
        <v>ذكريا</v>
      </c>
      <c r="D256" s="5">
        <v>1.0</v>
      </c>
      <c r="E256" s="16">
        <f>IF($A256="", "", IFERROR(VLOOKUP($A256, Stock_New!$A:$M, 4, FALSE), ""))</f>
        <v>1250</v>
      </c>
      <c r="F256" s="5">
        <f t="shared" si="1"/>
        <v>1250</v>
      </c>
      <c r="G256" s="16">
        <f>IF($A256="", "", IFERROR(VLOOKUP($A256, Stock_New!$A:$M, 5, FALSE), ""))</f>
        <v>1</v>
      </c>
      <c r="J256" s="104" t="s">
        <v>56</v>
      </c>
    </row>
    <row r="257" ht="22.5" customHeight="1">
      <c r="A257" s="11" t="s">
        <v>47</v>
      </c>
      <c r="B257" s="16" t="str">
        <f>IF(A257="","",IFERROR(VLOOKUP(A257, Stock_New!A:M, 2, FALSE),""))</f>
        <v>سيلفرات</v>
      </c>
      <c r="C257" s="16" t="str">
        <f>IF(A257="","",IFERROR(VLOOKUP(A257, Stock_New!A:M, 3, FALSE),""))</f>
        <v>ذكريا</v>
      </c>
      <c r="D257" s="5">
        <v>1.0</v>
      </c>
      <c r="E257" s="16">
        <f>IF($A257="", "", IFERROR(VLOOKUP($A257, Stock_New!$A:$M, 4, FALSE), ""))</f>
        <v>1100</v>
      </c>
      <c r="F257" s="5">
        <f t="shared" si="1"/>
        <v>1100</v>
      </c>
      <c r="G257" s="16">
        <f>IF($A257="", "", IFERROR(VLOOKUP($A257, Stock_New!$A:$M, 5, FALSE), ""))</f>
        <v>2</v>
      </c>
      <c r="J257" s="105" t="s">
        <v>65</v>
      </c>
    </row>
    <row r="258" ht="22.5" customHeight="1">
      <c r="A258" s="11" t="s">
        <v>151</v>
      </c>
      <c r="B258" s="16" t="str">
        <f>IF(A258="","",IFERROR(VLOOKUP(A258, Stock_New!A:M, 2, FALSE),""))</f>
        <v>بوتات</v>
      </c>
      <c r="C258" s="16" t="str">
        <f>IF(A258="","",IFERROR(VLOOKUP(A258, Stock_New!A:M, 3, FALSE),""))</f>
        <v>عبدالفتاح</v>
      </c>
      <c r="D258" s="5">
        <f>3+1</f>
        <v>4</v>
      </c>
      <c r="E258" s="16">
        <f>IF($A258="", "", IFERROR(VLOOKUP($A258, Stock_New!$A:$M, 4, FALSE), ""))</f>
        <v>65</v>
      </c>
      <c r="F258" s="5">
        <f t="shared" si="1"/>
        <v>260</v>
      </c>
      <c r="G258" s="16">
        <f>IF($A258="", "", IFERROR(VLOOKUP($A258, Stock_New!$A:$M, 5, FALSE), ""))</f>
        <v>13</v>
      </c>
      <c r="J258" s="104" t="s">
        <v>39</v>
      </c>
    </row>
    <row r="259" ht="22.5" customHeight="1">
      <c r="A259" s="11" t="s">
        <v>1000</v>
      </c>
      <c r="B259" s="16" t="str">
        <f>IF(A259="","",IFERROR(VLOOKUP(A259, Stock_New!A:M, 2, FALSE),""))</f>
        <v>بوتات</v>
      </c>
      <c r="C259" s="16" t="str">
        <f>IF(A259="","",IFERROR(VLOOKUP(A259, Stock_New!A:M, 3, FALSE),""))</f>
        <v>شركة حسين علي</v>
      </c>
      <c r="D259" s="5">
        <f>3+10+2+2</f>
        <v>17</v>
      </c>
      <c r="E259" s="16">
        <f>IF($A259="", "", IFERROR(VLOOKUP($A259, Stock_New!$A:$M, 4, FALSE), ""))</f>
        <v>11</v>
      </c>
      <c r="F259" s="5">
        <f t="shared" si="1"/>
        <v>187</v>
      </c>
      <c r="G259" s="16">
        <f>IF($A259="", "", IFERROR(VLOOKUP($A259, Stock_New!$A:$M, 5, FALSE), ""))</f>
        <v>19</v>
      </c>
      <c r="J259" s="104" t="s">
        <v>42</v>
      </c>
    </row>
    <row r="260" ht="22.5" customHeight="1">
      <c r="A260" s="11" t="s">
        <v>933</v>
      </c>
      <c r="B260" s="16" t="str">
        <f>IF(A260="","",IFERROR(VLOOKUP(A260, Stock_New!A:M, 2, FALSE),""))</f>
        <v>بوتات</v>
      </c>
      <c r="C260" s="16" t="str">
        <f>IF(A260="","",IFERROR(VLOOKUP(A260, Stock_New!A:M, 3, FALSE),""))</f>
        <v>عبدالفتاح</v>
      </c>
      <c r="D260" s="5">
        <f>3+13+10+19</f>
        <v>45</v>
      </c>
      <c r="E260" s="16">
        <f>IF($A260="", "", IFERROR(VLOOKUP($A260, Stock_New!$A:$M, 4, FALSE), ""))</f>
        <v>10</v>
      </c>
      <c r="F260" s="5">
        <f t="shared" si="1"/>
        <v>450</v>
      </c>
      <c r="G260" s="16">
        <f>IF($A260="", "", IFERROR(VLOOKUP($A260, Stock_New!$A:$M, 5, FALSE), ""))</f>
        <v>23</v>
      </c>
      <c r="J260" s="105" t="s">
        <v>28</v>
      </c>
      <c r="K260" s="2" t="s">
        <v>72</v>
      </c>
    </row>
    <row r="261" ht="22.5" customHeight="1">
      <c r="A261" s="11" t="s">
        <v>1194</v>
      </c>
      <c r="B261" s="106" t="s">
        <v>50</v>
      </c>
      <c r="C261" s="5" t="s">
        <v>54</v>
      </c>
      <c r="D261" s="5">
        <v>1.0</v>
      </c>
      <c r="E261" s="5">
        <v>175.0</v>
      </c>
      <c r="F261" s="5">
        <f t="shared" si="1"/>
        <v>175</v>
      </c>
      <c r="G261" s="16" t="str">
        <f>IF($A261="", "", IFERROR(VLOOKUP($A261, Stock_New!$A:$M, 5, FALSE), ""))</f>
        <v/>
      </c>
      <c r="J261" s="104" t="s">
        <v>33</v>
      </c>
      <c r="K261" s="2" t="s">
        <v>72</v>
      </c>
    </row>
    <row r="262" ht="22.5" customHeight="1">
      <c r="A262" s="11" t="s">
        <v>114</v>
      </c>
      <c r="B262" s="16" t="str">
        <f>IF(A262="","",IFERROR(VLOOKUP(A262, Stock_New!A:M, 2, FALSE),""))</f>
        <v>شجر</v>
      </c>
      <c r="C262" s="16" t="str">
        <f>IF(A262="","",IFERROR(VLOOKUP(A262, Stock_New!A:M, 3, FALSE),""))</f>
        <v>شركة الفرسان</v>
      </c>
      <c r="D262" s="5">
        <v>1.0</v>
      </c>
      <c r="E262" s="16">
        <f>IF($A262="", "", IFERROR(VLOOKUP($A262, Stock_New!$A:$M, 4, FALSE), ""))</f>
        <v>500</v>
      </c>
      <c r="F262" s="5">
        <f t="shared" si="1"/>
        <v>500</v>
      </c>
      <c r="G262" s="16">
        <f>IF($A262="", "", IFERROR(VLOOKUP($A262, Stock_New!$A:$M, 5, FALSE), ""))</f>
        <v>1</v>
      </c>
    </row>
    <row r="263" ht="22.5" customHeight="1">
      <c r="A263" s="11" t="s">
        <v>358</v>
      </c>
      <c r="B263" s="16" t="str">
        <f>IF(A263="","",IFERROR(VLOOKUP(A263, Stock_New!A:M, 2, FALSE),""))</f>
        <v>شجر</v>
      </c>
      <c r="C263" s="16" t="str">
        <f>IF(A263="","",IFERROR(VLOOKUP(A263, Stock_New!A:M, 3, FALSE),""))</f>
        <v>شركة حسين علي</v>
      </c>
      <c r="D263" s="5">
        <v>2.0</v>
      </c>
      <c r="E263" s="16">
        <f>IF($A263="", "", IFERROR(VLOOKUP($A263, Stock_New!$A:$M, 4, FALSE), ""))</f>
        <v>250</v>
      </c>
      <c r="F263" s="5">
        <f t="shared" si="1"/>
        <v>500</v>
      </c>
      <c r="G263" s="16">
        <f>IF($A263="", "", IFERROR(VLOOKUP($A263, Stock_New!$A:$M, 5, FALSE), ""))</f>
        <v>2</v>
      </c>
    </row>
    <row r="264" ht="22.5" customHeight="1">
      <c r="A264" s="11" t="s">
        <v>352</v>
      </c>
      <c r="B264" s="16" t="str">
        <f>IF(A264="","",IFERROR(VLOOKUP(A264, Stock_New!A:M, 2, FALSE),""))</f>
        <v>خزف</v>
      </c>
      <c r="C264" s="16" t="str">
        <f>IF(A264="","",IFERROR(VLOOKUP(A264, Stock_New!A:M, 3, FALSE),""))</f>
        <v>ذكريا</v>
      </c>
      <c r="D264" s="16">
        <f>4++1+10</f>
        <v>15</v>
      </c>
      <c r="E264" s="16">
        <f>IF($A264="", "", IFERROR(VLOOKUP($A264, Stock_New!$A:$M, 4, FALSE), ""))</f>
        <v>32</v>
      </c>
      <c r="F264" s="5">
        <f t="shared" si="1"/>
        <v>480</v>
      </c>
      <c r="G264" s="16">
        <f>IF($A264="", "", IFERROR(VLOOKUP($A264, Stock_New!$A:$M, 5, FALSE), ""))</f>
        <v>14</v>
      </c>
    </row>
    <row r="265" ht="22.5" customHeight="1">
      <c r="A265" s="11" t="s">
        <v>1155</v>
      </c>
      <c r="B265" s="16" t="str">
        <f>IF(A265="","",IFERROR(VLOOKUP(A265, Stock_New!A:M, 2, FALSE),""))</f>
        <v>خزف</v>
      </c>
      <c r="C265" s="16" t="str">
        <f>IF(A265="","",IFERROR(VLOOKUP(A265, Stock_New!A:M, 3, FALSE),""))</f>
        <v>شركة حسين علي</v>
      </c>
      <c r="D265" s="5">
        <f>5+13</f>
        <v>18</v>
      </c>
      <c r="E265" s="16">
        <f>IF($A265="", "", IFERROR(VLOOKUP($A265, Stock_New!$A:$M, 4, FALSE), ""))</f>
        <v>12.5</v>
      </c>
      <c r="F265" s="5">
        <f t="shared" si="1"/>
        <v>225</v>
      </c>
      <c r="G265" s="16">
        <f>IF($A265="", "", IFERROR(VLOOKUP($A265, Stock_New!$A:$M, 5, FALSE), ""))</f>
        <v>40</v>
      </c>
    </row>
    <row r="266" ht="22.5" customHeight="1">
      <c r="A266" s="11" t="s">
        <v>1208</v>
      </c>
      <c r="B266" s="16" t="str">
        <f>IF(A266="","",IFERROR(VLOOKUP(A266, Stock_New!A:M, 2, FALSE),""))</f>
        <v>بوت مقزمات</v>
      </c>
      <c r="C266" s="16" t="str">
        <f>IF(A266="","",IFERROR(VLOOKUP(A266, Stock_New!A:M, 3, FALSE),""))</f>
        <v>شركة حسين علي</v>
      </c>
      <c r="D266" s="16">
        <f>63+9+1+24+34+16</f>
        <v>147</v>
      </c>
      <c r="E266" s="16">
        <f>IF($A266="", "", IFERROR(VLOOKUP($A266, Stock_New!$A:$M, 4, FALSE), ""))</f>
        <v>3.5</v>
      </c>
      <c r="F266" s="5">
        <f t="shared" si="1"/>
        <v>514.5</v>
      </c>
      <c r="G266" s="16">
        <f>IF($A266="", "", IFERROR(VLOOKUP($A266, Stock_New!$A:$M, 5, FALSE), ""))</f>
        <v>142</v>
      </c>
    </row>
    <row r="267" ht="22.5" customHeight="1">
      <c r="A267" s="11" t="s">
        <v>106</v>
      </c>
      <c r="B267" s="16" t="str">
        <f>IF(A267="","",IFERROR(VLOOKUP(A267, Stock_New!A:M, 2, FALSE),""))</f>
        <v>شجر</v>
      </c>
      <c r="C267" s="16" t="str">
        <f>IF(A267="","",IFERROR(VLOOKUP(A267, Stock_New!A:M, 3, FALSE),""))</f>
        <v>ذكريا</v>
      </c>
      <c r="D267" s="5">
        <f>1+2</f>
        <v>3</v>
      </c>
      <c r="E267" s="16">
        <f>IF($A267="", "", IFERROR(VLOOKUP($A267, Stock_New!$A:$M, 4, FALSE), ""))</f>
        <v>189.29</v>
      </c>
      <c r="F267" s="5">
        <f t="shared" si="1"/>
        <v>567.87</v>
      </c>
      <c r="G267" s="16">
        <f>IF($A267="", "", IFERROR(VLOOKUP($A267, Stock_New!$A:$M, 5, FALSE), ""))</f>
        <v>5</v>
      </c>
    </row>
    <row r="268" ht="22.5" customHeight="1">
      <c r="A268" s="11" t="s">
        <v>1217</v>
      </c>
      <c r="B268" s="16" t="str">
        <f>IF(A268="","",IFERROR(VLOOKUP(A268, Stock_New!A:M, 2, FALSE),""))</f>
        <v/>
      </c>
      <c r="C268" s="19" t="s">
        <v>125</v>
      </c>
      <c r="D268" s="5">
        <v>2.0</v>
      </c>
      <c r="E268" s="75">
        <v>115.0</v>
      </c>
      <c r="F268" s="5">
        <f t="shared" si="1"/>
        <v>230</v>
      </c>
      <c r="G268" s="16" t="str">
        <f>IF($A268="", "", IFERROR(VLOOKUP($A268, Stock_New!$A:$M, 5, FALSE), ""))</f>
        <v/>
      </c>
    </row>
    <row r="269" ht="22.5" customHeight="1">
      <c r="A269" s="11" t="s">
        <v>1220</v>
      </c>
      <c r="B269" s="16" t="str">
        <f>IF(A269="","",IFERROR(VLOOKUP(A269, Stock_New!A:M, 2, FALSE),""))</f>
        <v/>
      </c>
      <c r="C269" s="19" t="s">
        <v>125</v>
      </c>
      <c r="D269" s="5">
        <v>2.0</v>
      </c>
      <c r="E269" s="75">
        <v>100.0</v>
      </c>
      <c r="F269" s="5">
        <f t="shared" si="1"/>
        <v>200</v>
      </c>
      <c r="G269" s="16" t="str">
        <f>IF($A269="", "", IFERROR(VLOOKUP($A269, Stock_New!$A:$M, 5, FALSE), ""))</f>
        <v/>
      </c>
    </row>
    <row r="270" ht="22.5" customHeight="1">
      <c r="A270" s="11" t="s">
        <v>1223</v>
      </c>
      <c r="B270" s="16" t="str">
        <f>IF(A270="","",IFERROR(VLOOKUP(A270, Stock_New!A:M, 2, FALSE),""))</f>
        <v/>
      </c>
      <c r="C270" s="19" t="s">
        <v>125</v>
      </c>
      <c r="D270" s="5">
        <v>2.0</v>
      </c>
      <c r="E270" s="75">
        <v>115.0</v>
      </c>
      <c r="F270" s="5">
        <f t="shared" si="1"/>
        <v>230</v>
      </c>
      <c r="G270" s="16" t="str">
        <f>IF($A270="", "", IFERROR(VLOOKUP($A270, Stock_New!$A:$M, 5, FALSE), ""))</f>
        <v/>
      </c>
    </row>
    <row r="271" ht="22.5" customHeight="1">
      <c r="A271" s="11" t="s">
        <v>1226</v>
      </c>
      <c r="B271" s="16" t="str">
        <f>IF(A271="","",IFERROR(VLOOKUP(A271, Stock_New!A:M, 2, FALSE),""))</f>
        <v/>
      </c>
      <c r="C271" s="5" t="s">
        <v>54</v>
      </c>
      <c r="D271" s="5">
        <v>1.0</v>
      </c>
      <c r="E271" s="5">
        <v>150.0</v>
      </c>
      <c r="F271" s="5">
        <f t="shared" si="1"/>
        <v>150</v>
      </c>
      <c r="G271" s="16" t="str">
        <f>IF($A271="", "", IFERROR(VLOOKUP($A271, Stock_New!$A:$M, 5, FALSE), ""))</f>
        <v/>
      </c>
    </row>
    <row r="272" ht="22.5" customHeight="1">
      <c r="A272" s="11" t="s">
        <v>244</v>
      </c>
      <c r="B272" s="16" t="str">
        <f>IF(A272="","",IFERROR(VLOOKUP(A272, Stock_New!A:M, 2, FALSE),""))</f>
        <v>شجر</v>
      </c>
      <c r="C272" s="16" t="str">
        <f>IF(A272="","",IFERROR(VLOOKUP(A272, Stock_New!A:M, 3, FALSE),""))</f>
        <v>ذكريا</v>
      </c>
      <c r="D272" s="5">
        <f>2+1+1</f>
        <v>4</v>
      </c>
      <c r="E272" s="16">
        <f>IF($A272="", "", IFERROR(VLOOKUP($A272, Stock_New!$A:$M, 4, FALSE), ""))</f>
        <v>210</v>
      </c>
      <c r="F272" s="5">
        <f t="shared" si="1"/>
        <v>840</v>
      </c>
      <c r="G272" s="16">
        <f>IF($A272="", "", IFERROR(VLOOKUP($A272, Stock_New!$A:$M, 5, FALSE), ""))</f>
        <v>3</v>
      </c>
    </row>
    <row r="273" ht="22.5" customHeight="1">
      <c r="A273" s="11" t="s">
        <v>677</v>
      </c>
      <c r="B273" s="16" t="str">
        <f>IF(A273="","",IFERROR(VLOOKUP(A273, Stock_New!A:M, 2, FALSE),""))</f>
        <v>بوتات</v>
      </c>
      <c r="C273" s="16" t="str">
        <f>IF(A273="","",IFERROR(VLOOKUP(A273, Stock_New!A:M, 3, FALSE),""))</f>
        <v>ذكريا</v>
      </c>
      <c r="D273" s="5">
        <v>2.0</v>
      </c>
      <c r="E273" s="16">
        <f>IF($A273="", "", IFERROR(VLOOKUP($A273, Stock_New!$A:$M, 4, FALSE), ""))</f>
        <v>160</v>
      </c>
      <c r="F273" s="5">
        <f t="shared" si="1"/>
        <v>320</v>
      </c>
      <c r="G273" s="16">
        <f>IF($A273="", "", IFERROR(VLOOKUP($A273, Stock_New!$A:$M, 5, FALSE), ""))</f>
        <v>2</v>
      </c>
    </row>
    <row r="274" ht="22.5" customHeight="1">
      <c r="A274" s="11" t="s">
        <v>416</v>
      </c>
      <c r="B274" s="16" t="str">
        <f>IF(A274="","",IFERROR(VLOOKUP(A274, Stock_New!A:M, 2, FALSE),""))</f>
        <v>ورد لوحده</v>
      </c>
      <c r="C274" s="16" t="str">
        <f>IF(A274="","",IFERROR(VLOOKUP(A274, Stock_New!A:M, 3, FALSE),""))</f>
        <v>ذكريا</v>
      </c>
      <c r="D274" s="5">
        <f>2+3</f>
        <v>5</v>
      </c>
      <c r="E274" s="16">
        <f>IF($A274="", "", IFERROR(VLOOKUP($A274, Stock_New!$A:$M, 4, FALSE), ""))</f>
        <v>30</v>
      </c>
      <c r="F274" s="5">
        <f t="shared" si="1"/>
        <v>150</v>
      </c>
      <c r="G274" s="16">
        <f>IF($A274="", "", IFERROR(VLOOKUP($A274, Stock_New!$A:$M, 5, FALSE), ""))</f>
        <v>4</v>
      </c>
    </row>
    <row r="275" ht="22.5" customHeight="1">
      <c r="A275" s="11" t="s">
        <v>1099</v>
      </c>
      <c r="B275" s="16" t="str">
        <f>IF(A275="","",IFERROR(VLOOKUP(A275, Stock_New!A:M, 2, FALSE),""))</f>
        <v>شجر</v>
      </c>
      <c r="C275" s="16" t="str">
        <f>IF(A275="","",IFERROR(VLOOKUP(A275, Stock_New!A:M, 3, FALSE),""))</f>
        <v>شركة حسين علي</v>
      </c>
      <c r="D275" s="5">
        <v>1.0</v>
      </c>
      <c r="E275" s="16">
        <f>IF($A275="", "", IFERROR(VLOOKUP($A275, Stock_New!$A:$M, 4, FALSE), ""))</f>
        <v>100</v>
      </c>
      <c r="F275" s="5">
        <f t="shared" si="1"/>
        <v>100</v>
      </c>
      <c r="G275" s="16">
        <f>IF($A275="", "", IFERROR(VLOOKUP($A275, Stock_New!$A:$M, 5, FALSE), ""))</f>
        <v>1</v>
      </c>
    </row>
    <row r="276" ht="22.5" customHeight="1">
      <c r="A276" s="11" t="s">
        <v>508</v>
      </c>
      <c r="B276" s="16" t="str">
        <f>IF(A276="","",IFERROR(VLOOKUP(A276, Stock_New!A:M, 2, FALSE),""))</f>
        <v>شجر</v>
      </c>
      <c r="C276" s="16" t="str">
        <f>IF(A276="","",IFERROR(VLOOKUP(A276, Stock_New!A:M, 3, FALSE),""))</f>
        <v>شركة حسين علي</v>
      </c>
      <c r="D276" s="5">
        <v>1.0</v>
      </c>
      <c r="E276" s="16">
        <f>IF($A276="", "", IFERROR(VLOOKUP($A276, Stock_New!$A:$M, 4, FALSE), ""))</f>
        <v>185</v>
      </c>
      <c r="F276" s="5">
        <f t="shared" si="1"/>
        <v>185</v>
      </c>
      <c r="G276" s="16">
        <f>IF($A276="", "", IFERROR(VLOOKUP($A276, Stock_New!$A:$M, 5, FALSE), ""))</f>
        <v>1</v>
      </c>
    </row>
    <row r="277" ht="22.5" customHeight="1">
      <c r="A277" s="11" t="s">
        <v>929</v>
      </c>
      <c r="B277" s="16" t="str">
        <f>IF(A277="","",IFERROR(VLOOKUP(A277, Stock_New!A:M, 2, FALSE),""))</f>
        <v>جزوع</v>
      </c>
      <c r="C277" s="16" t="str">
        <f>IF(A277="","",IFERROR(VLOOKUP(A277, Stock_New!A:M, 3, FALSE),""))</f>
        <v>عبدالفتاح</v>
      </c>
      <c r="D277" s="5">
        <f>4+33</f>
        <v>37</v>
      </c>
      <c r="E277" s="16">
        <f>IF($A277="", "", IFERROR(VLOOKUP($A277, Stock_New!$A:$M, 4, FALSE), ""))</f>
        <v>21.88</v>
      </c>
      <c r="F277" s="5">
        <f t="shared" si="1"/>
        <v>809.56</v>
      </c>
      <c r="G277" s="16">
        <f>IF($A277="", "", IFERROR(VLOOKUP($A277, Stock_New!$A:$M, 5, FALSE), ""))</f>
        <v>58</v>
      </c>
    </row>
    <row r="278" ht="22.5" customHeight="1">
      <c r="A278" s="11" t="s">
        <v>404</v>
      </c>
      <c r="B278" s="16" t="str">
        <f>IF(A278="","",IFERROR(VLOOKUP(A278, Stock_New!A:M, 2, FALSE),""))</f>
        <v>بوتات</v>
      </c>
      <c r="C278" s="16" t="str">
        <f>IF(A278="","",IFERROR(VLOOKUP(A278, Stock_New!A:M, 3, FALSE),""))</f>
        <v>ذكريا</v>
      </c>
      <c r="D278" s="5">
        <v>1.0</v>
      </c>
      <c r="E278" s="16">
        <f>IF($A278="", "", IFERROR(VLOOKUP($A278, Stock_New!$A:$M, 4, FALSE), ""))</f>
        <v>75</v>
      </c>
      <c r="F278" s="5">
        <f t="shared" si="1"/>
        <v>75</v>
      </c>
      <c r="G278" s="16">
        <f>IF($A278="", "", IFERROR(VLOOKUP($A278, Stock_New!$A:$M, 5, FALSE), ""))</f>
        <v>0</v>
      </c>
    </row>
    <row r="279" ht="22.5" customHeight="1">
      <c r="A279" s="11" t="s">
        <v>1242</v>
      </c>
      <c r="B279" s="16" t="str">
        <f>IF(A279="","",IFERROR(VLOOKUP(A279, Stock_New!A:M, 2, FALSE),""))</f>
        <v>كريستال</v>
      </c>
      <c r="C279" s="16" t="str">
        <f>IF(A279="","",IFERROR(VLOOKUP(A279, Stock_New!A:M, 3, FALSE),""))</f>
        <v>محمد رشدي</v>
      </c>
      <c r="D279" s="5">
        <v>2.0</v>
      </c>
      <c r="E279" s="16">
        <f>IF($A279="", "", IFERROR(VLOOKUP($A279, Stock_New!$A:$M, 4, FALSE), ""))</f>
        <v>52</v>
      </c>
      <c r="F279" s="5">
        <f t="shared" si="1"/>
        <v>104</v>
      </c>
      <c r="G279" s="16">
        <f>IF($A279="", "", IFERROR(VLOOKUP($A279, Stock_New!$A:$M, 5, FALSE), ""))</f>
        <v>2</v>
      </c>
    </row>
    <row r="280" ht="22.5" customHeight="1">
      <c r="A280" s="11" t="s">
        <v>926</v>
      </c>
      <c r="B280" s="16" t="str">
        <f>IF(A280="","",IFERROR(VLOOKUP(A280, Stock_New!A:M, 2, FALSE),""))</f>
        <v>جزوع</v>
      </c>
      <c r="C280" s="16" t="str">
        <f>IF(A280="","",IFERROR(VLOOKUP(A280, Stock_New!A:M, 3, FALSE),""))</f>
        <v>عبدالفتاح</v>
      </c>
      <c r="D280" s="5">
        <f>20+9</f>
        <v>29</v>
      </c>
      <c r="E280" s="16">
        <f>IF($A280="", "", IFERROR(VLOOKUP($A280, Stock_New!$A:$M, 4, FALSE), ""))</f>
        <v>20</v>
      </c>
      <c r="F280" s="5">
        <f t="shared" si="1"/>
        <v>580</v>
      </c>
      <c r="G280" s="16">
        <f>IF($A280="", "", IFERROR(VLOOKUP($A280, Stock_New!$A:$M, 5, FALSE), ""))</f>
        <v>59</v>
      </c>
    </row>
    <row r="281" ht="22.5" customHeight="1">
      <c r="A281" s="11" t="s">
        <v>1160</v>
      </c>
      <c r="B281" s="16" t="str">
        <f>IF(A281="","",IFERROR(VLOOKUP(A281, Stock_New!A:M, 2, FALSE),""))</f>
        <v>جزوع</v>
      </c>
      <c r="C281" s="16" t="str">
        <f>IF(A281="","",IFERROR(VLOOKUP(A281, Stock_New!A:M, 3, FALSE),""))</f>
        <v>عبدالفتاح</v>
      </c>
      <c r="D281" s="5">
        <v>4.0</v>
      </c>
      <c r="E281" s="16">
        <f>IF($A281="", "", IFERROR(VLOOKUP($A281, Stock_New!$A:$M, 4, FALSE), ""))</f>
        <v>55</v>
      </c>
      <c r="F281" s="5">
        <f t="shared" si="1"/>
        <v>220</v>
      </c>
      <c r="G281" s="16">
        <f>IF($A281="", "", IFERROR(VLOOKUP($A281, Stock_New!$A:$M, 5, FALSE), ""))</f>
        <v>4</v>
      </c>
    </row>
    <row r="282" ht="22.5" customHeight="1">
      <c r="A282" s="11" t="s">
        <v>1252</v>
      </c>
      <c r="B282" s="16" t="str">
        <f>IF(A282="","",IFERROR(VLOOKUP(A282, Stock_New!A:M, 2, FALSE),""))</f>
        <v>جزوع</v>
      </c>
      <c r="C282" s="16" t="str">
        <f>IF(A282="","",IFERROR(VLOOKUP(A282, Stock_New!A:M, 3, FALSE),""))</f>
        <v>عبدالفتاح</v>
      </c>
      <c r="D282" s="5">
        <v>4.0</v>
      </c>
      <c r="E282" s="16">
        <f>IF($A282="", "", IFERROR(VLOOKUP($A282, Stock_New!$A:$M, 4, FALSE), ""))</f>
        <v>70</v>
      </c>
      <c r="F282" s="5">
        <f t="shared" si="1"/>
        <v>280</v>
      </c>
      <c r="G282" s="16">
        <f>IF($A282="", "", IFERROR(VLOOKUP($A282, Stock_New!$A:$M, 5, FALSE), ""))</f>
        <v>5</v>
      </c>
    </row>
    <row r="283" ht="22.5" customHeight="1">
      <c r="A283" s="11" t="s">
        <v>932</v>
      </c>
      <c r="B283" s="16" t="str">
        <f>IF(A283="","",IFERROR(VLOOKUP(A283, Stock_New!A:M, 2, FALSE),""))</f>
        <v>جزوع</v>
      </c>
      <c r="C283" s="16" t="str">
        <f>IF(A283="","",IFERROR(VLOOKUP(A283, Stock_New!A:M, 3, FALSE),""))</f>
        <v>عبدالفتاح</v>
      </c>
      <c r="D283" s="5">
        <f>24+1+21</f>
        <v>46</v>
      </c>
      <c r="E283" s="16">
        <f>IF($A283="", "", IFERROR(VLOOKUP($A283, Stock_New!$A:$M, 4, FALSE), ""))</f>
        <v>30</v>
      </c>
      <c r="F283" s="5">
        <f t="shared" si="1"/>
        <v>1380</v>
      </c>
      <c r="G283" s="16">
        <f>IF($A283="", "", IFERROR(VLOOKUP($A283, Stock_New!$A:$M, 5, FALSE), ""))</f>
        <v>47</v>
      </c>
    </row>
    <row r="284" ht="22.5" customHeight="1">
      <c r="A284" s="11" t="s">
        <v>935</v>
      </c>
      <c r="B284" s="16" t="str">
        <f>IF(A284="","",IFERROR(VLOOKUP(A284, Stock_New!A:M, 2, FALSE),""))</f>
        <v>قصريات</v>
      </c>
      <c r="C284" s="16" t="str">
        <f>IF(A284="","",IFERROR(VLOOKUP(A284, Stock_New!A:M, 3, FALSE),""))</f>
        <v>المهندس</v>
      </c>
      <c r="D284" s="5">
        <f>16+31</f>
        <v>47</v>
      </c>
      <c r="E284" s="16">
        <f>IF($A284="", "", IFERROR(VLOOKUP($A284, Stock_New!$A:$M, 4, FALSE), ""))</f>
        <v>7</v>
      </c>
      <c r="F284" s="5">
        <f t="shared" si="1"/>
        <v>329</v>
      </c>
      <c r="G284" s="16">
        <f>IF($A284="", "", IFERROR(VLOOKUP($A284, Stock_New!$A:$M, 5, FALSE), ""))</f>
        <v>50</v>
      </c>
    </row>
    <row r="285" ht="22.5" customHeight="1">
      <c r="A285" s="11" t="s">
        <v>1248</v>
      </c>
      <c r="B285" s="16" t="str">
        <f>IF(A285="","",IFERROR(VLOOKUP(A285, Stock_New!A:M, 2, FALSE),""))</f>
        <v>خزف</v>
      </c>
      <c r="C285" s="16" t="str">
        <f>IF(A285="","",IFERROR(VLOOKUP(A285, Stock_New!A:M, 3, FALSE),""))</f>
        <v>شركة حسين علي</v>
      </c>
      <c r="D285" s="5">
        <v>22.0</v>
      </c>
      <c r="E285" s="16">
        <f>IF($A285="", "", IFERROR(VLOOKUP($A285, Stock_New!$A:$M, 4, FALSE), ""))</f>
        <v>15</v>
      </c>
      <c r="F285" s="5">
        <f t="shared" si="1"/>
        <v>330</v>
      </c>
      <c r="G285" s="16">
        <f>IF($A285="", "", IFERROR(VLOOKUP($A285, Stock_New!$A:$M, 5, FALSE), ""))</f>
        <v>30</v>
      </c>
    </row>
    <row r="286" ht="22.5" customHeight="1">
      <c r="A286" s="11" t="s">
        <v>1263</v>
      </c>
      <c r="B286" s="16" t="str">
        <f>IF(A286="","",IFERROR(VLOOKUP(A286, Stock_New!A:M, 2, FALSE),""))</f>
        <v>ورد صناعي</v>
      </c>
      <c r="C286" s="16" t="str">
        <f>IF(A286="","",IFERROR(VLOOKUP(A286, Stock_New!A:M, 3, FALSE),""))</f>
        <v>سنتر محمد رشدي</v>
      </c>
      <c r="D286" s="16">
        <f>12*3</f>
        <v>36</v>
      </c>
      <c r="E286" s="16">
        <f>IF($A286="", "", IFERROR(VLOOKUP($A286, Stock_New!$A:$M, 4, FALSE), ""))</f>
        <v>3.9</v>
      </c>
      <c r="F286" s="5">
        <f t="shared" si="1"/>
        <v>140.4</v>
      </c>
      <c r="G286" s="16">
        <f>IF($A286="", "", IFERROR(VLOOKUP($A286, Stock_New!$A:$M, 5, FALSE), ""))</f>
        <v>30</v>
      </c>
    </row>
    <row r="287" ht="22.5" customHeight="1">
      <c r="A287" s="11" t="s">
        <v>161</v>
      </c>
      <c r="B287" s="16" t="str">
        <f>IF(A287="","",IFERROR(VLOOKUP(A287, Stock_New!A:M, 2, FALSE),""))</f>
        <v>شجر</v>
      </c>
      <c r="C287" s="16" t="str">
        <f>IF(A287="","",IFERROR(VLOOKUP(A287, Stock_New!A:M, 3, FALSE),""))</f>
        <v>ذكريا</v>
      </c>
      <c r="D287" s="5">
        <v>1.0</v>
      </c>
      <c r="E287" s="16">
        <f>IF($A287="", "", IFERROR(VLOOKUP($A287, Stock_New!$A:$M, 4, FALSE), ""))</f>
        <v>400</v>
      </c>
      <c r="F287" s="5">
        <f t="shared" si="1"/>
        <v>400</v>
      </c>
      <c r="G287" s="16">
        <f>IF($A287="", "", IFERROR(VLOOKUP($A287, Stock_New!$A:$M, 5, FALSE), ""))</f>
        <v>1</v>
      </c>
    </row>
    <row r="288" ht="22.5" customHeight="1">
      <c r="A288" s="11" t="s">
        <v>140</v>
      </c>
      <c r="B288" s="16" t="str">
        <f>IF(A288="","",IFERROR(VLOOKUP(A288, Stock_New!A:M, 2, FALSE),""))</f>
        <v>شجر</v>
      </c>
      <c r="C288" s="16" t="str">
        <f>IF(A288="","",IFERROR(VLOOKUP(A288, Stock_New!A:M, 3, FALSE),""))</f>
        <v>ذكريا</v>
      </c>
      <c r="D288" s="5">
        <v>1.0</v>
      </c>
      <c r="E288" s="16">
        <f>IF($A288="", "", IFERROR(VLOOKUP($A288, Stock_New!$A:$M, 4, FALSE), ""))</f>
        <v>440</v>
      </c>
      <c r="F288" s="5">
        <f t="shared" si="1"/>
        <v>440</v>
      </c>
      <c r="G288" s="16">
        <f>IF($A288="", "", IFERROR(VLOOKUP($A288, Stock_New!$A:$M, 5, FALSE), ""))</f>
        <v>2</v>
      </c>
    </row>
    <row r="289" ht="22.5" customHeight="1">
      <c r="A289" s="11" t="s">
        <v>261</v>
      </c>
      <c r="B289" s="16" t="str">
        <f>IF(A289="","",IFERROR(VLOOKUP(A289, Stock_New!A:M, 2, FALSE),""))</f>
        <v>شجر</v>
      </c>
      <c r="C289" s="16" t="str">
        <f>IF(A289="","",IFERROR(VLOOKUP(A289, Stock_New!A:M, 3, FALSE),""))</f>
        <v>ذكريا</v>
      </c>
      <c r="D289" s="5">
        <v>1.0</v>
      </c>
      <c r="E289" s="16">
        <f>IF($A289="", "", IFERROR(VLOOKUP($A289, Stock_New!$A:$M, 4, FALSE), ""))</f>
        <v>310</v>
      </c>
      <c r="F289" s="5">
        <f t="shared" si="1"/>
        <v>310</v>
      </c>
      <c r="G289" s="16">
        <f>IF($A289="", "", IFERROR(VLOOKUP($A289, Stock_New!$A:$M, 5, FALSE), ""))</f>
        <v>1</v>
      </c>
    </row>
    <row r="290" ht="22.5" customHeight="1">
      <c r="A290" s="11" t="s">
        <v>402</v>
      </c>
      <c r="B290" s="16" t="str">
        <f>IF(A290="","",IFERROR(VLOOKUP(A290, Stock_New!A:M, 2, FALSE),""))</f>
        <v>ورد لوحده</v>
      </c>
      <c r="C290" s="16" t="str">
        <f>IF(A290="","",IFERROR(VLOOKUP(A290, Stock_New!A:M, 3, FALSE),""))</f>
        <v>ذكريا</v>
      </c>
      <c r="D290" s="5">
        <f>2+1</f>
        <v>3</v>
      </c>
      <c r="E290" s="16">
        <f>IF($A290="", "", IFERROR(VLOOKUP($A290, Stock_New!$A:$M, 4, FALSE), ""))</f>
        <v>225</v>
      </c>
      <c r="F290" s="5">
        <f t="shared" si="1"/>
        <v>675</v>
      </c>
      <c r="G290" s="16">
        <f>IF($A290="", "", IFERROR(VLOOKUP($A290, Stock_New!$A:$M, 5, FALSE), ""))</f>
        <v>5</v>
      </c>
    </row>
    <row r="291" ht="22.5" customHeight="1">
      <c r="A291" s="11" t="s">
        <v>357</v>
      </c>
      <c r="B291" s="16" t="str">
        <f>IF(A291="","",IFERROR(VLOOKUP(A291, Stock_New!A:M, 2, FALSE),""))</f>
        <v>ورد لوحده</v>
      </c>
      <c r="C291" s="16" t="str">
        <f>IF(A291="","",IFERROR(VLOOKUP(A291, Stock_New!A:M, 3, FALSE),""))</f>
        <v>ذكريا</v>
      </c>
      <c r="D291" s="5">
        <v>1.0</v>
      </c>
      <c r="E291" s="16">
        <f>IF($A291="", "", IFERROR(VLOOKUP($A291, Stock_New!$A:$M, 4, FALSE), ""))</f>
        <v>225</v>
      </c>
      <c r="F291" s="5">
        <f t="shared" si="1"/>
        <v>225</v>
      </c>
      <c r="G291" s="16">
        <f>IF($A291="", "", IFERROR(VLOOKUP($A291, Stock_New!$A:$M, 5, FALSE), ""))</f>
        <v>0</v>
      </c>
    </row>
    <row r="292" ht="22.5" customHeight="1">
      <c r="A292" s="11" t="s">
        <v>49</v>
      </c>
      <c r="B292" s="16" t="str">
        <f>IF(A292="","",IFERROR(VLOOKUP(A292, Stock_New!A:M, 2, FALSE),""))</f>
        <v>شجر</v>
      </c>
      <c r="C292" s="16" t="str">
        <f>IF(A292="","",IFERROR(VLOOKUP(A292, Stock_New!A:M, 3, FALSE),""))</f>
        <v>شركة الفرسان</v>
      </c>
      <c r="D292" s="5">
        <v>1.0</v>
      </c>
      <c r="E292" s="16">
        <f>IF($A292="", "", IFERROR(VLOOKUP($A292, Stock_New!$A:$M, 4, FALSE), ""))</f>
        <v>1100</v>
      </c>
      <c r="F292" s="5">
        <f t="shared" si="1"/>
        <v>1100</v>
      </c>
      <c r="G292" s="16">
        <f>IF($A292="", "", IFERROR(VLOOKUP($A292, Stock_New!$A:$M, 5, FALSE), ""))</f>
        <v>1</v>
      </c>
    </row>
    <row r="293" ht="22.5" customHeight="1">
      <c r="A293" s="11" t="s">
        <v>274</v>
      </c>
      <c r="B293" s="16" t="str">
        <f>IF(A293="","",IFERROR(VLOOKUP(A293, Stock_New!A:M, 2, FALSE),""))</f>
        <v>شجر</v>
      </c>
      <c r="C293" s="16" t="str">
        <f>IF(A293="","",IFERROR(VLOOKUP(A293, Stock_New!A:M, 3, FALSE),""))</f>
        <v>ذكريا</v>
      </c>
      <c r="D293" s="5">
        <v>1.0</v>
      </c>
      <c r="E293" s="16">
        <f>IF($A293="", "", IFERROR(VLOOKUP($A293, Stock_New!$A:$M, 4, FALSE), ""))</f>
        <v>250</v>
      </c>
      <c r="F293" s="5">
        <f t="shared" si="1"/>
        <v>250</v>
      </c>
      <c r="G293" s="16">
        <f>IF($A293="", "", IFERROR(VLOOKUP($A293, Stock_New!$A:$M, 5, FALSE), ""))</f>
        <v>0</v>
      </c>
    </row>
    <row r="294" ht="22.5" customHeight="1">
      <c r="A294" s="11" t="s">
        <v>290</v>
      </c>
      <c r="B294" s="16" t="str">
        <f>IF(A294="","",IFERROR(VLOOKUP(A294, Stock_New!A:M, 2, FALSE),""))</f>
        <v>شجر</v>
      </c>
      <c r="C294" s="16" t="str">
        <f>IF(A294="","",IFERROR(VLOOKUP(A294, Stock_New!A:M, 3, FALSE),""))</f>
        <v>شركة حسين علي</v>
      </c>
      <c r="D294" s="5">
        <v>1.0</v>
      </c>
      <c r="E294" s="16">
        <f>IF($A294="", "", IFERROR(VLOOKUP($A294, Stock_New!$A:$M, 4, FALSE), ""))</f>
        <v>300</v>
      </c>
      <c r="F294" s="5">
        <f t="shared" si="1"/>
        <v>300</v>
      </c>
      <c r="G294" s="16">
        <f>IF($A294="", "", IFERROR(VLOOKUP($A294, Stock_New!$A:$M, 5, FALSE), ""))</f>
        <v>1</v>
      </c>
    </row>
    <row r="295" ht="22.5" customHeight="1">
      <c r="A295" s="11" t="s">
        <v>131</v>
      </c>
      <c r="B295" s="16" t="str">
        <f>IF(A295="","",IFERROR(VLOOKUP(A295, Stock_New!A:M, 2, FALSE),""))</f>
        <v>شجر</v>
      </c>
      <c r="C295" s="16" t="str">
        <f>IF(A295="","",IFERROR(VLOOKUP(A295, Stock_New!A:M, 3, FALSE),""))</f>
        <v>ذكريا</v>
      </c>
      <c r="D295" s="5">
        <v>1.0</v>
      </c>
      <c r="E295" s="16">
        <f>IF($A295="", "", IFERROR(VLOOKUP($A295, Stock_New!$A:$M, 4, FALSE), ""))</f>
        <v>475</v>
      </c>
      <c r="F295" s="5">
        <f t="shared" si="1"/>
        <v>475</v>
      </c>
      <c r="G295" s="16">
        <f>IF($A295="", "", IFERROR(VLOOKUP($A295, Stock_New!$A:$M, 5, FALSE), ""))</f>
        <v>1</v>
      </c>
    </row>
    <row r="296" ht="22.5" customHeight="1">
      <c r="A296" s="11" t="s">
        <v>562</v>
      </c>
      <c r="B296" s="16" t="str">
        <f>IF(A296="","",IFERROR(VLOOKUP(A296, Stock_New!A:M, 2, FALSE),""))</f>
        <v>بوتات</v>
      </c>
      <c r="C296" s="16" t="str">
        <f>IF(A296="","",IFERROR(VLOOKUP(A296, Stock_New!A:M, 3, FALSE),""))</f>
        <v>ذكريا</v>
      </c>
      <c r="D296" s="5">
        <v>1.0</v>
      </c>
      <c r="E296" s="16">
        <f>IF($A296="", "", IFERROR(VLOOKUP($A296, Stock_New!$A:$M, 4, FALSE), ""))</f>
        <v>175</v>
      </c>
      <c r="F296" s="5">
        <f t="shared" si="1"/>
        <v>175</v>
      </c>
      <c r="G296" s="16">
        <f>IF($A296="", "", IFERROR(VLOOKUP($A296, Stock_New!$A:$M, 5, FALSE), ""))</f>
        <v>1</v>
      </c>
    </row>
    <row r="297" ht="22.5" customHeight="1">
      <c r="A297" s="11" t="s">
        <v>1297</v>
      </c>
      <c r="B297" s="19" t="s">
        <v>50</v>
      </c>
      <c r="C297" s="5" t="s">
        <v>54</v>
      </c>
      <c r="D297" s="5">
        <v>1.0</v>
      </c>
      <c r="E297" s="5">
        <v>130.0</v>
      </c>
      <c r="F297" s="5">
        <f t="shared" si="1"/>
        <v>130</v>
      </c>
      <c r="G297" s="16" t="str">
        <f>IF($A297="", "", IFERROR(VLOOKUP($A297, Stock_New!$A:$M, 5, FALSE), ""))</f>
        <v/>
      </c>
    </row>
    <row r="298" ht="22.5" customHeight="1">
      <c r="A298" s="11" t="s">
        <v>1299</v>
      </c>
      <c r="B298" s="19" t="s">
        <v>50</v>
      </c>
      <c r="C298" s="5" t="s">
        <v>54</v>
      </c>
      <c r="D298" s="5">
        <v>1.0</v>
      </c>
      <c r="E298" s="5">
        <v>120.0</v>
      </c>
      <c r="F298" s="5">
        <f t="shared" si="1"/>
        <v>120</v>
      </c>
      <c r="G298" s="16" t="str">
        <f>IF($A298="", "", IFERROR(VLOOKUP($A298, Stock_New!$A:$M, 5, FALSE), ""))</f>
        <v/>
      </c>
    </row>
    <row r="299" ht="22.5" customHeight="1">
      <c r="A299" s="11" t="s">
        <v>1301</v>
      </c>
      <c r="B299" s="19" t="s">
        <v>50</v>
      </c>
      <c r="C299" s="5" t="s">
        <v>54</v>
      </c>
      <c r="D299" s="5">
        <v>1.0</v>
      </c>
      <c r="E299" s="5">
        <v>160.0</v>
      </c>
      <c r="F299" s="5">
        <f t="shared" si="1"/>
        <v>160</v>
      </c>
      <c r="G299" s="16" t="str">
        <f>IF($A299="", "", IFERROR(VLOOKUP($A299, Stock_New!$A:$M, 5, FALSE), ""))</f>
        <v/>
      </c>
    </row>
    <row r="300" ht="22.5" customHeight="1">
      <c r="A300" s="11" t="s">
        <v>225</v>
      </c>
      <c r="B300" s="16" t="str">
        <f>IF(A300="","",IFERROR(VLOOKUP(A300, Stock_New!A:M, 2, FALSE),""))</f>
        <v>شجر</v>
      </c>
      <c r="C300" s="16" t="str">
        <f>IF(A300="","",IFERROR(VLOOKUP(A300, Stock_New!A:M, 3, FALSE),""))</f>
        <v>ذكريا</v>
      </c>
      <c r="D300" s="5">
        <v>5.0</v>
      </c>
      <c r="E300" s="16">
        <f>IF($A300="", "", IFERROR(VLOOKUP($A300, Stock_New!$A:$M, 4, FALSE), ""))</f>
        <v>160</v>
      </c>
      <c r="F300" s="5">
        <f t="shared" si="1"/>
        <v>800</v>
      </c>
      <c r="G300" s="16">
        <f>IF($A300="", "", IFERROR(VLOOKUP($A300, Stock_New!$A:$M, 5, FALSE), ""))</f>
        <v>5</v>
      </c>
    </row>
    <row r="301" ht="22.5" customHeight="1">
      <c r="A301" s="11" t="s">
        <v>1306</v>
      </c>
      <c r="B301" s="19" t="s">
        <v>50</v>
      </c>
      <c r="C301" s="5" t="s">
        <v>54</v>
      </c>
      <c r="D301" s="5">
        <v>1.0</v>
      </c>
      <c r="E301" s="5">
        <v>160.0</v>
      </c>
      <c r="F301" s="5">
        <f t="shared" si="1"/>
        <v>160</v>
      </c>
      <c r="G301" s="16" t="str">
        <f>IF($A301="", "", IFERROR(VLOOKUP($A301, Stock_New!$A:$M, 5, FALSE), ""))</f>
        <v/>
      </c>
    </row>
    <row r="302" ht="22.5" customHeight="1">
      <c r="A302" s="11" t="s">
        <v>212</v>
      </c>
      <c r="B302" s="16" t="str">
        <f>IF(A302="","",IFERROR(VLOOKUP(A302, Stock_New!A:M, 2, FALSE),""))</f>
        <v>شجر</v>
      </c>
      <c r="C302" s="16" t="str">
        <f>IF(A302="","",IFERROR(VLOOKUP(A302, Stock_New!A:M, 3, FALSE),""))</f>
        <v>ذكريا</v>
      </c>
      <c r="D302" s="5">
        <v>1.0</v>
      </c>
      <c r="E302" s="16">
        <f>IF($A302="", "", IFERROR(VLOOKUP($A302, Stock_New!$A:$M, 4, FALSE), ""))</f>
        <v>325</v>
      </c>
      <c r="F302" s="5">
        <f t="shared" si="1"/>
        <v>325</v>
      </c>
      <c r="G302" s="16">
        <f>IF($A302="", "", IFERROR(VLOOKUP($A302, Stock_New!$A:$M, 5, FALSE), ""))</f>
        <v>0</v>
      </c>
    </row>
    <row r="303" ht="22.5" customHeight="1">
      <c r="A303" s="11" t="s">
        <v>304</v>
      </c>
      <c r="B303" s="16" t="str">
        <f>IF(A303="","",IFERROR(VLOOKUP(A303, Stock_New!A:M, 2, FALSE),""))</f>
        <v>شجر</v>
      </c>
      <c r="C303" s="16" t="str">
        <f>IF(A303="","",IFERROR(VLOOKUP(A303, Stock_New!A:M, 3, FALSE),""))</f>
        <v>ذكريا</v>
      </c>
      <c r="D303" s="5">
        <v>1.0</v>
      </c>
      <c r="E303" s="16">
        <f>IF($A303="", "", IFERROR(VLOOKUP($A303, Stock_New!$A:$M, 4, FALSE), ""))</f>
        <v>225</v>
      </c>
      <c r="F303" s="5">
        <f t="shared" si="1"/>
        <v>225</v>
      </c>
      <c r="G303" s="16">
        <f>IF($A303="", "", IFERROR(VLOOKUP($A303, Stock_New!$A:$M, 5, FALSE), ""))</f>
        <v>1</v>
      </c>
    </row>
    <row r="304" ht="22.5" customHeight="1">
      <c r="A304" s="11" t="s">
        <v>78</v>
      </c>
      <c r="B304" s="16" t="str">
        <f>IF(A304="","",IFERROR(VLOOKUP(A304, Stock_New!A:M, 2, FALSE),""))</f>
        <v>شجر</v>
      </c>
      <c r="C304" s="16" t="str">
        <f>IF(A304="","",IFERROR(VLOOKUP(A304, Stock_New!A:M, 3, FALSE),""))</f>
        <v>ذكريا</v>
      </c>
      <c r="D304" s="5">
        <v>1.0</v>
      </c>
      <c r="E304" s="16">
        <f>IF($A304="", "", IFERROR(VLOOKUP($A304, Stock_New!$A:$M, 4, FALSE), ""))</f>
        <v>725</v>
      </c>
      <c r="F304" s="5">
        <f t="shared" si="1"/>
        <v>725</v>
      </c>
      <c r="G304" s="16">
        <f>IF($A304="", "", IFERROR(VLOOKUP($A304, Stock_New!$A:$M, 5, FALSE), ""))</f>
        <v>1</v>
      </c>
    </row>
    <row r="305" ht="22.5" customHeight="1">
      <c r="A305" s="11" t="s">
        <v>260</v>
      </c>
      <c r="B305" s="16" t="str">
        <f>IF(A305="","",IFERROR(VLOOKUP(A305, Stock_New!A:M, 2, FALSE),""))</f>
        <v>سيلفرات</v>
      </c>
      <c r="C305" s="16" t="str">
        <f>IF(A305="","",IFERROR(VLOOKUP(A305, Stock_New!A:M, 3, FALSE),""))</f>
        <v>ذكريا</v>
      </c>
      <c r="D305" s="5">
        <v>2.0</v>
      </c>
      <c r="E305" s="16">
        <f>IF($A305="", "", IFERROR(VLOOKUP($A305, Stock_New!$A:$M, 4, FALSE), ""))</f>
        <v>170</v>
      </c>
      <c r="F305" s="5">
        <f t="shared" si="1"/>
        <v>340</v>
      </c>
      <c r="G305" s="16">
        <f>IF($A305="", "", IFERROR(VLOOKUP($A305, Stock_New!$A:$M, 5, FALSE), ""))</f>
        <v>2</v>
      </c>
    </row>
    <row r="306" ht="22.5" customHeight="1">
      <c r="A306" s="11" t="s">
        <v>250</v>
      </c>
      <c r="B306" s="16" t="str">
        <f>IF(A306="","",IFERROR(VLOOKUP(A306, Stock_New!A:M, 2, FALSE),""))</f>
        <v>شجر</v>
      </c>
      <c r="C306" s="16" t="str">
        <f>IF(A306="","",IFERROR(VLOOKUP(A306, Stock_New!A:M, 3, FALSE),""))</f>
        <v>ذكريا</v>
      </c>
      <c r="D306" s="5">
        <v>3.0</v>
      </c>
      <c r="E306" s="16">
        <f>IF($A306="", "", IFERROR(VLOOKUP($A306, Stock_New!$A:$M, 4, FALSE), ""))</f>
        <v>145</v>
      </c>
      <c r="F306" s="5">
        <f t="shared" si="1"/>
        <v>435</v>
      </c>
      <c r="G306" s="16">
        <f>IF($A306="", "", IFERROR(VLOOKUP($A306, Stock_New!$A:$M, 5, FALSE), ""))</f>
        <v>2</v>
      </c>
    </row>
    <row r="307" ht="22.5" customHeight="1">
      <c r="A307" s="11" t="s">
        <v>1320</v>
      </c>
      <c r="B307" s="16" t="str">
        <f>IF(A307="","",IFERROR(VLOOKUP(A307, Stock_New!A:M, 2, FALSE),""))</f>
        <v>فازة</v>
      </c>
      <c r="C307" s="16" t="str">
        <f>IF(A307="","",IFERROR(VLOOKUP(A307, Stock_New!A:M, 3, FALSE),""))</f>
        <v>شركة الفرسان</v>
      </c>
      <c r="D307" s="5">
        <v>6.0</v>
      </c>
      <c r="E307" s="16">
        <f>IF($A307="", "", IFERROR(VLOOKUP($A307, Stock_New!$A:$M, 4, FALSE), ""))</f>
        <v>40</v>
      </c>
      <c r="F307" s="5">
        <f t="shared" si="1"/>
        <v>240</v>
      </c>
      <c r="G307" s="16">
        <f>IF($A307="", "", IFERROR(VLOOKUP($A307, Stock_New!$A:$M, 5, FALSE), ""))</f>
        <v>6</v>
      </c>
    </row>
    <row r="308" ht="22.5" customHeight="1">
      <c r="A308" s="11" t="s">
        <v>975</v>
      </c>
      <c r="B308" s="16" t="str">
        <f>IF(A308="","",IFERROR(VLOOKUP(A308, Stock_New!A:M, 2, FALSE),""))</f>
        <v>فازة زجاج</v>
      </c>
      <c r="C308" s="16" t="str">
        <f>IF(A308="","",IFERROR(VLOOKUP(A308, Stock_New!A:M, 3, FALSE),""))</f>
        <v>سنتر محمد رشدي</v>
      </c>
      <c r="D308" s="5">
        <v>1.0</v>
      </c>
      <c r="E308" s="16">
        <f>IF($A308="", "", IFERROR(VLOOKUP($A308, Stock_New!$A:$M, 4, FALSE), ""))</f>
        <v>49</v>
      </c>
      <c r="F308" s="5">
        <f t="shared" si="1"/>
        <v>49</v>
      </c>
      <c r="G308" s="16">
        <f>IF($A308="", "", IFERROR(VLOOKUP($A308, Stock_New!$A:$M, 5, FALSE), ""))</f>
        <v>1</v>
      </c>
    </row>
    <row r="309" ht="22.5" customHeight="1">
      <c r="A309" s="11" t="s">
        <v>215</v>
      </c>
      <c r="B309" s="16" t="str">
        <f>IF(A309="","",IFERROR(VLOOKUP(A309, Stock_New!A:M, 2, FALSE),""))</f>
        <v>نافورة ديكور</v>
      </c>
      <c r="C309" s="16" t="str">
        <f>IF(A309="","",IFERROR(VLOOKUP(A309, Stock_New!A:M, 3, FALSE),""))</f>
        <v>سنتر محمد رشدي</v>
      </c>
      <c r="D309" s="5">
        <v>1.0</v>
      </c>
      <c r="E309" s="16">
        <f>IF($A309="", "", IFERROR(VLOOKUP($A309, Stock_New!$A:$M, 4, FALSE), ""))</f>
        <v>338</v>
      </c>
      <c r="F309" s="5">
        <f t="shared" si="1"/>
        <v>338</v>
      </c>
      <c r="G309" s="16">
        <f>IF($A309="", "", IFERROR(VLOOKUP($A309, Stock_New!$A:$M, 5, FALSE), ""))</f>
        <v>1</v>
      </c>
    </row>
    <row r="310" ht="22.5" customHeight="1">
      <c r="A310" s="11" t="s">
        <v>222</v>
      </c>
      <c r="B310" s="16" t="str">
        <f>IF(A310="","",IFERROR(VLOOKUP(A310, Stock_New!A:M, 2, FALSE),""))</f>
        <v>نافورة ديكور</v>
      </c>
      <c r="C310" s="16" t="str">
        <f>IF(A310="","",IFERROR(VLOOKUP(A310, Stock_New!A:M, 3, FALSE),""))</f>
        <v>سنتر محمد رشدي</v>
      </c>
      <c r="D310" s="5">
        <v>1.0</v>
      </c>
      <c r="E310" s="16">
        <f>IF($A310="", "", IFERROR(VLOOKUP($A310, Stock_New!$A:$M, 4, FALSE), ""))</f>
        <v>338</v>
      </c>
      <c r="F310" s="5">
        <f t="shared" si="1"/>
        <v>338</v>
      </c>
      <c r="G310" s="16">
        <f>IF($A310="", "", IFERROR(VLOOKUP($A310, Stock_New!$A:$M, 5, FALSE), ""))</f>
        <v>0</v>
      </c>
    </row>
    <row r="311" ht="22.5" customHeight="1">
      <c r="A311" s="11" t="s">
        <v>205</v>
      </c>
      <c r="B311" s="16" t="str">
        <f>IF(A311="","",IFERROR(VLOOKUP(A311, Stock_New!A:M, 2, FALSE),""))</f>
        <v>نافورة ديكور</v>
      </c>
      <c r="C311" s="16" t="str">
        <f>IF(A311="","",IFERROR(VLOOKUP(A311, Stock_New!A:M, 3, FALSE),""))</f>
        <v>سنتر محمد رشدي</v>
      </c>
      <c r="D311" s="5">
        <v>1.0</v>
      </c>
      <c r="E311" s="16">
        <f>IF($A311="", "", IFERROR(VLOOKUP($A311, Stock_New!$A:$M, 4, FALSE), ""))</f>
        <v>338</v>
      </c>
      <c r="F311" s="5">
        <f t="shared" si="1"/>
        <v>338</v>
      </c>
      <c r="G311" s="16">
        <f>IF($A311="", "", IFERROR(VLOOKUP($A311, Stock_New!$A:$M, 5, FALSE), ""))</f>
        <v>1</v>
      </c>
    </row>
    <row r="312" ht="22.5" customHeight="1">
      <c r="A312" s="11" t="s">
        <v>333</v>
      </c>
      <c r="B312" s="16" t="str">
        <f>IF(A312="","",IFERROR(VLOOKUP(A312, Stock_New!A:M, 2, FALSE),""))</f>
        <v>سيلفرات</v>
      </c>
      <c r="C312" s="16" t="str">
        <f>IF(A312="","",IFERROR(VLOOKUP(A312, Stock_New!A:M, 3, FALSE),""))</f>
        <v>ذكريا</v>
      </c>
      <c r="D312" s="5">
        <v>2.0</v>
      </c>
      <c r="E312" s="16">
        <f>IF($A312="", "", IFERROR(VLOOKUP($A312, Stock_New!$A:$M, 4, FALSE), ""))</f>
        <v>210</v>
      </c>
      <c r="F312" s="5">
        <f t="shared" si="1"/>
        <v>420</v>
      </c>
      <c r="G312" s="16">
        <f>IF($A312="", "", IFERROR(VLOOKUP($A312, Stock_New!$A:$M, 5, FALSE), ""))</f>
        <v>2</v>
      </c>
    </row>
    <row r="313" ht="22.5" customHeight="1">
      <c r="A313" s="11" t="s">
        <v>182</v>
      </c>
      <c r="B313" s="16" t="str">
        <f>IF(A313="","",IFERROR(VLOOKUP(A313, Stock_New!A:M, 2, FALSE),""))</f>
        <v>سيلفرات</v>
      </c>
      <c r="C313" s="16" t="str">
        <f>IF(A313="","",IFERROR(VLOOKUP(A313, Stock_New!A:M, 3, FALSE),""))</f>
        <v>ذكريا</v>
      </c>
      <c r="D313" s="5">
        <v>2.0</v>
      </c>
      <c r="E313" s="16">
        <f>IF($A313="", "", IFERROR(VLOOKUP($A313, Stock_New!$A:$M, 4, FALSE), ""))</f>
        <v>355</v>
      </c>
      <c r="F313" s="5">
        <f t="shared" si="1"/>
        <v>710</v>
      </c>
      <c r="G313" s="16">
        <f>IF($A313="", "", IFERROR(VLOOKUP($A313, Stock_New!$A:$M, 5, FALSE), ""))</f>
        <v>2</v>
      </c>
    </row>
    <row r="314" ht="22.5" customHeight="1">
      <c r="A314" s="11" t="s">
        <v>666</v>
      </c>
      <c r="B314" s="16" t="str">
        <f>IF(A314="","",IFERROR(VLOOKUP(A314, Stock_New!A:M, 2, FALSE),""))</f>
        <v>مباخر</v>
      </c>
      <c r="C314" s="16" t="str">
        <f>IF(A314="","",IFERROR(VLOOKUP(A314, Stock_New!A:M, 3, FALSE),""))</f>
        <v>سنتر محمد رشدي</v>
      </c>
      <c r="D314" s="5">
        <v>1.0</v>
      </c>
      <c r="E314" s="16">
        <f>IF($A314="", "", IFERROR(VLOOKUP($A314, Stock_New!$A:$M, 4, FALSE), ""))</f>
        <v>165</v>
      </c>
      <c r="F314" s="5">
        <f t="shared" si="1"/>
        <v>165</v>
      </c>
      <c r="G314" s="16">
        <f>IF($A314="", "", IFERROR(VLOOKUP($A314, Stock_New!$A:$M, 5, FALSE), ""))</f>
        <v>1</v>
      </c>
    </row>
    <row r="315" ht="22.5" customHeight="1">
      <c r="A315" s="11" t="s">
        <v>768</v>
      </c>
      <c r="B315" s="16" t="str">
        <f>IF(A315="","",IFERROR(VLOOKUP(A315, Stock_New!A:M, 2, FALSE),""))</f>
        <v>خزف</v>
      </c>
      <c r="C315" s="16" t="str">
        <f>IF(A315="","",IFERROR(VLOOKUP(A315, Stock_New!A:M, 3, FALSE),""))</f>
        <v>ذكريا</v>
      </c>
      <c r="D315" s="5">
        <v>1.0</v>
      </c>
      <c r="E315" s="16">
        <f>IF($A315="", "", IFERROR(VLOOKUP($A315, Stock_New!$A:$M, 4, FALSE), ""))</f>
        <v>30</v>
      </c>
      <c r="F315" s="5">
        <f t="shared" si="1"/>
        <v>30</v>
      </c>
      <c r="G315" s="16">
        <f>IF($A315="", "", IFERROR(VLOOKUP($A315, Stock_New!$A:$M, 5, FALSE), ""))</f>
        <v>5</v>
      </c>
    </row>
    <row r="316" ht="22.5" customHeight="1">
      <c r="A316" s="11" t="s">
        <v>429</v>
      </c>
      <c r="B316" s="16" t="str">
        <f>IF(A316="","",IFERROR(VLOOKUP(A316, Stock_New!A:M, 2, FALSE),""))</f>
        <v>سيلفرات</v>
      </c>
      <c r="C316" s="16" t="str">
        <f>IF(A316="","",IFERROR(VLOOKUP(A316, Stock_New!A:M, 3, FALSE),""))</f>
        <v>ذكريا</v>
      </c>
      <c r="D316" s="5">
        <v>3.0</v>
      </c>
      <c r="E316" s="16">
        <f>IF($A316="", "", IFERROR(VLOOKUP($A316, Stock_New!$A:$M, 4, FALSE), ""))</f>
        <v>220</v>
      </c>
      <c r="F316" s="5">
        <f t="shared" si="1"/>
        <v>660</v>
      </c>
      <c r="G316" s="16">
        <f>IF($A316="", "", IFERROR(VLOOKUP($A316, Stock_New!$A:$M, 5, FALSE), ""))</f>
        <v>3</v>
      </c>
    </row>
    <row r="317" ht="22.5" customHeight="1">
      <c r="A317" s="11" t="s">
        <v>206</v>
      </c>
      <c r="B317" s="16" t="str">
        <f>IF(A317="","",IFERROR(VLOOKUP(A317, Stock_New!A:M, 2, FALSE),""))</f>
        <v>سيلفرات</v>
      </c>
      <c r="C317" s="16" t="str">
        <f>IF(A317="","",IFERROR(VLOOKUP(A317, Stock_New!A:M, 3, FALSE),""))</f>
        <v>ذكريا</v>
      </c>
      <c r="D317" s="5">
        <v>2.0</v>
      </c>
      <c r="E317" s="16">
        <f>IF($A317="", "", IFERROR(VLOOKUP($A317, Stock_New!$A:$M, 4, FALSE), ""))</f>
        <v>155</v>
      </c>
      <c r="F317" s="5">
        <f t="shared" si="1"/>
        <v>310</v>
      </c>
      <c r="G317" s="16">
        <f>IF($A317="", "", IFERROR(VLOOKUP($A317, Stock_New!$A:$M, 5, FALSE), ""))</f>
        <v>1</v>
      </c>
    </row>
    <row r="318" ht="22.5" customHeight="1">
      <c r="A318" s="11" t="s">
        <v>153</v>
      </c>
      <c r="B318" s="16" t="str">
        <f>IF(A318="","",IFERROR(VLOOKUP(A318, Stock_New!A:M, 2, FALSE),""))</f>
        <v>سيلفرات</v>
      </c>
      <c r="C318" s="16" t="str">
        <f>IF(A318="","",IFERROR(VLOOKUP(A318, Stock_New!A:M, 3, FALSE),""))</f>
        <v>ذكريا</v>
      </c>
      <c r="D318" s="5">
        <v>2.0</v>
      </c>
      <c r="E318" s="16">
        <f>IF($A318="", "", IFERROR(VLOOKUP($A318, Stock_New!$A:$M, 4, FALSE), ""))</f>
        <v>211.67</v>
      </c>
      <c r="F318" s="5">
        <f t="shared" si="1"/>
        <v>423.34</v>
      </c>
      <c r="G318" s="16">
        <f>IF($A318="", "", IFERROR(VLOOKUP($A318, Stock_New!$A:$M, 5, FALSE), ""))</f>
        <v>2</v>
      </c>
    </row>
    <row r="319" ht="22.5" customHeight="1">
      <c r="A319" s="11" t="s">
        <v>249</v>
      </c>
      <c r="B319" s="16" t="str">
        <f>IF(A319="","",IFERROR(VLOOKUP(A319, Stock_New!A:M, 2, FALSE),""))</f>
        <v>سيلفرات</v>
      </c>
      <c r="C319" s="16" t="str">
        <f>IF(A319="","",IFERROR(VLOOKUP(A319, Stock_New!A:M, 3, FALSE),""))</f>
        <v>ذكريا</v>
      </c>
      <c r="D319" s="5">
        <v>2.0</v>
      </c>
      <c r="E319" s="16">
        <f>IF($A319="", "", IFERROR(VLOOKUP($A319, Stock_New!$A:$M, 4, FALSE), ""))</f>
        <v>325</v>
      </c>
      <c r="F319" s="5">
        <f t="shared" si="1"/>
        <v>650</v>
      </c>
      <c r="G319" s="16">
        <f>IF($A319="", "", IFERROR(VLOOKUP($A319, Stock_New!$A:$M, 5, FALSE), ""))</f>
        <v>2</v>
      </c>
    </row>
    <row r="320" ht="22.5" customHeight="1">
      <c r="A320" s="11" t="s">
        <v>229</v>
      </c>
      <c r="B320" s="16" t="str">
        <f>IF(A320="","",IFERROR(VLOOKUP(A320, Stock_New!A:M, 2, FALSE),""))</f>
        <v>سيلفرات</v>
      </c>
      <c r="C320" s="16" t="str">
        <f>IF(A320="","",IFERROR(VLOOKUP(A320, Stock_New!A:M, 3, FALSE),""))</f>
        <v>ذكريا</v>
      </c>
      <c r="D320" s="5">
        <v>2.0</v>
      </c>
      <c r="E320" s="16">
        <f>IF($A320="", "", IFERROR(VLOOKUP($A320, Stock_New!$A:$M, 4, FALSE), ""))</f>
        <v>155</v>
      </c>
      <c r="F320" s="5">
        <f t="shared" si="1"/>
        <v>310</v>
      </c>
      <c r="G320" s="16">
        <f>IF($A320="", "", IFERROR(VLOOKUP($A320, Stock_New!$A:$M, 5, FALSE), ""))</f>
        <v>2</v>
      </c>
    </row>
    <row r="321" ht="22.5" customHeight="1">
      <c r="A321" s="11" t="s">
        <v>1251</v>
      </c>
      <c r="B321" s="16" t="str">
        <f>IF(A321="","",IFERROR(VLOOKUP(A321, Stock_New!A:M, 2, FALSE),""))</f>
        <v>ورد لوحدة</v>
      </c>
      <c r="C321" s="16" t="str">
        <f>IF(A321="","",IFERROR(VLOOKUP(A321, Stock_New!A:M, 3, FALSE),""))</f>
        <v>شركة حسين علي</v>
      </c>
      <c r="D321" s="5">
        <v>6.0</v>
      </c>
      <c r="E321" s="16">
        <f>IF($A321="", "", IFERROR(VLOOKUP($A321, Stock_New!$A:$M, 4, FALSE), ""))</f>
        <v>75</v>
      </c>
      <c r="F321" s="5">
        <f t="shared" si="1"/>
        <v>450</v>
      </c>
      <c r="G321" s="16">
        <f>IF($A321="", "", IFERROR(VLOOKUP($A321, Stock_New!$A:$M, 5, FALSE), ""))</f>
        <v>6</v>
      </c>
    </row>
    <row r="322" ht="22.5" customHeight="1">
      <c r="A322" s="11" t="s">
        <v>589</v>
      </c>
      <c r="B322" s="16" t="str">
        <f>IF(A322="","",IFERROR(VLOOKUP(A322, Stock_New!A:M, 2, FALSE),""))</f>
        <v>ورد لوحدة</v>
      </c>
      <c r="C322" s="16" t="str">
        <f>IF(A322="","",IFERROR(VLOOKUP(A322, Stock_New!A:M, 3, FALSE),""))</f>
        <v>شركة حسين علي</v>
      </c>
      <c r="D322" s="5">
        <v>1.0</v>
      </c>
      <c r="E322" s="16">
        <f>IF($A322="", "", IFERROR(VLOOKUP($A322, Stock_New!$A:$M, 4, FALSE), ""))</f>
        <v>175</v>
      </c>
      <c r="F322" s="5">
        <f t="shared" si="1"/>
        <v>175</v>
      </c>
      <c r="G322" s="16">
        <f>IF($A322="", "", IFERROR(VLOOKUP($A322, Stock_New!$A:$M, 5, FALSE), ""))</f>
        <v>1</v>
      </c>
    </row>
    <row r="323" ht="22.5" customHeight="1">
      <c r="A323" s="11" t="s">
        <v>1175</v>
      </c>
      <c r="B323" s="16" t="str">
        <f>IF(A323="","",IFERROR(VLOOKUP(A323, Stock_New!A:M, 2, FALSE),""))</f>
        <v>ورق شجر</v>
      </c>
      <c r="C323" s="16" t="str">
        <f>IF(A323="","",IFERROR(VLOOKUP(A323, Stock_New!A:M, 3, FALSE),""))</f>
        <v>شركة علاء شاكر</v>
      </c>
      <c r="D323" s="5">
        <v>19.0</v>
      </c>
      <c r="E323" s="16">
        <f>IF($A323="", "", IFERROR(VLOOKUP($A323, Stock_New!$A:$M, 4, FALSE), ""))</f>
        <v>75</v>
      </c>
      <c r="F323" s="5">
        <f t="shared" si="1"/>
        <v>1425</v>
      </c>
      <c r="G323" s="16">
        <f>IF($A323="", "", IFERROR(VLOOKUP($A323, Stock_New!$A:$M, 5, FALSE), ""))</f>
        <v>19.5</v>
      </c>
    </row>
    <row r="324" ht="22.5" customHeight="1">
      <c r="A324" s="11" t="s">
        <v>696</v>
      </c>
      <c r="B324" s="16" t="str">
        <f>IF(A324="","",IFERROR(VLOOKUP(A324, Stock_New!A:M, 2, FALSE),""))</f>
        <v>ورد لوحدة</v>
      </c>
      <c r="C324" s="16" t="str">
        <f>IF(A324="","",IFERROR(VLOOKUP(A324, Stock_New!A:M, 3, FALSE),""))</f>
        <v>شركة علاء شاكر</v>
      </c>
      <c r="D324" s="5">
        <v>6.0</v>
      </c>
      <c r="E324" s="16">
        <f>IF($A324="", "", IFERROR(VLOOKUP($A324, Stock_New!$A:$M, 4, FALSE), ""))</f>
        <v>160</v>
      </c>
      <c r="F324" s="5">
        <f t="shared" si="1"/>
        <v>960</v>
      </c>
      <c r="G324" s="16">
        <f>IF($A324="", "", IFERROR(VLOOKUP($A324, Stock_New!$A:$M, 5, FALSE), ""))</f>
        <v>6</v>
      </c>
    </row>
    <row r="325" ht="22.5" customHeight="1">
      <c r="A325" s="11" t="s">
        <v>1203</v>
      </c>
      <c r="B325" s="16" t="str">
        <f>IF(A325="","",IFERROR(VLOOKUP(A325, Stock_New!A:M, 2, FALSE),""))</f>
        <v>ورد لوحدة</v>
      </c>
      <c r="C325" s="16" t="str">
        <f>IF(A325="","",IFERROR(VLOOKUP(A325, Stock_New!A:M, 3, FALSE),""))</f>
        <v>شركة علاء شاكر</v>
      </c>
      <c r="D325" s="5">
        <v>3.0</v>
      </c>
      <c r="E325" s="16">
        <f>IF($A325="", "", IFERROR(VLOOKUP($A325, Stock_New!$A:$M, 4, FALSE), ""))</f>
        <v>85</v>
      </c>
      <c r="F325" s="5">
        <f t="shared" si="1"/>
        <v>255</v>
      </c>
      <c r="G325" s="16">
        <f>IF($A325="", "", IFERROR(VLOOKUP($A325, Stock_New!$A:$M, 5, FALSE), ""))</f>
        <v>3</v>
      </c>
    </row>
    <row r="326" ht="22.5" customHeight="1">
      <c r="A326" s="11" t="s">
        <v>756</v>
      </c>
      <c r="B326" s="16" t="str">
        <f>IF(A326="","",IFERROR(VLOOKUP(A326, Stock_New!A:M, 2, FALSE),""))</f>
        <v>ورد لوحدة</v>
      </c>
      <c r="C326" s="16" t="str">
        <f>IF(A326="","",IFERROR(VLOOKUP(A326, Stock_New!A:M, 3, FALSE),""))</f>
        <v>شركة حسين علي</v>
      </c>
      <c r="D326" s="5">
        <f>12+16+11+4+2+2/7</f>
        <v>45.28571429</v>
      </c>
      <c r="E326" s="16">
        <f>IF($A326="", "", IFERROR(VLOOKUP($A326, Stock_New!$A:$M, 4, FALSE), ""))</f>
        <v>30</v>
      </c>
      <c r="F326" s="5">
        <f t="shared" si="1"/>
        <v>1358.571429</v>
      </c>
      <c r="G326" s="16">
        <f>IF($A326="", "", IFERROR(VLOOKUP($A326, Stock_New!$A:$M, 5, FALSE), ""))</f>
        <v>14.14</v>
      </c>
    </row>
    <row r="327" ht="22.5" customHeight="1">
      <c r="A327" s="11" t="s">
        <v>467</v>
      </c>
      <c r="B327" s="16" t="str">
        <f>IF(A327="","",IFERROR(VLOOKUP(A327, Stock_New!A:M, 2, FALSE),""))</f>
        <v>ورد لوحده</v>
      </c>
      <c r="C327" s="16" t="str">
        <f>IF(A327="","",IFERROR(VLOOKUP(A327, Stock_New!A:M, 3, FALSE),""))</f>
        <v>ذكريا</v>
      </c>
      <c r="D327" s="5">
        <v>1.0</v>
      </c>
      <c r="E327" s="16">
        <f>IF($A327="", "", IFERROR(VLOOKUP($A327, Stock_New!$A:$M, 4, FALSE), ""))</f>
        <v>105</v>
      </c>
      <c r="F327" s="5">
        <f t="shared" si="1"/>
        <v>105</v>
      </c>
      <c r="G327" s="16">
        <f>IF($A327="", "", IFERROR(VLOOKUP($A327, Stock_New!$A:$M, 5, FALSE), ""))</f>
        <v>1</v>
      </c>
    </row>
    <row r="328" ht="22.5" customHeight="1">
      <c r="A328" s="11" t="s">
        <v>1118</v>
      </c>
      <c r="B328" s="16" t="str">
        <f>IF(A328="","",IFERROR(VLOOKUP(A328, Stock_New!A:M, 2, FALSE),""))</f>
        <v>ورد لوحدة</v>
      </c>
      <c r="C328" s="16" t="str">
        <f>IF(A328="","",IFERROR(VLOOKUP(A328, Stock_New!A:M, 3, FALSE),""))</f>
        <v>شركة الفرسان</v>
      </c>
      <c r="D328" s="5">
        <v>6.0</v>
      </c>
      <c r="E328" s="16">
        <f>IF($A328="", "", IFERROR(VLOOKUP($A328, Stock_New!$A:$M, 4, FALSE), ""))</f>
        <v>55</v>
      </c>
      <c r="F328" s="5">
        <f t="shared" si="1"/>
        <v>330</v>
      </c>
      <c r="G328" s="16">
        <f>IF($A328="", "", IFERROR(VLOOKUP($A328, Stock_New!$A:$M, 5, FALSE), ""))</f>
        <v>6</v>
      </c>
    </row>
    <row r="329" ht="22.5" customHeight="1">
      <c r="A329" s="11" t="s">
        <v>1173</v>
      </c>
      <c r="B329" s="16" t="str">
        <f>IF(A329="","",IFERROR(VLOOKUP(A329, Stock_New!A:M, 2, FALSE),""))</f>
        <v>ورد لوحدة</v>
      </c>
      <c r="C329" s="16" t="str">
        <f>IF(A329="","",IFERROR(VLOOKUP(A329, Stock_New!A:M, 3, FALSE),""))</f>
        <v>شركة الفرسان للاستيراد والتصدير</v>
      </c>
      <c r="D329" s="5">
        <f>7+1+1/5</f>
        <v>8.2</v>
      </c>
      <c r="E329" s="16">
        <f>IF($A329="", "", IFERROR(VLOOKUP($A329, Stock_New!$A:$M, 4, FALSE), ""))</f>
        <v>55</v>
      </c>
      <c r="F329" s="5">
        <f t="shared" si="1"/>
        <v>451</v>
      </c>
      <c r="G329" s="16">
        <f>IF($A329="", "", IFERROR(VLOOKUP($A329, Stock_New!$A:$M, 5, FALSE), ""))</f>
        <v>8.4</v>
      </c>
    </row>
    <row r="330" ht="22.5" customHeight="1">
      <c r="A330" s="11" t="s">
        <v>454</v>
      </c>
      <c r="B330" s="16" t="str">
        <f>IF(A330="","",IFERROR(VLOOKUP(A330, Stock_New!A:M, 2, FALSE),""))</f>
        <v>ورد لوحده</v>
      </c>
      <c r="C330" s="16" t="str">
        <f>IF(A330="","",IFERROR(VLOOKUP(A330, Stock_New!A:M, 3, FALSE),""))</f>
        <v>ذكريا</v>
      </c>
      <c r="D330" s="5">
        <f>5+1</f>
        <v>6</v>
      </c>
      <c r="E330" s="16">
        <f>IF($A330="", "", IFERROR(VLOOKUP($A330, Stock_New!$A:$M, 4, FALSE), ""))</f>
        <v>210</v>
      </c>
      <c r="F330" s="5">
        <f t="shared" si="1"/>
        <v>1260</v>
      </c>
      <c r="G330" s="16">
        <f>IF($A330="", "", IFERROR(VLOOKUP($A330, Stock_New!$A:$M, 5, FALSE), ""))</f>
        <v>5</v>
      </c>
    </row>
    <row r="331" ht="22.5" customHeight="1">
      <c r="A331" s="11" t="s">
        <v>1294</v>
      </c>
      <c r="B331" s="16" t="str">
        <f>IF(A331="","",IFERROR(VLOOKUP(A331, Stock_New!A:M, 2, FALSE),""))</f>
        <v>ورد لوحدة</v>
      </c>
      <c r="C331" s="16" t="str">
        <f>IF(A331="","",IFERROR(VLOOKUP(A331, Stock_New!A:M, 3, FALSE),""))</f>
        <v>شركة حسين علي</v>
      </c>
      <c r="D331" s="5">
        <v>10.0</v>
      </c>
      <c r="E331" s="16">
        <f>IF($A331="", "", IFERROR(VLOOKUP($A331, Stock_New!$A:$M, 4, FALSE), ""))</f>
        <v>65</v>
      </c>
      <c r="F331" s="5">
        <f t="shared" si="1"/>
        <v>650</v>
      </c>
      <c r="G331" s="16">
        <f>IF($A331="", "", IFERROR(VLOOKUP($A331, Stock_New!$A:$M, 5, FALSE), ""))</f>
        <v>12</v>
      </c>
    </row>
    <row r="332" ht="22.5" customHeight="1">
      <c r="A332" s="11" t="s">
        <v>439</v>
      </c>
      <c r="B332" s="16" t="str">
        <f>IF(A332="","",IFERROR(VLOOKUP(A332, Stock_New!A:M, 2, FALSE),""))</f>
        <v>ورد لوحده</v>
      </c>
      <c r="C332" s="16" t="str">
        <f>IF(A332="","",IFERROR(VLOOKUP(A332, Stock_New!A:M, 3, FALSE),""))</f>
        <v/>
      </c>
      <c r="D332" s="5">
        <v>1.0</v>
      </c>
      <c r="E332" s="16">
        <f>IF($A332="", "", IFERROR(VLOOKUP($A332, Stock_New!$A:$M, 4, FALSE), ""))</f>
        <v>135</v>
      </c>
      <c r="F332" s="5">
        <f t="shared" si="1"/>
        <v>135</v>
      </c>
      <c r="G332" s="16">
        <f>IF($A332="", "", IFERROR(VLOOKUP($A332, Stock_New!$A:$M, 5, FALSE), ""))</f>
        <v>1</v>
      </c>
    </row>
    <row r="333" ht="22.5" customHeight="1">
      <c r="A333" s="11" t="s">
        <v>1139</v>
      </c>
      <c r="B333" s="16" t="str">
        <f>IF(A333="","",IFERROR(VLOOKUP(A333, Stock_New!A:M, 2, FALSE),""))</f>
        <v>ورد لوحدة</v>
      </c>
      <c r="C333" s="16" t="str">
        <f>IF(A333="","",IFERROR(VLOOKUP(A333, Stock_New!A:M, 3, FALSE),""))</f>
        <v>شركة حسين علي</v>
      </c>
      <c r="D333" s="5">
        <f>6+1</f>
        <v>7</v>
      </c>
      <c r="E333" s="16">
        <f>IF($A333="", "", IFERROR(VLOOKUP($A333, Stock_New!$A:$M, 4, FALSE), ""))</f>
        <v>75</v>
      </c>
      <c r="F333" s="5">
        <f t="shared" si="1"/>
        <v>525</v>
      </c>
      <c r="G333" s="16">
        <f>IF($A333="", "", IFERROR(VLOOKUP($A333, Stock_New!$A:$M, 5, FALSE), ""))</f>
        <v>6</v>
      </c>
    </row>
    <row r="334" ht="22.5" customHeight="1">
      <c r="A334" s="11" t="s">
        <v>749</v>
      </c>
      <c r="B334" s="16" t="str">
        <f>IF(A334="","",IFERROR(VLOOKUP(A334, Stock_New!A:M, 2, FALSE),""))</f>
        <v>شجر</v>
      </c>
      <c r="C334" s="16" t="str">
        <f>IF(A334="","",IFERROR(VLOOKUP(A334, Stock_New!A:M, 3, FALSE),""))</f>
        <v>عبدالفتاح</v>
      </c>
      <c r="D334" s="5">
        <v>1.0</v>
      </c>
      <c r="E334" s="16">
        <f>IF($A334="", "", IFERROR(VLOOKUP($A334, Stock_New!$A:$M, 4, FALSE), ""))</f>
        <v>150</v>
      </c>
      <c r="F334" s="5">
        <f t="shared" si="1"/>
        <v>150</v>
      </c>
      <c r="G334" s="16">
        <f>IF($A334="", "", IFERROR(VLOOKUP($A334, Stock_New!$A:$M, 5, FALSE), ""))</f>
        <v>0</v>
      </c>
    </row>
    <row r="335" ht="22.5" customHeight="1">
      <c r="A335" s="11" t="s">
        <v>36</v>
      </c>
      <c r="B335" s="16" t="str">
        <f>IF(A335="","",IFERROR(VLOOKUP(A335, Stock_New!A:M, 2, FALSE),""))</f>
        <v>شجر</v>
      </c>
      <c r="C335" s="16" t="str">
        <f>IF(A335="","",IFERROR(VLOOKUP(A335, Stock_New!A:M, 3, FALSE),""))</f>
        <v>ذكريا</v>
      </c>
      <c r="D335" s="5">
        <v>7.0</v>
      </c>
      <c r="E335" s="16">
        <f>IF($A335="", "", IFERROR(VLOOKUP($A335, Stock_New!$A:$M, 4, FALSE), ""))</f>
        <v>95</v>
      </c>
      <c r="F335" s="5">
        <f t="shared" si="1"/>
        <v>665</v>
      </c>
      <c r="G335" s="16">
        <f>IF($A335="", "", IFERROR(VLOOKUP($A335, Stock_New!$A:$M, 5, FALSE), ""))</f>
        <v>9</v>
      </c>
    </row>
    <row r="336" ht="22.5" customHeight="1">
      <c r="A336" s="11" t="s">
        <v>1161</v>
      </c>
      <c r="B336" s="16" t="str">
        <f>IF(A336="","",IFERROR(VLOOKUP(A336, Stock_New!A:M, 2, FALSE),""))</f>
        <v>ورد لوحدة</v>
      </c>
      <c r="C336" s="16" t="str">
        <f>IF(A336="","",IFERROR(VLOOKUP(A336, Stock_New!A:M, 3, FALSE),""))</f>
        <v>شركة الفرسان</v>
      </c>
      <c r="D336" s="5">
        <v>22.0</v>
      </c>
      <c r="E336" s="16">
        <f>IF($A336="", "", IFERROR(VLOOKUP($A336, Stock_New!$A:$M, 4, FALSE), ""))</f>
        <v>90</v>
      </c>
      <c r="F336" s="5">
        <f t="shared" si="1"/>
        <v>1980</v>
      </c>
      <c r="G336" s="16">
        <f>IF($A336="", "", IFERROR(VLOOKUP($A336, Stock_New!$A:$M, 5, FALSE), ""))</f>
        <v>34</v>
      </c>
    </row>
    <row r="337" ht="22.5" customHeight="1">
      <c r="A337" s="11" t="s">
        <v>732</v>
      </c>
      <c r="B337" s="16" t="str">
        <f>IF(A337="","",IFERROR(VLOOKUP(A337, Stock_New!A:M, 2, FALSE),""))</f>
        <v>ورد لوحده</v>
      </c>
      <c r="C337" s="16" t="str">
        <f>IF(A337="","",IFERROR(VLOOKUP(A337, Stock_New!A:M, 3, FALSE),""))</f>
        <v>ذكريا</v>
      </c>
      <c r="D337" s="5">
        <f>3+2</f>
        <v>5</v>
      </c>
      <c r="E337" s="16">
        <f>IF($A337="", "", IFERROR(VLOOKUP($A337, Stock_New!$A:$M, 4, FALSE), ""))</f>
        <v>125</v>
      </c>
      <c r="F337" s="5">
        <f t="shared" si="1"/>
        <v>625</v>
      </c>
      <c r="G337" s="16">
        <f>IF($A337="", "", IFERROR(VLOOKUP($A337, Stock_New!$A:$M, 5, FALSE), ""))</f>
        <v>1</v>
      </c>
    </row>
    <row r="338" ht="22.5" customHeight="1">
      <c r="A338" s="11" t="s">
        <v>726</v>
      </c>
      <c r="B338" s="16" t="str">
        <f>IF(A338="","",IFERROR(VLOOKUP(A338, Stock_New!A:M, 2, FALSE),""))</f>
        <v>ورد لوحده</v>
      </c>
      <c r="C338" s="16" t="str">
        <f>IF(A338="","",IFERROR(VLOOKUP(A338, Stock_New!A:M, 3, FALSE),""))</f>
        <v>ذكريا</v>
      </c>
      <c r="D338" s="5">
        <v>1.0</v>
      </c>
      <c r="E338" s="16">
        <f>IF($A338="", "", IFERROR(VLOOKUP($A338, Stock_New!$A:$M, 4, FALSE), ""))</f>
        <v>30</v>
      </c>
      <c r="F338" s="5">
        <f t="shared" si="1"/>
        <v>30</v>
      </c>
      <c r="G338" s="16">
        <f>IF($A338="", "", IFERROR(VLOOKUP($A338, Stock_New!$A:$M, 5, FALSE), ""))</f>
        <v>6</v>
      </c>
    </row>
    <row r="339" ht="22.5" customHeight="1">
      <c r="A339" s="11" t="s">
        <v>518</v>
      </c>
      <c r="B339" s="16" t="str">
        <f>IF(A339="","",IFERROR(VLOOKUP(A339, Stock_New!A:M, 2, FALSE),""))</f>
        <v>ورد لوحدة</v>
      </c>
      <c r="C339" s="16" t="str">
        <f>IF(A339="","",IFERROR(VLOOKUP(A339, Stock_New!A:M, 3, FALSE),""))</f>
        <v>شركة الفرسان</v>
      </c>
      <c r="D339" s="5">
        <v>16.0</v>
      </c>
      <c r="E339" s="16">
        <f>IF($A339="", "", IFERROR(VLOOKUP($A339, Stock_New!$A:$M, 4, FALSE), ""))</f>
        <v>75</v>
      </c>
      <c r="F339" s="5">
        <f t="shared" si="1"/>
        <v>1200</v>
      </c>
      <c r="G339" s="16">
        <f>IF($A339="", "", IFERROR(VLOOKUP($A339, Stock_New!$A:$M, 5, FALSE), ""))</f>
        <v>16.77777778</v>
      </c>
    </row>
    <row r="340" ht="22.5" customHeight="1">
      <c r="A340" s="11" t="s">
        <v>1004</v>
      </c>
      <c r="B340" s="16" t="str">
        <f>IF(A340="","",IFERROR(VLOOKUP(A340, Stock_New!A:M, 2, FALSE),""))</f>
        <v>ورد لوحدة</v>
      </c>
      <c r="C340" s="16" t="str">
        <f>IF(A340="","",IFERROR(VLOOKUP(A340, Stock_New!A:M, 3, FALSE),""))</f>
        <v>شركة حسين علي</v>
      </c>
      <c r="D340" s="16">
        <f>11+5+1</f>
        <v>17</v>
      </c>
      <c r="E340" s="16">
        <f>IF($A340="", "", IFERROR(VLOOKUP($A340, Stock_New!$A:$M, 4, FALSE), ""))</f>
        <v>65</v>
      </c>
      <c r="F340" s="5">
        <f t="shared" si="1"/>
        <v>1105</v>
      </c>
      <c r="G340" s="16">
        <f>IF($A340="", "", IFERROR(VLOOKUP($A340, Stock_New!$A:$M, 5, FALSE), ""))</f>
        <v>8</v>
      </c>
    </row>
    <row r="341" ht="22.5" customHeight="1">
      <c r="A341" s="11" t="s">
        <v>989</v>
      </c>
      <c r="B341" s="16" t="str">
        <f>IF(A341="","",IFERROR(VLOOKUP(A341, Stock_New!A:M, 2, FALSE),""))</f>
        <v>ورد لوحدة</v>
      </c>
      <c r="C341" s="16" t="str">
        <f>IF(A341="","",IFERROR(VLOOKUP(A341, Stock_New!A:M, 3, FALSE),""))</f>
        <v>شركة حسين علي</v>
      </c>
      <c r="D341" s="16">
        <f t="shared" ref="D341:D342" si="5">7+1+1</f>
        <v>9</v>
      </c>
      <c r="E341" s="16">
        <f>IF($A341="", "", IFERROR(VLOOKUP($A341, Stock_New!$A:$M, 4, FALSE), ""))</f>
        <v>125</v>
      </c>
      <c r="F341" s="5">
        <f t="shared" si="1"/>
        <v>1125</v>
      </c>
      <c r="G341" s="16">
        <f>IF($A341="", "", IFERROR(VLOOKUP($A341, Stock_New!$A:$M, 5, FALSE), ""))</f>
        <v>12</v>
      </c>
    </row>
    <row r="342" ht="22.5" customHeight="1">
      <c r="A342" s="11" t="s">
        <v>741</v>
      </c>
      <c r="B342" s="16" t="str">
        <f>IF(A342="","",IFERROR(VLOOKUP(A342, Stock_New!A:M, 2, FALSE),""))</f>
        <v>ورد لوحدة</v>
      </c>
      <c r="C342" s="16" t="str">
        <f>IF(A342="","",IFERROR(VLOOKUP(A342, Stock_New!A:M, 3, FALSE),""))</f>
        <v>شركة الفرسان</v>
      </c>
      <c r="D342" s="5">
        <f t="shared" si="5"/>
        <v>9</v>
      </c>
      <c r="E342" s="16">
        <f>IF($A342="", "", IFERROR(VLOOKUP($A342, Stock_New!$A:$M, 4, FALSE), ""))</f>
        <v>150</v>
      </c>
      <c r="F342" s="5">
        <f t="shared" si="1"/>
        <v>1350</v>
      </c>
      <c r="G342" s="16">
        <f>IF($A342="", "", IFERROR(VLOOKUP($A342, Stock_New!$A:$M, 5, FALSE), ""))</f>
        <v>6.185714286</v>
      </c>
    </row>
    <row r="343" ht="22.5" customHeight="1">
      <c r="A343" s="11" t="s">
        <v>806</v>
      </c>
      <c r="B343" s="16" t="str">
        <f>IF(A343="","",IFERROR(VLOOKUP(A343, Stock_New!A:M, 2, FALSE),""))</f>
        <v>ورد لوحدة</v>
      </c>
      <c r="C343" s="16" t="str">
        <f>IF(A343="","",IFERROR(VLOOKUP(A343, Stock_New!A:M, 3, FALSE),""))</f>
        <v>شركة الفرسان</v>
      </c>
      <c r="D343" s="5">
        <f>6+2+1+4/7</f>
        <v>9.571428571</v>
      </c>
      <c r="E343" s="16">
        <f>IF($A343="", "", IFERROR(VLOOKUP($A343, Stock_New!$A:$M, 4, FALSE), ""))</f>
        <v>140</v>
      </c>
      <c r="F343" s="5">
        <f t="shared" si="1"/>
        <v>1340</v>
      </c>
      <c r="G343" s="16">
        <f>IF($A343="", "", IFERROR(VLOOKUP($A343, Stock_New!$A:$M, 5, FALSE), ""))</f>
        <v>9.285714286</v>
      </c>
    </row>
    <row r="344" ht="22.5" customHeight="1">
      <c r="A344" s="11" t="s">
        <v>638</v>
      </c>
      <c r="B344" s="16" t="str">
        <f>IF(A344="","",IFERROR(VLOOKUP(A344, Stock_New!A:M, 2, FALSE),""))</f>
        <v>ورد لوحدة</v>
      </c>
      <c r="C344" s="16" t="str">
        <f>IF(A344="","",IFERROR(VLOOKUP(A344, Stock_New!A:M, 3, FALSE),""))</f>
        <v>شركة الفرسان</v>
      </c>
      <c r="D344" s="5">
        <v>1.0</v>
      </c>
      <c r="E344" s="16">
        <f>IF($A344="", "", IFERROR(VLOOKUP($A344, Stock_New!$A:$M, 4, FALSE), ""))</f>
        <v>100</v>
      </c>
      <c r="F344" s="5">
        <f t="shared" si="1"/>
        <v>100</v>
      </c>
      <c r="G344" s="16">
        <f>IF($A344="", "", IFERROR(VLOOKUP($A344, Stock_New!$A:$M, 5, FALSE), ""))</f>
        <v>1.3</v>
      </c>
    </row>
    <row r="345" ht="22.5" customHeight="1">
      <c r="A345" s="11" t="s">
        <v>245</v>
      </c>
      <c r="B345" s="16" t="str">
        <f>IF(A345="","",IFERROR(VLOOKUP(A345, Stock_New!A:M, 2, FALSE),""))</f>
        <v>ورد لحدة</v>
      </c>
      <c r="C345" s="16" t="str">
        <f>IF(A345="","",IFERROR(VLOOKUP(A345, Stock_New!A:M, 3, FALSE),""))</f>
        <v>شركة حسين علي</v>
      </c>
      <c r="D345" s="5">
        <v>5.0</v>
      </c>
      <c r="E345" s="16">
        <f>IF($A345="", "", IFERROR(VLOOKUP($A345, Stock_New!$A:$M, 4, FALSE), ""))</f>
        <v>150</v>
      </c>
      <c r="F345" s="5">
        <f t="shared" si="1"/>
        <v>750</v>
      </c>
      <c r="G345" s="16">
        <f>IF($A345="", "", IFERROR(VLOOKUP($A345, Stock_New!$A:$M, 5, FALSE), ""))</f>
        <v>7</v>
      </c>
    </row>
    <row r="346" ht="22.5" customHeight="1">
      <c r="A346" s="11" t="s">
        <v>1166</v>
      </c>
      <c r="B346" s="16" t="str">
        <f>IF(A346="","",IFERROR(VLOOKUP(A346, Stock_New!A:M, 2, FALSE),""))</f>
        <v>ورد لوحدة</v>
      </c>
      <c r="C346" s="16" t="str">
        <f>IF(A346="","",IFERROR(VLOOKUP(A346, Stock_New!A:M, 3, FALSE),""))</f>
        <v>شركة حسين علي</v>
      </c>
      <c r="D346" s="5">
        <v>10.0</v>
      </c>
      <c r="E346" s="16">
        <f>IF($A346="", "", IFERROR(VLOOKUP($A346, Stock_New!$A:$M, 4, FALSE), ""))</f>
        <v>65</v>
      </c>
      <c r="F346" s="5">
        <f t="shared" si="1"/>
        <v>650</v>
      </c>
      <c r="G346" s="16">
        <f>IF($A346="", "", IFERROR(VLOOKUP($A346, Stock_New!$A:$M, 5, FALSE), ""))</f>
        <v>10</v>
      </c>
    </row>
    <row r="347" ht="22.5" customHeight="1">
      <c r="A347" s="11" t="s">
        <v>769</v>
      </c>
      <c r="B347" s="16" t="str">
        <f>IF(A347="","",IFERROR(VLOOKUP(A347, Stock_New!A:M, 2, FALSE),""))</f>
        <v>ورد لوحد</v>
      </c>
      <c r="C347" s="16" t="str">
        <f>IF(A347="","",IFERROR(VLOOKUP(A347, Stock_New!A:M, 3, FALSE),""))</f>
        <v>شركة الفرسان</v>
      </c>
      <c r="D347" s="5">
        <v>1.0</v>
      </c>
      <c r="E347" s="16">
        <f>IF($A347="", "", IFERROR(VLOOKUP($A347, Stock_New!$A:$M, 4, FALSE), ""))</f>
        <v>150</v>
      </c>
      <c r="F347" s="5">
        <f t="shared" si="1"/>
        <v>150</v>
      </c>
      <c r="G347" s="16">
        <f>IF($A347="", "", IFERROR(VLOOKUP($A347, Stock_New!$A:$M, 5, FALSE), ""))</f>
        <v>1</v>
      </c>
    </row>
    <row r="348" ht="22.5" customHeight="1">
      <c r="A348" s="11" t="s">
        <v>985</v>
      </c>
      <c r="B348" s="16" t="str">
        <f>IF(A348="","",IFERROR(VLOOKUP(A348, Stock_New!A:M, 2, FALSE),""))</f>
        <v>ورد لوحدة</v>
      </c>
      <c r="C348" s="16" t="str">
        <f>IF(A348="","",IFERROR(VLOOKUP(A348, Stock_New!A:M, 3, FALSE),""))</f>
        <v>شركة حسين علي</v>
      </c>
      <c r="D348" s="5">
        <v>10.0</v>
      </c>
      <c r="E348" s="16">
        <f>IF($A348="", "", IFERROR(VLOOKUP($A348, Stock_New!$A:$M, 4, FALSE), ""))</f>
        <v>125</v>
      </c>
      <c r="F348" s="5">
        <f t="shared" si="1"/>
        <v>1250</v>
      </c>
      <c r="G348" s="16">
        <f>IF($A348="", "", IFERROR(VLOOKUP($A348, Stock_New!$A:$M, 5, FALSE), ""))</f>
        <v>8</v>
      </c>
    </row>
    <row r="349" ht="22.5" customHeight="1">
      <c r="A349" s="11" t="s">
        <v>832</v>
      </c>
      <c r="B349" s="16" t="str">
        <f>IF(A349="","",IFERROR(VLOOKUP(A349, Stock_New!A:M, 2, FALSE),""))</f>
        <v>شمعدان</v>
      </c>
      <c r="C349" s="16" t="str">
        <f>IF(A349="","",IFERROR(VLOOKUP(A349, Stock_New!A:M, 3, FALSE),""))</f>
        <v>شركة علاء شاكر</v>
      </c>
      <c r="D349" s="5">
        <v>2.0</v>
      </c>
      <c r="E349" s="16">
        <f>IF($A349="", "", IFERROR(VLOOKUP($A349, Stock_New!$A:$M, 4, FALSE), ""))</f>
        <v>140</v>
      </c>
      <c r="F349" s="5">
        <f t="shared" si="1"/>
        <v>280</v>
      </c>
      <c r="G349" s="16">
        <f>IF($A349="", "", IFERROR(VLOOKUP($A349, Stock_New!$A:$M, 5, FALSE), ""))</f>
        <v>2</v>
      </c>
    </row>
    <row r="350" ht="22.5" customHeight="1">
      <c r="A350" s="11" t="s">
        <v>785</v>
      </c>
      <c r="B350" s="16" t="str">
        <f>IF(A350="","",IFERROR(VLOOKUP(A350, Stock_New!A:M, 2, FALSE),""))</f>
        <v>شمعدان</v>
      </c>
      <c r="C350" s="16" t="str">
        <f>IF(A350="","",IFERROR(VLOOKUP(A350, Stock_New!A:M, 3, FALSE),""))</f>
        <v>شركة علاء شاكر</v>
      </c>
      <c r="D350" s="5">
        <v>2.0</v>
      </c>
      <c r="E350" s="16">
        <f>IF($A350="", "", IFERROR(VLOOKUP($A350, Stock_New!$A:$M, 4, FALSE), ""))</f>
        <v>150</v>
      </c>
      <c r="F350" s="5">
        <f t="shared" si="1"/>
        <v>300</v>
      </c>
      <c r="G350" s="16">
        <f>IF($A350="", "", IFERROR(VLOOKUP($A350, Stock_New!$A:$M, 5, FALSE), ""))</f>
        <v>2</v>
      </c>
    </row>
    <row r="351" ht="22.5" customHeight="1">
      <c r="A351" s="11" t="s">
        <v>373</v>
      </c>
      <c r="B351" s="16" t="str">
        <f>IF(A351="","",IFERROR(VLOOKUP(A351, Stock_New!A:M, 2, FALSE),""))</f>
        <v>ورد لوحده</v>
      </c>
      <c r="C351" s="16" t="str">
        <f>IF(A351="","",IFERROR(VLOOKUP(A351, Stock_New!A:M, 3, FALSE),""))</f>
        <v>ذكريا</v>
      </c>
      <c r="D351" s="16">
        <f>2+2+1+1+1</f>
        <v>7</v>
      </c>
      <c r="E351" s="16">
        <f>IF($A351="", "", IFERROR(VLOOKUP($A351, Stock_New!$A:$M, 4, FALSE), ""))</f>
        <v>175</v>
      </c>
      <c r="F351" s="5">
        <f t="shared" si="1"/>
        <v>1225</v>
      </c>
      <c r="G351" s="16">
        <f>IF($A351="", "", IFERROR(VLOOKUP($A351, Stock_New!$A:$M, 5, FALSE), ""))</f>
        <v>3</v>
      </c>
    </row>
    <row r="352" ht="22.5" customHeight="1">
      <c r="A352" s="11" t="s">
        <v>376</v>
      </c>
      <c r="B352" s="16" t="str">
        <f>IF(A352="","",IFERROR(VLOOKUP(A352, Stock_New!A:M, 2, FALSE),""))</f>
        <v>ورد لوحده</v>
      </c>
      <c r="C352" s="16" t="str">
        <f>IF(A352="","",IFERROR(VLOOKUP(A352, Stock_New!A:M, 3, FALSE),""))</f>
        <v>ذكريا</v>
      </c>
      <c r="D352" s="5">
        <v>4.0</v>
      </c>
      <c r="E352" s="16">
        <f>IF($A352="", "", IFERROR(VLOOKUP($A352, Stock_New!$A:$M, 4, FALSE), ""))</f>
        <v>110</v>
      </c>
      <c r="F352" s="5">
        <f t="shared" si="1"/>
        <v>440</v>
      </c>
      <c r="G352" s="16">
        <f>IF($A352="", "", IFERROR(VLOOKUP($A352, Stock_New!$A:$M, 5, FALSE), ""))</f>
        <v>0</v>
      </c>
    </row>
    <row r="353" ht="22.5" customHeight="1">
      <c r="A353" s="11" t="s">
        <v>1441</v>
      </c>
      <c r="B353" s="16" t="str">
        <f>IF(A353="","",IFERROR(VLOOKUP(A353, Stock_New!A:M, 2, FALSE),""))</f>
        <v/>
      </c>
      <c r="C353" s="16" t="str">
        <f>IF(A353="","",IFERROR(VLOOKUP(A353, Stock_New!A:M, 3, FALSE),""))</f>
        <v/>
      </c>
      <c r="D353" s="5">
        <v>1.0</v>
      </c>
      <c r="E353" s="5">
        <v>75.0</v>
      </c>
      <c r="F353" s="5">
        <f t="shared" si="1"/>
        <v>75</v>
      </c>
      <c r="G353" s="16" t="str">
        <f>IF($A353="", "", IFERROR(VLOOKUP($A353, Stock_New!$A:$M, 5, FALSE), ""))</f>
        <v/>
      </c>
    </row>
    <row r="354" ht="22.5" customHeight="1">
      <c r="A354" s="11" t="s">
        <v>405</v>
      </c>
      <c r="B354" s="16" t="str">
        <f>IF(A354="","",IFERROR(VLOOKUP(A354, Stock_New!A:M, 2, FALSE),""))</f>
        <v>ورد لوحده</v>
      </c>
      <c r="C354" s="16" t="str">
        <f>IF(A354="","",IFERROR(VLOOKUP(A354, Stock_New!A:M, 3, FALSE),""))</f>
        <v>ذكريا</v>
      </c>
      <c r="D354" s="5">
        <v>1.0</v>
      </c>
      <c r="E354" s="16">
        <f>IF($A354="", "", IFERROR(VLOOKUP($A354, Stock_New!$A:$M, 4, FALSE), ""))</f>
        <v>105</v>
      </c>
      <c r="F354" s="5">
        <f t="shared" si="1"/>
        <v>105</v>
      </c>
      <c r="G354" s="16">
        <f>IF($A354="", "", IFERROR(VLOOKUP($A354, Stock_New!$A:$M, 5, FALSE), ""))</f>
        <v>1</v>
      </c>
    </row>
    <row r="355" ht="22.5" customHeight="1">
      <c r="A355" s="11" t="s">
        <v>1445</v>
      </c>
      <c r="B355" s="19" t="s">
        <v>185</v>
      </c>
      <c r="C355" s="16" t="str">
        <f>IF(A355="","",IFERROR(VLOOKUP(A355, Stock_New!A:M, 3, FALSE),""))</f>
        <v/>
      </c>
      <c r="D355" s="5">
        <v>2.0</v>
      </c>
      <c r="E355" s="5">
        <v>50.0</v>
      </c>
      <c r="F355" s="5">
        <f t="shared" si="1"/>
        <v>100</v>
      </c>
      <c r="G355" s="16" t="str">
        <f>IF($A355="", "", IFERROR(VLOOKUP($A355, Stock_New!$A:$M, 5, FALSE), ""))</f>
        <v/>
      </c>
    </row>
    <row r="356" ht="22.5" customHeight="1">
      <c r="A356" s="11" t="s">
        <v>908</v>
      </c>
      <c r="B356" s="16" t="str">
        <f>IF(A356="","",IFERROR(VLOOKUP(A356, Stock_New!A:M, 2, FALSE),""))</f>
        <v>ورد لوحدة</v>
      </c>
      <c r="C356" s="16" t="str">
        <f>IF(A356="","",IFERROR(VLOOKUP(A356, Stock_New!A:M, 3, FALSE),""))</f>
        <v>شركة حسين علي</v>
      </c>
      <c r="D356" s="5">
        <v>10.0</v>
      </c>
      <c r="E356" s="16">
        <f>IF($A356="", "", IFERROR(VLOOKUP($A356, Stock_New!$A:$M, 4, FALSE), ""))</f>
        <v>35</v>
      </c>
      <c r="F356" s="5">
        <f t="shared" si="1"/>
        <v>350</v>
      </c>
      <c r="G356" s="16">
        <f>IF($A356="", "", IFERROR(VLOOKUP($A356, Stock_New!$A:$M, 5, FALSE), ""))</f>
        <v>10.02857143</v>
      </c>
    </row>
    <row r="357" ht="22.5" customHeight="1">
      <c r="A357" s="11" t="s">
        <v>1011</v>
      </c>
      <c r="B357" s="16" t="str">
        <f>IF(A357="","",IFERROR(VLOOKUP(A357, Stock_New!A:M, 2, FALSE),""))</f>
        <v>ورد لوحدة</v>
      </c>
      <c r="C357" s="16" t="str">
        <f>IF(A357="","",IFERROR(VLOOKUP(A357, Stock_New!A:M, 3, FALSE),""))</f>
        <v>شركة الفرسان</v>
      </c>
      <c r="D357" s="16">
        <f>5+3/5</f>
        <v>5.6</v>
      </c>
      <c r="E357" s="16">
        <f>IF($A357="", "", IFERROR(VLOOKUP($A357, Stock_New!$A:$M, 4, FALSE), ""))</f>
        <v>65</v>
      </c>
      <c r="F357" s="5">
        <f t="shared" si="1"/>
        <v>364</v>
      </c>
      <c r="G357" s="16">
        <f>IF($A357="", "", IFERROR(VLOOKUP($A357, Stock_New!$A:$M, 5, FALSE), ""))</f>
        <v>5</v>
      </c>
    </row>
    <row r="358" ht="22.5" customHeight="1">
      <c r="A358" s="11" t="s">
        <v>1046</v>
      </c>
      <c r="B358" s="16" t="str">
        <f>IF(A358="","",IFERROR(VLOOKUP(A358, Stock_New!A:M, 2, FALSE),""))</f>
        <v>ورد لوحدة</v>
      </c>
      <c r="C358" s="16" t="str">
        <f>IF(A358="","",IFERROR(VLOOKUP(A358, Stock_New!A:M, 3, FALSE),""))</f>
        <v>شركة الفرسان</v>
      </c>
      <c r="D358" s="5">
        <v>10.0</v>
      </c>
      <c r="E358" s="16">
        <f>IF($A358="", "", IFERROR(VLOOKUP($A358, Stock_New!$A:$M, 4, FALSE), ""))</f>
        <v>35</v>
      </c>
      <c r="F358" s="5">
        <f t="shared" si="1"/>
        <v>350</v>
      </c>
      <c r="G358" s="16">
        <f>IF($A358="", "", IFERROR(VLOOKUP($A358, Stock_New!$A:$M, 5, FALSE), ""))</f>
        <v>12</v>
      </c>
    </row>
    <row r="359" ht="22.5" customHeight="1">
      <c r="A359" s="11" t="s">
        <v>1453</v>
      </c>
      <c r="B359" s="19" t="s">
        <v>472</v>
      </c>
      <c r="C359" s="16" t="str">
        <f>IF(A359="","",IFERROR(VLOOKUP(A359, Stock_New!A:M, 3, FALSE),""))</f>
        <v/>
      </c>
      <c r="D359" s="5">
        <v>1.0</v>
      </c>
      <c r="E359" s="5">
        <v>95.0</v>
      </c>
      <c r="F359" s="5">
        <f t="shared" si="1"/>
        <v>95</v>
      </c>
      <c r="G359" s="16" t="str">
        <f>IF($A359="", "", IFERROR(VLOOKUP($A359, Stock_New!$A:$M, 5, FALSE), ""))</f>
        <v/>
      </c>
    </row>
    <row r="360" ht="22.5" customHeight="1">
      <c r="A360" s="11" t="s">
        <v>1455</v>
      </c>
      <c r="B360" s="19" t="s">
        <v>472</v>
      </c>
      <c r="C360" s="16" t="str">
        <f>IF(A360="","",IFERROR(VLOOKUP(A360, Stock_New!A:M, 3, FALSE),""))</f>
        <v/>
      </c>
      <c r="D360" s="5">
        <v>5.0</v>
      </c>
      <c r="E360" s="5">
        <v>85.0</v>
      </c>
      <c r="F360" s="5">
        <f t="shared" si="1"/>
        <v>425</v>
      </c>
      <c r="G360" s="16" t="str">
        <f>IF($A360="", "", IFERROR(VLOOKUP($A360, Stock_New!$A:$M, 5, FALSE), ""))</f>
        <v/>
      </c>
    </row>
    <row r="361" ht="22.5" customHeight="1">
      <c r="A361" s="11" t="s">
        <v>1458</v>
      </c>
      <c r="B361" s="19" t="s">
        <v>472</v>
      </c>
      <c r="C361" s="16" t="str">
        <f>IF(A361="","",IFERROR(VLOOKUP(A361, Stock_New!A:M, 3, FALSE),""))</f>
        <v/>
      </c>
      <c r="D361" s="5">
        <v>1.0</v>
      </c>
      <c r="E361" s="5">
        <v>135.0</v>
      </c>
      <c r="F361" s="5">
        <f t="shared" si="1"/>
        <v>135</v>
      </c>
      <c r="G361" s="16" t="str">
        <f>IF($A361="", "", IFERROR(VLOOKUP($A361, Stock_New!$A:$M, 5, FALSE), ""))</f>
        <v/>
      </c>
    </row>
    <row r="362" ht="22.5" customHeight="1">
      <c r="A362" s="11" t="s">
        <v>885</v>
      </c>
      <c r="B362" s="16" t="str">
        <f>IF(A362="","",IFERROR(VLOOKUP(A362, Stock_New!A:M, 2, FALSE),""))</f>
        <v>ورد لوحدة</v>
      </c>
      <c r="C362" s="16" t="str">
        <f>IF(A362="","",IFERROR(VLOOKUP(A362, Stock_New!A:M, 3, FALSE),""))</f>
        <v>شركة حسين علي</v>
      </c>
      <c r="D362" s="5">
        <v>1.0</v>
      </c>
      <c r="E362" s="16">
        <f>IF($A362="", "", IFERROR(VLOOKUP($A362, Stock_New!$A:$M, 4, FALSE), ""))</f>
        <v>135</v>
      </c>
      <c r="F362" s="5">
        <f t="shared" si="1"/>
        <v>135</v>
      </c>
      <c r="G362" s="16">
        <f>IF($A362="", "", IFERROR(VLOOKUP($A362, Stock_New!$A:$M, 5, FALSE), ""))</f>
        <v>0</v>
      </c>
    </row>
    <row r="363" ht="22.5" customHeight="1">
      <c r="A363" s="11" t="s">
        <v>331</v>
      </c>
      <c r="B363" s="16" t="str">
        <f>IF(A363="","",IFERROR(VLOOKUP(A363, Stock_New!A:M, 2, FALSE),""))</f>
        <v>كهربائيات</v>
      </c>
      <c r="C363" s="16" t="str">
        <f>IF(A363="","",IFERROR(VLOOKUP(A363, Stock_New!A:M, 3, FALSE),""))</f>
        <v>سنتر محمد رشدي</v>
      </c>
      <c r="D363" s="5">
        <v>5.0</v>
      </c>
      <c r="E363" s="16">
        <f>IF($A363="", "", IFERROR(VLOOKUP($A363, Stock_New!$A:$M, 4, FALSE), ""))</f>
        <v>255</v>
      </c>
      <c r="F363" s="5">
        <f t="shared" si="1"/>
        <v>1275</v>
      </c>
      <c r="G363" s="16">
        <f>IF($A363="", "", IFERROR(VLOOKUP($A363, Stock_New!$A:$M, 5, FALSE), ""))</f>
        <v>5</v>
      </c>
    </row>
    <row r="364" ht="22.5" customHeight="1">
      <c r="A364" s="11" t="s">
        <v>349</v>
      </c>
      <c r="B364" s="16" t="str">
        <f>IF(A364="","",IFERROR(VLOOKUP(A364, Stock_New!A:M, 2, FALSE),""))</f>
        <v>كهربائيات</v>
      </c>
      <c r="C364" s="16" t="str">
        <f>IF(A364="","",IFERROR(VLOOKUP(A364, Stock_New!A:M, 3, FALSE),""))</f>
        <v>سنتر محمد رشدي</v>
      </c>
      <c r="D364" s="5">
        <v>3.0</v>
      </c>
      <c r="E364" s="16">
        <f>IF($A364="", "", IFERROR(VLOOKUP($A364, Stock_New!$A:$M, 4, FALSE), ""))</f>
        <v>250</v>
      </c>
      <c r="F364" s="5">
        <f t="shared" si="1"/>
        <v>750</v>
      </c>
      <c r="G364" s="16">
        <f>IF($A364="", "", IFERROR(VLOOKUP($A364, Stock_New!$A:$M, 5, FALSE), ""))</f>
        <v>3</v>
      </c>
    </row>
    <row r="365" ht="22.5" customHeight="1">
      <c r="A365" s="11" t="s">
        <v>367</v>
      </c>
      <c r="B365" s="16" t="str">
        <f>IF(A365="","",IFERROR(VLOOKUP(A365, Stock_New!A:M, 2, FALSE),""))</f>
        <v>كهربائيات</v>
      </c>
      <c r="C365" s="16" t="str">
        <f>IF(A365="","",IFERROR(VLOOKUP(A365, Stock_New!A:M, 3, FALSE),""))</f>
        <v>سنتر محمد رشدي</v>
      </c>
      <c r="D365" s="5">
        <v>5.0</v>
      </c>
      <c r="E365" s="16">
        <f>IF($A365="", "", IFERROR(VLOOKUP($A365, Stock_New!$A:$M, 4, FALSE), ""))</f>
        <v>242</v>
      </c>
      <c r="F365" s="5">
        <f t="shared" si="1"/>
        <v>1210</v>
      </c>
      <c r="G365" s="16">
        <f>IF($A365="", "", IFERROR(VLOOKUP($A365, Stock_New!$A:$M, 5, FALSE), ""))</f>
        <v>5</v>
      </c>
    </row>
    <row r="366" ht="22.5" customHeight="1">
      <c r="A366" s="11" t="s">
        <v>588</v>
      </c>
      <c r="B366" s="16" t="str">
        <f>IF(A366="","",IFERROR(VLOOKUP(A366, Stock_New!A:M, 2, FALSE),""))</f>
        <v>ليد</v>
      </c>
      <c r="C366" s="16" t="str">
        <f>IF(A366="","",IFERROR(VLOOKUP(A366, Stock_New!A:M, 3, FALSE),""))</f>
        <v>سنتر محمد رشدي</v>
      </c>
      <c r="D366" s="5">
        <v>3.0</v>
      </c>
      <c r="E366" s="16">
        <f>IF($A366="", "", IFERROR(VLOOKUP($A366, Stock_New!$A:$M, 4, FALSE), ""))</f>
        <v>115</v>
      </c>
      <c r="F366" s="5">
        <f t="shared" si="1"/>
        <v>345</v>
      </c>
      <c r="G366" s="16">
        <f>IF($A366="", "", IFERROR(VLOOKUP($A366, Stock_New!$A:$M, 5, FALSE), ""))</f>
        <v>3</v>
      </c>
    </row>
    <row r="367" ht="22.5" customHeight="1">
      <c r="A367" s="11"/>
      <c r="B367" s="16" t="str">
        <f>IF(A367="","",IFERROR(VLOOKUP(A367, Stock_New!A:M, 2, FALSE),""))</f>
        <v/>
      </c>
      <c r="C367" s="16" t="str">
        <f>IF(A367="","",IFERROR(VLOOKUP(A367, Stock_New!A:M, 3, FALSE),""))</f>
        <v/>
      </c>
      <c r="D367" s="16"/>
      <c r="E367" s="16" t="str">
        <f>IF($A367="", "", IFERROR(VLOOKUP($A367, Stock_New!$A:$M, 4, FALSE), ""))</f>
        <v/>
      </c>
      <c r="F367" s="5">
        <f t="shared" si="1"/>
        <v>0</v>
      </c>
      <c r="G367" s="16" t="str">
        <f>IF($A367="", "", IFERROR(VLOOKUP($A367, Stock_New!$A:$M, 5, FALSE), ""))</f>
        <v/>
      </c>
    </row>
    <row r="368" ht="22.5" customHeight="1">
      <c r="A368" s="11"/>
      <c r="B368" s="16" t="str">
        <f>IF(A368="","",IFERROR(VLOOKUP(A368, Stock_New!A:M, 2, FALSE),""))</f>
        <v/>
      </c>
      <c r="C368" s="16" t="str">
        <f>IF(A368="","",IFERROR(VLOOKUP(A368, Stock_New!A:M, 3, FALSE),""))</f>
        <v/>
      </c>
      <c r="D368" s="16"/>
      <c r="E368" s="16" t="str">
        <f>IF($A368="", "", IFERROR(VLOOKUP($A368, Stock_New!$A:$M, 4, FALSE), ""))</f>
        <v/>
      </c>
      <c r="F368" s="5">
        <f t="shared" si="1"/>
        <v>0</v>
      </c>
      <c r="G368" s="16" t="str">
        <f>IF($A368="", "", IFERROR(VLOOKUP($A368, Stock_New!$A:$M, 5, FALSE), ""))</f>
        <v/>
      </c>
    </row>
    <row r="369" ht="22.5" customHeight="1">
      <c r="A369" s="11"/>
      <c r="B369" s="16" t="str">
        <f>IF(A369="","",IFERROR(VLOOKUP(A369, Stock_New!A:M, 2, FALSE),""))</f>
        <v/>
      </c>
      <c r="C369" s="16" t="str">
        <f>IF(A369="","",IFERROR(VLOOKUP(A369, Stock_New!A:M, 3, FALSE),""))</f>
        <v/>
      </c>
      <c r="D369" s="16"/>
      <c r="E369" s="16" t="str">
        <f>IF($A369="", "", IFERROR(VLOOKUP($A369, Stock_New!$A:$M, 4, FALSE), ""))</f>
        <v/>
      </c>
      <c r="F369" s="5">
        <f t="shared" si="1"/>
        <v>0</v>
      </c>
      <c r="G369" s="16" t="str">
        <f>IF($A369="", "", IFERROR(VLOOKUP($A369, Stock_New!$A:$M, 5, FALSE), ""))</f>
        <v/>
      </c>
    </row>
    <row r="370" ht="22.5" customHeight="1">
      <c r="A370" s="11"/>
      <c r="B370" s="16" t="str">
        <f>IF(A370="","",IFERROR(VLOOKUP(A370, Stock_New!A:M, 2, FALSE),""))</f>
        <v/>
      </c>
      <c r="C370" s="16" t="str">
        <f>IF(A370="","",IFERROR(VLOOKUP(A370, Stock_New!A:M, 3, FALSE),""))</f>
        <v/>
      </c>
      <c r="D370" s="16"/>
      <c r="E370" s="16" t="str">
        <f>IF($A370="", "", IFERROR(VLOOKUP($A370, Stock_New!$A:$M, 4, FALSE), ""))</f>
        <v/>
      </c>
      <c r="F370" s="5">
        <f t="shared" si="1"/>
        <v>0</v>
      </c>
      <c r="G370" s="16" t="str">
        <f>IF($A370="", "", IFERROR(VLOOKUP($A370, Stock_New!$A:$M, 5, FALSE), ""))</f>
        <v/>
      </c>
    </row>
    <row r="371" ht="22.5" customHeight="1">
      <c r="A371" s="11"/>
      <c r="B371" s="16" t="str">
        <f>IF(A371="","",IFERROR(VLOOKUP(A371, Stock_New!A:M, 2, FALSE),""))</f>
        <v/>
      </c>
      <c r="C371" s="16" t="str">
        <f>IF(A371="","",IFERROR(VLOOKUP(A371, Stock_New!A:M, 3, FALSE),""))</f>
        <v/>
      </c>
      <c r="D371" s="16"/>
      <c r="E371" s="16" t="str">
        <f>IF($A371="", "", IFERROR(VLOOKUP($A371, Stock_New!$A:$M, 4, FALSE), ""))</f>
        <v/>
      </c>
      <c r="F371" s="5">
        <f t="shared" si="1"/>
        <v>0</v>
      </c>
      <c r="G371" s="16" t="str">
        <f>IF($A371="", "", IFERROR(VLOOKUP($A371, Stock_New!$A:$M, 5, FALSE), ""))</f>
        <v/>
      </c>
    </row>
    <row r="372" ht="22.5" customHeight="1">
      <c r="A372" s="11"/>
      <c r="B372" s="16" t="str">
        <f>IF(A372="","",IFERROR(VLOOKUP(A372, Stock_New!A:M, 2, FALSE),""))</f>
        <v/>
      </c>
      <c r="C372" s="16" t="str">
        <f>IF(A372="","",IFERROR(VLOOKUP(A372, Stock_New!A:M, 3, FALSE),""))</f>
        <v/>
      </c>
      <c r="D372" s="16"/>
      <c r="E372" s="16" t="str">
        <f>IF($A372="", "", IFERROR(VLOOKUP($A372, Stock_New!$A:$M, 4, FALSE), ""))</f>
        <v/>
      </c>
      <c r="F372" s="5">
        <f t="shared" si="1"/>
        <v>0</v>
      </c>
      <c r="G372" s="16" t="str">
        <f>IF($A372="", "", IFERROR(VLOOKUP($A372, Stock_New!$A:$M, 5, FALSE), ""))</f>
        <v/>
      </c>
    </row>
    <row r="373" ht="22.5" customHeight="1">
      <c r="A373" s="11"/>
      <c r="B373" s="16" t="str">
        <f>IF(A373="","",IFERROR(VLOOKUP(A373, Stock_New!A:M, 2, FALSE),""))</f>
        <v/>
      </c>
      <c r="C373" s="16" t="str">
        <f>IF(A373="","",IFERROR(VLOOKUP(A373, Stock_New!A:M, 3, FALSE),""))</f>
        <v/>
      </c>
      <c r="D373" s="16"/>
      <c r="E373" s="16" t="str">
        <f>IF($A373="", "", IFERROR(VLOOKUP($A373, Stock_New!$A:$M, 4, FALSE), ""))</f>
        <v/>
      </c>
      <c r="F373" s="5">
        <f t="shared" si="1"/>
        <v>0</v>
      </c>
      <c r="G373" s="16" t="str">
        <f>IF($A373="", "", IFERROR(VLOOKUP($A373, Stock_New!$A:$M, 5, FALSE), ""))</f>
        <v/>
      </c>
    </row>
    <row r="374" ht="22.5" customHeight="1">
      <c r="A374" s="11"/>
      <c r="B374" s="16" t="str">
        <f>IF(A374="","",IFERROR(VLOOKUP(A374, Stock_New!A:M, 2, FALSE),""))</f>
        <v/>
      </c>
      <c r="C374" s="16" t="str">
        <f>IF(A374="","",IFERROR(VLOOKUP(A374, Stock_New!A:M, 3, FALSE),""))</f>
        <v/>
      </c>
      <c r="D374" s="16"/>
      <c r="E374" s="16" t="str">
        <f>IF($A374="", "", IFERROR(VLOOKUP($A374, Stock_New!$A:$M, 4, FALSE), ""))</f>
        <v/>
      </c>
      <c r="F374" s="5">
        <f t="shared" si="1"/>
        <v>0</v>
      </c>
      <c r="G374" s="16" t="str">
        <f>IF($A374="", "", IFERROR(VLOOKUP($A374, Stock_New!$A:$M, 5, FALSE), ""))</f>
        <v/>
      </c>
    </row>
    <row r="375" ht="22.5" customHeight="1">
      <c r="A375" s="11"/>
      <c r="B375" s="16" t="str">
        <f>IF(A375="","",IFERROR(VLOOKUP(A375, Stock_New!A:M, 2, FALSE),""))</f>
        <v/>
      </c>
      <c r="C375" s="16" t="str">
        <f>IF(A375="","",IFERROR(VLOOKUP(A375, Stock_New!A:M, 3, FALSE),""))</f>
        <v/>
      </c>
      <c r="D375" s="16"/>
      <c r="E375" s="16" t="str">
        <f>IF($A375="", "", IFERROR(VLOOKUP($A375, Stock_New!$A:$M, 4, FALSE), ""))</f>
        <v/>
      </c>
      <c r="F375" s="5">
        <f t="shared" si="1"/>
        <v>0</v>
      </c>
      <c r="G375" s="16" t="str">
        <f>IF($A375="", "", IFERROR(VLOOKUP($A375, Stock_New!$A:$M, 5, FALSE), ""))</f>
        <v/>
      </c>
    </row>
    <row r="376" ht="22.5" customHeight="1">
      <c r="A376" s="11"/>
      <c r="B376" s="16" t="str">
        <f>IF(A376="","",IFERROR(VLOOKUP(A376, Stock_New!A:M, 2, FALSE),""))</f>
        <v/>
      </c>
      <c r="C376" s="16" t="str">
        <f>IF(A376="","",IFERROR(VLOOKUP(A376, Stock_New!A:M, 3, FALSE),""))</f>
        <v/>
      </c>
      <c r="D376" s="16"/>
      <c r="E376" s="16" t="str">
        <f>IF($A376="", "", IFERROR(VLOOKUP($A376, Stock_New!$A:$M, 4, FALSE), ""))</f>
        <v/>
      </c>
      <c r="F376" s="5">
        <f t="shared" si="1"/>
        <v>0</v>
      </c>
      <c r="G376" s="16" t="str">
        <f>IF($A376="", "", IFERROR(VLOOKUP($A376, Stock_New!$A:$M, 5, FALSE), ""))</f>
        <v/>
      </c>
    </row>
    <row r="377" ht="22.5" customHeight="1">
      <c r="A377" s="11"/>
      <c r="B377" s="16" t="str">
        <f>IF(A377="","",IFERROR(VLOOKUP(A377, Stock_New!A:M, 2, FALSE),""))</f>
        <v/>
      </c>
      <c r="C377" s="16" t="str">
        <f>IF(A377="","",IFERROR(VLOOKUP(A377, Stock_New!A:M, 3, FALSE),""))</f>
        <v/>
      </c>
      <c r="D377" s="16"/>
      <c r="E377" s="16" t="str">
        <f>IF($A377="", "", IFERROR(VLOOKUP($A377, Stock_New!$A:$M, 4, FALSE), ""))</f>
        <v/>
      </c>
      <c r="F377" s="5">
        <f t="shared" si="1"/>
        <v>0</v>
      </c>
      <c r="G377" s="16" t="str">
        <f>IF($A377="", "", IFERROR(VLOOKUP($A377, Stock_New!$A:$M, 5, FALSE), ""))</f>
        <v/>
      </c>
    </row>
    <row r="378" ht="22.5" customHeight="1">
      <c r="A378" s="11"/>
      <c r="B378" s="16" t="str">
        <f>IF(A378="","",IFERROR(VLOOKUP(A378, Stock_New!A:M, 2, FALSE),""))</f>
        <v/>
      </c>
      <c r="C378" s="16" t="str">
        <f>IF(A378="","",IFERROR(VLOOKUP(A378, Stock_New!A:M, 3, FALSE),""))</f>
        <v/>
      </c>
      <c r="D378" s="16"/>
      <c r="E378" s="16" t="str">
        <f>IF($A378="", "", IFERROR(VLOOKUP($A378, Stock_New!$A:$M, 4, FALSE), ""))</f>
        <v/>
      </c>
      <c r="F378" s="5">
        <f t="shared" si="1"/>
        <v>0</v>
      </c>
      <c r="G378" s="16" t="str">
        <f>IF($A378="", "", IFERROR(VLOOKUP($A378, Stock_New!$A:$M, 5, FALSE), ""))</f>
        <v/>
      </c>
    </row>
    <row r="379" ht="22.5" customHeight="1">
      <c r="A379" s="11"/>
      <c r="B379" s="16" t="str">
        <f>IF(A379="","",IFERROR(VLOOKUP(A379, Stock_New!A:M, 2, FALSE),""))</f>
        <v/>
      </c>
      <c r="C379" s="16" t="str">
        <f>IF(A379="","",IFERROR(VLOOKUP(A379, Stock_New!A:M, 3, FALSE),""))</f>
        <v/>
      </c>
      <c r="D379" s="16"/>
      <c r="E379" s="16" t="str">
        <f>IF($A379="", "", IFERROR(VLOOKUP($A379, Stock_New!$A:$M, 4, FALSE), ""))</f>
        <v/>
      </c>
      <c r="F379" s="5">
        <f t="shared" si="1"/>
        <v>0</v>
      </c>
      <c r="G379" s="16" t="str">
        <f>IF($A379="", "", IFERROR(VLOOKUP($A379, Stock_New!$A:$M, 5, FALSE), ""))</f>
        <v/>
      </c>
    </row>
    <row r="380" ht="22.5" customHeight="1">
      <c r="A380" s="11"/>
      <c r="B380" s="16" t="str">
        <f>IF(A380="","",IFERROR(VLOOKUP(A380, Stock_New!A:M, 2, FALSE),""))</f>
        <v/>
      </c>
      <c r="C380" s="16" t="str">
        <f>IF(A380="","",IFERROR(VLOOKUP(A380, Stock_New!A:M, 3, FALSE),""))</f>
        <v/>
      </c>
      <c r="D380" s="16"/>
      <c r="E380" s="16" t="str">
        <f>IF($A380="", "", IFERROR(VLOOKUP($A380, Stock_New!$A:$M, 4, FALSE), ""))</f>
        <v/>
      </c>
      <c r="F380" s="5">
        <f t="shared" si="1"/>
        <v>0</v>
      </c>
      <c r="G380" s="16" t="str">
        <f>IF($A380="", "", IFERROR(VLOOKUP($A380, Stock_New!$A:$M, 5, FALSE), ""))</f>
        <v/>
      </c>
    </row>
    <row r="381" ht="22.5" customHeight="1">
      <c r="A381" s="11"/>
      <c r="B381" s="16" t="str">
        <f>IF(A381="","",IFERROR(VLOOKUP(A381, Stock_New!A:M, 2, FALSE),""))</f>
        <v/>
      </c>
      <c r="C381" s="16" t="str">
        <f>IF(A381="","",IFERROR(VLOOKUP(A381, Stock_New!A:M, 3, FALSE),""))</f>
        <v/>
      </c>
      <c r="D381" s="16"/>
      <c r="E381" s="16" t="str">
        <f>IF($A381="", "", IFERROR(VLOOKUP($A381, Stock_New!$A:$M, 4, FALSE), ""))</f>
        <v/>
      </c>
      <c r="F381" s="5">
        <f t="shared" si="1"/>
        <v>0</v>
      </c>
      <c r="G381" s="16" t="str">
        <f>IF($A381="", "", IFERROR(VLOOKUP($A381, Stock_New!$A:$M, 5, FALSE), ""))</f>
        <v/>
      </c>
    </row>
    <row r="382" ht="22.5" customHeight="1">
      <c r="A382" s="11"/>
      <c r="B382" s="16" t="str">
        <f>IF(A382="","",IFERROR(VLOOKUP(A382, Stock_New!A:M, 2, FALSE),""))</f>
        <v/>
      </c>
      <c r="C382" s="16" t="str">
        <f>IF(A382="","",IFERROR(VLOOKUP(A382, Stock_New!A:M, 3, FALSE),""))</f>
        <v/>
      </c>
      <c r="D382" s="16"/>
      <c r="E382" s="16" t="str">
        <f>IF($A382="", "", IFERROR(VLOOKUP($A382, Stock_New!$A:$M, 4, FALSE), ""))</f>
        <v/>
      </c>
      <c r="F382" s="5">
        <f t="shared" si="1"/>
        <v>0</v>
      </c>
      <c r="G382" s="16" t="str">
        <f>IF($A382="", "", IFERROR(VLOOKUP($A382, Stock_New!$A:$M, 5, FALSE), ""))</f>
        <v/>
      </c>
    </row>
    <row r="383" ht="22.5" customHeight="1">
      <c r="A383" s="11"/>
      <c r="B383" s="16" t="str">
        <f>IF(A383="","",IFERROR(VLOOKUP(A383, Stock_New!A:M, 2, FALSE),""))</f>
        <v/>
      </c>
      <c r="C383" s="16" t="str">
        <f>IF(A383="","",IFERROR(VLOOKUP(A383, Stock_New!A:M, 3, FALSE),""))</f>
        <v/>
      </c>
      <c r="D383" s="16"/>
      <c r="E383" s="16" t="str">
        <f>IF($A383="", "", IFERROR(VLOOKUP($A383, Stock_New!$A:$M, 4, FALSE), ""))</f>
        <v/>
      </c>
      <c r="F383" s="5">
        <f t="shared" si="1"/>
        <v>0</v>
      </c>
      <c r="G383" s="16" t="str">
        <f>IF($A383="", "", IFERROR(VLOOKUP($A383, Stock_New!$A:$M, 5, FALSE), ""))</f>
        <v/>
      </c>
    </row>
    <row r="384" ht="22.5" customHeight="1">
      <c r="A384" s="11"/>
      <c r="B384" s="16" t="str">
        <f>IF(A384="","",IFERROR(VLOOKUP(A384, Stock_New!A:M, 2, FALSE),""))</f>
        <v/>
      </c>
      <c r="C384" s="16" t="str">
        <f>IF(A384="","",IFERROR(VLOOKUP(A384, Stock_New!A:M, 3, FALSE),""))</f>
        <v/>
      </c>
      <c r="D384" s="16"/>
      <c r="E384" s="16" t="str">
        <f>IF($A384="", "", IFERROR(VLOOKUP($A384, Stock_New!$A:$M, 4, FALSE), ""))</f>
        <v/>
      </c>
      <c r="F384" s="5">
        <f t="shared" si="1"/>
        <v>0</v>
      </c>
      <c r="G384" s="16" t="str">
        <f>IF($A384="", "", IFERROR(VLOOKUP($A384, Stock_New!$A:$M, 5, FALSE), ""))</f>
        <v/>
      </c>
    </row>
    <row r="385" ht="22.5" customHeight="1">
      <c r="A385" s="11"/>
      <c r="B385" s="16" t="str">
        <f>IF(A385="","",IFERROR(VLOOKUP(A385, Stock_New!A:M, 2, FALSE),""))</f>
        <v/>
      </c>
      <c r="C385" s="16" t="str">
        <f>IF(A385="","",IFERROR(VLOOKUP(A385, Stock_New!A:M, 3, FALSE),""))</f>
        <v/>
      </c>
      <c r="D385" s="16"/>
      <c r="E385" s="16" t="str">
        <f>IF($A385="", "", IFERROR(VLOOKUP($A385, Stock_New!$A:$M, 4, FALSE), ""))</f>
        <v/>
      </c>
      <c r="F385" s="5">
        <f t="shared" si="1"/>
        <v>0</v>
      </c>
      <c r="G385" s="16" t="str">
        <f>IF($A385="", "", IFERROR(VLOOKUP($A385, Stock_New!$A:$M, 5, FALSE), ""))</f>
        <v/>
      </c>
    </row>
    <row r="386" ht="22.5" customHeight="1">
      <c r="A386" s="11"/>
      <c r="B386" s="16" t="str">
        <f>IF(A386="","",IFERROR(VLOOKUP(A386, Stock_New!A:M, 2, FALSE),""))</f>
        <v/>
      </c>
      <c r="C386" s="16" t="str">
        <f>IF(A386="","",IFERROR(VLOOKUP(A386, Stock_New!A:M, 3, FALSE),""))</f>
        <v/>
      </c>
      <c r="D386" s="16"/>
      <c r="E386" s="16" t="str">
        <f>IF($A386="", "", IFERROR(VLOOKUP($A386, Stock_New!$A:$M, 4, FALSE), ""))</f>
        <v/>
      </c>
      <c r="F386" s="5">
        <f t="shared" si="1"/>
        <v>0</v>
      </c>
      <c r="G386" s="16" t="str">
        <f>IF($A386="", "", IFERROR(VLOOKUP($A386, Stock_New!$A:$M, 5, FALSE), ""))</f>
        <v/>
      </c>
    </row>
    <row r="387" ht="22.5" customHeight="1">
      <c r="A387" s="11"/>
      <c r="B387" s="16" t="str">
        <f>IF(A387="","",IFERROR(VLOOKUP(A387, Stock_New!A:M, 2, FALSE),""))</f>
        <v/>
      </c>
      <c r="C387" s="16" t="str">
        <f>IF(A387="","",IFERROR(VLOOKUP(A387, Stock_New!A:M, 3, FALSE),""))</f>
        <v/>
      </c>
      <c r="D387" s="16"/>
      <c r="E387" s="16" t="str">
        <f>IF($A387="", "", IFERROR(VLOOKUP($A387, Stock_New!$A:$M, 4, FALSE), ""))</f>
        <v/>
      </c>
      <c r="F387" s="5">
        <f t="shared" si="1"/>
        <v>0</v>
      </c>
      <c r="G387" s="16" t="str">
        <f>IF($A387="", "", IFERROR(VLOOKUP($A387, Stock_New!$A:$M, 5, FALSE), ""))</f>
        <v/>
      </c>
    </row>
    <row r="388" ht="22.5" customHeight="1">
      <c r="A388" s="11"/>
      <c r="B388" s="16" t="str">
        <f>IF(A388="","",IFERROR(VLOOKUP(A388, Stock_New!A:M, 2, FALSE),""))</f>
        <v/>
      </c>
      <c r="C388" s="16" t="str">
        <f>IF(A388="","",IFERROR(VLOOKUP(A388, Stock_New!A:M, 3, FALSE),""))</f>
        <v/>
      </c>
      <c r="D388" s="16"/>
      <c r="E388" s="16" t="str">
        <f>IF($A388="", "", IFERROR(VLOOKUP($A388, Stock_New!$A:$M, 4, FALSE), ""))</f>
        <v/>
      </c>
      <c r="F388" s="5">
        <f t="shared" si="1"/>
        <v>0</v>
      </c>
      <c r="G388" s="16" t="str">
        <f>IF($A388="", "", IFERROR(VLOOKUP($A388, Stock_New!$A:$M, 5, FALSE), ""))</f>
        <v/>
      </c>
    </row>
    <row r="389" ht="22.5" customHeight="1">
      <c r="A389" s="11"/>
      <c r="B389" s="16" t="str">
        <f>IF(A389="","",IFERROR(VLOOKUP(A389, Stock_New!A:M, 2, FALSE),""))</f>
        <v/>
      </c>
      <c r="C389" s="16" t="str">
        <f>IF(A389="","",IFERROR(VLOOKUP(A389, Stock_New!A:M, 3, FALSE),""))</f>
        <v/>
      </c>
      <c r="D389" s="16"/>
      <c r="E389" s="16" t="str">
        <f>IF($A389="", "", IFERROR(VLOOKUP($A389, Stock_New!$A:$M, 4, FALSE), ""))</f>
        <v/>
      </c>
      <c r="F389" s="5">
        <f t="shared" si="1"/>
        <v>0</v>
      </c>
      <c r="G389" s="16" t="str">
        <f>IF($A389="", "", IFERROR(VLOOKUP($A389, Stock_New!$A:$M, 5, FALSE), ""))</f>
        <v/>
      </c>
    </row>
    <row r="390" ht="22.5" customHeight="1">
      <c r="A390" s="11"/>
      <c r="B390" s="16" t="str">
        <f>IF(A390="","",IFERROR(VLOOKUP(A390, Stock_New!A:M, 2, FALSE),""))</f>
        <v/>
      </c>
      <c r="C390" s="16" t="str">
        <f>IF(A390="","",IFERROR(VLOOKUP(A390, Stock_New!A:M, 3, FALSE),""))</f>
        <v/>
      </c>
      <c r="D390" s="16"/>
      <c r="E390" s="16" t="str">
        <f>IF($A390="", "", IFERROR(VLOOKUP($A390, Stock_New!$A:$M, 4, FALSE), ""))</f>
        <v/>
      </c>
      <c r="F390" s="5">
        <f t="shared" si="1"/>
        <v>0</v>
      </c>
      <c r="G390" s="16" t="str">
        <f>IF($A390="", "", IFERROR(VLOOKUP($A390, Stock_New!$A:$M, 5, FALSE), ""))</f>
        <v/>
      </c>
    </row>
    <row r="391" ht="22.5" customHeight="1">
      <c r="A391" s="11"/>
      <c r="B391" s="16" t="str">
        <f>IF(A391="","",IFERROR(VLOOKUP(A391, Stock_New!A:M, 2, FALSE),""))</f>
        <v/>
      </c>
      <c r="C391" s="16" t="str">
        <f>IF(A391="","",IFERROR(VLOOKUP(A391, Stock_New!A:M, 3, FALSE),""))</f>
        <v/>
      </c>
      <c r="D391" s="16"/>
      <c r="E391" s="16" t="str">
        <f>IF($A391="", "", IFERROR(VLOOKUP($A391, Stock_New!$A:$M, 4, FALSE), ""))</f>
        <v/>
      </c>
      <c r="F391" s="5">
        <f t="shared" si="1"/>
        <v>0</v>
      </c>
      <c r="G391" s="16" t="str">
        <f>IF($A391="", "", IFERROR(VLOOKUP($A391, Stock_New!$A:$M, 5, FALSE), ""))</f>
        <v/>
      </c>
    </row>
    <row r="392" ht="22.5" customHeight="1">
      <c r="A392" s="11"/>
      <c r="B392" s="16" t="str">
        <f>IF(A392="","",IFERROR(VLOOKUP(A392, Stock_New!A:M, 2, FALSE),""))</f>
        <v/>
      </c>
      <c r="C392" s="16" t="str">
        <f>IF(A392="","",IFERROR(VLOOKUP(A392, Stock_New!A:M, 3, FALSE),""))</f>
        <v/>
      </c>
      <c r="D392" s="16"/>
      <c r="E392" s="16" t="str">
        <f>IF($A392="", "", IFERROR(VLOOKUP($A392, Stock_New!$A:$M, 4, FALSE), ""))</f>
        <v/>
      </c>
      <c r="F392" s="5">
        <f t="shared" si="1"/>
        <v>0</v>
      </c>
      <c r="G392" s="16" t="str">
        <f>IF($A392="", "", IFERROR(VLOOKUP($A392, Stock_New!$A:$M, 5, FALSE), ""))</f>
        <v/>
      </c>
    </row>
    <row r="393" ht="22.5" customHeight="1">
      <c r="A393" s="11"/>
      <c r="B393" s="16" t="str">
        <f>IF(A393="","",IFERROR(VLOOKUP(A393, Stock_New!A:M, 2, FALSE),""))</f>
        <v/>
      </c>
      <c r="C393" s="16" t="str">
        <f>IF(A393="","",IFERROR(VLOOKUP(A393, Stock_New!A:M, 3, FALSE),""))</f>
        <v/>
      </c>
      <c r="D393" s="16"/>
      <c r="E393" s="16" t="str">
        <f>IF($A393="", "", IFERROR(VLOOKUP($A393, Stock_New!$A:$M, 4, FALSE), ""))</f>
        <v/>
      </c>
      <c r="F393" s="5">
        <f t="shared" si="1"/>
        <v>0</v>
      </c>
      <c r="G393" s="16" t="str">
        <f>IF($A393="", "", IFERROR(VLOOKUP($A393, Stock_New!$A:$M, 5, FALSE), ""))</f>
        <v/>
      </c>
    </row>
    <row r="394" ht="22.5" customHeight="1">
      <c r="A394" s="11"/>
      <c r="B394" s="16" t="str">
        <f>IF(A394="","",IFERROR(VLOOKUP(A394, Stock_New!A:M, 2, FALSE),""))</f>
        <v/>
      </c>
      <c r="C394" s="16" t="str">
        <f>IF(A394="","",IFERROR(VLOOKUP(A394, Stock_New!A:M, 3, FALSE),""))</f>
        <v/>
      </c>
      <c r="D394" s="16"/>
      <c r="E394" s="16" t="str">
        <f>IF($A394="", "", IFERROR(VLOOKUP($A394, Stock_New!$A:$M, 4, FALSE), ""))</f>
        <v/>
      </c>
      <c r="F394" s="5">
        <f t="shared" si="1"/>
        <v>0</v>
      </c>
      <c r="G394" s="16" t="str">
        <f>IF($A394="", "", IFERROR(VLOOKUP($A394, Stock_New!$A:$M, 5, FALSE), ""))</f>
        <v/>
      </c>
    </row>
    <row r="395" ht="22.5" customHeight="1">
      <c r="A395" s="11"/>
      <c r="B395" s="16" t="str">
        <f>IF(A395="","",IFERROR(VLOOKUP(A395, Stock_New!A:M, 2, FALSE),""))</f>
        <v/>
      </c>
      <c r="C395" s="16" t="str">
        <f>IF(A395="","",IFERROR(VLOOKUP(A395, Stock_New!A:M, 3, FALSE),""))</f>
        <v/>
      </c>
      <c r="D395" s="16"/>
      <c r="E395" s="16" t="str">
        <f>IF($A395="", "", IFERROR(VLOOKUP($A395, Stock_New!$A:$M, 4, FALSE), ""))</f>
        <v/>
      </c>
      <c r="F395" s="5">
        <f t="shared" si="1"/>
        <v>0</v>
      </c>
      <c r="G395" s="16" t="str">
        <f>IF($A395="", "", IFERROR(VLOOKUP($A395, Stock_New!$A:$M, 5, FALSE), ""))</f>
        <v/>
      </c>
    </row>
    <row r="396" ht="22.5" customHeight="1">
      <c r="A396" s="11"/>
      <c r="B396" s="16" t="str">
        <f>IF(A396="","",IFERROR(VLOOKUP(A396, Stock_New!A:M, 2, FALSE),""))</f>
        <v/>
      </c>
      <c r="C396" s="16" t="str">
        <f>IF(A396="","",IFERROR(VLOOKUP(A396, Stock_New!A:M, 3, FALSE),""))</f>
        <v/>
      </c>
      <c r="D396" s="16"/>
      <c r="E396" s="16" t="str">
        <f>IF($A396="", "", IFERROR(VLOOKUP($A396, Stock_New!$A:$M, 4, FALSE), ""))</f>
        <v/>
      </c>
      <c r="F396" s="5">
        <f t="shared" si="1"/>
        <v>0</v>
      </c>
      <c r="G396" s="16" t="str">
        <f>IF($A396="", "", IFERROR(VLOOKUP($A396, Stock_New!$A:$M, 5, FALSE), ""))</f>
        <v/>
      </c>
    </row>
    <row r="397" ht="22.5" customHeight="1">
      <c r="A397" s="11"/>
      <c r="B397" s="16" t="str">
        <f>IF(A397="","",IFERROR(VLOOKUP(A397, Stock_New!A:M, 2, FALSE),""))</f>
        <v/>
      </c>
      <c r="C397" s="16" t="str">
        <f>IF(A397="","",IFERROR(VLOOKUP(A397, Stock_New!A:M, 3, FALSE),""))</f>
        <v/>
      </c>
      <c r="D397" s="16"/>
      <c r="E397" s="16" t="str">
        <f>IF($A397="", "", IFERROR(VLOOKUP($A397, Stock_New!$A:$M, 4, FALSE), ""))</f>
        <v/>
      </c>
      <c r="F397" s="5">
        <f t="shared" si="1"/>
        <v>0</v>
      </c>
      <c r="G397" s="16" t="str">
        <f>IF($A397="", "", IFERROR(VLOOKUP($A397, Stock_New!$A:$M, 5, FALSE), ""))</f>
        <v/>
      </c>
    </row>
    <row r="398" ht="22.5" customHeight="1">
      <c r="A398" s="11"/>
      <c r="B398" s="16" t="str">
        <f>IF(A398="","",IFERROR(VLOOKUP(A398, Stock_New!A:M, 2, FALSE),""))</f>
        <v/>
      </c>
      <c r="C398" s="16" t="str">
        <f>IF(A398="","",IFERROR(VLOOKUP(A398, Stock_New!A:M, 3, FALSE),""))</f>
        <v/>
      </c>
      <c r="D398" s="16"/>
      <c r="E398" s="16" t="str">
        <f>IF($A398="", "", IFERROR(VLOOKUP($A398, Stock_New!$A:$M, 4, FALSE), ""))</f>
        <v/>
      </c>
      <c r="F398" s="5">
        <f t="shared" si="1"/>
        <v>0</v>
      </c>
      <c r="G398" s="16" t="str">
        <f>IF($A398="", "", IFERROR(VLOOKUP($A398, Stock_New!$A:$M, 5, FALSE), ""))</f>
        <v/>
      </c>
    </row>
    <row r="399" ht="22.5" customHeight="1">
      <c r="A399" s="11"/>
      <c r="B399" s="16" t="str">
        <f>IF(A399="","",IFERROR(VLOOKUP(A399, Stock_New!A:M, 2, FALSE),""))</f>
        <v/>
      </c>
      <c r="C399" s="16" t="str">
        <f>IF(A399="","",IFERROR(VLOOKUP(A399, Stock_New!A:M, 3, FALSE),""))</f>
        <v/>
      </c>
      <c r="D399" s="16"/>
      <c r="E399" s="16" t="str">
        <f>IF($A399="", "", IFERROR(VLOOKUP($A399, Stock_New!$A:$M, 4, FALSE), ""))</f>
        <v/>
      </c>
      <c r="F399" s="5">
        <f t="shared" si="1"/>
        <v>0</v>
      </c>
      <c r="G399" s="16" t="str">
        <f>IF($A399="", "", IFERROR(VLOOKUP($A399, Stock_New!$A:$M, 5, FALSE), ""))</f>
        <v/>
      </c>
    </row>
    <row r="400" ht="22.5" customHeight="1">
      <c r="A400" s="11"/>
      <c r="B400" s="16" t="str">
        <f>IF(A400="","",IFERROR(VLOOKUP(A400, Stock_New!A:M, 2, FALSE),""))</f>
        <v/>
      </c>
      <c r="C400" s="16" t="str">
        <f>IF(A400="","",IFERROR(VLOOKUP(A400, Stock_New!A:M, 3, FALSE),""))</f>
        <v/>
      </c>
      <c r="D400" s="16"/>
      <c r="E400" s="16" t="str">
        <f>IF($A400="", "", IFERROR(VLOOKUP($A400, Stock_New!$A:$M, 4, FALSE), ""))</f>
        <v/>
      </c>
      <c r="F400" s="5">
        <f t="shared" si="1"/>
        <v>0</v>
      </c>
      <c r="G400" s="16" t="str">
        <f>IF($A400="", "", IFERROR(VLOOKUP($A400, Stock_New!$A:$M, 5, FALSE), ""))</f>
        <v/>
      </c>
    </row>
    <row r="401" ht="22.5" customHeight="1">
      <c r="A401" s="11"/>
      <c r="B401" s="16" t="str">
        <f>IF(A401="","",IFERROR(VLOOKUP(A401, Stock_New!A:M, 2, FALSE),""))</f>
        <v/>
      </c>
      <c r="C401" s="16" t="str">
        <f>IF(A401="","",IFERROR(VLOOKUP(A401, Stock_New!A:M, 3, FALSE),""))</f>
        <v/>
      </c>
      <c r="D401" s="16"/>
      <c r="E401" s="16" t="str">
        <f>IF($A401="", "", IFERROR(VLOOKUP($A401, Stock_New!$A:$M, 4, FALSE), ""))</f>
        <v/>
      </c>
      <c r="F401" s="5">
        <f t="shared" si="1"/>
        <v>0</v>
      </c>
      <c r="G401" s="16" t="str">
        <f>IF($A401="", "", IFERROR(VLOOKUP($A401, Stock_New!$A:$M, 5, FALSE), ""))</f>
        <v/>
      </c>
    </row>
    <row r="402" ht="22.5" customHeight="1">
      <c r="A402" s="11"/>
      <c r="B402" s="16" t="str">
        <f>IF(A402="","",IFERROR(VLOOKUP(A402, Stock_New!A:M, 2, FALSE),""))</f>
        <v/>
      </c>
      <c r="C402" s="16" t="str">
        <f>IF(A402="","",IFERROR(VLOOKUP(A402, Stock_New!A:M, 3, FALSE),""))</f>
        <v/>
      </c>
      <c r="D402" s="16"/>
      <c r="E402" s="16" t="str">
        <f>IF($A402="", "", IFERROR(VLOOKUP($A402, Stock_New!$A:$M, 4, FALSE), ""))</f>
        <v/>
      </c>
      <c r="F402" s="5">
        <f t="shared" si="1"/>
        <v>0</v>
      </c>
      <c r="G402" s="16" t="str">
        <f>IF($A402="", "", IFERROR(VLOOKUP($A402, Stock_New!$A:$M, 5, FALSE), ""))</f>
        <v/>
      </c>
    </row>
    <row r="403" ht="22.5" customHeight="1">
      <c r="A403" s="11"/>
      <c r="B403" s="16" t="str">
        <f>IF(A403="","",IFERROR(VLOOKUP(A403, Stock_New!A:M, 2, FALSE),""))</f>
        <v/>
      </c>
      <c r="C403" s="16" t="str">
        <f>IF(A403="","",IFERROR(VLOOKUP(A403, Stock_New!A:M, 3, FALSE),""))</f>
        <v/>
      </c>
      <c r="D403" s="16"/>
      <c r="E403" s="16" t="str">
        <f>IF($A403="", "", IFERROR(VLOOKUP($A403, Stock_New!$A:$M, 4, FALSE), ""))</f>
        <v/>
      </c>
      <c r="F403" s="5">
        <f t="shared" si="1"/>
        <v>0</v>
      </c>
      <c r="G403" s="16" t="str">
        <f>IF($A403="", "", IFERROR(VLOOKUP($A403, Stock_New!$A:$M, 5, FALSE), ""))</f>
        <v/>
      </c>
    </row>
    <row r="404" ht="22.5" customHeight="1">
      <c r="A404" s="11"/>
      <c r="B404" s="16" t="str">
        <f>IF(A404="","",IFERROR(VLOOKUP(A404, Stock_New!A:M, 2, FALSE),""))</f>
        <v/>
      </c>
      <c r="C404" s="16" t="str">
        <f>IF(A404="","",IFERROR(VLOOKUP(A404, Stock_New!A:M, 3, FALSE),""))</f>
        <v/>
      </c>
      <c r="D404" s="16"/>
      <c r="E404" s="16" t="str">
        <f>IF($A404="", "", IFERROR(VLOOKUP($A404, Stock_New!$A:$M, 4, FALSE), ""))</f>
        <v/>
      </c>
      <c r="F404" s="5">
        <f t="shared" si="1"/>
        <v>0</v>
      </c>
      <c r="G404" s="16" t="str">
        <f>IF($A404="", "", IFERROR(VLOOKUP($A404, Stock_New!$A:$M, 5, FALSE), ""))</f>
        <v/>
      </c>
    </row>
    <row r="405" ht="22.5" customHeight="1">
      <c r="A405" s="11"/>
      <c r="B405" s="16" t="str">
        <f>IF(A405="","",IFERROR(VLOOKUP(A405, Stock_New!A:M, 2, FALSE),""))</f>
        <v/>
      </c>
      <c r="C405" s="16" t="str">
        <f>IF(A405="","",IFERROR(VLOOKUP(A405, Stock_New!A:M, 3, FALSE),""))</f>
        <v/>
      </c>
      <c r="D405" s="16"/>
      <c r="E405" s="16" t="str">
        <f>IF($A405="", "", IFERROR(VLOOKUP($A405, Stock_New!$A:$M, 4, FALSE), ""))</f>
        <v/>
      </c>
      <c r="F405" s="5">
        <f t="shared" si="1"/>
        <v>0</v>
      </c>
      <c r="G405" s="16" t="str">
        <f>IF($A405="", "", IFERROR(VLOOKUP($A405, Stock_New!$A:$M, 5, FALSE), ""))</f>
        <v/>
      </c>
    </row>
    <row r="406" ht="22.5" customHeight="1">
      <c r="A406" s="11"/>
      <c r="B406" s="16" t="str">
        <f>IF(A406="","",IFERROR(VLOOKUP(A406, Stock_New!A:M, 2, FALSE),""))</f>
        <v/>
      </c>
      <c r="C406" s="16" t="str">
        <f>IF(A406="","",IFERROR(VLOOKUP(A406, Stock_New!A:M, 3, FALSE),""))</f>
        <v/>
      </c>
      <c r="D406" s="16"/>
      <c r="E406" s="16" t="str">
        <f>IF($A406="", "", IFERROR(VLOOKUP($A406, Stock_New!$A:$M, 4, FALSE), ""))</f>
        <v/>
      </c>
      <c r="F406" s="5">
        <f t="shared" si="1"/>
        <v>0</v>
      </c>
      <c r="G406" s="16" t="str">
        <f>IF($A406="", "", IFERROR(VLOOKUP($A406, Stock_New!$A:$M, 5, FALSE), ""))</f>
        <v/>
      </c>
    </row>
    <row r="407" ht="22.5" customHeight="1">
      <c r="A407" s="11"/>
      <c r="B407" s="16" t="str">
        <f>IF(A407="","",IFERROR(VLOOKUP(A407, Stock_New!A:M, 2, FALSE),""))</f>
        <v/>
      </c>
      <c r="C407" s="16" t="str">
        <f>IF(A407="","",IFERROR(VLOOKUP(A407, Stock_New!A:M, 3, FALSE),""))</f>
        <v/>
      </c>
      <c r="D407" s="16"/>
      <c r="E407" s="16" t="str">
        <f>IF($A407="", "", IFERROR(VLOOKUP($A407, Stock_New!$A:$M, 4, FALSE), ""))</f>
        <v/>
      </c>
      <c r="F407" s="5">
        <f t="shared" si="1"/>
        <v>0</v>
      </c>
      <c r="G407" s="16" t="str">
        <f>IF($A407="", "", IFERROR(VLOOKUP($A407, Stock_New!$A:$M, 5, FALSE), ""))</f>
        <v/>
      </c>
    </row>
    <row r="408" ht="22.5" customHeight="1">
      <c r="A408" s="11"/>
      <c r="B408" s="16" t="str">
        <f>IF(A408="","",IFERROR(VLOOKUP(A408, Stock_New!A:M, 2, FALSE),""))</f>
        <v/>
      </c>
      <c r="C408" s="16" t="str">
        <f>IF(A408="","",IFERROR(VLOOKUP(A408, Stock_New!A:M, 3, FALSE),""))</f>
        <v/>
      </c>
      <c r="D408" s="16"/>
      <c r="E408" s="16" t="str">
        <f>IF($A408="", "", IFERROR(VLOOKUP($A408, Stock_New!$A:$M, 4, FALSE), ""))</f>
        <v/>
      </c>
      <c r="F408" s="5">
        <f t="shared" si="1"/>
        <v>0</v>
      </c>
      <c r="G408" s="16" t="str">
        <f>IF($A408="", "", IFERROR(VLOOKUP($A408, Stock_New!$A:$M, 5, FALSE), ""))</f>
        <v/>
      </c>
    </row>
    <row r="409" ht="22.5" customHeight="1">
      <c r="A409" s="11"/>
      <c r="B409" s="16" t="str">
        <f>IF(A409="","",IFERROR(VLOOKUP(A409, Stock_New!A:M, 2, FALSE),""))</f>
        <v/>
      </c>
      <c r="C409" s="16" t="str">
        <f>IF(A409="","",IFERROR(VLOOKUP(A409, Stock_New!A:M, 3, FALSE),""))</f>
        <v/>
      </c>
      <c r="D409" s="16"/>
      <c r="E409" s="16" t="str">
        <f>IF($A409="", "", IFERROR(VLOOKUP($A409, Stock_New!$A:$M, 4, FALSE), ""))</f>
        <v/>
      </c>
      <c r="F409" s="5">
        <f t="shared" si="1"/>
        <v>0</v>
      </c>
      <c r="G409" s="16" t="str">
        <f>IF($A409="", "", IFERROR(VLOOKUP($A409, Stock_New!$A:$M, 5, FALSE), ""))</f>
        <v/>
      </c>
    </row>
    <row r="410" ht="22.5" customHeight="1">
      <c r="A410" s="11"/>
      <c r="B410" s="16" t="str">
        <f>IF(A410="","",IFERROR(VLOOKUP(A410, Stock_New!A:M, 2, FALSE),""))</f>
        <v/>
      </c>
      <c r="C410" s="16" t="str">
        <f>IF(A410="","",IFERROR(VLOOKUP(A410, Stock_New!A:M, 3, FALSE),""))</f>
        <v/>
      </c>
      <c r="D410" s="16"/>
      <c r="E410" s="16" t="str">
        <f>IF($A410="", "", IFERROR(VLOOKUP($A410, Stock_New!$A:$M, 4, FALSE), ""))</f>
        <v/>
      </c>
      <c r="F410" s="5">
        <f t="shared" si="1"/>
        <v>0</v>
      </c>
      <c r="G410" s="16" t="str">
        <f>IF($A410="", "", IFERROR(VLOOKUP($A410, Stock_New!$A:$M, 5, FALSE), ""))</f>
        <v/>
      </c>
    </row>
    <row r="411" ht="22.5" customHeight="1">
      <c r="A411" s="11"/>
      <c r="B411" s="16" t="str">
        <f>IF(A411="","",IFERROR(VLOOKUP(A411, Stock_New!A:M, 2, FALSE),""))</f>
        <v/>
      </c>
      <c r="C411" s="16" t="str">
        <f>IF(A411="","",IFERROR(VLOOKUP(A411, Stock_New!A:M, 3, FALSE),""))</f>
        <v/>
      </c>
      <c r="D411" s="16"/>
      <c r="E411" s="16" t="str">
        <f>IF($A411="", "", IFERROR(VLOOKUP($A411, Stock_New!$A:$M, 4, FALSE), ""))</f>
        <v/>
      </c>
      <c r="F411" s="5">
        <f t="shared" si="1"/>
        <v>0</v>
      </c>
      <c r="G411" s="16" t="str">
        <f>IF($A411="", "", IFERROR(VLOOKUP($A411, Stock_New!$A:$M, 5, FALSE), ""))</f>
        <v/>
      </c>
    </row>
    <row r="412" ht="22.5" customHeight="1">
      <c r="A412" s="11"/>
      <c r="B412" s="16" t="str">
        <f>IF(A412="","",IFERROR(VLOOKUP(A412, Stock_New!A:M, 2, FALSE),""))</f>
        <v/>
      </c>
      <c r="C412" s="16" t="str">
        <f>IF(A412="","",IFERROR(VLOOKUP(A412, Stock_New!A:M, 3, FALSE),""))</f>
        <v/>
      </c>
      <c r="D412" s="16"/>
      <c r="E412" s="16" t="str">
        <f>IF($A412="", "", IFERROR(VLOOKUP($A412, Stock_New!$A:$M, 4, FALSE), ""))</f>
        <v/>
      </c>
      <c r="F412" s="5">
        <f t="shared" si="1"/>
        <v>0</v>
      </c>
      <c r="G412" s="16" t="str">
        <f>IF($A412="", "", IFERROR(VLOOKUP($A412, Stock_New!$A:$M, 5, FALSE), ""))</f>
        <v/>
      </c>
    </row>
    <row r="413" ht="22.5" customHeight="1">
      <c r="A413" s="11"/>
      <c r="B413" s="16" t="str">
        <f>IF(A413="","",IFERROR(VLOOKUP(A413, Stock_New!A:M, 2, FALSE),""))</f>
        <v/>
      </c>
      <c r="C413" s="16" t="str">
        <f>IF(A413="","",IFERROR(VLOOKUP(A413, Stock_New!A:M, 3, FALSE),""))</f>
        <v/>
      </c>
      <c r="D413" s="16"/>
      <c r="E413" s="16" t="str">
        <f>IF($A413="", "", IFERROR(VLOOKUP($A413, Stock_New!$A:$M, 4, FALSE), ""))</f>
        <v/>
      </c>
      <c r="F413" s="5">
        <f t="shared" si="1"/>
        <v>0</v>
      </c>
      <c r="G413" s="16" t="str">
        <f>IF($A413="", "", IFERROR(VLOOKUP($A413, Stock_New!$A:$M, 5, FALSE), ""))</f>
        <v/>
      </c>
    </row>
    <row r="414" ht="22.5" customHeight="1">
      <c r="A414" s="11"/>
      <c r="B414" s="16" t="str">
        <f>IF(A414="","",IFERROR(VLOOKUP(A414, Stock_New!A:M, 2, FALSE),""))</f>
        <v/>
      </c>
      <c r="C414" s="16" t="str">
        <f>IF(A414="","",IFERROR(VLOOKUP(A414, Stock_New!A:M, 3, FALSE),""))</f>
        <v/>
      </c>
      <c r="D414" s="16"/>
      <c r="E414" s="16" t="str">
        <f>IF($A414="", "", IFERROR(VLOOKUP($A414, Stock_New!$A:$M, 4, FALSE), ""))</f>
        <v/>
      </c>
      <c r="F414" s="5">
        <f t="shared" si="1"/>
        <v>0</v>
      </c>
      <c r="G414" s="16" t="str">
        <f>IF($A414="", "", IFERROR(VLOOKUP($A414, Stock_New!$A:$M, 5, FALSE), ""))</f>
        <v/>
      </c>
    </row>
    <row r="415" ht="22.5" customHeight="1">
      <c r="A415" s="11"/>
      <c r="B415" s="16" t="str">
        <f>IF(A415="","",IFERROR(VLOOKUP(A415, Stock_New!A:M, 2, FALSE),""))</f>
        <v/>
      </c>
      <c r="C415" s="16" t="str">
        <f>IF(A415="","",IFERROR(VLOOKUP(A415, Stock_New!A:M, 3, FALSE),""))</f>
        <v/>
      </c>
      <c r="D415" s="16"/>
      <c r="E415" s="16" t="str">
        <f>IF($A415="", "", IFERROR(VLOOKUP($A415, Stock_New!$A:$M, 4, FALSE), ""))</f>
        <v/>
      </c>
      <c r="F415" s="5">
        <f t="shared" si="1"/>
        <v>0</v>
      </c>
      <c r="G415" s="16" t="str">
        <f>IF($A415="", "", IFERROR(VLOOKUP($A415, Stock_New!$A:$M, 5, FALSE), ""))</f>
        <v/>
      </c>
    </row>
    <row r="416" ht="22.5" customHeight="1">
      <c r="A416" s="11"/>
      <c r="B416" s="16" t="str">
        <f>IF(A416="","",IFERROR(VLOOKUP(A416, Stock_New!A:M, 2, FALSE),""))</f>
        <v/>
      </c>
      <c r="C416" s="16" t="str">
        <f>IF(A416="","",IFERROR(VLOOKUP(A416, Stock_New!A:M, 3, FALSE),""))</f>
        <v/>
      </c>
      <c r="D416" s="16"/>
      <c r="E416" s="16" t="str">
        <f>IF($A416="", "", IFERROR(VLOOKUP($A416, Stock_New!$A:$M, 4, FALSE), ""))</f>
        <v/>
      </c>
      <c r="F416" s="5">
        <f t="shared" si="1"/>
        <v>0</v>
      </c>
      <c r="G416" s="16" t="str">
        <f>IF($A416="", "", IFERROR(VLOOKUP($A416, Stock_New!$A:$M, 5, FALSE), ""))</f>
        <v/>
      </c>
    </row>
    <row r="417" ht="22.5" customHeight="1">
      <c r="A417" s="11"/>
      <c r="B417" s="16" t="str">
        <f>IF(A417="","",IFERROR(VLOOKUP(A417, Stock_New!A:M, 2, FALSE),""))</f>
        <v/>
      </c>
      <c r="C417" s="16" t="str">
        <f>IF(A417="","",IFERROR(VLOOKUP(A417, Stock_New!A:M, 3, FALSE),""))</f>
        <v/>
      </c>
      <c r="D417" s="16"/>
      <c r="E417" s="16" t="str">
        <f>IF($A417="", "", IFERROR(VLOOKUP($A417, Stock_New!$A:$M, 4, FALSE), ""))</f>
        <v/>
      </c>
      <c r="F417" s="5">
        <f t="shared" si="1"/>
        <v>0</v>
      </c>
      <c r="G417" s="16" t="str">
        <f>IF($A417="", "", IFERROR(VLOOKUP($A417, Stock_New!$A:$M, 5, FALSE), ""))</f>
        <v/>
      </c>
    </row>
    <row r="418" ht="22.5" customHeight="1">
      <c r="A418" s="11"/>
      <c r="B418" s="16" t="str">
        <f>IF(A418="","",IFERROR(VLOOKUP(A418, Stock_New!A:M, 2, FALSE),""))</f>
        <v/>
      </c>
      <c r="C418" s="16" t="str">
        <f>IF(A418="","",IFERROR(VLOOKUP(A418, Stock_New!A:M, 3, FALSE),""))</f>
        <v/>
      </c>
      <c r="D418" s="16"/>
      <c r="E418" s="16" t="str">
        <f>IF($A418="", "", IFERROR(VLOOKUP($A418, Stock_New!$A:$M, 4, FALSE), ""))</f>
        <v/>
      </c>
      <c r="F418" s="5">
        <f t="shared" si="1"/>
        <v>0</v>
      </c>
      <c r="G418" s="16" t="str">
        <f>IF($A418="", "", IFERROR(VLOOKUP($A418, Stock_New!$A:$M, 5, FALSE), ""))</f>
        <v/>
      </c>
    </row>
    <row r="419" ht="22.5" customHeight="1">
      <c r="A419" s="11"/>
      <c r="B419" s="16" t="str">
        <f>IF(A419="","",IFERROR(VLOOKUP(A419, Stock_New!A:M, 2, FALSE),""))</f>
        <v/>
      </c>
      <c r="C419" s="16" t="str">
        <f>IF(A419="","",IFERROR(VLOOKUP(A419, Stock_New!A:M, 3, FALSE),""))</f>
        <v/>
      </c>
      <c r="D419" s="16"/>
      <c r="E419" s="16" t="str">
        <f>IF($A419="", "", IFERROR(VLOOKUP($A419, Stock_New!$A:$M, 4, FALSE), ""))</f>
        <v/>
      </c>
      <c r="F419" s="5">
        <f t="shared" si="1"/>
        <v>0</v>
      </c>
      <c r="G419" s="16" t="str">
        <f>IF($A419="", "", IFERROR(VLOOKUP($A419, Stock_New!$A:$M, 5, FALSE), ""))</f>
        <v/>
      </c>
    </row>
    <row r="420" ht="22.5" customHeight="1">
      <c r="A420" s="11"/>
      <c r="B420" s="16" t="str">
        <f>IF(A420="","",IFERROR(VLOOKUP(A420, Stock_New!A:M, 2, FALSE),""))</f>
        <v/>
      </c>
      <c r="C420" s="16" t="str">
        <f>IF(A420="","",IFERROR(VLOOKUP(A420, Stock_New!A:M, 3, FALSE),""))</f>
        <v/>
      </c>
      <c r="D420" s="16"/>
      <c r="E420" s="16" t="str">
        <f>IF($A420="", "", IFERROR(VLOOKUP($A420, Stock_New!$A:$M, 4, FALSE), ""))</f>
        <v/>
      </c>
      <c r="F420" s="5">
        <f t="shared" si="1"/>
        <v>0</v>
      </c>
      <c r="G420" s="16" t="str">
        <f>IF($A420="", "", IFERROR(VLOOKUP($A420, Stock_New!$A:$M, 5, FALSE), ""))</f>
        <v/>
      </c>
    </row>
    <row r="421" ht="22.5" customHeight="1">
      <c r="A421" s="11"/>
      <c r="B421" s="16" t="str">
        <f>IF(A421="","",IFERROR(VLOOKUP(A421, Stock_New!A:M, 2, FALSE),""))</f>
        <v/>
      </c>
      <c r="C421" s="16" t="str">
        <f>IF(A421="","",IFERROR(VLOOKUP(A421, Stock_New!A:M, 3, FALSE),""))</f>
        <v/>
      </c>
      <c r="D421" s="16"/>
      <c r="E421" s="16" t="str">
        <f>IF($A421="", "", IFERROR(VLOOKUP($A421, Stock_New!$A:$M, 4, FALSE), ""))</f>
        <v/>
      </c>
      <c r="F421" s="5">
        <f t="shared" si="1"/>
        <v>0</v>
      </c>
      <c r="G421" s="16" t="str">
        <f>IF($A421="", "", IFERROR(VLOOKUP($A421, Stock_New!$A:$M, 5, FALSE), ""))</f>
        <v/>
      </c>
    </row>
    <row r="422" ht="22.5" customHeight="1">
      <c r="A422" s="11"/>
      <c r="B422" s="16" t="str">
        <f>IF(A422="","",IFERROR(VLOOKUP(A422, Stock_New!A:M, 2, FALSE),""))</f>
        <v/>
      </c>
      <c r="C422" s="16" t="str">
        <f>IF(A422="","",IFERROR(VLOOKUP(A422, Stock_New!A:M, 3, FALSE),""))</f>
        <v/>
      </c>
      <c r="D422" s="16"/>
      <c r="E422" s="16" t="str">
        <f>IF($A422="", "", IFERROR(VLOOKUP($A422, Stock_New!$A:$M, 4, FALSE), ""))</f>
        <v/>
      </c>
      <c r="F422" s="5">
        <f t="shared" si="1"/>
        <v>0</v>
      </c>
      <c r="G422" s="16" t="str">
        <f>IF($A422="", "", IFERROR(VLOOKUP($A422, Stock_New!$A:$M, 5, FALSE), ""))</f>
        <v/>
      </c>
    </row>
    <row r="423" ht="22.5" customHeight="1">
      <c r="A423" s="11"/>
      <c r="B423" s="16" t="str">
        <f>IF(A423="","",IFERROR(VLOOKUP(A423, Stock_New!A:M, 2, FALSE),""))</f>
        <v/>
      </c>
      <c r="C423" s="16" t="str">
        <f>IF(A423="","",IFERROR(VLOOKUP(A423, Stock_New!A:M, 3, FALSE),""))</f>
        <v/>
      </c>
      <c r="D423" s="16"/>
      <c r="E423" s="16" t="str">
        <f>IF($A423="", "", IFERROR(VLOOKUP($A423, Stock_New!$A:$M, 4, FALSE), ""))</f>
        <v/>
      </c>
      <c r="F423" s="5">
        <f t="shared" si="1"/>
        <v>0</v>
      </c>
      <c r="G423" s="16" t="str">
        <f>IF($A423="", "", IFERROR(VLOOKUP($A423, Stock_New!$A:$M, 5, FALSE), ""))</f>
        <v/>
      </c>
    </row>
    <row r="424" ht="22.5" customHeight="1">
      <c r="A424" s="11"/>
      <c r="B424" s="16" t="str">
        <f>IF(A424="","",IFERROR(VLOOKUP(A424, Stock_New!A:M, 2, FALSE),""))</f>
        <v/>
      </c>
      <c r="C424" s="16" t="str">
        <f>IF(A424="","",IFERROR(VLOOKUP(A424, Stock_New!A:M, 3, FALSE),""))</f>
        <v/>
      </c>
      <c r="D424" s="16"/>
      <c r="E424" s="16" t="str">
        <f>IF($A424="", "", IFERROR(VLOOKUP($A424, Stock_New!$A:$M, 4, FALSE), ""))</f>
        <v/>
      </c>
      <c r="F424" s="5">
        <f t="shared" si="1"/>
        <v>0</v>
      </c>
      <c r="G424" s="16" t="str">
        <f>IF($A424="", "", IFERROR(VLOOKUP($A424, Stock_New!$A:$M, 5, FALSE), ""))</f>
        <v/>
      </c>
    </row>
    <row r="425" ht="22.5" customHeight="1">
      <c r="A425" s="11"/>
      <c r="B425" s="16" t="str">
        <f>IF(A425="","",IFERROR(VLOOKUP(A425, Stock_New!A:M, 2, FALSE),""))</f>
        <v/>
      </c>
      <c r="C425" s="16" t="str">
        <f>IF(A425="","",IFERROR(VLOOKUP(A425, Stock_New!A:M, 3, FALSE),""))</f>
        <v/>
      </c>
      <c r="D425" s="16"/>
      <c r="E425" s="16" t="str">
        <f>IF($A425="", "", IFERROR(VLOOKUP($A425, Stock_New!$A:$M, 4, FALSE), ""))</f>
        <v/>
      </c>
      <c r="F425" s="5">
        <f t="shared" si="1"/>
        <v>0</v>
      </c>
      <c r="G425" s="16" t="str">
        <f>IF($A425="", "", IFERROR(VLOOKUP($A425, Stock_New!$A:$M, 5, FALSE), ""))</f>
        <v/>
      </c>
    </row>
    <row r="426" ht="22.5" customHeight="1">
      <c r="A426" s="11"/>
      <c r="B426" s="16" t="str">
        <f>IF(A426="","",IFERROR(VLOOKUP(A426, Stock_New!A:M, 2, FALSE),""))</f>
        <v/>
      </c>
      <c r="C426" s="16" t="str">
        <f>IF(A426="","",IFERROR(VLOOKUP(A426, Stock_New!A:M, 3, FALSE),""))</f>
        <v/>
      </c>
      <c r="D426" s="16"/>
      <c r="E426" s="16" t="str">
        <f>IF($A426="", "", IFERROR(VLOOKUP($A426, Stock_New!$A:$M, 4, FALSE), ""))</f>
        <v/>
      </c>
      <c r="F426" s="5">
        <f t="shared" si="1"/>
        <v>0</v>
      </c>
      <c r="G426" s="16" t="str">
        <f>IF($A426="", "", IFERROR(VLOOKUP($A426, Stock_New!$A:$M, 5, FALSE), ""))</f>
        <v/>
      </c>
    </row>
    <row r="427" ht="22.5" customHeight="1">
      <c r="A427" s="11"/>
      <c r="B427" s="16" t="str">
        <f>IF(A427="","",IFERROR(VLOOKUP(A427, Stock_New!A:M, 2, FALSE),""))</f>
        <v/>
      </c>
      <c r="C427" s="16" t="str">
        <f>IF(A427="","",IFERROR(VLOOKUP(A427, Stock_New!A:M, 3, FALSE),""))</f>
        <v/>
      </c>
      <c r="D427" s="16"/>
      <c r="E427" s="16" t="str">
        <f>IF($A427="", "", IFERROR(VLOOKUP($A427, Stock_New!$A:$M, 4, FALSE), ""))</f>
        <v/>
      </c>
      <c r="F427" s="5">
        <f t="shared" si="1"/>
        <v>0</v>
      </c>
      <c r="G427" s="16" t="str">
        <f>IF($A427="", "", IFERROR(VLOOKUP($A427, Stock_New!$A:$M, 5, FALSE), ""))</f>
        <v/>
      </c>
    </row>
    <row r="428" ht="22.5" customHeight="1">
      <c r="A428" s="11"/>
      <c r="B428" s="16" t="str">
        <f>IF(A428="","",IFERROR(VLOOKUP(A428, Stock_New!A:M, 2, FALSE),""))</f>
        <v/>
      </c>
      <c r="C428" s="16" t="str">
        <f>IF(A428="","",IFERROR(VLOOKUP(A428, Stock_New!A:M, 3, FALSE),""))</f>
        <v/>
      </c>
      <c r="D428" s="16"/>
      <c r="E428" s="16" t="str">
        <f>IF($A428="", "", IFERROR(VLOOKUP($A428, Stock_New!$A:$M, 4, FALSE), ""))</f>
        <v/>
      </c>
      <c r="F428" s="5">
        <f t="shared" si="1"/>
        <v>0</v>
      </c>
      <c r="G428" s="16" t="str">
        <f>IF($A428="", "", IFERROR(VLOOKUP($A428, Stock_New!$A:$M, 5, FALSE), ""))</f>
        <v/>
      </c>
    </row>
    <row r="429" ht="22.5" customHeight="1">
      <c r="A429" s="11"/>
      <c r="B429" s="16" t="str">
        <f>IF(A429="","",IFERROR(VLOOKUP(A429, Stock_New!A:M, 2, FALSE),""))</f>
        <v/>
      </c>
      <c r="C429" s="16" t="str">
        <f>IF(A429="","",IFERROR(VLOOKUP(A429, Stock_New!A:M, 3, FALSE),""))</f>
        <v/>
      </c>
      <c r="D429" s="16"/>
      <c r="E429" s="16" t="str">
        <f>IF($A429="", "", IFERROR(VLOOKUP($A429, Stock_New!$A:$M, 4, FALSE), ""))</f>
        <v/>
      </c>
      <c r="F429" s="5">
        <f t="shared" si="1"/>
        <v>0</v>
      </c>
      <c r="G429" s="16" t="str">
        <f>IF($A429="", "", IFERROR(VLOOKUP($A429, Stock_New!$A:$M, 5, FALSE), ""))</f>
        <v/>
      </c>
    </row>
    <row r="430" ht="22.5" customHeight="1">
      <c r="A430" s="11"/>
      <c r="B430" s="16" t="str">
        <f>IF(A430="","",IFERROR(VLOOKUP(A430, Stock_New!A:M, 2, FALSE),""))</f>
        <v/>
      </c>
      <c r="C430" s="16" t="str">
        <f>IF(A430="","",IFERROR(VLOOKUP(A430, Stock_New!A:M, 3, FALSE),""))</f>
        <v/>
      </c>
      <c r="D430" s="16"/>
      <c r="E430" s="16" t="str">
        <f>IF($A430="", "", IFERROR(VLOOKUP($A430, Stock_New!$A:$M, 4, FALSE), ""))</f>
        <v/>
      </c>
      <c r="F430" s="5">
        <f t="shared" si="1"/>
        <v>0</v>
      </c>
      <c r="G430" s="16" t="str">
        <f>IF($A430="", "", IFERROR(VLOOKUP($A430, Stock_New!$A:$M, 5, FALSE), ""))</f>
        <v/>
      </c>
    </row>
    <row r="431" ht="22.5" customHeight="1">
      <c r="A431" s="11"/>
      <c r="B431" s="16" t="str">
        <f>IF(A431="","",IFERROR(VLOOKUP(A431, Stock_New!A:M, 2, FALSE),""))</f>
        <v/>
      </c>
      <c r="C431" s="16" t="str">
        <f>IF(A431="","",IFERROR(VLOOKUP(A431, Stock_New!A:M, 3, FALSE),""))</f>
        <v/>
      </c>
      <c r="D431" s="16"/>
      <c r="E431" s="16" t="str">
        <f>IF($A431="", "", IFERROR(VLOOKUP($A431, Stock_New!$A:$M, 4, FALSE), ""))</f>
        <v/>
      </c>
      <c r="F431" s="5">
        <f t="shared" si="1"/>
        <v>0</v>
      </c>
      <c r="G431" s="16" t="str">
        <f>IF($A431="", "", IFERROR(VLOOKUP($A431, Stock_New!$A:$M, 5, FALSE), ""))</f>
        <v/>
      </c>
    </row>
    <row r="432" ht="22.5" customHeight="1">
      <c r="A432" s="11"/>
      <c r="B432" s="16" t="str">
        <f>IF(A432="","",IFERROR(VLOOKUP(A432, Stock_New!A:M, 2, FALSE),""))</f>
        <v/>
      </c>
      <c r="C432" s="16" t="str">
        <f>IF(A432="","",IFERROR(VLOOKUP(A432, Stock_New!A:M, 3, FALSE),""))</f>
        <v/>
      </c>
      <c r="D432" s="16"/>
      <c r="E432" s="16" t="str">
        <f>IF($A432="", "", IFERROR(VLOOKUP($A432, Stock_New!$A:$M, 4, FALSE), ""))</f>
        <v/>
      </c>
      <c r="F432" s="5">
        <f t="shared" si="1"/>
        <v>0</v>
      </c>
      <c r="G432" s="16" t="str">
        <f>IF($A432="", "", IFERROR(VLOOKUP($A432, Stock_New!$A:$M, 5, FALSE), ""))</f>
        <v/>
      </c>
    </row>
    <row r="433" ht="22.5" customHeight="1">
      <c r="A433" s="11"/>
      <c r="B433" s="16" t="str">
        <f>IF(A433="","",IFERROR(VLOOKUP(A433, Stock_New!A:M, 2, FALSE),""))</f>
        <v/>
      </c>
      <c r="C433" s="16" t="str">
        <f>IF(A433="","",IFERROR(VLOOKUP(A433, Stock_New!A:M, 3, FALSE),""))</f>
        <v/>
      </c>
      <c r="D433" s="16"/>
      <c r="E433" s="16" t="str">
        <f>IF($A433="", "", IFERROR(VLOOKUP($A433, Stock_New!$A:$M, 4, FALSE), ""))</f>
        <v/>
      </c>
      <c r="F433" s="5">
        <f t="shared" si="1"/>
        <v>0</v>
      </c>
      <c r="G433" s="16" t="str">
        <f>IF($A433="", "", IFERROR(VLOOKUP($A433, Stock_New!$A:$M, 5, FALSE), ""))</f>
        <v/>
      </c>
    </row>
    <row r="434" ht="22.5" customHeight="1">
      <c r="A434" s="11"/>
      <c r="B434" s="16" t="str">
        <f>IF(A434="","",IFERROR(VLOOKUP(A434, Stock_New!A:M, 2, FALSE),""))</f>
        <v/>
      </c>
      <c r="C434" s="16" t="str">
        <f>IF(A434="","",IFERROR(VLOOKUP(A434, Stock_New!A:M, 3, FALSE),""))</f>
        <v/>
      </c>
      <c r="D434" s="16"/>
      <c r="E434" s="16" t="str">
        <f>IF($A434="", "", IFERROR(VLOOKUP($A434, Stock_New!$A:$M, 4, FALSE), ""))</f>
        <v/>
      </c>
      <c r="F434" s="5">
        <f t="shared" si="1"/>
        <v>0</v>
      </c>
      <c r="G434" s="16" t="str">
        <f>IF($A434="", "", IFERROR(VLOOKUP($A434, Stock_New!$A:$M, 5, FALSE), ""))</f>
        <v/>
      </c>
    </row>
    <row r="435" ht="22.5" customHeight="1">
      <c r="A435" s="11"/>
      <c r="B435" s="16" t="str">
        <f>IF(A435="","",IFERROR(VLOOKUP(A435, Stock_New!A:M, 2, FALSE),""))</f>
        <v/>
      </c>
      <c r="C435" s="16" t="str">
        <f>IF(A435="","",IFERROR(VLOOKUP(A435, Stock_New!A:M, 3, FALSE),""))</f>
        <v/>
      </c>
      <c r="D435" s="16"/>
      <c r="E435" s="16" t="str">
        <f>IF($A435="", "", IFERROR(VLOOKUP($A435, Stock_New!$A:$M, 4, FALSE), ""))</f>
        <v/>
      </c>
      <c r="F435" s="5">
        <f t="shared" si="1"/>
        <v>0</v>
      </c>
      <c r="G435" s="16" t="str">
        <f>IF($A435="", "", IFERROR(VLOOKUP($A435, Stock_New!$A:$M, 5, FALSE), ""))</f>
        <v/>
      </c>
    </row>
    <row r="436" ht="22.5" customHeight="1">
      <c r="A436" s="11"/>
      <c r="B436" s="16" t="str">
        <f>IF(A436="","",IFERROR(VLOOKUP(A436, Stock_New!A:M, 2, FALSE),""))</f>
        <v/>
      </c>
      <c r="C436" s="16" t="str">
        <f>IF(A436="","",IFERROR(VLOOKUP(A436, Stock_New!A:M, 3, FALSE),""))</f>
        <v/>
      </c>
      <c r="D436" s="16"/>
      <c r="E436" s="16" t="str">
        <f>IF($A436="", "", IFERROR(VLOOKUP($A436, Stock_New!$A:$M, 4, FALSE), ""))</f>
        <v/>
      </c>
      <c r="F436" s="5">
        <f t="shared" si="1"/>
        <v>0</v>
      </c>
      <c r="G436" s="16" t="str">
        <f>IF($A436="", "", IFERROR(VLOOKUP($A436, Stock_New!$A:$M, 5, FALSE), ""))</f>
        <v/>
      </c>
    </row>
    <row r="437" ht="22.5" customHeight="1">
      <c r="A437" s="11"/>
      <c r="B437" s="16" t="str">
        <f>IF(A437="","",IFERROR(VLOOKUP(A437, Stock_New!A:M, 2, FALSE),""))</f>
        <v/>
      </c>
      <c r="C437" s="16" t="str">
        <f>IF(A437="","",IFERROR(VLOOKUP(A437, Stock_New!A:M, 3, FALSE),""))</f>
        <v/>
      </c>
      <c r="D437" s="16"/>
      <c r="E437" s="16" t="str">
        <f>IF($A437="", "", IFERROR(VLOOKUP($A437, Stock_New!$A:$M, 4, FALSE), ""))</f>
        <v/>
      </c>
      <c r="F437" s="5">
        <f t="shared" si="1"/>
        <v>0</v>
      </c>
      <c r="G437" s="16" t="str">
        <f>IF($A437="", "", IFERROR(VLOOKUP($A437, Stock_New!$A:$M, 5, FALSE), ""))</f>
        <v/>
      </c>
    </row>
    <row r="438" ht="22.5" customHeight="1">
      <c r="A438" s="11"/>
      <c r="B438" s="16" t="str">
        <f>IF(A438="","",IFERROR(VLOOKUP(A438, Stock_New!A:M, 2, FALSE),""))</f>
        <v/>
      </c>
      <c r="C438" s="16" t="str">
        <f>IF(A438="","",IFERROR(VLOOKUP(A438, Stock_New!A:M, 3, FALSE),""))</f>
        <v/>
      </c>
      <c r="D438" s="16"/>
      <c r="E438" s="16" t="str">
        <f>IF($A438="", "", IFERROR(VLOOKUP($A438, Stock_New!$A:$M, 4, FALSE), ""))</f>
        <v/>
      </c>
      <c r="F438" s="5">
        <f t="shared" si="1"/>
        <v>0</v>
      </c>
      <c r="G438" s="16" t="str">
        <f>IF($A438="", "", IFERROR(VLOOKUP($A438, Stock_New!$A:$M, 5, FALSE), ""))</f>
        <v/>
      </c>
    </row>
    <row r="439" ht="22.5" customHeight="1">
      <c r="A439" s="11"/>
      <c r="B439" s="16" t="str">
        <f>IF(A439="","",IFERROR(VLOOKUP(A439, Stock_New!A:M, 2, FALSE),""))</f>
        <v/>
      </c>
      <c r="C439" s="16" t="str">
        <f>IF(A439="","",IFERROR(VLOOKUP(A439, Stock_New!A:M, 3, FALSE),""))</f>
        <v/>
      </c>
      <c r="D439" s="16"/>
      <c r="E439" s="16" t="str">
        <f>IF($A439="", "", IFERROR(VLOOKUP($A439, Stock_New!$A:$M, 4, FALSE), ""))</f>
        <v/>
      </c>
      <c r="F439" s="5">
        <f t="shared" si="1"/>
        <v>0</v>
      </c>
      <c r="G439" s="16" t="str">
        <f>IF($A439="", "", IFERROR(VLOOKUP($A439, Stock_New!$A:$M, 5, FALSE), ""))</f>
        <v/>
      </c>
    </row>
    <row r="440" ht="22.5" customHeight="1">
      <c r="A440" s="11"/>
      <c r="B440" s="16" t="str">
        <f>IF(A440="","",IFERROR(VLOOKUP(A440, Stock_New!A:M, 2, FALSE),""))</f>
        <v/>
      </c>
      <c r="C440" s="16" t="str">
        <f>IF(A440="","",IFERROR(VLOOKUP(A440, Stock_New!A:M, 3, FALSE),""))</f>
        <v/>
      </c>
      <c r="D440" s="16"/>
      <c r="E440" s="16" t="str">
        <f>IF($A440="", "", IFERROR(VLOOKUP($A440, Stock_New!$A:$M, 4, FALSE), ""))</f>
        <v/>
      </c>
      <c r="F440" s="5">
        <f t="shared" si="1"/>
        <v>0</v>
      </c>
      <c r="G440" s="16" t="str">
        <f>IF($A440="", "", IFERROR(VLOOKUP($A440, Stock_New!$A:$M, 5, FALSE), ""))</f>
        <v/>
      </c>
    </row>
    <row r="441" ht="22.5" customHeight="1">
      <c r="A441" s="11"/>
      <c r="B441" s="16" t="str">
        <f>IF(A441="","",IFERROR(VLOOKUP(A441, Stock_New!A:M, 2, FALSE),""))</f>
        <v/>
      </c>
      <c r="C441" s="16" t="str">
        <f>IF(A441="","",IFERROR(VLOOKUP(A441, Stock_New!A:M, 3, FALSE),""))</f>
        <v/>
      </c>
      <c r="D441" s="16"/>
      <c r="E441" s="16" t="str">
        <f>IF($A441="", "", IFERROR(VLOOKUP($A441, Stock_New!$A:$M, 4, FALSE), ""))</f>
        <v/>
      </c>
      <c r="F441" s="5">
        <f t="shared" si="1"/>
        <v>0</v>
      </c>
      <c r="G441" s="16" t="str">
        <f>IF($A441="", "", IFERROR(VLOOKUP($A441, Stock_New!$A:$M, 5, FALSE), ""))</f>
        <v/>
      </c>
    </row>
    <row r="442" ht="22.5" customHeight="1">
      <c r="A442" s="11"/>
      <c r="B442" s="16" t="str">
        <f>IF(A442="","",IFERROR(VLOOKUP(A442, Stock_New!A:M, 2, FALSE),""))</f>
        <v/>
      </c>
      <c r="C442" s="16" t="str">
        <f>IF(A442="","",IFERROR(VLOOKUP(A442, Stock_New!A:M, 3, FALSE),""))</f>
        <v/>
      </c>
      <c r="D442" s="16"/>
      <c r="E442" s="16" t="str">
        <f>IF($A442="", "", IFERROR(VLOOKUP($A442, Stock_New!$A:$M, 4, FALSE), ""))</f>
        <v/>
      </c>
      <c r="F442" s="5">
        <f t="shared" si="1"/>
        <v>0</v>
      </c>
      <c r="G442" s="16" t="str">
        <f>IF($A442="", "", IFERROR(VLOOKUP($A442, Stock_New!$A:$M, 5, FALSE), ""))</f>
        <v/>
      </c>
    </row>
    <row r="443" ht="22.5" customHeight="1">
      <c r="A443" s="11"/>
      <c r="B443" s="16" t="str">
        <f>IF(A443="","",IFERROR(VLOOKUP(A443, Stock_New!A:M, 2, FALSE),""))</f>
        <v/>
      </c>
      <c r="C443" s="16" t="str">
        <f>IF(A443="","",IFERROR(VLOOKUP(A443, Stock_New!A:M, 3, FALSE),""))</f>
        <v/>
      </c>
      <c r="D443" s="16"/>
      <c r="E443" s="16" t="str">
        <f>IF($A443="", "", IFERROR(VLOOKUP($A443, Stock_New!$A:$M, 4, FALSE), ""))</f>
        <v/>
      </c>
      <c r="F443" s="5">
        <f t="shared" si="1"/>
        <v>0</v>
      </c>
      <c r="G443" s="16" t="str">
        <f>IF($A443="", "", IFERROR(VLOOKUP($A443, Stock_New!$A:$M, 5, FALSE), ""))</f>
        <v/>
      </c>
    </row>
    <row r="444" ht="22.5" customHeight="1">
      <c r="A444" s="11"/>
      <c r="B444" s="16" t="str">
        <f>IF(A444="","",IFERROR(VLOOKUP(A444, Stock_New!A:M, 2, FALSE),""))</f>
        <v/>
      </c>
      <c r="C444" s="16" t="str">
        <f>IF(A444="","",IFERROR(VLOOKUP(A444, Stock_New!A:M, 3, FALSE),""))</f>
        <v/>
      </c>
      <c r="D444" s="16"/>
      <c r="E444" s="16" t="str">
        <f>IF($A444="", "", IFERROR(VLOOKUP($A444, Stock_New!$A:$M, 4, FALSE), ""))</f>
        <v/>
      </c>
      <c r="F444" s="5">
        <f t="shared" si="1"/>
        <v>0</v>
      </c>
      <c r="G444" s="16" t="str">
        <f>IF($A444="", "", IFERROR(VLOOKUP($A444, Stock_New!$A:$M, 5, FALSE), ""))</f>
        <v/>
      </c>
    </row>
    <row r="445" ht="22.5" customHeight="1">
      <c r="A445" s="11"/>
      <c r="B445" s="16" t="str">
        <f>IF(A445="","",IFERROR(VLOOKUP(A445, Stock_New!A:M, 2, FALSE),""))</f>
        <v/>
      </c>
      <c r="C445" s="16" t="str">
        <f>IF(A445="","",IFERROR(VLOOKUP(A445, Stock_New!A:M, 3, FALSE),""))</f>
        <v/>
      </c>
      <c r="D445" s="16"/>
      <c r="E445" s="16" t="str">
        <f>IF($A445="", "", IFERROR(VLOOKUP($A445, Stock_New!$A:$M, 4, FALSE), ""))</f>
        <v/>
      </c>
      <c r="F445" s="5">
        <f t="shared" si="1"/>
        <v>0</v>
      </c>
      <c r="G445" s="16" t="str">
        <f>IF($A445="", "", IFERROR(VLOOKUP($A445, Stock_New!$A:$M, 5, FALSE), ""))</f>
        <v/>
      </c>
    </row>
    <row r="446" ht="22.5" customHeight="1">
      <c r="A446" s="11"/>
      <c r="B446" s="16" t="str">
        <f>IF(A446="","",IFERROR(VLOOKUP(A446, Stock_New!A:M, 2, FALSE),""))</f>
        <v/>
      </c>
      <c r="C446" s="16" t="str">
        <f>IF(A446="","",IFERROR(VLOOKUP(A446, Stock_New!A:M, 3, FALSE),""))</f>
        <v/>
      </c>
      <c r="D446" s="16"/>
      <c r="E446" s="16" t="str">
        <f>IF($A446="", "", IFERROR(VLOOKUP($A446, Stock_New!$A:$M, 4, FALSE), ""))</f>
        <v/>
      </c>
      <c r="F446" s="5">
        <f t="shared" si="1"/>
        <v>0</v>
      </c>
      <c r="G446" s="16" t="str">
        <f>IF($A446="", "", IFERROR(VLOOKUP($A446, Stock_New!$A:$M, 5, FALSE), ""))</f>
        <v/>
      </c>
    </row>
    <row r="447" ht="22.5" customHeight="1">
      <c r="A447" s="11"/>
      <c r="B447" s="16" t="str">
        <f>IF(A447="","",IFERROR(VLOOKUP(A447, Stock_New!A:M, 2, FALSE),""))</f>
        <v/>
      </c>
      <c r="C447" s="16" t="str">
        <f>IF(A447="","",IFERROR(VLOOKUP(A447, Stock_New!A:M, 3, FALSE),""))</f>
        <v/>
      </c>
      <c r="D447" s="16"/>
      <c r="E447" s="16" t="str">
        <f>IF($A447="", "", IFERROR(VLOOKUP($A447, Stock_New!$A:$M, 4, FALSE), ""))</f>
        <v/>
      </c>
      <c r="F447" s="5">
        <f t="shared" si="1"/>
        <v>0</v>
      </c>
      <c r="G447" s="16" t="str">
        <f>IF($A447="", "", IFERROR(VLOOKUP($A447, Stock_New!$A:$M, 5, FALSE), ""))</f>
        <v/>
      </c>
    </row>
    <row r="448" ht="22.5" customHeight="1">
      <c r="A448" s="11"/>
      <c r="B448" s="16" t="str">
        <f>IF(A448="","",IFERROR(VLOOKUP(A448, Stock_New!A:M, 2, FALSE),""))</f>
        <v/>
      </c>
      <c r="C448" s="16" t="str">
        <f>IF(A448="","",IFERROR(VLOOKUP(A448, Stock_New!A:M, 3, FALSE),""))</f>
        <v/>
      </c>
      <c r="D448" s="16"/>
      <c r="E448" s="16" t="str">
        <f>IF($A448="", "", IFERROR(VLOOKUP($A448, Stock_New!$A:$M, 4, FALSE), ""))</f>
        <v/>
      </c>
      <c r="F448" s="5">
        <f t="shared" si="1"/>
        <v>0</v>
      </c>
      <c r="G448" s="16" t="str">
        <f>IF($A448="", "", IFERROR(VLOOKUP($A448, Stock_New!$A:$M, 5, FALSE), ""))</f>
        <v/>
      </c>
    </row>
    <row r="449" ht="22.5" customHeight="1">
      <c r="A449" s="11"/>
      <c r="B449" s="16" t="str">
        <f>IF(A449="","",IFERROR(VLOOKUP(A449, Stock_New!A:M, 2, FALSE),""))</f>
        <v/>
      </c>
      <c r="C449" s="16" t="str">
        <f>IF(A449="","",IFERROR(VLOOKUP(A449, Stock_New!A:M, 3, FALSE),""))</f>
        <v/>
      </c>
      <c r="D449" s="16"/>
      <c r="E449" s="16" t="str">
        <f>IF($A449="", "", IFERROR(VLOOKUP($A449, Stock_New!$A:$M, 4, FALSE), ""))</f>
        <v/>
      </c>
      <c r="F449" s="5">
        <f t="shared" si="1"/>
        <v>0</v>
      </c>
      <c r="G449" s="16" t="str">
        <f>IF($A449="", "", IFERROR(VLOOKUP($A449, Stock_New!$A:$M, 5, FALSE), ""))</f>
        <v/>
      </c>
    </row>
    <row r="450" ht="22.5" customHeight="1">
      <c r="A450" s="11"/>
      <c r="B450" s="16" t="str">
        <f>IF(A450="","",IFERROR(VLOOKUP(A450, Stock_New!A:M, 2, FALSE),""))</f>
        <v/>
      </c>
      <c r="C450" s="16" t="str">
        <f>IF(A450="","",IFERROR(VLOOKUP(A450, Stock_New!A:M, 3, FALSE),""))</f>
        <v/>
      </c>
      <c r="D450" s="16"/>
      <c r="E450" s="16" t="str">
        <f>IF($A450="", "", IFERROR(VLOOKUP($A450, Stock_New!$A:$M, 4, FALSE), ""))</f>
        <v/>
      </c>
      <c r="F450" s="5">
        <f t="shared" si="1"/>
        <v>0</v>
      </c>
      <c r="G450" s="16" t="str">
        <f>IF($A450="", "", IFERROR(VLOOKUP($A450, Stock_New!$A:$M, 5, FALSE), ""))</f>
        <v/>
      </c>
    </row>
    <row r="451" ht="22.5" customHeight="1">
      <c r="A451" s="11"/>
      <c r="B451" s="16" t="str">
        <f>IF(A451="","",IFERROR(VLOOKUP(A451, Stock_New!A:M, 2, FALSE),""))</f>
        <v/>
      </c>
      <c r="C451" s="16" t="str">
        <f>IF(A451="","",IFERROR(VLOOKUP(A451, Stock_New!A:M, 3, FALSE),""))</f>
        <v/>
      </c>
      <c r="D451" s="16"/>
      <c r="E451" s="16" t="str">
        <f>IF($A451="", "", IFERROR(VLOOKUP($A451, Stock_New!$A:$M, 4, FALSE), ""))</f>
        <v/>
      </c>
      <c r="F451" s="5">
        <f t="shared" si="1"/>
        <v>0</v>
      </c>
      <c r="G451" s="16" t="str">
        <f>IF($A451="", "", IFERROR(VLOOKUP($A451, Stock_New!$A:$M, 5, FALSE), ""))</f>
        <v/>
      </c>
    </row>
    <row r="452" ht="22.5" customHeight="1">
      <c r="A452" s="11"/>
      <c r="B452" s="16" t="str">
        <f>IF(A452="","",IFERROR(VLOOKUP(A452, Stock_New!A:M, 2, FALSE),""))</f>
        <v/>
      </c>
      <c r="C452" s="16" t="str">
        <f>IF(A452="","",IFERROR(VLOOKUP(A452, Stock_New!A:M, 3, FALSE),""))</f>
        <v/>
      </c>
      <c r="D452" s="16"/>
      <c r="E452" s="16" t="str">
        <f>IF($A452="", "", IFERROR(VLOOKUP($A452, Stock_New!$A:$M, 4, FALSE), ""))</f>
        <v/>
      </c>
      <c r="F452" s="5">
        <f t="shared" si="1"/>
        <v>0</v>
      </c>
      <c r="G452" s="16" t="str">
        <f>IF($A452="", "", IFERROR(VLOOKUP($A452, Stock_New!$A:$M, 5, FALSE), ""))</f>
        <v/>
      </c>
    </row>
    <row r="453" ht="22.5" customHeight="1">
      <c r="A453" s="11"/>
      <c r="B453" s="16" t="str">
        <f>IF(A453="","",IFERROR(VLOOKUP(A453, Stock_New!A:M, 2, FALSE),""))</f>
        <v/>
      </c>
      <c r="C453" s="16" t="str">
        <f>IF(A453="","",IFERROR(VLOOKUP(A453, Stock_New!A:M, 3, FALSE),""))</f>
        <v/>
      </c>
      <c r="D453" s="16"/>
      <c r="E453" s="16" t="str">
        <f>IF($A453="", "", IFERROR(VLOOKUP($A453, Stock_New!$A:$M, 4, FALSE), ""))</f>
        <v/>
      </c>
      <c r="F453" s="5">
        <f t="shared" si="1"/>
        <v>0</v>
      </c>
      <c r="G453" s="16" t="str">
        <f>IF($A453="", "", IFERROR(VLOOKUP($A453, Stock_New!$A:$M, 5, FALSE), ""))</f>
        <v/>
      </c>
    </row>
    <row r="454" ht="22.5" customHeight="1">
      <c r="A454" s="11"/>
      <c r="B454" s="16" t="str">
        <f>IF(A454="","",IFERROR(VLOOKUP(A454, Stock_New!A:M, 2, FALSE),""))</f>
        <v/>
      </c>
      <c r="C454" s="16" t="str">
        <f>IF(A454="","",IFERROR(VLOOKUP(A454, Stock_New!A:M, 3, FALSE),""))</f>
        <v/>
      </c>
      <c r="D454" s="16"/>
      <c r="E454" s="16" t="str">
        <f>IF($A454="", "", IFERROR(VLOOKUP($A454, Stock_New!$A:$M, 4, FALSE), ""))</f>
        <v/>
      </c>
      <c r="F454" s="5">
        <f t="shared" si="1"/>
        <v>0</v>
      </c>
      <c r="G454" s="16" t="str">
        <f>IF($A454="", "", IFERROR(VLOOKUP($A454, Stock_New!$A:$M, 5, FALSE), ""))</f>
        <v/>
      </c>
    </row>
    <row r="455" ht="22.5" customHeight="1">
      <c r="A455" s="11"/>
      <c r="B455" s="16" t="str">
        <f>IF(A455="","",IFERROR(VLOOKUP(A455, Stock_New!A:M, 2, FALSE),""))</f>
        <v/>
      </c>
      <c r="C455" s="16" t="str">
        <f>IF(A455="","",IFERROR(VLOOKUP(A455, Stock_New!A:M, 3, FALSE),""))</f>
        <v/>
      </c>
      <c r="D455" s="16"/>
      <c r="E455" s="16" t="str">
        <f>IF($A455="", "", IFERROR(VLOOKUP($A455, Stock_New!$A:$M, 4, FALSE), ""))</f>
        <v/>
      </c>
      <c r="F455" s="5">
        <f t="shared" si="1"/>
        <v>0</v>
      </c>
      <c r="G455" s="16" t="str">
        <f>IF($A455="", "", IFERROR(VLOOKUP($A455, Stock_New!$A:$M, 5, FALSE), ""))</f>
        <v/>
      </c>
    </row>
    <row r="456" ht="22.5" customHeight="1">
      <c r="A456" s="11"/>
      <c r="B456" s="16" t="str">
        <f>IF(A456="","",IFERROR(VLOOKUP(A456, Stock_New!A:M, 2, FALSE),""))</f>
        <v/>
      </c>
      <c r="C456" s="16" t="str">
        <f>IF(A456="","",IFERROR(VLOOKUP(A456, Stock_New!A:M, 3, FALSE),""))</f>
        <v/>
      </c>
      <c r="D456" s="16"/>
      <c r="E456" s="16" t="str">
        <f>IF($A456="", "", IFERROR(VLOOKUP($A456, Stock_New!$A:$M, 4, FALSE), ""))</f>
        <v/>
      </c>
      <c r="F456" s="5">
        <f t="shared" si="1"/>
        <v>0</v>
      </c>
      <c r="G456" s="16" t="str">
        <f>IF($A456="", "", IFERROR(VLOOKUP($A456, Stock_New!$A:$M, 5, FALSE), ""))</f>
        <v/>
      </c>
    </row>
    <row r="457" ht="22.5" customHeight="1">
      <c r="A457" s="11"/>
      <c r="B457" s="16" t="str">
        <f>IF(A457="","",IFERROR(VLOOKUP(A457, Stock_New!A:M, 2, FALSE),""))</f>
        <v/>
      </c>
      <c r="C457" s="16" t="str">
        <f>IF(A457="","",IFERROR(VLOOKUP(A457, Stock_New!A:M, 3, FALSE),""))</f>
        <v/>
      </c>
      <c r="D457" s="16"/>
      <c r="E457" s="16" t="str">
        <f>IF($A457="", "", IFERROR(VLOOKUP($A457, Stock_New!$A:$M, 4, FALSE), ""))</f>
        <v/>
      </c>
      <c r="F457" s="5">
        <f t="shared" si="1"/>
        <v>0</v>
      </c>
      <c r="G457" s="16" t="str">
        <f>IF($A457="", "", IFERROR(VLOOKUP($A457, Stock_New!$A:$M, 5, FALSE), ""))</f>
        <v/>
      </c>
    </row>
    <row r="458" ht="22.5" customHeight="1">
      <c r="A458" s="11"/>
      <c r="B458" s="16" t="str">
        <f>IF(A458="","",IFERROR(VLOOKUP(A458, Stock_New!A:M, 2, FALSE),""))</f>
        <v/>
      </c>
      <c r="C458" s="16" t="str">
        <f>IF(A458="","",IFERROR(VLOOKUP(A458, Stock_New!A:M, 3, FALSE),""))</f>
        <v/>
      </c>
      <c r="D458" s="16"/>
      <c r="E458" s="16" t="str">
        <f>IF($A458="", "", IFERROR(VLOOKUP($A458, Stock_New!$A:$M, 4, FALSE), ""))</f>
        <v/>
      </c>
      <c r="F458" s="5">
        <f t="shared" si="1"/>
        <v>0</v>
      </c>
      <c r="G458" s="16" t="str">
        <f>IF($A458="", "", IFERROR(VLOOKUP($A458, Stock_New!$A:$M, 5, FALSE), ""))</f>
        <v/>
      </c>
    </row>
    <row r="459" ht="22.5" customHeight="1">
      <c r="A459" s="11"/>
      <c r="B459" s="16" t="str">
        <f>IF(A459="","",IFERROR(VLOOKUP(A459, Stock_New!A:M, 2, FALSE),""))</f>
        <v/>
      </c>
      <c r="C459" s="16" t="str">
        <f>IF(A459="","",IFERROR(VLOOKUP(A459, Stock_New!A:M, 3, FALSE),""))</f>
        <v/>
      </c>
      <c r="D459" s="16"/>
      <c r="E459" s="16" t="str">
        <f>IF($A459="", "", IFERROR(VLOOKUP($A459, Stock_New!$A:$M, 4, FALSE), ""))</f>
        <v/>
      </c>
      <c r="F459" s="5">
        <f t="shared" si="1"/>
        <v>0</v>
      </c>
      <c r="G459" s="16" t="str">
        <f>IF($A459="", "", IFERROR(VLOOKUP($A459, Stock_New!$A:$M, 5, FALSE), ""))</f>
        <v/>
      </c>
    </row>
    <row r="460" ht="22.5" customHeight="1">
      <c r="A460" s="11"/>
      <c r="B460" s="16" t="str">
        <f>IF(A460="","",IFERROR(VLOOKUP(A460, Stock_New!A:M, 2, FALSE),""))</f>
        <v/>
      </c>
      <c r="C460" s="16" t="str">
        <f>IF(A460="","",IFERROR(VLOOKUP(A460, Stock_New!A:M, 3, FALSE),""))</f>
        <v/>
      </c>
      <c r="D460" s="16"/>
      <c r="E460" s="16" t="str">
        <f>IF($A460="", "", IFERROR(VLOOKUP($A460, Stock_New!$A:$M, 4, FALSE), ""))</f>
        <v/>
      </c>
      <c r="F460" s="5">
        <f t="shared" si="1"/>
        <v>0</v>
      </c>
      <c r="G460" s="16" t="str">
        <f>IF($A460="", "", IFERROR(VLOOKUP($A460, Stock_New!$A:$M, 5, FALSE), ""))</f>
        <v/>
      </c>
    </row>
    <row r="461" ht="22.5" customHeight="1">
      <c r="A461" s="11"/>
      <c r="B461" s="16" t="str">
        <f>IF(A461="","",IFERROR(VLOOKUP(A461, Stock_New!A:M, 2, FALSE),""))</f>
        <v/>
      </c>
      <c r="C461" s="16" t="str">
        <f>IF(A461="","",IFERROR(VLOOKUP(A461, Stock_New!A:M, 3, FALSE),""))</f>
        <v/>
      </c>
      <c r="D461" s="16"/>
      <c r="E461" s="16" t="str">
        <f>IF($A461="", "", IFERROR(VLOOKUP($A461, Stock_New!$A:$M, 4, FALSE), ""))</f>
        <v/>
      </c>
      <c r="F461" s="5">
        <f t="shared" si="1"/>
        <v>0</v>
      </c>
      <c r="G461" s="16" t="str">
        <f>IF($A461="", "", IFERROR(VLOOKUP($A461, Stock_New!$A:$M, 5, FALSE), ""))</f>
        <v/>
      </c>
    </row>
    <row r="462" ht="22.5" customHeight="1">
      <c r="A462" s="11"/>
      <c r="B462" s="16" t="str">
        <f>IF(A462="","",IFERROR(VLOOKUP(A462, Stock_New!A:M, 2, FALSE),""))</f>
        <v/>
      </c>
      <c r="C462" s="16" t="str">
        <f>IF(A462="","",IFERROR(VLOOKUP(A462, Stock_New!A:M, 3, FALSE),""))</f>
        <v/>
      </c>
      <c r="D462" s="16"/>
      <c r="E462" s="16" t="str">
        <f>IF($A462="", "", IFERROR(VLOOKUP($A462, Stock_New!$A:$M, 4, FALSE), ""))</f>
        <v/>
      </c>
      <c r="F462" s="5">
        <f t="shared" si="1"/>
        <v>0</v>
      </c>
      <c r="G462" s="16" t="str">
        <f>IF($A462="", "", IFERROR(VLOOKUP($A462, Stock_New!$A:$M, 5, FALSE), ""))</f>
        <v/>
      </c>
    </row>
    <row r="463" ht="22.5" customHeight="1">
      <c r="A463" s="11"/>
      <c r="B463" s="16" t="str">
        <f>IF(A463="","",IFERROR(VLOOKUP(A463, Stock_New!A:M, 2, FALSE),""))</f>
        <v/>
      </c>
      <c r="C463" s="16" t="str">
        <f>IF(A463="","",IFERROR(VLOOKUP(A463, Stock_New!A:M, 3, FALSE),""))</f>
        <v/>
      </c>
      <c r="D463" s="16"/>
      <c r="E463" s="16" t="str">
        <f>IF($A463="", "", IFERROR(VLOOKUP($A463, Stock_New!$A:$M, 4, FALSE), ""))</f>
        <v/>
      </c>
      <c r="F463" s="5">
        <f t="shared" si="1"/>
        <v>0</v>
      </c>
      <c r="G463" s="16" t="str">
        <f>IF($A463="", "", IFERROR(VLOOKUP($A463, Stock_New!$A:$M, 5, FALSE), ""))</f>
        <v/>
      </c>
    </row>
    <row r="464" ht="22.5" customHeight="1">
      <c r="A464" s="11"/>
      <c r="B464" s="16" t="str">
        <f>IF(A464="","",IFERROR(VLOOKUP(A464, Stock_New!A:M, 2, FALSE),""))</f>
        <v/>
      </c>
      <c r="C464" s="16" t="str">
        <f>IF(A464="","",IFERROR(VLOOKUP(A464, Stock_New!A:M, 3, FALSE),""))</f>
        <v/>
      </c>
      <c r="D464" s="16"/>
      <c r="E464" s="16" t="str">
        <f>IF($A464="", "", IFERROR(VLOOKUP($A464, Stock_New!$A:$M, 4, FALSE), ""))</f>
        <v/>
      </c>
      <c r="F464" s="5">
        <f t="shared" si="1"/>
        <v>0</v>
      </c>
      <c r="G464" s="16" t="str">
        <f>IF($A464="", "", IFERROR(VLOOKUP($A464, Stock_New!$A:$M, 5, FALSE), ""))</f>
        <v/>
      </c>
    </row>
    <row r="465" ht="22.5" customHeight="1">
      <c r="A465" s="11"/>
      <c r="B465" s="16" t="str">
        <f>IF(A465="","",IFERROR(VLOOKUP(A465, Stock_New!A:M, 2, FALSE),""))</f>
        <v/>
      </c>
      <c r="C465" s="16" t="str">
        <f>IF(A465="","",IFERROR(VLOOKUP(A465, Stock_New!A:M, 3, FALSE),""))</f>
        <v/>
      </c>
      <c r="D465" s="16"/>
      <c r="E465" s="16" t="str">
        <f>IF($A465="", "", IFERROR(VLOOKUP($A465, Stock_New!$A:$M, 4, FALSE), ""))</f>
        <v/>
      </c>
      <c r="F465" s="5">
        <f t="shared" si="1"/>
        <v>0</v>
      </c>
      <c r="G465" s="16" t="str">
        <f>IF($A465="", "", IFERROR(VLOOKUP($A465, Stock_New!$A:$M, 5, FALSE), ""))</f>
        <v/>
      </c>
    </row>
    <row r="466" ht="22.5" customHeight="1">
      <c r="A466" s="11"/>
      <c r="B466" s="16" t="str">
        <f>IF(A466="","",IFERROR(VLOOKUP(A466, Stock_New!A:M, 2, FALSE),""))</f>
        <v/>
      </c>
      <c r="C466" s="16" t="str">
        <f>IF(A466="","",IFERROR(VLOOKUP(A466, Stock_New!A:M, 3, FALSE),""))</f>
        <v/>
      </c>
      <c r="D466" s="16"/>
      <c r="E466" s="16" t="str">
        <f>IF($A466="", "", IFERROR(VLOOKUP($A466, Stock_New!$A:$M, 4, FALSE), ""))</f>
        <v/>
      </c>
      <c r="F466" s="5">
        <f t="shared" si="1"/>
        <v>0</v>
      </c>
      <c r="G466" s="16" t="str">
        <f>IF($A466="", "", IFERROR(VLOOKUP($A466, Stock_New!$A:$M, 5, FALSE), ""))</f>
        <v/>
      </c>
    </row>
    <row r="467" ht="22.5" customHeight="1">
      <c r="A467" s="11"/>
      <c r="B467" s="16" t="str">
        <f>IF(A467="","",IFERROR(VLOOKUP(A467, Stock_New!A:M, 2, FALSE),""))</f>
        <v/>
      </c>
      <c r="C467" s="16" t="str">
        <f>IF(A467="","",IFERROR(VLOOKUP(A467, Stock_New!A:M, 3, FALSE),""))</f>
        <v/>
      </c>
      <c r="D467" s="16"/>
      <c r="E467" s="16" t="str">
        <f>IF($A467="", "", IFERROR(VLOOKUP($A467, Stock_New!$A:$M, 4, FALSE), ""))</f>
        <v/>
      </c>
      <c r="F467" s="5">
        <f t="shared" si="1"/>
        <v>0</v>
      </c>
      <c r="G467" s="16" t="str">
        <f>IF($A467="", "", IFERROR(VLOOKUP($A467, Stock_New!$A:$M, 5, FALSE), ""))</f>
        <v/>
      </c>
    </row>
    <row r="468" ht="22.5" customHeight="1">
      <c r="A468" s="11"/>
      <c r="B468" s="16" t="str">
        <f>IF(A468="","",IFERROR(VLOOKUP(A468, Stock_New!A:M, 2, FALSE),""))</f>
        <v/>
      </c>
      <c r="C468" s="16" t="str">
        <f>IF(A468="","",IFERROR(VLOOKUP(A468, Stock_New!A:M, 3, FALSE),""))</f>
        <v/>
      </c>
      <c r="D468" s="16"/>
      <c r="E468" s="16" t="str">
        <f>IF($A468="", "", IFERROR(VLOOKUP($A468, Stock_New!$A:$M, 4, FALSE), ""))</f>
        <v/>
      </c>
      <c r="F468" s="5">
        <f t="shared" si="1"/>
        <v>0</v>
      </c>
      <c r="G468" s="16" t="str">
        <f>IF($A468="", "", IFERROR(VLOOKUP($A468, Stock_New!$A:$M, 5, FALSE), ""))</f>
        <v/>
      </c>
    </row>
    <row r="469" ht="22.5" customHeight="1">
      <c r="A469" s="11"/>
      <c r="B469" s="16" t="str">
        <f>IF(A469="","",IFERROR(VLOOKUP(A469, Stock_New!A:M, 2, FALSE),""))</f>
        <v/>
      </c>
      <c r="C469" s="16" t="str">
        <f>IF(A469="","",IFERROR(VLOOKUP(A469, Stock_New!A:M, 3, FALSE),""))</f>
        <v/>
      </c>
      <c r="D469" s="16"/>
      <c r="E469" s="16" t="str">
        <f>IF($A469="", "", IFERROR(VLOOKUP($A469, Stock_New!$A:$M, 4, FALSE), ""))</f>
        <v/>
      </c>
      <c r="F469" s="5">
        <f t="shared" si="1"/>
        <v>0</v>
      </c>
      <c r="G469" s="16" t="str">
        <f>IF($A469="", "", IFERROR(VLOOKUP($A469, Stock_New!$A:$M, 5, FALSE), ""))</f>
        <v/>
      </c>
    </row>
    <row r="470" ht="22.5" customHeight="1">
      <c r="A470" s="11"/>
      <c r="B470" s="16" t="str">
        <f>IF(A470="","",IFERROR(VLOOKUP(A470, Stock_New!A:M, 2, FALSE),""))</f>
        <v/>
      </c>
      <c r="C470" s="16" t="str">
        <f>IF(A470="","",IFERROR(VLOOKUP(A470, Stock_New!A:M, 3, FALSE),""))</f>
        <v/>
      </c>
      <c r="D470" s="16"/>
      <c r="E470" s="16" t="str">
        <f>IF($A470="", "", IFERROR(VLOOKUP($A470, Stock_New!$A:$M, 4, FALSE), ""))</f>
        <v/>
      </c>
      <c r="F470" s="5">
        <f t="shared" si="1"/>
        <v>0</v>
      </c>
      <c r="G470" s="16" t="str">
        <f>IF($A470="", "", IFERROR(VLOOKUP($A470, Stock_New!$A:$M, 5, FALSE), ""))</f>
        <v/>
      </c>
    </row>
    <row r="471" ht="22.5" customHeight="1">
      <c r="A471" s="11"/>
      <c r="B471" s="16" t="str">
        <f>IF(A471="","",IFERROR(VLOOKUP(A471, Stock_New!A:M, 2, FALSE),""))</f>
        <v/>
      </c>
      <c r="C471" s="16" t="str">
        <f>IF(A471="","",IFERROR(VLOOKUP(A471, Stock_New!A:M, 3, FALSE),""))</f>
        <v/>
      </c>
      <c r="D471" s="16"/>
      <c r="E471" s="16" t="str">
        <f>IF($A471="", "", IFERROR(VLOOKUP($A471, Stock_New!$A:$M, 4, FALSE), ""))</f>
        <v/>
      </c>
      <c r="F471" s="5">
        <f t="shared" si="1"/>
        <v>0</v>
      </c>
      <c r="G471" s="16" t="str">
        <f>IF($A471="", "", IFERROR(VLOOKUP($A471, Stock_New!$A:$M, 5, FALSE), ""))</f>
        <v/>
      </c>
    </row>
    <row r="472" ht="22.5" customHeight="1">
      <c r="A472" s="11"/>
      <c r="B472" s="16" t="str">
        <f>IF(A472="","",IFERROR(VLOOKUP(A472, Stock_New!A:M, 2, FALSE),""))</f>
        <v/>
      </c>
      <c r="C472" s="16" t="str">
        <f>IF(A472="","",IFERROR(VLOOKUP(A472, Stock_New!A:M, 3, FALSE),""))</f>
        <v/>
      </c>
      <c r="D472" s="16"/>
      <c r="E472" s="16" t="str">
        <f>IF($A472="", "", IFERROR(VLOOKUP($A472, Stock_New!$A:$M, 4, FALSE), ""))</f>
        <v/>
      </c>
      <c r="F472" s="5">
        <f t="shared" si="1"/>
        <v>0</v>
      </c>
      <c r="G472" s="16" t="str">
        <f>IF($A472="", "", IFERROR(VLOOKUP($A472, Stock_New!$A:$M, 5, FALSE), ""))</f>
        <v/>
      </c>
    </row>
    <row r="473" ht="22.5" customHeight="1">
      <c r="A473" s="11"/>
      <c r="B473" s="16" t="str">
        <f>IF(A473="","",IFERROR(VLOOKUP(A473, Stock_New!A:M, 2, FALSE),""))</f>
        <v/>
      </c>
      <c r="C473" s="16" t="str">
        <f>IF(A473="","",IFERROR(VLOOKUP(A473, Stock_New!A:M, 3, FALSE),""))</f>
        <v/>
      </c>
      <c r="D473" s="16"/>
      <c r="E473" s="16" t="str">
        <f>IF($A473="", "", IFERROR(VLOOKUP($A473, Stock_New!$A:$M, 4, FALSE), ""))</f>
        <v/>
      </c>
      <c r="F473" s="5">
        <f t="shared" si="1"/>
        <v>0</v>
      </c>
      <c r="G473" s="16" t="str">
        <f>IF($A473="", "", IFERROR(VLOOKUP($A473, Stock_New!$A:$M, 5, FALSE), ""))</f>
        <v/>
      </c>
    </row>
    <row r="474" ht="22.5" customHeight="1">
      <c r="A474" s="11"/>
      <c r="B474" s="16" t="str">
        <f>IF(A474="","",IFERROR(VLOOKUP(A474, Stock_New!A:M, 2, FALSE),""))</f>
        <v/>
      </c>
      <c r="C474" s="16" t="str">
        <f>IF(A474="","",IFERROR(VLOOKUP(A474, Stock_New!A:M, 3, FALSE),""))</f>
        <v/>
      </c>
      <c r="D474" s="16"/>
      <c r="E474" s="16" t="str">
        <f>IF($A474="", "", IFERROR(VLOOKUP($A474, Stock_New!$A:$M, 4, FALSE), ""))</f>
        <v/>
      </c>
      <c r="F474" s="5">
        <f t="shared" si="1"/>
        <v>0</v>
      </c>
      <c r="G474" s="16" t="str">
        <f>IF($A474="", "", IFERROR(VLOOKUP($A474, Stock_New!$A:$M, 5, FALSE), ""))</f>
        <v/>
      </c>
    </row>
    <row r="475" ht="22.5" customHeight="1">
      <c r="A475" s="11"/>
      <c r="B475" s="16" t="str">
        <f>IF(A475="","",IFERROR(VLOOKUP(A475, Stock_New!A:M, 2, FALSE),""))</f>
        <v/>
      </c>
      <c r="C475" s="16" t="str">
        <f>IF(A475="","",IFERROR(VLOOKUP(A475, Stock_New!A:M, 3, FALSE),""))</f>
        <v/>
      </c>
      <c r="D475" s="16"/>
      <c r="E475" s="16" t="str">
        <f>IF($A475="", "", IFERROR(VLOOKUP($A475, Stock_New!$A:$M, 4, FALSE), ""))</f>
        <v/>
      </c>
      <c r="F475" s="5">
        <f t="shared" si="1"/>
        <v>0</v>
      </c>
      <c r="G475" s="16" t="str">
        <f>IF($A475="", "", IFERROR(VLOOKUP($A475, Stock_New!$A:$M, 5, FALSE), ""))</f>
        <v/>
      </c>
    </row>
    <row r="476" ht="22.5" customHeight="1">
      <c r="A476" s="11"/>
      <c r="B476" s="16" t="str">
        <f>IF(A476="","",IFERROR(VLOOKUP(A476, Stock_New!A:M, 2, FALSE),""))</f>
        <v/>
      </c>
      <c r="C476" s="16" t="str">
        <f>IF(A476="","",IFERROR(VLOOKUP(A476, Stock_New!A:M, 3, FALSE),""))</f>
        <v/>
      </c>
      <c r="D476" s="16"/>
      <c r="E476" s="16" t="str">
        <f>IF($A476="", "", IFERROR(VLOOKUP($A476, Stock_New!$A:$M, 4, FALSE), ""))</f>
        <v/>
      </c>
      <c r="F476" s="5">
        <f t="shared" si="1"/>
        <v>0</v>
      </c>
      <c r="G476" s="16" t="str">
        <f>IF($A476="", "", IFERROR(VLOOKUP($A476, Stock_New!$A:$M, 5, FALSE), ""))</f>
        <v/>
      </c>
    </row>
    <row r="477" ht="22.5" customHeight="1">
      <c r="A477" s="11"/>
      <c r="B477" s="16" t="str">
        <f>IF(A477="","",IFERROR(VLOOKUP(A477, Stock_New!A:M, 2, FALSE),""))</f>
        <v/>
      </c>
      <c r="C477" s="16" t="str">
        <f>IF(A477="","",IFERROR(VLOOKUP(A477, Stock_New!A:M, 3, FALSE),""))</f>
        <v/>
      </c>
      <c r="D477" s="16"/>
      <c r="E477" s="16" t="str">
        <f>IF($A477="", "", IFERROR(VLOOKUP($A477, Stock_New!$A:$M, 4, FALSE), ""))</f>
        <v/>
      </c>
      <c r="F477" s="5">
        <f t="shared" si="1"/>
        <v>0</v>
      </c>
      <c r="G477" s="16" t="str">
        <f>IF($A477="", "", IFERROR(VLOOKUP($A477, Stock_New!$A:$M, 5, FALSE), ""))</f>
        <v/>
      </c>
    </row>
    <row r="478" ht="22.5" customHeight="1">
      <c r="A478" s="11"/>
      <c r="B478" s="16" t="str">
        <f>IF(A478="","",IFERROR(VLOOKUP(A478, Stock_New!A:M, 2, FALSE),""))</f>
        <v/>
      </c>
      <c r="C478" s="16" t="str">
        <f>IF(A478="","",IFERROR(VLOOKUP(A478, Stock_New!A:M, 3, FALSE),""))</f>
        <v/>
      </c>
      <c r="D478" s="16"/>
      <c r="E478" s="16" t="str">
        <f>IF($A478="", "", IFERROR(VLOOKUP($A478, Stock_New!$A:$M, 4, FALSE), ""))</f>
        <v/>
      </c>
      <c r="F478" s="5">
        <f t="shared" si="1"/>
        <v>0</v>
      </c>
      <c r="G478" s="16" t="str">
        <f>IF($A478="", "", IFERROR(VLOOKUP($A478, Stock_New!$A:$M, 5, FALSE), ""))</f>
        <v/>
      </c>
    </row>
    <row r="479" ht="22.5" customHeight="1">
      <c r="A479" s="11"/>
      <c r="B479" s="16" t="str">
        <f>IF(A479="","",IFERROR(VLOOKUP(A479, Stock_New!A:M, 2, FALSE),""))</f>
        <v/>
      </c>
      <c r="C479" s="16" t="str">
        <f>IF(A479="","",IFERROR(VLOOKUP(A479, Stock_New!A:M, 3, FALSE),""))</f>
        <v/>
      </c>
      <c r="D479" s="16"/>
      <c r="E479" s="16" t="str">
        <f>IF($A479="", "", IFERROR(VLOOKUP($A479, Stock_New!$A:$M, 4, FALSE), ""))</f>
        <v/>
      </c>
      <c r="F479" s="5">
        <f t="shared" si="1"/>
        <v>0</v>
      </c>
      <c r="G479" s="16" t="str">
        <f>IF($A479="", "", IFERROR(VLOOKUP($A479, Stock_New!$A:$M, 5, FALSE), ""))</f>
        <v/>
      </c>
    </row>
    <row r="480" ht="22.5" customHeight="1">
      <c r="A480" s="11"/>
      <c r="B480" s="16" t="str">
        <f>IF(A480="","",IFERROR(VLOOKUP(A480, Stock_New!A:M, 2, FALSE),""))</f>
        <v/>
      </c>
      <c r="C480" s="16" t="str">
        <f>IF(A480="","",IFERROR(VLOOKUP(A480, Stock_New!A:M, 3, FALSE),""))</f>
        <v/>
      </c>
      <c r="D480" s="16"/>
      <c r="E480" s="16" t="str">
        <f>IF($A480="", "", IFERROR(VLOOKUP($A480, Stock_New!$A:$M, 4, FALSE), ""))</f>
        <v/>
      </c>
      <c r="F480" s="5">
        <f t="shared" si="1"/>
        <v>0</v>
      </c>
      <c r="G480" s="16" t="str">
        <f>IF($A480="", "", IFERROR(VLOOKUP($A480, Stock_New!$A:$M, 5, FALSE), ""))</f>
        <v/>
      </c>
    </row>
    <row r="481" ht="22.5" customHeight="1">
      <c r="A481" s="11"/>
      <c r="B481" s="16" t="str">
        <f>IF(A481="","",IFERROR(VLOOKUP(A481, Stock_New!A:M, 2, FALSE),""))</f>
        <v/>
      </c>
      <c r="C481" s="16" t="str">
        <f>IF(A481="","",IFERROR(VLOOKUP(A481, Stock_New!A:M, 3, FALSE),""))</f>
        <v/>
      </c>
      <c r="D481" s="16"/>
      <c r="E481" s="16" t="str">
        <f>IF($A481="", "", IFERROR(VLOOKUP($A481, Stock_New!$A:$M, 4, FALSE), ""))</f>
        <v/>
      </c>
      <c r="F481" s="5">
        <f t="shared" si="1"/>
        <v>0</v>
      </c>
      <c r="G481" s="16" t="str">
        <f>IF($A481="", "", IFERROR(VLOOKUP($A481, Stock_New!$A:$M, 5, FALSE), ""))</f>
        <v/>
      </c>
    </row>
    <row r="482" ht="22.5" customHeight="1">
      <c r="A482" s="11"/>
      <c r="B482" s="16" t="str">
        <f>IF(A482="","",IFERROR(VLOOKUP(A482, Stock_New!A:M, 2, FALSE),""))</f>
        <v/>
      </c>
      <c r="C482" s="16" t="str">
        <f>IF(A482="","",IFERROR(VLOOKUP(A482, Stock_New!A:M, 3, FALSE),""))</f>
        <v/>
      </c>
      <c r="D482" s="16"/>
      <c r="E482" s="16" t="str">
        <f>IF($A482="", "", IFERROR(VLOOKUP($A482, Stock_New!$A:$M, 4, FALSE), ""))</f>
        <v/>
      </c>
      <c r="F482" s="5">
        <f t="shared" si="1"/>
        <v>0</v>
      </c>
      <c r="G482" s="16" t="str">
        <f>IF($A482="", "", IFERROR(VLOOKUP($A482, Stock_New!$A:$M, 5, FALSE), ""))</f>
        <v/>
      </c>
    </row>
    <row r="483" ht="22.5" customHeight="1">
      <c r="A483" s="11"/>
      <c r="B483" s="16" t="str">
        <f>IF(A483="","",IFERROR(VLOOKUP(A483, Stock_New!A:M, 2, FALSE),""))</f>
        <v/>
      </c>
      <c r="C483" s="16" t="str">
        <f>IF(A483="","",IFERROR(VLOOKUP(A483, Stock_New!A:M, 3, FALSE),""))</f>
        <v/>
      </c>
      <c r="D483" s="16"/>
      <c r="E483" s="16" t="str">
        <f>IF($A483="", "", IFERROR(VLOOKUP($A483, Stock_New!$A:$M, 4, FALSE), ""))</f>
        <v/>
      </c>
      <c r="F483" s="5">
        <f t="shared" si="1"/>
        <v>0</v>
      </c>
      <c r="G483" s="16" t="str">
        <f>IF($A483="", "", IFERROR(VLOOKUP($A483, Stock_New!$A:$M, 5, FALSE), ""))</f>
        <v/>
      </c>
    </row>
    <row r="484" ht="22.5" customHeight="1">
      <c r="A484" s="11"/>
      <c r="B484" s="16" t="str">
        <f>IF(A484="","",IFERROR(VLOOKUP(A484, Stock_New!A:M, 2, FALSE),""))</f>
        <v/>
      </c>
      <c r="C484" s="16" t="str">
        <f>IF(A484="","",IFERROR(VLOOKUP(A484, Stock_New!A:M, 3, FALSE),""))</f>
        <v/>
      </c>
      <c r="D484" s="16"/>
      <c r="E484" s="16" t="str">
        <f>IF($A484="", "", IFERROR(VLOOKUP($A484, Stock_New!$A:$M, 4, FALSE), ""))</f>
        <v/>
      </c>
      <c r="F484" s="5">
        <f t="shared" si="1"/>
        <v>0</v>
      </c>
      <c r="G484" s="16" t="str">
        <f>IF($A484="", "", IFERROR(VLOOKUP($A484, Stock_New!$A:$M, 5, FALSE), ""))</f>
        <v/>
      </c>
    </row>
    <row r="485" ht="22.5" customHeight="1">
      <c r="A485" s="11"/>
      <c r="B485" s="16" t="str">
        <f>IF(A485="","",IFERROR(VLOOKUP(A485, Stock_New!A:M, 2, FALSE),""))</f>
        <v/>
      </c>
      <c r="C485" s="16" t="str">
        <f>IF(A485="","",IFERROR(VLOOKUP(A485, Stock_New!A:M, 3, FALSE),""))</f>
        <v/>
      </c>
      <c r="D485" s="16"/>
      <c r="E485" s="16" t="str">
        <f>IF($A485="", "", IFERROR(VLOOKUP($A485, Stock_New!$A:$M, 4, FALSE), ""))</f>
        <v/>
      </c>
      <c r="F485" s="5">
        <f t="shared" si="1"/>
        <v>0</v>
      </c>
      <c r="G485" s="16" t="str">
        <f>IF($A485="", "", IFERROR(VLOOKUP($A485, Stock_New!$A:$M, 5, FALSE), ""))</f>
        <v/>
      </c>
    </row>
    <row r="486" ht="22.5" customHeight="1">
      <c r="A486" s="11"/>
      <c r="B486" s="16" t="str">
        <f>IF(A486="","",IFERROR(VLOOKUP(A486, Stock_New!A:M, 2, FALSE),""))</f>
        <v/>
      </c>
      <c r="C486" s="16" t="str">
        <f>IF(A486="","",IFERROR(VLOOKUP(A486, Stock_New!A:M, 3, FALSE),""))</f>
        <v/>
      </c>
      <c r="D486" s="16"/>
      <c r="E486" s="16" t="str">
        <f>IF($A486="", "", IFERROR(VLOOKUP($A486, Stock_New!$A:$M, 4, FALSE), ""))</f>
        <v/>
      </c>
      <c r="F486" s="5">
        <f t="shared" si="1"/>
        <v>0</v>
      </c>
      <c r="G486" s="16" t="str">
        <f>IF($A486="", "", IFERROR(VLOOKUP($A486, Stock_New!$A:$M, 5, FALSE), ""))</f>
        <v/>
      </c>
    </row>
    <row r="487" ht="22.5" customHeight="1">
      <c r="A487" s="11"/>
      <c r="B487" s="16" t="str">
        <f>IF(A487="","",IFERROR(VLOOKUP(A487, Stock_New!A:M, 2, FALSE),""))</f>
        <v/>
      </c>
      <c r="C487" s="16" t="str">
        <f>IF(A487="","",IFERROR(VLOOKUP(A487, Stock_New!A:M, 3, FALSE),""))</f>
        <v/>
      </c>
      <c r="D487" s="16"/>
      <c r="E487" s="16" t="str">
        <f>IF($A487="", "", IFERROR(VLOOKUP($A487, Stock_New!$A:$M, 4, FALSE), ""))</f>
        <v/>
      </c>
      <c r="F487" s="5">
        <f t="shared" si="1"/>
        <v>0</v>
      </c>
      <c r="G487" s="16" t="str">
        <f>IF($A487="", "", IFERROR(VLOOKUP($A487, Stock_New!$A:$M, 5, FALSE), ""))</f>
        <v/>
      </c>
    </row>
    <row r="488" ht="22.5" customHeight="1">
      <c r="A488" s="11"/>
      <c r="B488" s="16" t="str">
        <f>IF(A488="","",IFERROR(VLOOKUP(A488, Stock_New!A:M, 2, FALSE),""))</f>
        <v/>
      </c>
      <c r="C488" s="16" t="str">
        <f>IF(A488="","",IFERROR(VLOOKUP(A488, Stock_New!A:M, 3, FALSE),""))</f>
        <v/>
      </c>
      <c r="D488" s="16"/>
      <c r="E488" s="16" t="str">
        <f>IF($A488="", "", IFERROR(VLOOKUP($A488, Stock_New!$A:$M, 4, FALSE), ""))</f>
        <v/>
      </c>
      <c r="F488" s="5">
        <f t="shared" si="1"/>
        <v>0</v>
      </c>
      <c r="G488" s="16" t="str">
        <f>IF($A488="", "", IFERROR(VLOOKUP($A488, Stock_New!$A:$M, 5, FALSE), ""))</f>
        <v/>
      </c>
    </row>
    <row r="489" ht="22.5" customHeight="1">
      <c r="A489" s="11"/>
      <c r="B489" s="16" t="str">
        <f>IF(A489="","",IFERROR(VLOOKUP(A489, Stock_New!A:M, 2, FALSE),""))</f>
        <v/>
      </c>
      <c r="C489" s="16" t="str">
        <f>IF(A489="","",IFERROR(VLOOKUP(A489, Stock_New!A:M, 3, FALSE),""))</f>
        <v/>
      </c>
      <c r="D489" s="16"/>
      <c r="E489" s="16" t="str">
        <f>IF($A489="", "", IFERROR(VLOOKUP($A489, Stock_New!$A:$M, 4, FALSE), ""))</f>
        <v/>
      </c>
      <c r="F489" s="5">
        <f t="shared" si="1"/>
        <v>0</v>
      </c>
      <c r="G489" s="16" t="str">
        <f>IF($A489="", "", IFERROR(VLOOKUP($A489, Stock_New!$A:$M, 5, FALSE), ""))</f>
        <v/>
      </c>
    </row>
    <row r="490" ht="22.5" customHeight="1">
      <c r="A490" s="11"/>
      <c r="B490" s="16" t="str">
        <f>IF(A490="","",IFERROR(VLOOKUP(A490, Stock_New!A:M, 2, FALSE),""))</f>
        <v/>
      </c>
      <c r="C490" s="16" t="str">
        <f>IF(A490="","",IFERROR(VLOOKUP(A490, Stock_New!A:M, 3, FALSE),""))</f>
        <v/>
      </c>
      <c r="D490" s="16"/>
      <c r="E490" s="16" t="str">
        <f>IF($A490="", "", IFERROR(VLOOKUP($A490, Stock_New!$A:$M, 4, FALSE), ""))</f>
        <v/>
      </c>
      <c r="F490" s="5">
        <f t="shared" si="1"/>
        <v>0</v>
      </c>
      <c r="G490" s="16" t="str">
        <f>IF($A490="", "", IFERROR(VLOOKUP($A490, Stock_New!$A:$M, 5, FALSE), ""))</f>
        <v/>
      </c>
    </row>
    <row r="491" ht="22.5" customHeight="1">
      <c r="A491" s="11"/>
      <c r="B491" s="16" t="str">
        <f>IF(A491="","",IFERROR(VLOOKUP(A491, Stock_New!A:M, 2, FALSE),""))</f>
        <v/>
      </c>
      <c r="C491" s="16" t="str">
        <f>IF(A491="","",IFERROR(VLOOKUP(A491, Stock_New!A:M, 3, FALSE),""))</f>
        <v/>
      </c>
      <c r="D491" s="16"/>
      <c r="E491" s="16" t="str">
        <f>IF($A491="", "", IFERROR(VLOOKUP($A491, Stock_New!$A:$M, 4, FALSE), ""))</f>
        <v/>
      </c>
      <c r="F491" s="5">
        <f t="shared" si="1"/>
        <v>0</v>
      </c>
      <c r="G491" s="16" t="str">
        <f>IF($A491="", "", IFERROR(VLOOKUP($A491, Stock_New!$A:$M, 5, FALSE), ""))</f>
        <v/>
      </c>
    </row>
    <row r="492" ht="22.5" customHeight="1">
      <c r="A492" s="11"/>
      <c r="B492" s="16" t="str">
        <f>IF(A492="","",IFERROR(VLOOKUP(A492, Stock_New!A:M, 2, FALSE),""))</f>
        <v/>
      </c>
      <c r="C492" s="16" t="str">
        <f>IF(A492="","",IFERROR(VLOOKUP(A492, Stock_New!A:M, 3, FALSE),""))</f>
        <v/>
      </c>
      <c r="D492" s="16"/>
      <c r="E492" s="16" t="str">
        <f>IF($A492="", "", IFERROR(VLOOKUP($A492, Stock_New!$A:$M, 4, FALSE), ""))</f>
        <v/>
      </c>
      <c r="F492" s="5">
        <f t="shared" si="1"/>
        <v>0</v>
      </c>
      <c r="G492" s="16" t="str">
        <f>IF($A492="", "", IFERROR(VLOOKUP($A492, Stock_New!$A:$M, 5, FALSE), ""))</f>
        <v/>
      </c>
    </row>
    <row r="493" ht="22.5" customHeight="1">
      <c r="A493" s="11"/>
      <c r="B493" s="16" t="str">
        <f>IF(A493="","",IFERROR(VLOOKUP(A493, Stock_New!A:M, 2, FALSE),""))</f>
        <v/>
      </c>
      <c r="C493" s="16" t="str">
        <f>IF(A493="","",IFERROR(VLOOKUP(A493, Stock_New!A:M, 3, FALSE),""))</f>
        <v/>
      </c>
      <c r="D493" s="16"/>
      <c r="E493" s="16" t="str">
        <f>IF($A493="", "", IFERROR(VLOOKUP($A493, Stock_New!$A:$M, 4, FALSE), ""))</f>
        <v/>
      </c>
      <c r="F493" s="5">
        <f t="shared" si="1"/>
        <v>0</v>
      </c>
      <c r="G493" s="16" t="str">
        <f>IF($A493="", "", IFERROR(VLOOKUP($A493, Stock_New!$A:$M, 5, FALSE), ""))</f>
        <v/>
      </c>
    </row>
    <row r="494" ht="22.5" customHeight="1">
      <c r="A494" s="11"/>
      <c r="B494" s="16" t="str">
        <f>IF(A494="","",IFERROR(VLOOKUP(A494, Stock_New!A:M, 2, FALSE),""))</f>
        <v/>
      </c>
      <c r="C494" s="16" t="str">
        <f>IF(A494="","",IFERROR(VLOOKUP(A494, Stock_New!A:M, 3, FALSE),""))</f>
        <v/>
      </c>
      <c r="D494" s="16"/>
      <c r="E494" s="16" t="str">
        <f>IF($A494="", "", IFERROR(VLOOKUP($A494, Stock_New!$A:$M, 4, FALSE), ""))</f>
        <v/>
      </c>
      <c r="F494" s="5">
        <f t="shared" si="1"/>
        <v>0</v>
      </c>
      <c r="G494" s="16" t="str">
        <f>IF($A494="", "", IFERROR(VLOOKUP($A494, Stock_New!$A:$M, 5, FALSE), ""))</f>
        <v/>
      </c>
    </row>
    <row r="495" ht="22.5" customHeight="1">
      <c r="A495" s="11"/>
      <c r="B495" s="16" t="str">
        <f>IF(A495="","",IFERROR(VLOOKUP(A495, Stock_New!A:M, 2, FALSE),""))</f>
        <v/>
      </c>
      <c r="C495" s="16" t="str">
        <f>IF(A495="","",IFERROR(VLOOKUP(A495, Stock_New!A:M, 3, FALSE),""))</f>
        <v/>
      </c>
      <c r="D495" s="16"/>
      <c r="E495" s="16" t="str">
        <f>IF($A495="", "", IFERROR(VLOOKUP($A495, Stock_New!$A:$M, 4, FALSE), ""))</f>
        <v/>
      </c>
      <c r="F495" s="5">
        <f t="shared" si="1"/>
        <v>0</v>
      </c>
      <c r="G495" s="16" t="str">
        <f>IF($A495="", "", IFERROR(VLOOKUP($A495, Stock_New!$A:$M, 5, FALSE), ""))</f>
        <v/>
      </c>
    </row>
    <row r="496" ht="22.5" customHeight="1">
      <c r="A496" s="11"/>
      <c r="B496" s="16" t="str">
        <f>IF(A496="","",IFERROR(VLOOKUP(A496, Stock_New!A:M, 2, FALSE),""))</f>
        <v/>
      </c>
      <c r="C496" s="16" t="str">
        <f>IF(A496="","",IFERROR(VLOOKUP(A496, Stock_New!A:M, 3, FALSE),""))</f>
        <v/>
      </c>
      <c r="D496" s="16"/>
      <c r="E496" s="16" t="str">
        <f>IF($A496="", "", IFERROR(VLOOKUP($A496, Stock_New!$A:$M, 4, FALSE), ""))</f>
        <v/>
      </c>
      <c r="F496" s="5">
        <f t="shared" si="1"/>
        <v>0</v>
      </c>
      <c r="G496" s="16" t="str">
        <f>IF($A496="", "", IFERROR(VLOOKUP($A496, Stock_New!$A:$M, 5, FALSE), ""))</f>
        <v/>
      </c>
    </row>
    <row r="497" ht="22.5" customHeight="1">
      <c r="A497" s="11"/>
      <c r="B497" s="16" t="str">
        <f>IF(A497="","",IFERROR(VLOOKUP(A497, Stock_New!A:M, 2, FALSE),""))</f>
        <v/>
      </c>
      <c r="C497" s="16" t="str">
        <f>IF(A497="","",IFERROR(VLOOKUP(A497, Stock_New!A:M, 3, FALSE),""))</f>
        <v/>
      </c>
      <c r="D497" s="16"/>
      <c r="E497" s="16" t="str">
        <f>IF($A497="", "", IFERROR(VLOOKUP($A497, Stock_New!$A:$M, 4, FALSE), ""))</f>
        <v/>
      </c>
      <c r="F497" s="5">
        <f t="shared" si="1"/>
        <v>0</v>
      </c>
      <c r="G497" s="16" t="str">
        <f>IF($A497="", "", IFERROR(VLOOKUP($A497, Stock_New!$A:$M, 5, FALSE), ""))</f>
        <v/>
      </c>
    </row>
    <row r="498" ht="22.5" customHeight="1">
      <c r="A498" s="11"/>
      <c r="B498" s="16" t="str">
        <f>IF(A498="","",IFERROR(VLOOKUP(A498, Stock_New!A:M, 2, FALSE),""))</f>
        <v/>
      </c>
      <c r="C498" s="16" t="str">
        <f>IF(A498="","",IFERROR(VLOOKUP(A498, Stock_New!A:M, 3, FALSE),""))</f>
        <v/>
      </c>
      <c r="D498" s="16"/>
      <c r="E498" s="16" t="str">
        <f>IF($A498="", "", IFERROR(VLOOKUP($A498, Stock_New!$A:$M, 4, FALSE), ""))</f>
        <v/>
      </c>
      <c r="F498" s="5">
        <f t="shared" si="1"/>
        <v>0</v>
      </c>
      <c r="G498" s="16" t="str">
        <f>IF($A498="", "", IFERROR(VLOOKUP($A498, Stock_New!$A:$M, 5, FALSE), ""))</f>
        <v/>
      </c>
    </row>
    <row r="499" ht="22.5" customHeight="1">
      <c r="A499" s="11"/>
      <c r="B499" s="16" t="str">
        <f>IF(A499="","",IFERROR(VLOOKUP(A499, Stock_New!A:M, 2, FALSE),""))</f>
        <v/>
      </c>
      <c r="C499" s="16" t="str">
        <f>IF(A499="","",IFERROR(VLOOKUP(A499, Stock_New!A:M, 3, FALSE),""))</f>
        <v/>
      </c>
      <c r="D499" s="16"/>
      <c r="E499" s="16" t="str">
        <f>IF($A499="", "", IFERROR(VLOOKUP($A499, Stock_New!$A:$M, 4, FALSE), ""))</f>
        <v/>
      </c>
      <c r="F499" s="5">
        <f t="shared" si="1"/>
        <v>0</v>
      </c>
      <c r="G499" s="16" t="str">
        <f>IF($A499="", "", IFERROR(VLOOKUP($A499, Stock_New!$A:$M, 5, FALSE), ""))</f>
        <v/>
      </c>
    </row>
    <row r="500" ht="22.5" customHeight="1">
      <c r="A500" s="11"/>
      <c r="B500" s="16" t="str">
        <f>IF(A500="","",IFERROR(VLOOKUP(A500, Stock_New!A:M, 2, FALSE),""))</f>
        <v/>
      </c>
      <c r="C500" s="16" t="str">
        <f>IF(A500="","",IFERROR(VLOOKUP(A500, Stock_New!A:M, 3, FALSE),""))</f>
        <v/>
      </c>
      <c r="D500" s="16"/>
      <c r="E500" s="16" t="str">
        <f>IF($A500="", "", IFERROR(VLOOKUP($A500, Stock_New!$A:$M, 4, FALSE), ""))</f>
        <v/>
      </c>
      <c r="F500" s="5">
        <f t="shared" si="1"/>
        <v>0</v>
      </c>
      <c r="G500" s="16" t="str">
        <f>IF($A500="", "", IFERROR(VLOOKUP($A500, Stock_New!$A:$M, 5, FALSE), ""))</f>
        <v/>
      </c>
    </row>
    <row r="501" ht="22.5" customHeight="1">
      <c r="A501" s="11"/>
      <c r="B501" s="16" t="str">
        <f>IF(A501="","",IFERROR(VLOOKUP(A501, Stock_New!A:M, 2, FALSE),""))</f>
        <v/>
      </c>
      <c r="C501" s="16" t="str">
        <f>IF(A501="","",IFERROR(VLOOKUP(A501, Stock_New!A:M, 3, FALSE),""))</f>
        <v/>
      </c>
      <c r="D501" s="16"/>
      <c r="E501" s="16" t="str">
        <f>IF($A501="", "", IFERROR(VLOOKUP($A501, Stock_New!$A:$M, 4, FALSE), ""))</f>
        <v/>
      </c>
      <c r="F501" s="5">
        <f t="shared" si="1"/>
        <v>0</v>
      </c>
      <c r="G501" s="16" t="str">
        <f>IF($A501="", "", IFERROR(VLOOKUP($A501, Stock_New!$A:$M, 5, FALSE), ""))</f>
        <v/>
      </c>
    </row>
    <row r="502" ht="22.5" customHeight="1">
      <c r="A502" s="11"/>
      <c r="B502" s="16" t="str">
        <f>IF(A502="","",IFERROR(VLOOKUP(A502, Stock_New!A:M, 2, FALSE),""))</f>
        <v/>
      </c>
      <c r="C502" s="16" t="str">
        <f>IF(A502="","",IFERROR(VLOOKUP(A502, Stock_New!A:M, 3, FALSE),""))</f>
        <v/>
      </c>
      <c r="D502" s="16"/>
      <c r="E502" s="16" t="str">
        <f>IF($A502="", "", IFERROR(VLOOKUP($A502, Stock_New!$A:$M, 4, FALSE), ""))</f>
        <v/>
      </c>
      <c r="F502" s="5">
        <f t="shared" si="1"/>
        <v>0</v>
      </c>
      <c r="G502" s="16" t="str">
        <f>IF($A502="", "", IFERROR(VLOOKUP($A502, Stock_New!$A:$M, 5, FALSE), ""))</f>
        <v/>
      </c>
    </row>
    <row r="503" ht="22.5" customHeight="1">
      <c r="A503" s="11"/>
      <c r="B503" s="16" t="str">
        <f>IF(A503="","",IFERROR(VLOOKUP(A503, Stock_New!A:M, 2, FALSE),""))</f>
        <v/>
      </c>
      <c r="C503" s="16" t="str">
        <f>IF(A503="","",IFERROR(VLOOKUP(A503, Stock_New!A:M, 3, FALSE),""))</f>
        <v/>
      </c>
      <c r="D503" s="16"/>
      <c r="E503" s="16" t="str">
        <f>IF($A503="", "", IFERROR(VLOOKUP($A503, Stock_New!$A:$M, 4, FALSE), ""))</f>
        <v/>
      </c>
      <c r="F503" s="5">
        <f t="shared" si="1"/>
        <v>0</v>
      </c>
      <c r="G503" s="16" t="str">
        <f>IF($A503="", "", IFERROR(VLOOKUP($A503, Stock_New!$A:$M, 5, FALSE), ""))</f>
        <v/>
      </c>
    </row>
    <row r="504" ht="22.5" customHeight="1">
      <c r="A504" s="11"/>
      <c r="B504" s="16" t="str">
        <f>IF(A504="","",IFERROR(VLOOKUP(A504, Stock_New!A:M, 2, FALSE),""))</f>
        <v/>
      </c>
      <c r="C504" s="16" t="str">
        <f>IF(A504="","",IFERROR(VLOOKUP(A504, Stock_New!A:M, 3, FALSE),""))</f>
        <v/>
      </c>
      <c r="D504" s="16"/>
      <c r="E504" s="16" t="str">
        <f>IF($A504="", "", IFERROR(VLOOKUP($A504, Stock_New!$A:$M, 4, FALSE), ""))</f>
        <v/>
      </c>
      <c r="F504" s="5">
        <f t="shared" si="1"/>
        <v>0</v>
      </c>
      <c r="G504" s="16" t="str">
        <f>IF($A504="", "", IFERROR(VLOOKUP($A504, Stock_New!$A:$M, 5, FALSE), ""))</f>
        <v/>
      </c>
    </row>
    <row r="505" ht="22.5" customHeight="1">
      <c r="A505" s="11"/>
      <c r="B505" s="16" t="str">
        <f>IF(A505="","",IFERROR(VLOOKUP(A505, Stock_New!A:M, 2, FALSE),""))</f>
        <v/>
      </c>
      <c r="C505" s="16" t="str">
        <f>IF(A505="","",IFERROR(VLOOKUP(A505, Stock_New!A:M, 3, FALSE),""))</f>
        <v/>
      </c>
      <c r="D505" s="16"/>
      <c r="E505" s="16" t="str">
        <f>IF($A505="", "", IFERROR(VLOOKUP($A505, Stock_New!$A:$M, 4, FALSE), ""))</f>
        <v/>
      </c>
      <c r="F505" s="5">
        <f t="shared" si="1"/>
        <v>0</v>
      </c>
      <c r="G505" s="16" t="str">
        <f>IF($A505="", "", IFERROR(VLOOKUP($A505, Stock_New!$A:$M, 5, FALSE), ""))</f>
        <v/>
      </c>
    </row>
    <row r="506" ht="22.5" customHeight="1">
      <c r="A506" s="11"/>
      <c r="B506" s="16" t="str">
        <f>IF(A506="","",IFERROR(VLOOKUP(A506, Stock_New!A:M, 2, FALSE),""))</f>
        <v/>
      </c>
      <c r="C506" s="16" t="str">
        <f>IF(A506="","",IFERROR(VLOOKUP(A506, Stock_New!A:M, 3, FALSE),""))</f>
        <v/>
      </c>
      <c r="D506" s="16"/>
      <c r="E506" s="16" t="str">
        <f>IF($A506="", "", IFERROR(VLOOKUP($A506, Stock_New!$A:$M, 4, FALSE), ""))</f>
        <v/>
      </c>
      <c r="F506" s="5">
        <f t="shared" si="1"/>
        <v>0</v>
      </c>
      <c r="G506" s="16" t="str">
        <f>IF($A506="", "", IFERROR(VLOOKUP($A506, Stock_New!$A:$M, 5, FALSE), ""))</f>
        <v/>
      </c>
    </row>
    <row r="507" ht="22.5" customHeight="1">
      <c r="A507" s="11"/>
      <c r="B507" s="16" t="str">
        <f>IF(A507="","",IFERROR(VLOOKUP(A507, Stock_New!A:M, 2, FALSE),""))</f>
        <v/>
      </c>
      <c r="C507" s="16" t="str">
        <f>IF(A507="","",IFERROR(VLOOKUP(A507, Stock_New!A:M, 3, FALSE),""))</f>
        <v/>
      </c>
      <c r="D507" s="16"/>
      <c r="E507" s="16" t="str">
        <f>IF($A507="", "", IFERROR(VLOOKUP($A507, Stock_New!$A:$M, 4, FALSE), ""))</f>
        <v/>
      </c>
      <c r="F507" s="5">
        <f t="shared" si="1"/>
        <v>0</v>
      </c>
      <c r="G507" s="16" t="str">
        <f>IF($A507="", "", IFERROR(VLOOKUP($A507, Stock_New!$A:$M, 5, FALSE), ""))</f>
        <v/>
      </c>
    </row>
    <row r="508" ht="22.5" customHeight="1">
      <c r="A508" s="11"/>
      <c r="B508" s="16" t="str">
        <f>IF(A508="","",IFERROR(VLOOKUP(A508, Stock_New!A:M, 2, FALSE),""))</f>
        <v/>
      </c>
      <c r="C508" s="16" t="str">
        <f>IF(A508="","",IFERROR(VLOOKUP(A508, Stock_New!A:M, 3, FALSE),""))</f>
        <v/>
      </c>
      <c r="D508" s="16"/>
      <c r="E508" s="16" t="str">
        <f>IF($A508="", "", IFERROR(VLOOKUP($A508, Stock_New!$A:$M, 4, FALSE), ""))</f>
        <v/>
      </c>
      <c r="F508" s="5">
        <f t="shared" si="1"/>
        <v>0</v>
      </c>
      <c r="G508" s="16" t="str">
        <f>IF($A508="", "", IFERROR(VLOOKUP($A508, Stock_New!$A:$M, 5, FALSE), ""))</f>
        <v/>
      </c>
    </row>
    <row r="509" ht="22.5" customHeight="1">
      <c r="A509" s="11"/>
      <c r="B509" s="16" t="str">
        <f>IF(A509="","",IFERROR(VLOOKUP(A509, Stock_New!A:M, 2, FALSE),""))</f>
        <v/>
      </c>
      <c r="C509" s="16" t="str">
        <f>IF(A509="","",IFERROR(VLOOKUP(A509, Stock_New!A:M, 3, FALSE),""))</f>
        <v/>
      </c>
      <c r="D509" s="16"/>
      <c r="E509" s="16" t="str">
        <f>IF($A509="", "", IFERROR(VLOOKUP($A509, Stock_New!$A:$M, 4, FALSE), ""))</f>
        <v/>
      </c>
      <c r="F509" s="5">
        <f t="shared" si="1"/>
        <v>0</v>
      </c>
      <c r="G509" s="16" t="str">
        <f>IF($A509="", "", IFERROR(VLOOKUP($A509, Stock_New!$A:$M, 5, FALSE), ""))</f>
        <v/>
      </c>
    </row>
    <row r="510" ht="22.5" customHeight="1">
      <c r="A510" s="11"/>
      <c r="B510" s="16" t="str">
        <f>IF(A510="","",IFERROR(VLOOKUP(A510, Stock_New!A:M, 2, FALSE),""))</f>
        <v/>
      </c>
      <c r="C510" s="16" t="str">
        <f>IF(A510="","",IFERROR(VLOOKUP(A510, Stock_New!A:M, 3, FALSE),""))</f>
        <v/>
      </c>
      <c r="D510" s="16"/>
      <c r="E510" s="16" t="str">
        <f>IF($A510="", "", IFERROR(VLOOKUP($A510, Stock_New!$A:$M, 4, FALSE), ""))</f>
        <v/>
      </c>
      <c r="F510" s="5">
        <f t="shared" si="1"/>
        <v>0</v>
      </c>
      <c r="G510" s="16" t="str">
        <f>IF($A510="", "", IFERROR(VLOOKUP($A510, Stock_New!$A:$M, 5, FALSE), ""))</f>
        <v/>
      </c>
    </row>
    <row r="511" ht="22.5" customHeight="1">
      <c r="A511" s="11"/>
      <c r="B511" s="16" t="str">
        <f>IF(A511="","",IFERROR(VLOOKUP(A511, Stock_New!A:M, 2, FALSE),""))</f>
        <v/>
      </c>
      <c r="C511" s="16" t="str">
        <f>IF(A511="","",IFERROR(VLOOKUP(A511, Stock_New!A:M, 3, FALSE),""))</f>
        <v/>
      </c>
      <c r="D511" s="16"/>
      <c r="E511" s="16" t="str">
        <f>IF($A511="", "", IFERROR(VLOOKUP($A511, Stock_New!$A:$M, 4, FALSE), ""))</f>
        <v/>
      </c>
      <c r="F511" s="5">
        <f t="shared" si="1"/>
        <v>0</v>
      </c>
      <c r="G511" s="16" t="str">
        <f>IF($A511="", "", IFERROR(VLOOKUP($A511, Stock_New!$A:$M, 5, FALSE), ""))</f>
        <v/>
      </c>
    </row>
    <row r="512" ht="22.5" customHeight="1">
      <c r="A512" s="11"/>
      <c r="B512" s="16" t="str">
        <f>IF(A512="","",IFERROR(VLOOKUP(A512, Stock_New!A:M, 2, FALSE),""))</f>
        <v/>
      </c>
      <c r="C512" s="16" t="str">
        <f>IF(A512="","",IFERROR(VLOOKUP(A512, Stock_New!A:M, 3, FALSE),""))</f>
        <v/>
      </c>
      <c r="D512" s="16"/>
      <c r="E512" s="16" t="str">
        <f>IF($A512="", "", IFERROR(VLOOKUP($A512, Stock_New!$A:$M, 4, FALSE), ""))</f>
        <v/>
      </c>
      <c r="F512" s="5">
        <f t="shared" si="1"/>
        <v>0</v>
      </c>
      <c r="G512" s="16" t="str">
        <f>IF($A512="", "", IFERROR(VLOOKUP($A512, Stock_New!$A:$M, 5, FALSE), ""))</f>
        <v/>
      </c>
    </row>
    <row r="513" ht="22.5" customHeight="1">
      <c r="A513" s="11"/>
      <c r="B513" s="16" t="str">
        <f>IF(A513="","",IFERROR(VLOOKUP(A513, Stock_New!A:M, 2, FALSE),""))</f>
        <v/>
      </c>
      <c r="C513" s="16" t="str">
        <f>IF(A513="","",IFERROR(VLOOKUP(A513, Stock_New!A:M, 3, FALSE),""))</f>
        <v/>
      </c>
      <c r="D513" s="16"/>
      <c r="E513" s="16" t="str">
        <f>IF($A513="", "", IFERROR(VLOOKUP($A513, Stock_New!$A:$M, 4, FALSE), ""))</f>
        <v/>
      </c>
      <c r="F513" s="5">
        <f t="shared" si="1"/>
        <v>0</v>
      </c>
      <c r="G513" s="16" t="str">
        <f>IF($A513="", "", IFERROR(VLOOKUP($A513, Stock_New!$A:$M, 5, FALSE), ""))</f>
        <v/>
      </c>
    </row>
    <row r="514" ht="22.5" customHeight="1">
      <c r="A514" s="11"/>
      <c r="B514" s="16" t="str">
        <f>IF(A514="","",IFERROR(VLOOKUP(A514, Stock_New!A:M, 2, FALSE),""))</f>
        <v/>
      </c>
      <c r="C514" s="16" t="str">
        <f>IF(A514="","",IFERROR(VLOOKUP(A514, Stock_New!A:M, 3, FALSE),""))</f>
        <v/>
      </c>
      <c r="D514" s="16"/>
      <c r="E514" s="16" t="str">
        <f>IF($A514="", "", IFERROR(VLOOKUP($A514, Stock_New!$A:$M, 4, FALSE), ""))</f>
        <v/>
      </c>
      <c r="F514" s="5">
        <f t="shared" si="1"/>
        <v>0</v>
      </c>
      <c r="G514" s="16" t="str">
        <f>IF($A514="", "", IFERROR(VLOOKUP($A514, Stock_New!$A:$M, 5, FALSE), ""))</f>
        <v/>
      </c>
    </row>
    <row r="515" ht="22.5" customHeight="1">
      <c r="A515" s="11"/>
      <c r="B515" s="16" t="str">
        <f>IF(A515="","",IFERROR(VLOOKUP(A515, Stock_New!A:M, 2, FALSE),""))</f>
        <v/>
      </c>
      <c r="C515" s="16" t="str">
        <f>IF(A515="","",IFERROR(VLOOKUP(A515, Stock_New!A:M, 3, FALSE),""))</f>
        <v/>
      </c>
      <c r="D515" s="16"/>
      <c r="E515" s="16" t="str">
        <f>IF($A515="", "", IFERROR(VLOOKUP($A515, Stock_New!$A:$M, 4, FALSE), ""))</f>
        <v/>
      </c>
      <c r="F515" s="5">
        <f t="shared" si="1"/>
        <v>0</v>
      </c>
      <c r="G515" s="16" t="str">
        <f>IF($A515="", "", IFERROR(VLOOKUP($A515, Stock_New!$A:$M, 5, FALSE), ""))</f>
        <v/>
      </c>
    </row>
    <row r="516" ht="22.5" customHeight="1">
      <c r="A516" s="11"/>
      <c r="B516" s="16" t="str">
        <f>IF(A516="","",IFERROR(VLOOKUP(A516, Stock_New!A:M, 2, FALSE),""))</f>
        <v/>
      </c>
      <c r="C516" s="16" t="str">
        <f>IF(A516="","",IFERROR(VLOOKUP(A516, Stock_New!A:M, 3, FALSE),""))</f>
        <v/>
      </c>
      <c r="D516" s="16"/>
      <c r="E516" s="16" t="str">
        <f>IF($A516="", "", IFERROR(VLOOKUP($A516, Stock_New!$A:$M, 4, FALSE), ""))</f>
        <v/>
      </c>
      <c r="F516" s="5">
        <f t="shared" si="1"/>
        <v>0</v>
      </c>
      <c r="G516" s="16" t="str">
        <f>IF($A516="", "", IFERROR(VLOOKUP($A516, Stock_New!$A:$M, 5, FALSE), ""))</f>
        <v/>
      </c>
    </row>
    <row r="517" ht="22.5" customHeight="1">
      <c r="A517" s="11"/>
      <c r="B517" s="16" t="str">
        <f>IF(A517="","",IFERROR(VLOOKUP(A517, Stock_New!A:M, 2, FALSE),""))</f>
        <v/>
      </c>
      <c r="C517" s="16" t="str">
        <f>IF(A517="","",IFERROR(VLOOKUP(A517, Stock_New!A:M, 3, FALSE),""))</f>
        <v/>
      </c>
      <c r="D517" s="16"/>
      <c r="E517" s="16" t="str">
        <f>IF($A517="", "", IFERROR(VLOOKUP($A517, Stock_New!$A:$M, 4, FALSE), ""))</f>
        <v/>
      </c>
      <c r="F517" s="5">
        <f t="shared" si="1"/>
        <v>0</v>
      </c>
      <c r="G517" s="16" t="str">
        <f>IF($A517="", "", IFERROR(VLOOKUP($A517, Stock_New!$A:$M, 5, FALSE), ""))</f>
        <v/>
      </c>
    </row>
    <row r="518" ht="22.5" customHeight="1">
      <c r="A518" s="11"/>
      <c r="B518" s="16" t="str">
        <f>IF(A518="","",IFERROR(VLOOKUP(A518, Stock_New!A:M, 2, FALSE),""))</f>
        <v/>
      </c>
      <c r="C518" s="16" t="str">
        <f>IF(A518="","",IFERROR(VLOOKUP(A518, Stock_New!A:M, 3, FALSE),""))</f>
        <v/>
      </c>
      <c r="D518" s="16"/>
      <c r="E518" s="16" t="str">
        <f>IF($A518="", "", IFERROR(VLOOKUP($A518, Stock_New!$A:$M, 4, FALSE), ""))</f>
        <v/>
      </c>
      <c r="F518" s="5">
        <f t="shared" si="1"/>
        <v>0</v>
      </c>
      <c r="G518" s="16" t="str">
        <f>IF($A518="", "", IFERROR(VLOOKUP($A518, Stock_New!$A:$M, 5, FALSE), ""))</f>
        <v/>
      </c>
    </row>
    <row r="519" ht="22.5" customHeight="1">
      <c r="A519" s="11"/>
      <c r="B519" s="16" t="str">
        <f>IF(A519="","",IFERROR(VLOOKUP(A519, Stock_New!A:M, 2, FALSE),""))</f>
        <v/>
      </c>
      <c r="C519" s="16" t="str">
        <f>IF(A519="","",IFERROR(VLOOKUP(A519, Stock_New!A:M, 3, FALSE),""))</f>
        <v/>
      </c>
      <c r="D519" s="16"/>
      <c r="E519" s="16" t="str">
        <f>IF($A519="", "", IFERROR(VLOOKUP($A519, Stock_New!$A:$M, 4, FALSE), ""))</f>
        <v/>
      </c>
      <c r="F519" s="5">
        <f t="shared" si="1"/>
        <v>0</v>
      </c>
      <c r="G519" s="16" t="str">
        <f>IF($A519="", "", IFERROR(VLOOKUP($A519, Stock_New!$A:$M, 5, FALSE), ""))</f>
        <v/>
      </c>
    </row>
    <row r="520" ht="22.5" customHeight="1">
      <c r="A520" s="11"/>
      <c r="B520" s="16" t="str">
        <f>IF(A520="","",IFERROR(VLOOKUP(A520, Stock_New!A:M, 2, FALSE),""))</f>
        <v/>
      </c>
      <c r="C520" s="16" t="str">
        <f>IF(A520="","",IFERROR(VLOOKUP(A520, Stock_New!A:M, 3, FALSE),""))</f>
        <v/>
      </c>
      <c r="D520" s="16"/>
      <c r="E520" s="16" t="str">
        <f>IF($A520="", "", IFERROR(VLOOKUP($A520, Stock_New!$A:$M, 4, FALSE), ""))</f>
        <v/>
      </c>
      <c r="F520" s="5">
        <f t="shared" si="1"/>
        <v>0</v>
      </c>
      <c r="G520" s="16" t="str">
        <f>IF($A520="", "", IFERROR(VLOOKUP($A520, Stock_New!$A:$M, 5, FALSE), ""))</f>
        <v/>
      </c>
    </row>
    <row r="521" ht="22.5" customHeight="1">
      <c r="A521" s="11"/>
      <c r="B521" s="16" t="str">
        <f>IF(A521="","",IFERROR(VLOOKUP(A521, Stock_New!A:M, 2, FALSE),""))</f>
        <v/>
      </c>
      <c r="C521" s="16" t="str">
        <f>IF(A521="","",IFERROR(VLOOKUP(A521, Stock_New!A:M, 3, FALSE),""))</f>
        <v/>
      </c>
      <c r="D521" s="16"/>
      <c r="E521" s="16" t="str">
        <f>IF($A521="", "", IFERROR(VLOOKUP($A521, Stock_New!$A:$M, 4, FALSE), ""))</f>
        <v/>
      </c>
      <c r="F521" s="5">
        <f t="shared" si="1"/>
        <v>0</v>
      </c>
      <c r="G521" s="16" t="str">
        <f>IF($A521="", "", IFERROR(VLOOKUP($A521, Stock_New!$A:$M, 5, FALSE), ""))</f>
        <v/>
      </c>
    </row>
    <row r="522" ht="22.5" customHeight="1">
      <c r="A522" s="11"/>
      <c r="B522" s="16" t="str">
        <f>IF(A522="","",IFERROR(VLOOKUP(A522, Stock_New!A:M, 2, FALSE),""))</f>
        <v/>
      </c>
      <c r="C522" s="16" t="str">
        <f>IF(A522="","",IFERROR(VLOOKUP(A522, Stock_New!A:M, 3, FALSE),""))</f>
        <v/>
      </c>
      <c r="D522" s="16"/>
      <c r="E522" s="16" t="str">
        <f>IF($A522="", "", IFERROR(VLOOKUP($A522, Stock_New!$A:$M, 4, FALSE), ""))</f>
        <v/>
      </c>
      <c r="F522" s="5">
        <f t="shared" si="1"/>
        <v>0</v>
      </c>
      <c r="G522" s="16" t="str">
        <f>IF($A522="", "", IFERROR(VLOOKUP($A522, Stock_New!$A:$M, 5, FALSE), ""))</f>
        <v/>
      </c>
    </row>
    <row r="523" ht="22.5" customHeight="1">
      <c r="A523" s="11"/>
      <c r="B523" s="16" t="str">
        <f>IF(A523="","",IFERROR(VLOOKUP(A523, Stock_New!A:M, 2, FALSE),""))</f>
        <v/>
      </c>
      <c r="C523" s="16" t="str">
        <f>IF(A523="","",IFERROR(VLOOKUP(A523, Stock_New!A:M, 3, FALSE),""))</f>
        <v/>
      </c>
      <c r="D523" s="16"/>
      <c r="E523" s="16" t="str">
        <f>IF($A523="", "", IFERROR(VLOOKUP($A523, Stock_New!$A:$M, 4, FALSE), ""))</f>
        <v/>
      </c>
      <c r="F523" s="5">
        <f t="shared" si="1"/>
        <v>0</v>
      </c>
      <c r="G523" s="16" t="str">
        <f>IF($A523="", "", IFERROR(VLOOKUP($A523, Stock_New!$A:$M, 5, FALSE), ""))</f>
        <v/>
      </c>
    </row>
    <row r="524" ht="22.5" customHeight="1">
      <c r="A524" s="11"/>
      <c r="B524" s="16" t="str">
        <f>IF(A524="","",IFERROR(VLOOKUP(A524, Stock_New!A:M, 2, FALSE),""))</f>
        <v/>
      </c>
      <c r="C524" s="16" t="str">
        <f>IF(A524="","",IFERROR(VLOOKUP(A524, Stock_New!A:M, 3, FALSE),""))</f>
        <v/>
      </c>
      <c r="D524" s="16"/>
      <c r="E524" s="16" t="str">
        <f>IF($A524="", "", IFERROR(VLOOKUP($A524, Stock_New!$A:$M, 4, FALSE), ""))</f>
        <v/>
      </c>
      <c r="F524" s="5">
        <f t="shared" si="1"/>
        <v>0</v>
      </c>
      <c r="G524" s="16" t="str">
        <f>IF($A524="", "", IFERROR(VLOOKUP($A524, Stock_New!$A:$M, 5, FALSE), ""))</f>
        <v/>
      </c>
    </row>
    <row r="525" ht="22.5" customHeight="1">
      <c r="A525" s="11"/>
      <c r="B525" s="16" t="str">
        <f>IF(A525="","",IFERROR(VLOOKUP(A525, Stock_New!A:M, 2, FALSE),""))</f>
        <v/>
      </c>
      <c r="C525" s="16" t="str">
        <f>IF(A525="","",IFERROR(VLOOKUP(A525, Stock_New!A:M, 3, FALSE),""))</f>
        <v/>
      </c>
      <c r="D525" s="16"/>
      <c r="E525" s="16" t="str">
        <f>IF($A525="", "", IFERROR(VLOOKUP($A525, Stock_New!$A:$M, 4, FALSE), ""))</f>
        <v/>
      </c>
      <c r="F525" s="5">
        <f t="shared" si="1"/>
        <v>0</v>
      </c>
      <c r="G525" s="16" t="str">
        <f>IF($A525="", "", IFERROR(VLOOKUP($A525, Stock_New!$A:$M, 5, FALSE), ""))</f>
        <v/>
      </c>
    </row>
    <row r="526" ht="22.5" customHeight="1">
      <c r="A526" s="11"/>
      <c r="B526" s="16" t="str">
        <f>IF(A526="","",IFERROR(VLOOKUP(A526, Stock_New!A:M, 2, FALSE),""))</f>
        <v/>
      </c>
      <c r="C526" s="16" t="str">
        <f>IF(A526="","",IFERROR(VLOOKUP(A526, Stock_New!A:M, 3, FALSE),""))</f>
        <v/>
      </c>
      <c r="D526" s="16"/>
      <c r="E526" s="16" t="str">
        <f>IF($A526="", "", IFERROR(VLOOKUP($A526, Stock_New!$A:$M, 4, FALSE), ""))</f>
        <v/>
      </c>
      <c r="F526" s="5">
        <f t="shared" si="1"/>
        <v>0</v>
      </c>
      <c r="G526" s="16" t="str">
        <f>IF($A526="", "", IFERROR(VLOOKUP($A526, Stock_New!$A:$M, 5, FALSE), ""))</f>
        <v/>
      </c>
    </row>
    <row r="527" ht="22.5" customHeight="1">
      <c r="A527" s="11"/>
      <c r="B527" s="16" t="str">
        <f>IF(A527="","",IFERROR(VLOOKUP(A527, Stock_New!A:M, 2, FALSE),""))</f>
        <v/>
      </c>
      <c r="C527" s="16" t="str">
        <f>IF(A527="","",IFERROR(VLOOKUP(A527, Stock_New!A:M, 3, FALSE),""))</f>
        <v/>
      </c>
      <c r="D527" s="16"/>
      <c r="E527" s="16" t="str">
        <f>IF($A527="", "", IFERROR(VLOOKUP($A527, Stock_New!$A:$M, 4, FALSE), ""))</f>
        <v/>
      </c>
      <c r="F527" s="5">
        <f t="shared" si="1"/>
        <v>0</v>
      </c>
      <c r="G527" s="16" t="str">
        <f>IF($A527="", "", IFERROR(VLOOKUP($A527, Stock_New!$A:$M, 5, FALSE), ""))</f>
        <v/>
      </c>
    </row>
    <row r="528" ht="22.5" customHeight="1">
      <c r="A528" s="11"/>
      <c r="B528" s="16" t="str">
        <f>IF(A528="","",IFERROR(VLOOKUP(A528, Stock_New!A:M, 2, FALSE),""))</f>
        <v/>
      </c>
      <c r="C528" s="16" t="str">
        <f>IF(A528="","",IFERROR(VLOOKUP(A528, Stock_New!A:M, 3, FALSE),""))</f>
        <v/>
      </c>
      <c r="D528" s="16"/>
      <c r="E528" s="16" t="str">
        <f>IF($A528="", "", IFERROR(VLOOKUP($A528, Stock_New!$A:$M, 4, FALSE), ""))</f>
        <v/>
      </c>
      <c r="F528" s="5">
        <f t="shared" si="1"/>
        <v>0</v>
      </c>
      <c r="G528" s="16" t="str">
        <f>IF($A528="", "", IFERROR(VLOOKUP($A528, Stock_New!$A:$M, 5, FALSE), ""))</f>
        <v/>
      </c>
    </row>
    <row r="529" ht="22.5" customHeight="1">
      <c r="A529" s="11"/>
      <c r="B529" s="16" t="str">
        <f>IF(A529="","",IFERROR(VLOOKUP(A529, Stock_New!A:M, 2, FALSE),""))</f>
        <v/>
      </c>
      <c r="C529" s="16" t="str">
        <f>IF(A529="","",IFERROR(VLOOKUP(A529, Stock_New!A:M, 3, FALSE),""))</f>
        <v/>
      </c>
      <c r="D529" s="16"/>
      <c r="E529" s="16" t="str">
        <f>IF($A529="", "", IFERROR(VLOOKUP($A529, Stock_New!$A:$M, 4, FALSE), ""))</f>
        <v/>
      </c>
      <c r="F529" s="5">
        <f t="shared" si="1"/>
        <v>0</v>
      </c>
      <c r="G529" s="16" t="str">
        <f>IF($A529="", "", IFERROR(VLOOKUP($A529, Stock_New!$A:$M, 5, FALSE), ""))</f>
        <v/>
      </c>
    </row>
    <row r="530" ht="22.5" customHeight="1">
      <c r="A530" s="11"/>
      <c r="B530" s="16" t="str">
        <f>IF(A530="","",IFERROR(VLOOKUP(A530, Stock_New!A:M, 2, FALSE),""))</f>
        <v/>
      </c>
      <c r="C530" s="16" t="str">
        <f>IF(A530="","",IFERROR(VLOOKUP(A530, Stock_New!A:M, 3, FALSE),""))</f>
        <v/>
      </c>
      <c r="D530" s="16"/>
      <c r="E530" s="16" t="str">
        <f>IF($A530="", "", IFERROR(VLOOKUP($A530, Stock_New!$A:$M, 4, FALSE), ""))</f>
        <v/>
      </c>
      <c r="F530" s="5">
        <f t="shared" si="1"/>
        <v>0</v>
      </c>
      <c r="G530" s="16" t="str">
        <f>IF($A530="", "", IFERROR(VLOOKUP($A530, Stock_New!$A:$M, 5, FALSE), ""))</f>
        <v/>
      </c>
    </row>
    <row r="531" ht="22.5" customHeight="1">
      <c r="A531" s="11"/>
      <c r="B531" s="16" t="str">
        <f>IF(A531="","",IFERROR(VLOOKUP(A531, Stock_New!A:M, 2, FALSE),""))</f>
        <v/>
      </c>
      <c r="C531" s="16" t="str">
        <f>IF(A531="","",IFERROR(VLOOKUP(A531, Stock_New!A:M, 3, FALSE),""))</f>
        <v/>
      </c>
      <c r="D531" s="16"/>
      <c r="E531" s="16" t="str">
        <f>IF($A531="", "", IFERROR(VLOOKUP($A531, Stock_New!$A:$M, 4, FALSE), ""))</f>
        <v/>
      </c>
      <c r="F531" s="5">
        <f t="shared" si="1"/>
        <v>0</v>
      </c>
      <c r="G531" s="16" t="str">
        <f>IF($A531="", "", IFERROR(VLOOKUP($A531, Stock_New!$A:$M, 5, FALSE), ""))</f>
        <v/>
      </c>
    </row>
    <row r="532" ht="22.5" customHeight="1">
      <c r="A532" s="11"/>
      <c r="B532" s="16" t="str">
        <f>IF(A532="","",IFERROR(VLOOKUP(A532, Stock_New!A:M, 2, FALSE),""))</f>
        <v/>
      </c>
      <c r="C532" s="16" t="str">
        <f>IF(A532="","",IFERROR(VLOOKUP(A532, Stock_New!A:M, 3, FALSE),""))</f>
        <v/>
      </c>
      <c r="D532" s="16"/>
      <c r="E532" s="16" t="str">
        <f>IF($A532="", "", IFERROR(VLOOKUP($A532, Stock_New!$A:$M, 4, FALSE), ""))</f>
        <v/>
      </c>
      <c r="F532" s="5">
        <f t="shared" si="1"/>
        <v>0</v>
      </c>
      <c r="G532" s="16" t="str">
        <f>IF($A532="", "", IFERROR(VLOOKUP($A532, Stock_New!$A:$M, 5, FALSE), ""))</f>
        <v/>
      </c>
    </row>
    <row r="533" ht="22.5" customHeight="1">
      <c r="A533" s="11"/>
      <c r="B533" s="16" t="str">
        <f>IF(A533="","",IFERROR(VLOOKUP(A533, Stock_New!A:M, 2, FALSE),""))</f>
        <v/>
      </c>
      <c r="C533" s="16" t="str">
        <f>IF(A533="","",IFERROR(VLOOKUP(A533, Stock_New!A:M, 3, FALSE),""))</f>
        <v/>
      </c>
      <c r="D533" s="16"/>
      <c r="E533" s="16" t="str">
        <f>IF($A533="", "", IFERROR(VLOOKUP($A533, Stock_New!$A:$M, 4, FALSE), ""))</f>
        <v/>
      </c>
      <c r="F533" s="5">
        <f t="shared" si="1"/>
        <v>0</v>
      </c>
      <c r="G533" s="16" t="str">
        <f>IF($A533="", "", IFERROR(VLOOKUP($A533, Stock_New!$A:$M, 5, FALSE), ""))</f>
        <v/>
      </c>
    </row>
    <row r="534" ht="22.5" customHeight="1">
      <c r="A534" s="11"/>
      <c r="B534" s="16" t="str">
        <f>IF(A534="","",IFERROR(VLOOKUP(A534, Stock_New!A:M, 2, FALSE),""))</f>
        <v/>
      </c>
      <c r="C534" s="16" t="str">
        <f>IF(A534="","",IFERROR(VLOOKUP(A534, Stock_New!A:M, 3, FALSE),""))</f>
        <v/>
      </c>
      <c r="D534" s="16"/>
      <c r="E534" s="16" t="str">
        <f>IF($A534="", "", IFERROR(VLOOKUP($A534, Stock_New!$A:$M, 4, FALSE), ""))</f>
        <v/>
      </c>
      <c r="F534" s="5">
        <f t="shared" si="1"/>
        <v>0</v>
      </c>
      <c r="G534" s="16" t="str">
        <f>IF($A534="", "", IFERROR(VLOOKUP($A534, Stock_New!$A:$M, 5, FALSE), ""))</f>
        <v/>
      </c>
    </row>
    <row r="535" ht="22.5" customHeight="1">
      <c r="A535" s="11"/>
      <c r="B535" s="16" t="str">
        <f>IF(A535="","",IFERROR(VLOOKUP(A535, Stock_New!A:M, 2, FALSE),""))</f>
        <v/>
      </c>
      <c r="C535" s="16" t="str">
        <f>IF(A535="","",IFERROR(VLOOKUP(A535, Stock_New!A:M, 3, FALSE),""))</f>
        <v/>
      </c>
      <c r="D535" s="16"/>
      <c r="E535" s="16" t="str">
        <f>IF($A535="", "", IFERROR(VLOOKUP($A535, Stock_New!$A:$M, 4, FALSE), ""))</f>
        <v/>
      </c>
      <c r="F535" s="5">
        <f t="shared" si="1"/>
        <v>0</v>
      </c>
      <c r="G535" s="16" t="str">
        <f>IF($A535="", "", IFERROR(VLOOKUP($A535, Stock_New!$A:$M, 5, FALSE), ""))</f>
        <v/>
      </c>
    </row>
    <row r="536" ht="22.5" customHeight="1">
      <c r="A536" s="11"/>
      <c r="B536" s="16" t="str">
        <f>IF(A536="","",IFERROR(VLOOKUP(A536, Stock_New!A:M, 2, FALSE),""))</f>
        <v/>
      </c>
      <c r="C536" s="16" t="str">
        <f>IF(A536="","",IFERROR(VLOOKUP(A536, Stock_New!A:M, 3, FALSE),""))</f>
        <v/>
      </c>
      <c r="D536" s="16"/>
      <c r="E536" s="16" t="str">
        <f>IF($A536="", "", IFERROR(VLOOKUP($A536, Stock_New!$A:$M, 4, FALSE), ""))</f>
        <v/>
      </c>
      <c r="F536" s="5">
        <f t="shared" si="1"/>
        <v>0</v>
      </c>
      <c r="G536" s="16" t="str">
        <f>IF($A536="", "", IFERROR(VLOOKUP($A536, Stock_New!$A:$M, 5, FALSE), ""))</f>
        <v/>
      </c>
    </row>
    <row r="537" ht="22.5" customHeight="1">
      <c r="A537" s="11"/>
      <c r="B537" s="16" t="str">
        <f>IF(A537="","",IFERROR(VLOOKUP(A537, Stock_New!A:M, 2, FALSE),""))</f>
        <v/>
      </c>
      <c r="C537" s="16" t="str">
        <f>IF(A537="","",IFERROR(VLOOKUP(A537, Stock_New!A:M, 3, FALSE),""))</f>
        <v/>
      </c>
      <c r="D537" s="16"/>
      <c r="E537" s="16" t="str">
        <f>IF($A537="", "", IFERROR(VLOOKUP($A537, Stock_New!$A:$M, 4, FALSE), ""))</f>
        <v/>
      </c>
      <c r="F537" s="5">
        <f t="shared" si="1"/>
        <v>0</v>
      </c>
      <c r="G537" s="16" t="str">
        <f>IF($A537="", "", IFERROR(VLOOKUP($A537, Stock_New!$A:$M, 5, FALSE), ""))</f>
        <v/>
      </c>
    </row>
    <row r="538" ht="22.5" customHeight="1">
      <c r="A538" s="11"/>
      <c r="B538" s="16" t="str">
        <f>IF(A538="","",IFERROR(VLOOKUP(A538, Stock_New!A:M, 2, FALSE),""))</f>
        <v/>
      </c>
      <c r="C538" s="16" t="str">
        <f>IF(A538="","",IFERROR(VLOOKUP(A538, Stock_New!A:M, 3, FALSE),""))</f>
        <v/>
      </c>
      <c r="D538" s="16"/>
      <c r="E538" s="16" t="str">
        <f>IF($A538="", "", IFERROR(VLOOKUP($A538, Stock_New!$A:$M, 4, FALSE), ""))</f>
        <v/>
      </c>
      <c r="F538" s="5">
        <f t="shared" si="1"/>
        <v>0</v>
      </c>
      <c r="G538" s="16" t="str">
        <f>IF($A538="", "", IFERROR(VLOOKUP($A538, Stock_New!$A:$M, 5, FALSE), ""))</f>
        <v/>
      </c>
    </row>
    <row r="539" ht="22.5" customHeight="1">
      <c r="A539" s="11"/>
      <c r="B539" s="16" t="str">
        <f>IF(A539="","",IFERROR(VLOOKUP(A539, Stock_New!A:M, 2, FALSE),""))</f>
        <v/>
      </c>
      <c r="C539" s="16" t="str">
        <f>IF(A539="","",IFERROR(VLOOKUP(A539, Stock_New!A:M, 3, FALSE),""))</f>
        <v/>
      </c>
      <c r="D539" s="16"/>
      <c r="E539" s="16" t="str">
        <f>IF($A539="", "", IFERROR(VLOOKUP($A539, Stock_New!$A:$M, 4, FALSE), ""))</f>
        <v/>
      </c>
      <c r="F539" s="5">
        <f t="shared" si="1"/>
        <v>0</v>
      </c>
      <c r="G539" s="16" t="str">
        <f>IF($A539="", "", IFERROR(VLOOKUP($A539, Stock_New!$A:$M, 5, FALSE), ""))</f>
        <v/>
      </c>
    </row>
    <row r="540" ht="22.5" customHeight="1">
      <c r="A540" s="11"/>
      <c r="B540" s="16" t="str">
        <f>IF(A540="","",IFERROR(VLOOKUP(A540, Stock_New!A:M, 2, FALSE),""))</f>
        <v/>
      </c>
      <c r="C540" s="16" t="str">
        <f>IF(A540="","",IFERROR(VLOOKUP(A540, Stock_New!A:M, 3, FALSE),""))</f>
        <v/>
      </c>
      <c r="D540" s="16"/>
      <c r="E540" s="16" t="str">
        <f>IF($A540="", "", IFERROR(VLOOKUP($A540, Stock_New!$A:$M, 4, FALSE), ""))</f>
        <v/>
      </c>
      <c r="F540" s="5">
        <f t="shared" si="1"/>
        <v>0</v>
      </c>
      <c r="G540" s="16" t="str">
        <f>IF($A540="", "", IFERROR(VLOOKUP($A540, Stock_New!$A:$M, 5, FALSE), ""))</f>
        <v/>
      </c>
    </row>
    <row r="541" ht="22.5" customHeight="1">
      <c r="A541" s="11"/>
      <c r="B541" s="16" t="str">
        <f>IF(A541="","",IFERROR(VLOOKUP(A541, Stock_New!A:M, 2, FALSE),""))</f>
        <v/>
      </c>
      <c r="C541" s="16" t="str">
        <f>IF(A541="","",IFERROR(VLOOKUP(A541, Stock_New!A:M, 3, FALSE),""))</f>
        <v/>
      </c>
      <c r="D541" s="16"/>
      <c r="E541" s="16" t="str">
        <f>IF($A541="", "", IFERROR(VLOOKUP($A541, Stock_New!$A:$M, 4, FALSE), ""))</f>
        <v/>
      </c>
      <c r="F541" s="5">
        <f t="shared" si="1"/>
        <v>0</v>
      </c>
      <c r="G541" s="16" t="str">
        <f>IF($A541="", "", IFERROR(VLOOKUP($A541, Stock_New!$A:$M, 5, FALSE), ""))</f>
        <v/>
      </c>
    </row>
    <row r="542" ht="22.5" customHeight="1">
      <c r="A542" s="11"/>
      <c r="B542" s="16" t="str">
        <f>IF(A542="","",IFERROR(VLOOKUP(A542, Stock_New!A:M, 2, FALSE),""))</f>
        <v/>
      </c>
      <c r="C542" s="16" t="str">
        <f>IF(A542="","",IFERROR(VLOOKUP(A542, Stock_New!A:M, 3, FALSE),""))</f>
        <v/>
      </c>
      <c r="D542" s="16"/>
      <c r="E542" s="16" t="str">
        <f>IF($A542="", "", IFERROR(VLOOKUP($A542, Stock_New!$A:$M, 4, FALSE), ""))</f>
        <v/>
      </c>
      <c r="F542" s="5">
        <f t="shared" si="1"/>
        <v>0</v>
      </c>
      <c r="G542" s="16" t="str">
        <f>IF($A542="", "", IFERROR(VLOOKUP($A542, Stock_New!$A:$M, 5, FALSE), ""))</f>
        <v/>
      </c>
    </row>
    <row r="543" ht="22.5" customHeight="1">
      <c r="A543" s="11"/>
      <c r="B543" s="16" t="str">
        <f>IF(A543="","",IFERROR(VLOOKUP(A543, Stock_New!A:M, 2, FALSE),""))</f>
        <v/>
      </c>
      <c r="C543" s="16" t="str">
        <f>IF(A543="","",IFERROR(VLOOKUP(A543, Stock_New!A:M, 3, FALSE),""))</f>
        <v/>
      </c>
      <c r="D543" s="16"/>
      <c r="E543" s="16" t="str">
        <f>IF($A543="", "", IFERROR(VLOOKUP($A543, Stock_New!$A:$M, 4, FALSE), ""))</f>
        <v/>
      </c>
      <c r="F543" s="5">
        <f t="shared" si="1"/>
        <v>0</v>
      </c>
      <c r="G543" s="16" t="str">
        <f>IF($A543="", "", IFERROR(VLOOKUP($A543, Stock_New!$A:$M, 5, FALSE), ""))</f>
        <v/>
      </c>
    </row>
    <row r="544" ht="22.5" customHeight="1">
      <c r="A544" s="11"/>
      <c r="B544" s="16" t="str">
        <f>IF(A544="","",IFERROR(VLOOKUP(A544, Stock_New!A:M, 2, FALSE),""))</f>
        <v/>
      </c>
      <c r="C544" s="16" t="str">
        <f>IF(A544="","",IFERROR(VLOOKUP(A544, Stock_New!A:M, 3, FALSE),""))</f>
        <v/>
      </c>
      <c r="D544" s="16"/>
      <c r="E544" s="16" t="str">
        <f>IF($A544="", "", IFERROR(VLOOKUP($A544, Stock_New!$A:$M, 4, FALSE), ""))</f>
        <v/>
      </c>
      <c r="F544" s="5">
        <f t="shared" si="1"/>
        <v>0</v>
      </c>
      <c r="G544" s="16" t="str">
        <f>IF($A544="", "", IFERROR(VLOOKUP($A544, Stock_New!$A:$M, 5, FALSE), ""))</f>
        <v/>
      </c>
    </row>
    <row r="545" ht="22.5" customHeight="1">
      <c r="A545" s="11"/>
      <c r="B545" s="16" t="str">
        <f>IF(A545="","",IFERROR(VLOOKUP(A545, Stock_New!A:M, 2, FALSE),""))</f>
        <v/>
      </c>
      <c r="C545" s="16" t="str">
        <f>IF(A545="","",IFERROR(VLOOKUP(A545, Stock_New!A:M, 3, FALSE),""))</f>
        <v/>
      </c>
      <c r="D545" s="16"/>
      <c r="E545" s="16" t="str">
        <f>IF($A545="", "", IFERROR(VLOOKUP($A545, Stock_New!$A:$M, 4, FALSE), ""))</f>
        <v/>
      </c>
      <c r="F545" s="5">
        <f t="shared" si="1"/>
        <v>0</v>
      </c>
      <c r="G545" s="16" t="str">
        <f>IF($A545="", "", IFERROR(VLOOKUP($A545, Stock_New!$A:$M, 5, FALSE), ""))</f>
        <v/>
      </c>
    </row>
    <row r="546" ht="22.5" customHeight="1">
      <c r="A546" s="11"/>
      <c r="B546" s="16" t="str">
        <f>IF(A546="","",IFERROR(VLOOKUP(A546, Stock_New!A:M, 2, FALSE),""))</f>
        <v/>
      </c>
      <c r="C546" s="16" t="str">
        <f>IF(A546="","",IFERROR(VLOOKUP(A546, Stock_New!A:M, 3, FALSE),""))</f>
        <v/>
      </c>
      <c r="D546" s="16"/>
      <c r="E546" s="16" t="str">
        <f>IF($A546="", "", IFERROR(VLOOKUP($A546, Stock_New!$A:$M, 4, FALSE), ""))</f>
        <v/>
      </c>
      <c r="F546" s="5">
        <f t="shared" si="1"/>
        <v>0</v>
      </c>
      <c r="G546" s="16" t="str">
        <f>IF($A546="", "", IFERROR(VLOOKUP($A546, Stock_New!$A:$M, 5, FALSE), ""))</f>
        <v/>
      </c>
    </row>
    <row r="547" ht="22.5" customHeight="1">
      <c r="A547" s="11"/>
      <c r="B547" s="16" t="str">
        <f>IF(A547="","",IFERROR(VLOOKUP(A547, Stock_New!A:M, 2, FALSE),""))</f>
        <v/>
      </c>
      <c r="C547" s="16" t="str">
        <f>IF(A547="","",IFERROR(VLOOKUP(A547, Stock_New!A:M, 3, FALSE),""))</f>
        <v/>
      </c>
      <c r="D547" s="16"/>
      <c r="E547" s="16" t="str">
        <f>IF($A547="", "", IFERROR(VLOOKUP($A547, Stock_New!$A:$M, 4, FALSE), ""))</f>
        <v/>
      </c>
      <c r="F547" s="5">
        <f t="shared" si="1"/>
        <v>0</v>
      </c>
      <c r="G547" s="16" t="str">
        <f>IF($A547="", "", IFERROR(VLOOKUP($A547, Stock_New!$A:$M, 5, FALSE), ""))</f>
        <v/>
      </c>
    </row>
    <row r="548" ht="22.5" customHeight="1">
      <c r="A548" s="11"/>
      <c r="B548" s="16" t="str">
        <f>IF(A548="","",IFERROR(VLOOKUP(A548, Stock_New!A:M, 2, FALSE),""))</f>
        <v/>
      </c>
      <c r="C548" s="16" t="str">
        <f>IF(A548="","",IFERROR(VLOOKUP(A548, Stock_New!A:M, 3, FALSE),""))</f>
        <v/>
      </c>
      <c r="D548" s="16"/>
      <c r="E548" s="16" t="str">
        <f>IF($A548="", "", IFERROR(VLOOKUP($A548, Stock_New!$A:$M, 4, FALSE), ""))</f>
        <v/>
      </c>
      <c r="F548" s="5">
        <f t="shared" si="1"/>
        <v>0</v>
      </c>
      <c r="G548" s="16" t="str">
        <f>IF($A548="", "", IFERROR(VLOOKUP($A548, Stock_New!$A:$M, 5, FALSE), ""))</f>
        <v/>
      </c>
    </row>
    <row r="549" ht="22.5" customHeight="1">
      <c r="A549" s="11"/>
      <c r="B549" s="16" t="str">
        <f>IF(A549="","",IFERROR(VLOOKUP(A549, Stock_New!A:M, 2, FALSE),""))</f>
        <v/>
      </c>
      <c r="C549" s="16" t="str">
        <f>IF(A549="","",IFERROR(VLOOKUP(A549, Stock_New!A:M, 3, FALSE),""))</f>
        <v/>
      </c>
      <c r="D549" s="16"/>
      <c r="E549" s="16" t="str">
        <f>IF($A549="", "", IFERROR(VLOOKUP($A549, Stock_New!$A:$M, 4, FALSE), ""))</f>
        <v/>
      </c>
      <c r="F549" s="5">
        <f t="shared" si="1"/>
        <v>0</v>
      </c>
      <c r="G549" s="16" t="str">
        <f>IF($A549="", "", IFERROR(VLOOKUP($A549, Stock_New!$A:$M, 5, FALSE), ""))</f>
        <v/>
      </c>
    </row>
    <row r="550" ht="22.5" customHeight="1">
      <c r="A550" s="11"/>
      <c r="B550" s="16" t="str">
        <f>IF(A550="","",IFERROR(VLOOKUP(A550, Stock_New!A:M, 2, FALSE),""))</f>
        <v/>
      </c>
      <c r="C550" s="16" t="str">
        <f>IF(A550="","",IFERROR(VLOOKUP(A550, Stock_New!A:M, 3, FALSE),""))</f>
        <v/>
      </c>
      <c r="D550" s="16"/>
      <c r="E550" s="16" t="str">
        <f>IF($A550="", "", IFERROR(VLOOKUP($A550, Stock_New!$A:$M, 4, FALSE), ""))</f>
        <v/>
      </c>
      <c r="F550" s="5">
        <f t="shared" si="1"/>
        <v>0</v>
      </c>
      <c r="G550" s="16" t="str">
        <f>IF($A550="", "", IFERROR(VLOOKUP($A550, Stock_New!$A:$M, 5, FALSE), ""))</f>
        <v/>
      </c>
    </row>
    <row r="551" ht="22.5" customHeight="1">
      <c r="A551" s="11"/>
      <c r="B551" s="16" t="str">
        <f>IF(A551="","",IFERROR(VLOOKUP(A551, Stock_New!A:M, 2, FALSE),""))</f>
        <v/>
      </c>
      <c r="C551" s="16" t="str">
        <f>IF(A551="","",IFERROR(VLOOKUP(A551, Stock_New!A:M, 3, FALSE),""))</f>
        <v/>
      </c>
      <c r="D551" s="16"/>
      <c r="E551" s="16" t="str">
        <f>IF($A551="", "", IFERROR(VLOOKUP($A551, Stock_New!$A:$M, 4, FALSE), ""))</f>
        <v/>
      </c>
      <c r="F551" s="5">
        <f t="shared" si="1"/>
        <v>0</v>
      </c>
      <c r="G551" s="16" t="str">
        <f>IF($A551="", "", IFERROR(VLOOKUP($A551, Stock_New!$A:$M, 5, FALSE), ""))</f>
        <v/>
      </c>
    </row>
    <row r="552" ht="22.5" customHeight="1">
      <c r="A552" s="11"/>
      <c r="B552" s="16" t="str">
        <f>IF(A552="","",IFERROR(VLOOKUP(A552, Stock_New!A:M, 2, FALSE),""))</f>
        <v/>
      </c>
      <c r="C552" s="16" t="str">
        <f>IF(A552="","",IFERROR(VLOOKUP(A552, Stock_New!A:M, 3, FALSE),""))</f>
        <v/>
      </c>
      <c r="D552" s="16"/>
      <c r="E552" s="16" t="str">
        <f>IF($A552="", "", IFERROR(VLOOKUP($A552, Stock_New!$A:$M, 4, FALSE), ""))</f>
        <v/>
      </c>
      <c r="F552" s="5">
        <f t="shared" si="1"/>
        <v>0</v>
      </c>
      <c r="G552" s="16" t="str">
        <f>IF($A552="", "", IFERROR(VLOOKUP($A552, Stock_New!$A:$M, 5, FALSE), ""))</f>
        <v/>
      </c>
    </row>
    <row r="553" ht="22.5" customHeight="1">
      <c r="A553" s="11"/>
      <c r="B553" s="16" t="str">
        <f>IF(A553="","",IFERROR(VLOOKUP(A553, Stock_New!A:M, 2, FALSE),""))</f>
        <v/>
      </c>
      <c r="C553" s="16" t="str">
        <f>IF(A553="","",IFERROR(VLOOKUP(A553, Stock_New!A:M, 3, FALSE),""))</f>
        <v/>
      </c>
      <c r="D553" s="16"/>
      <c r="E553" s="16" t="str">
        <f>IF($A553="", "", IFERROR(VLOOKUP($A553, Stock_New!$A:$M, 4, FALSE), ""))</f>
        <v/>
      </c>
      <c r="F553" s="5">
        <f t="shared" si="1"/>
        <v>0</v>
      </c>
      <c r="G553" s="16" t="str">
        <f>IF($A553="", "", IFERROR(VLOOKUP($A553, Stock_New!$A:$M, 5, FALSE), ""))</f>
        <v/>
      </c>
    </row>
    <row r="554" ht="22.5" customHeight="1">
      <c r="A554" s="11"/>
      <c r="B554" s="16" t="str">
        <f>IF(A554="","",IFERROR(VLOOKUP(A554, Stock_New!A:M, 2, FALSE),""))</f>
        <v/>
      </c>
      <c r="C554" s="16" t="str">
        <f>IF(A554="","",IFERROR(VLOOKUP(A554, Stock_New!A:M, 3, FALSE),""))</f>
        <v/>
      </c>
      <c r="D554" s="16"/>
      <c r="E554" s="16" t="str">
        <f>IF($A554="", "", IFERROR(VLOOKUP($A554, Stock_New!$A:$M, 4, FALSE), ""))</f>
        <v/>
      </c>
      <c r="F554" s="5">
        <f t="shared" si="1"/>
        <v>0</v>
      </c>
      <c r="G554" s="16" t="str">
        <f>IF($A554="", "", IFERROR(VLOOKUP($A554, Stock_New!$A:$M, 5, FALSE), ""))</f>
        <v/>
      </c>
    </row>
    <row r="555" ht="22.5" customHeight="1">
      <c r="A555" s="11"/>
      <c r="B555" s="16" t="str">
        <f>IF(A555="","",IFERROR(VLOOKUP(A555, Stock_New!A:M, 2, FALSE),""))</f>
        <v/>
      </c>
      <c r="C555" s="16" t="str">
        <f>IF(A555="","",IFERROR(VLOOKUP(A555, Stock_New!A:M, 3, FALSE),""))</f>
        <v/>
      </c>
      <c r="D555" s="16"/>
      <c r="E555" s="16" t="str">
        <f>IF($A555="", "", IFERROR(VLOOKUP($A555, Stock_New!$A:$M, 4, FALSE), ""))</f>
        <v/>
      </c>
      <c r="F555" s="5">
        <f t="shared" si="1"/>
        <v>0</v>
      </c>
      <c r="G555" s="16" t="str">
        <f>IF($A555="", "", IFERROR(VLOOKUP($A555, Stock_New!$A:$M, 5, FALSE), ""))</f>
        <v/>
      </c>
    </row>
    <row r="556" ht="22.5" customHeight="1">
      <c r="A556" s="11"/>
      <c r="B556" s="16" t="str">
        <f>IF(A556="","",IFERROR(VLOOKUP(A556, Stock_New!A:M, 2, FALSE),""))</f>
        <v/>
      </c>
      <c r="C556" s="16" t="str">
        <f>IF(A556="","",IFERROR(VLOOKUP(A556, Stock_New!A:M, 3, FALSE),""))</f>
        <v/>
      </c>
      <c r="D556" s="16"/>
      <c r="E556" s="16" t="str">
        <f>IF($A556="", "", IFERROR(VLOOKUP($A556, Stock_New!$A:$M, 4, FALSE), ""))</f>
        <v/>
      </c>
      <c r="F556" s="5">
        <f t="shared" si="1"/>
        <v>0</v>
      </c>
      <c r="G556" s="16" t="str">
        <f>IF($A556="", "", IFERROR(VLOOKUP($A556, Stock_New!$A:$M, 5, FALSE), ""))</f>
        <v/>
      </c>
    </row>
    <row r="557" ht="22.5" customHeight="1">
      <c r="A557" s="11"/>
      <c r="B557" s="16" t="str">
        <f>IF(A557="","",IFERROR(VLOOKUP(A557, Stock_New!A:M, 2, FALSE),""))</f>
        <v/>
      </c>
      <c r="C557" s="16" t="str">
        <f>IF(A557="","",IFERROR(VLOOKUP(A557, Stock_New!A:M, 3, FALSE),""))</f>
        <v/>
      </c>
      <c r="D557" s="16"/>
      <c r="E557" s="16" t="str">
        <f>IF($A557="", "", IFERROR(VLOOKUP($A557, Stock_New!$A:$M, 4, FALSE), ""))</f>
        <v/>
      </c>
      <c r="F557" s="5">
        <f t="shared" si="1"/>
        <v>0</v>
      </c>
      <c r="G557" s="16" t="str">
        <f>IF($A557="", "", IFERROR(VLOOKUP($A557, Stock_New!$A:$M, 5, FALSE), ""))</f>
        <v/>
      </c>
    </row>
    <row r="558" ht="22.5" customHeight="1">
      <c r="A558" s="11"/>
      <c r="B558" s="16" t="str">
        <f>IF(A558="","",IFERROR(VLOOKUP(A558, Stock_New!A:M, 2, FALSE),""))</f>
        <v/>
      </c>
      <c r="C558" s="16" t="str">
        <f>IF(A558="","",IFERROR(VLOOKUP(A558, Stock_New!A:M, 3, FALSE),""))</f>
        <v/>
      </c>
      <c r="D558" s="16"/>
      <c r="E558" s="16" t="str">
        <f>IF($A558="", "", IFERROR(VLOOKUP($A558, Stock_New!$A:$M, 4, FALSE), ""))</f>
        <v/>
      </c>
      <c r="F558" s="5">
        <f t="shared" si="1"/>
        <v>0</v>
      </c>
      <c r="G558" s="16" t="str">
        <f>IF($A558="", "", IFERROR(VLOOKUP($A558, Stock_New!$A:$M, 5, FALSE), ""))</f>
        <v/>
      </c>
    </row>
    <row r="559" ht="22.5" customHeight="1">
      <c r="A559" s="11"/>
      <c r="B559" s="16" t="str">
        <f>IF(A559="","",IFERROR(VLOOKUP(A559, Stock_New!A:M, 2, FALSE),""))</f>
        <v/>
      </c>
      <c r="C559" s="16" t="str">
        <f>IF(A559="","",IFERROR(VLOOKUP(A559, Stock_New!A:M, 3, FALSE),""))</f>
        <v/>
      </c>
      <c r="D559" s="16"/>
      <c r="E559" s="16" t="str">
        <f>IF($A559="", "", IFERROR(VLOOKUP($A559, Stock_New!$A:$M, 4, FALSE), ""))</f>
        <v/>
      </c>
      <c r="F559" s="5">
        <f t="shared" si="1"/>
        <v>0</v>
      </c>
      <c r="G559" s="16" t="str">
        <f>IF($A559="", "", IFERROR(VLOOKUP($A559, Stock_New!$A:$M, 5, FALSE), ""))</f>
        <v/>
      </c>
    </row>
    <row r="560" ht="22.5" customHeight="1">
      <c r="A560" s="11"/>
      <c r="B560" s="16" t="str">
        <f>IF(A560="","",IFERROR(VLOOKUP(A560, Stock_New!A:M, 2, FALSE),""))</f>
        <v/>
      </c>
      <c r="C560" s="16" t="str">
        <f>IF(A560="","",IFERROR(VLOOKUP(A560, Stock_New!A:M, 3, FALSE),""))</f>
        <v/>
      </c>
      <c r="D560" s="16"/>
      <c r="E560" s="16" t="str">
        <f>IF($A560="", "", IFERROR(VLOOKUP($A560, Stock_New!$A:$M, 4, FALSE), ""))</f>
        <v/>
      </c>
      <c r="F560" s="5">
        <f t="shared" si="1"/>
        <v>0</v>
      </c>
      <c r="G560" s="16" t="str">
        <f>IF($A560="", "", IFERROR(VLOOKUP($A560, Stock_New!$A:$M, 5, FALSE), ""))</f>
        <v/>
      </c>
    </row>
    <row r="561" ht="22.5" customHeight="1">
      <c r="A561" s="11"/>
      <c r="B561" s="16" t="str">
        <f>IF(A561="","",IFERROR(VLOOKUP(A561, Stock_New!A:M, 2, FALSE),""))</f>
        <v/>
      </c>
      <c r="C561" s="16" t="str">
        <f>IF(A561="","",IFERROR(VLOOKUP(A561, Stock_New!A:M, 3, FALSE),""))</f>
        <v/>
      </c>
      <c r="D561" s="16"/>
      <c r="E561" s="16" t="str">
        <f>IF($A561="", "", IFERROR(VLOOKUP($A561, Stock_New!$A:$M, 4, FALSE), ""))</f>
        <v/>
      </c>
      <c r="F561" s="5">
        <f t="shared" si="1"/>
        <v>0</v>
      </c>
      <c r="G561" s="16" t="str">
        <f>IF($A561="", "", IFERROR(VLOOKUP($A561, Stock_New!$A:$M, 5, FALSE), ""))</f>
        <v/>
      </c>
    </row>
    <row r="562" ht="22.5" customHeight="1">
      <c r="A562" s="11"/>
      <c r="B562" s="16" t="str">
        <f>IF(A562="","",IFERROR(VLOOKUP(A562, Stock_New!A:M, 2, FALSE),""))</f>
        <v/>
      </c>
      <c r="C562" s="16" t="str">
        <f>IF(A562="","",IFERROR(VLOOKUP(A562, Stock_New!A:M, 3, FALSE),""))</f>
        <v/>
      </c>
      <c r="D562" s="16"/>
      <c r="E562" s="16" t="str">
        <f>IF($A562="", "", IFERROR(VLOOKUP($A562, Stock_New!$A:$M, 4, FALSE), ""))</f>
        <v/>
      </c>
      <c r="F562" s="5">
        <f t="shared" si="1"/>
        <v>0</v>
      </c>
      <c r="G562" s="16" t="str">
        <f>IF($A562="", "", IFERROR(VLOOKUP($A562, Stock_New!$A:$M, 5, FALSE), ""))</f>
        <v/>
      </c>
    </row>
    <row r="563" ht="22.5" customHeight="1">
      <c r="A563" s="11"/>
      <c r="B563" s="16" t="str">
        <f>IF(A563="","",IFERROR(VLOOKUP(A563, Stock_New!A:M, 2, FALSE),""))</f>
        <v/>
      </c>
      <c r="C563" s="16" t="str">
        <f>IF(A563="","",IFERROR(VLOOKUP(A563, Stock_New!A:M, 3, FALSE),""))</f>
        <v/>
      </c>
      <c r="D563" s="16"/>
      <c r="E563" s="16" t="str">
        <f>IF($A563="", "", IFERROR(VLOOKUP($A563, Stock_New!$A:$M, 4, FALSE), ""))</f>
        <v/>
      </c>
      <c r="F563" s="5">
        <f t="shared" si="1"/>
        <v>0</v>
      </c>
      <c r="G563" s="16" t="str">
        <f>IF($A563="", "", IFERROR(VLOOKUP($A563, Stock_New!$A:$M, 5, FALSE), ""))</f>
        <v/>
      </c>
    </row>
    <row r="564" ht="22.5" customHeight="1">
      <c r="A564" s="11"/>
      <c r="B564" s="16" t="str">
        <f>IF(A564="","",IFERROR(VLOOKUP(A564, Stock_New!A:M, 2, FALSE),""))</f>
        <v/>
      </c>
      <c r="C564" s="16" t="str">
        <f>IF(A564="","",IFERROR(VLOOKUP(A564, Stock_New!A:M, 3, FALSE),""))</f>
        <v/>
      </c>
      <c r="D564" s="16"/>
      <c r="E564" s="16" t="str">
        <f>IF($A564="", "", IFERROR(VLOOKUP($A564, Stock_New!$A:$M, 4, FALSE), ""))</f>
        <v/>
      </c>
      <c r="F564" s="5">
        <f t="shared" si="1"/>
        <v>0</v>
      </c>
      <c r="G564" s="16" t="str">
        <f>IF($A564="", "", IFERROR(VLOOKUP($A564, Stock_New!$A:$M, 5, FALSE), ""))</f>
        <v/>
      </c>
    </row>
    <row r="565" ht="22.5" customHeight="1">
      <c r="A565" s="11"/>
      <c r="B565" s="16" t="str">
        <f>IF(A565="","",IFERROR(VLOOKUP(A565, Stock_New!A:M, 2, FALSE),""))</f>
        <v/>
      </c>
      <c r="C565" s="16" t="str">
        <f>IF(A565="","",IFERROR(VLOOKUP(A565, Stock_New!A:M, 3, FALSE),""))</f>
        <v/>
      </c>
      <c r="D565" s="16"/>
      <c r="E565" s="16" t="str">
        <f>IF($A565="", "", IFERROR(VLOOKUP($A565, Stock_New!$A:$M, 4, FALSE), ""))</f>
        <v/>
      </c>
      <c r="F565" s="5">
        <f t="shared" si="1"/>
        <v>0</v>
      </c>
      <c r="G565" s="16" t="str">
        <f>IF($A565="", "", IFERROR(VLOOKUP($A565, Stock_New!$A:$M, 5, FALSE), ""))</f>
        <v/>
      </c>
    </row>
    <row r="566" ht="22.5" customHeight="1">
      <c r="A566" s="11"/>
      <c r="B566" s="16" t="str">
        <f>IF(A566="","",IFERROR(VLOOKUP(A566, Stock_New!A:M, 2, FALSE),""))</f>
        <v/>
      </c>
      <c r="C566" s="16" t="str">
        <f>IF(A566="","",IFERROR(VLOOKUP(A566, Stock_New!A:M, 3, FALSE),""))</f>
        <v/>
      </c>
      <c r="D566" s="16"/>
      <c r="E566" s="16" t="str">
        <f>IF($A566="", "", IFERROR(VLOOKUP($A566, Stock_New!$A:$M, 4, FALSE), ""))</f>
        <v/>
      </c>
      <c r="F566" s="5">
        <f t="shared" si="1"/>
        <v>0</v>
      </c>
      <c r="G566" s="16" t="str">
        <f>IF($A566="", "", IFERROR(VLOOKUP($A566, Stock_New!$A:$M, 5, FALSE), ""))</f>
        <v/>
      </c>
    </row>
    <row r="567" ht="22.5" customHeight="1">
      <c r="A567" s="11"/>
      <c r="B567" s="16" t="str">
        <f>IF(A567="","",IFERROR(VLOOKUP(A567, Stock_New!A:M, 2, FALSE),""))</f>
        <v/>
      </c>
      <c r="C567" s="16" t="str">
        <f>IF(A567="","",IFERROR(VLOOKUP(A567, Stock_New!A:M, 3, FALSE),""))</f>
        <v/>
      </c>
      <c r="D567" s="16"/>
      <c r="E567" s="16" t="str">
        <f>IF($A567="", "", IFERROR(VLOOKUP($A567, Stock_New!$A:$M, 4, FALSE), ""))</f>
        <v/>
      </c>
      <c r="F567" s="5">
        <f t="shared" si="1"/>
        <v>0</v>
      </c>
      <c r="G567" s="16" t="str">
        <f>IF($A567="", "", IFERROR(VLOOKUP($A567, Stock_New!$A:$M, 5, FALSE), ""))</f>
        <v/>
      </c>
    </row>
    <row r="568" ht="22.5" customHeight="1">
      <c r="A568" s="11"/>
      <c r="B568" s="16" t="str">
        <f>IF(A568="","",IFERROR(VLOOKUP(A568, Stock_New!A:M, 2, FALSE),""))</f>
        <v/>
      </c>
      <c r="C568" s="16" t="str">
        <f>IF(A568="","",IFERROR(VLOOKUP(A568, Stock_New!A:M, 3, FALSE),""))</f>
        <v/>
      </c>
      <c r="D568" s="16"/>
      <c r="E568" s="16" t="str">
        <f>IF($A568="", "", IFERROR(VLOOKUP($A568, Stock_New!$A:$M, 4, FALSE), ""))</f>
        <v/>
      </c>
      <c r="F568" s="5">
        <f t="shared" si="1"/>
        <v>0</v>
      </c>
      <c r="G568" s="16" t="str">
        <f>IF($A568="", "", IFERROR(VLOOKUP($A568, Stock_New!$A:$M, 5, FALSE), ""))</f>
        <v/>
      </c>
    </row>
    <row r="569" ht="22.5" customHeight="1">
      <c r="A569" s="11"/>
      <c r="B569" s="16" t="str">
        <f>IF(A569="","",IFERROR(VLOOKUP(A569, Stock_New!A:M, 2, FALSE),""))</f>
        <v/>
      </c>
      <c r="C569" s="16" t="str">
        <f>IF(A569="","",IFERROR(VLOOKUP(A569, Stock_New!A:M, 3, FALSE),""))</f>
        <v/>
      </c>
      <c r="D569" s="16"/>
      <c r="E569" s="16" t="str">
        <f>IF($A569="", "", IFERROR(VLOOKUP($A569, Stock_New!$A:$M, 4, FALSE), ""))</f>
        <v/>
      </c>
      <c r="F569" s="5">
        <f t="shared" si="1"/>
        <v>0</v>
      </c>
      <c r="G569" s="16" t="str">
        <f>IF($A569="", "", IFERROR(VLOOKUP($A569, Stock_New!$A:$M, 5, FALSE), ""))</f>
        <v/>
      </c>
    </row>
    <row r="570" ht="22.5" customHeight="1">
      <c r="A570" s="11"/>
      <c r="B570" s="16" t="str">
        <f>IF(A570="","",IFERROR(VLOOKUP(A570, Stock_New!A:M, 2, FALSE),""))</f>
        <v/>
      </c>
      <c r="C570" s="16" t="str">
        <f>IF(A570="","",IFERROR(VLOOKUP(A570, Stock_New!A:M, 3, FALSE),""))</f>
        <v/>
      </c>
      <c r="D570" s="16"/>
      <c r="E570" s="16" t="str">
        <f>IF($A570="", "", IFERROR(VLOOKUP($A570, Stock_New!$A:$M, 4, FALSE), ""))</f>
        <v/>
      </c>
      <c r="F570" s="5">
        <f t="shared" si="1"/>
        <v>0</v>
      </c>
      <c r="G570" s="16" t="str">
        <f>IF($A570="", "", IFERROR(VLOOKUP($A570, Stock_New!$A:$M, 5, FALSE), ""))</f>
        <v/>
      </c>
    </row>
    <row r="571" ht="22.5" customHeight="1">
      <c r="A571" s="11"/>
      <c r="B571" s="16" t="str">
        <f>IF(A571="","",IFERROR(VLOOKUP(A571, Stock_New!A:M, 2, FALSE),""))</f>
        <v/>
      </c>
      <c r="C571" s="16" t="str">
        <f>IF(A571="","",IFERROR(VLOOKUP(A571, Stock_New!A:M, 3, FALSE),""))</f>
        <v/>
      </c>
      <c r="D571" s="16"/>
      <c r="E571" s="16" t="str">
        <f>IF($A571="", "", IFERROR(VLOOKUP($A571, Stock_New!$A:$M, 4, FALSE), ""))</f>
        <v/>
      </c>
      <c r="F571" s="5">
        <f t="shared" si="1"/>
        <v>0</v>
      </c>
      <c r="G571" s="16" t="str">
        <f>IF($A571="", "", IFERROR(VLOOKUP($A571, Stock_New!$A:$M, 5, FALSE), ""))</f>
        <v/>
      </c>
    </row>
    <row r="572" ht="22.5" customHeight="1">
      <c r="A572" s="11"/>
      <c r="B572" s="16" t="str">
        <f>IF(A572="","",IFERROR(VLOOKUP(A572, Stock_New!A:M, 2, FALSE),""))</f>
        <v/>
      </c>
      <c r="C572" s="16" t="str">
        <f>IF(A572="","",IFERROR(VLOOKUP(A572, Stock_New!A:M, 3, FALSE),""))</f>
        <v/>
      </c>
      <c r="D572" s="16"/>
      <c r="E572" s="16" t="str">
        <f>IF($A572="", "", IFERROR(VLOOKUP($A572, Stock_New!$A:$M, 4, FALSE), ""))</f>
        <v/>
      </c>
      <c r="F572" s="5">
        <f t="shared" si="1"/>
        <v>0</v>
      </c>
      <c r="G572" s="16" t="str">
        <f>IF($A572="", "", IFERROR(VLOOKUP($A572, Stock_New!$A:$M, 5, FALSE), ""))</f>
        <v/>
      </c>
    </row>
    <row r="573" ht="22.5" customHeight="1">
      <c r="A573" s="11"/>
      <c r="B573" s="16" t="str">
        <f>IF(A573="","",IFERROR(VLOOKUP(A573, Stock_New!A:M, 2, FALSE),""))</f>
        <v/>
      </c>
      <c r="C573" s="16" t="str">
        <f>IF(A573="","",IFERROR(VLOOKUP(A573, Stock_New!A:M, 3, FALSE),""))</f>
        <v/>
      </c>
      <c r="D573" s="16"/>
      <c r="E573" s="16" t="str">
        <f>IF($A573="", "", IFERROR(VLOOKUP($A573, Stock_New!$A:$M, 4, FALSE), ""))</f>
        <v/>
      </c>
      <c r="F573" s="5">
        <f t="shared" si="1"/>
        <v>0</v>
      </c>
      <c r="G573" s="16" t="str">
        <f>IF($A573="", "", IFERROR(VLOOKUP($A573, Stock_New!$A:$M, 5, FALSE), ""))</f>
        <v/>
      </c>
    </row>
    <row r="574" ht="22.5" customHeight="1">
      <c r="A574" s="11"/>
      <c r="B574" s="16" t="str">
        <f>IF(A574="","",IFERROR(VLOOKUP(A574, Stock_New!A:M, 2, FALSE),""))</f>
        <v/>
      </c>
      <c r="C574" s="16" t="str">
        <f>IF(A574="","",IFERROR(VLOOKUP(A574, Stock_New!A:M, 3, FALSE),""))</f>
        <v/>
      </c>
      <c r="D574" s="16"/>
      <c r="E574" s="16" t="str">
        <f>IF($A574="", "", IFERROR(VLOOKUP($A574, Stock_New!$A:$M, 4, FALSE), ""))</f>
        <v/>
      </c>
      <c r="F574" s="5">
        <f t="shared" si="1"/>
        <v>0</v>
      </c>
      <c r="G574" s="16" t="str">
        <f>IF($A574="", "", IFERROR(VLOOKUP($A574, Stock_New!$A:$M, 5, FALSE), ""))</f>
        <v/>
      </c>
    </row>
    <row r="575" ht="22.5" customHeight="1">
      <c r="A575" s="11"/>
      <c r="B575" s="16" t="str">
        <f>IF(A575="","",IFERROR(VLOOKUP(A575, Stock_New!A:M, 2, FALSE),""))</f>
        <v/>
      </c>
      <c r="C575" s="16" t="str">
        <f>IF(A575="","",IFERROR(VLOOKUP(A575, Stock_New!A:M, 3, FALSE),""))</f>
        <v/>
      </c>
      <c r="D575" s="16"/>
      <c r="E575" s="16" t="str">
        <f>IF($A575="", "", IFERROR(VLOOKUP($A575, Stock_New!$A:$M, 4, FALSE), ""))</f>
        <v/>
      </c>
      <c r="F575" s="5">
        <f t="shared" si="1"/>
        <v>0</v>
      </c>
      <c r="G575" s="16" t="str">
        <f>IF($A575="", "", IFERROR(VLOOKUP($A575, Stock_New!$A:$M, 5, FALSE), ""))</f>
        <v/>
      </c>
    </row>
    <row r="576" ht="22.5" customHeight="1">
      <c r="A576" s="11"/>
      <c r="B576" s="16" t="str">
        <f>IF(A576="","",IFERROR(VLOOKUP(A576, Stock_New!A:M, 2, FALSE),""))</f>
        <v/>
      </c>
      <c r="C576" s="16" t="str">
        <f>IF(A576="","",IFERROR(VLOOKUP(A576, Stock_New!A:M, 3, FALSE),""))</f>
        <v/>
      </c>
      <c r="D576" s="16"/>
      <c r="E576" s="16" t="str">
        <f>IF($A576="", "", IFERROR(VLOOKUP($A576, Stock_New!$A:$M, 4, FALSE), ""))</f>
        <v/>
      </c>
      <c r="F576" s="5">
        <f t="shared" si="1"/>
        <v>0</v>
      </c>
      <c r="G576" s="16" t="str">
        <f>IF($A576="", "", IFERROR(VLOOKUP($A576, Stock_New!$A:$M, 5, FALSE), ""))</f>
        <v/>
      </c>
    </row>
    <row r="577" ht="22.5" customHeight="1">
      <c r="A577" s="11"/>
      <c r="B577" s="16" t="str">
        <f>IF(A577="","",IFERROR(VLOOKUP(A577, Stock_New!A:M, 2, FALSE),""))</f>
        <v/>
      </c>
      <c r="C577" s="16" t="str">
        <f>IF(A577="","",IFERROR(VLOOKUP(A577, Stock_New!A:M, 3, FALSE),""))</f>
        <v/>
      </c>
      <c r="D577" s="16"/>
      <c r="E577" s="16" t="str">
        <f>IF($A577="", "", IFERROR(VLOOKUP($A577, Stock_New!$A:$M, 4, FALSE), ""))</f>
        <v/>
      </c>
      <c r="F577" s="5">
        <f t="shared" si="1"/>
        <v>0</v>
      </c>
      <c r="G577" s="16" t="str">
        <f>IF($A577="", "", IFERROR(VLOOKUP($A577, Stock_New!$A:$M, 5, FALSE), ""))</f>
        <v/>
      </c>
    </row>
    <row r="578" ht="22.5" customHeight="1">
      <c r="A578" s="11"/>
      <c r="B578" s="16" t="str">
        <f>IF(A578="","",IFERROR(VLOOKUP(A578, Stock_New!A:M, 2, FALSE),""))</f>
        <v/>
      </c>
      <c r="C578" s="16" t="str">
        <f>IF(A578="","",IFERROR(VLOOKUP(A578, Stock_New!A:M, 3, FALSE),""))</f>
        <v/>
      </c>
      <c r="D578" s="16"/>
      <c r="E578" s="16" t="str">
        <f>IF($A578="", "", IFERROR(VLOOKUP($A578, Stock_New!$A:$M, 4, FALSE), ""))</f>
        <v/>
      </c>
      <c r="F578" s="5">
        <f t="shared" si="1"/>
        <v>0</v>
      </c>
      <c r="G578" s="16" t="str">
        <f>IF($A578="", "", IFERROR(VLOOKUP($A578, Stock_New!$A:$M, 5, FALSE), ""))</f>
        <v/>
      </c>
    </row>
    <row r="579" ht="22.5" customHeight="1">
      <c r="A579" s="11"/>
      <c r="B579" s="16" t="str">
        <f>IF(A579="","",IFERROR(VLOOKUP(A579, Stock_New!A:M, 2, FALSE),""))</f>
        <v/>
      </c>
      <c r="C579" s="16" t="str">
        <f>IF(A579="","",IFERROR(VLOOKUP(A579, Stock_New!A:M, 3, FALSE),""))</f>
        <v/>
      </c>
      <c r="D579" s="16"/>
      <c r="E579" s="16" t="str">
        <f>IF($A579="", "", IFERROR(VLOOKUP($A579, Stock_New!$A:$M, 4, FALSE), ""))</f>
        <v/>
      </c>
      <c r="F579" s="5">
        <f t="shared" si="1"/>
        <v>0</v>
      </c>
      <c r="G579" s="16" t="str">
        <f>IF($A579="", "", IFERROR(VLOOKUP($A579, Stock_New!$A:$M, 5, FALSE), ""))</f>
        <v/>
      </c>
    </row>
    <row r="580" ht="22.5" customHeight="1">
      <c r="A580" s="11"/>
      <c r="B580" s="16" t="str">
        <f>IF(A580="","",IFERROR(VLOOKUP(A580, Stock_New!A:M, 2, FALSE),""))</f>
        <v/>
      </c>
      <c r="C580" s="16" t="str">
        <f>IF(A580="","",IFERROR(VLOOKUP(A580, Stock_New!A:M, 3, FALSE),""))</f>
        <v/>
      </c>
      <c r="D580" s="16"/>
      <c r="E580" s="16" t="str">
        <f>IF($A580="", "", IFERROR(VLOOKUP($A580, Stock_New!$A:$M, 4, FALSE), ""))</f>
        <v/>
      </c>
      <c r="F580" s="5">
        <f t="shared" si="1"/>
        <v>0</v>
      </c>
      <c r="G580" s="16" t="str">
        <f>IF($A580="", "", IFERROR(VLOOKUP($A580, Stock_New!$A:$M, 5, FALSE), ""))</f>
        <v/>
      </c>
    </row>
    <row r="581" ht="22.5" customHeight="1">
      <c r="A581" s="11"/>
      <c r="B581" s="16" t="str">
        <f>IF(A581="","",IFERROR(VLOOKUP(A581, Stock_New!A:M, 2, FALSE),""))</f>
        <v/>
      </c>
      <c r="C581" s="16" t="str">
        <f>IF(A581="","",IFERROR(VLOOKUP(A581, Stock_New!A:M, 3, FALSE),""))</f>
        <v/>
      </c>
      <c r="D581" s="16"/>
      <c r="E581" s="16" t="str">
        <f>IF($A581="", "", IFERROR(VLOOKUP($A581, Stock_New!$A:$M, 4, FALSE), ""))</f>
        <v/>
      </c>
      <c r="F581" s="5">
        <f t="shared" si="1"/>
        <v>0</v>
      </c>
      <c r="G581" s="16" t="str">
        <f>IF($A581="", "", IFERROR(VLOOKUP($A581, Stock_New!$A:$M, 5, FALSE), ""))</f>
        <v/>
      </c>
    </row>
    <row r="582" ht="22.5" customHeight="1">
      <c r="A582" s="11"/>
      <c r="B582" s="16" t="str">
        <f>IF(A582="","",IFERROR(VLOOKUP(A582, Stock_New!A:M, 2, FALSE),""))</f>
        <v/>
      </c>
      <c r="C582" s="16" t="str">
        <f>IF(A582="","",IFERROR(VLOOKUP(A582, Stock_New!A:M, 3, FALSE),""))</f>
        <v/>
      </c>
      <c r="D582" s="16"/>
      <c r="E582" s="16" t="str">
        <f>IF($A582="", "", IFERROR(VLOOKUP($A582, Stock_New!$A:$M, 4, FALSE), ""))</f>
        <v/>
      </c>
      <c r="F582" s="5">
        <f t="shared" si="1"/>
        <v>0</v>
      </c>
      <c r="G582" s="16" t="str">
        <f>IF($A582="", "", IFERROR(VLOOKUP($A582, Stock_New!$A:$M, 5, FALSE), ""))</f>
        <v/>
      </c>
    </row>
    <row r="583" ht="22.5" customHeight="1">
      <c r="A583" s="11"/>
      <c r="B583" s="16" t="str">
        <f>IF(A583="","",IFERROR(VLOOKUP(A583, Stock_New!A:M, 2, FALSE),""))</f>
        <v/>
      </c>
      <c r="C583" s="16" t="str">
        <f>IF(A583="","",IFERROR(VLOOKUP(A583, Stock_New!A:M, 3, FALSE),""))</f>
        <v/>
      </c>
      <c r="D583" s="16"/>
      <c r="E583" s="16" t="str">
        <f>IF($A583="", "", IFERROR(VLOOKUP($A583, Stock_New!$A:$M, 4, FALSE), ""))</f>
        <v/>
      </c>
      <c r="F583" s="5">
        <f t="shared" si="1"/>
        <v>0</v>
      </c>
      <c r="G583" s="16" t="str">
        <f>IF($A583="", "", IFERROR(VLOOKUP($A583, Stock_New!$A:$M, 5, FALSE), ""))</f>
        <v/>
      </c>
    </row>
    <row r="584" ht="22.5" customHeight="1">
      <c r="A584" s="11"/>
      <c r="B584" s="16" t="str">
        <f>IF(A584="","",IFERROR(VLOOKUP(A584, Stock_New!A:M, 2, FALSE),""))</f>
        <v/>
      </c>
      <c r="C584" s="16" t="str">
        <f>IF(A584="","",IFERROR(VLOOKUP(A584, Stock_New!A:M, 3, FALSE),""))</f>
        <v/>
      </c>
      <c r="D584" s="16"/>
      <c r="E584" s="16" t="str">
        <f>IF($A584="", "", IFERROR(VLOOKUP($A584, Stock_New!$A:$M, 4, FALSE), ""))</f>
        <v/>
      </c>
      <c r="F584" s="5">
        <f t="shared" si="1"/>
        <v>0</v>
      </c>
      <c r="G584" s="16" t="str">
        <f>IF($A584="", "", IFERROR(VLOOKUP($A584, Stock_New!$A:$M, 5, FALSE), ""))</f>
        <v/>
      </c>
    </row>
    <row r="585" ht="22.5" customHeight="1">
      <c r="A585" s="11"/>
      <c r="B585" s="16" t="str">
        <f>IF(A585="","",IFERROR(VLOOKUP(A585, Stock_New!A:M, 2, FALSE),""))</f>
        <v/>
      </c>
      <c r="C585" s="16" t="str">
        <f>IF(A585="","",IFERROR(VLOOKUP(A585, Stock_New!A:M, 3, FALSE),""))</f>
        <v/>
      </c>
      <c r="D585" s="16"/>
      <c r="E585" s="16" t="str">
        <f>IF($A585="", "", IFERROR(VLOOKUP($A585, Stock_New!$A:$M, 4, FALSE), ""))</f>
        <v/>
      </c>
      <c r="F585" s="5">
        <f t="shared" si="1"/>
        <v>0</v>
      </c>
      <c r="G585" s="16" t="str">
        <f>IF($A585="", "", IFERROR(VLOOKUP($A585, Stock_New!$A:$M, 5, FALSE), ""))</f>
        <v/>
      </c>
    </row>
    <row r="586" ht="22.5" customHeight="1">
      <c r="A586" s="11"/>
      <c r="B586" s="16" t="str">
        <f>IF(A586="","",IFERROR(VLOOKUP(A586, Stock_New!A:M, 2, FALSE),""))</f>
        <v/>
      </c>
      <c r="C586" s="16" t="str">
        <f>IF(A586="","",IFERROR(VLOOKUP(A586, Stock_New!A:M, 3, FALSE),""))</f>
        <v/>
      </c>
      <c r="D586" s="16"/>
      <c r="E586" s="16" t="str">
        <f>IF($A586="", "", IFERROR(VLOOKUP($A586, Stock_New!$A:$M, 4, FALSE), ""))</f>
        <v/>
      </c>
      <c r="F586" s="5">
        <f t="shared" si="1"/>
        <v>0</v>
      </c>
      <c r="G586" s="16" t="str">
        <f>IF($A586="", "", IFERROR(VLOOKUP($A586, Stock_New!$A:$M, 5, FALSE), ""))</f>
        <v/>
      </c>
    </row>
    <row r="587" ht="22.5" customHeight="1">
      <c r="A587" s="11"/>
      <c r="B587" s="16" t="str">
        <f>IF(A587="","",IFERROR(VLOOKUP(A587, Stock_New!A:M, 2, FALSE),""))</f>
        <v/>
      </c>
      <c r="C587" s="16" t="str">
        <f>IF(A587="","",IFERROR(VLOOKUP(A587, Stock_New!A:M, 3, FALSE),""))</f>
        <v/>
      </c>
      <c r="D587" s="16"/>
      <c r="E587" s="16" t="str">
        <f>IF($A587="", "", IFERROR(VLOOKUP($A587, Stock_New!$A:$M, 4, FALSE), ""))</f>
        <v/>
      </c>
      <c r="F587" s="5">
        <f t="shared" si="1"/>
        <v>0</v>
      </c>
      <c r="G587" s="16" t="str">
        <f>IF($A587="", "", IFERROR(VLOOKUP($A587, Stock_New!$A:$M, 5, FALSE), ""))</f>
        <v/>
      </c>
    </row>
    <row r="588" ht="22.5" customHeight="1">
      <c r="A588" s="11"/>
      <c r="B588" s="16" t="str">
        <f>IF(A588="","",IFERROR(VLOOKUP(A588, Stock_New!A:M, 2, FALSE),""))</f>
        <v/>
      </c>
      <c r="C588" s="16" t="str">
        <f>IF(A588="","",IFERROR(VLOOKUP(A588, Stock_New!A:M, 3, FALSE),""))</f>
        <v/>
      </c>
      <c r="D588" s="16"/>
      <c r="E588" s="16" t="str">
        <f>IF($A588="", "", IFERROR(VLOOKUP($A588, Stock_New!$A:$M, 4, FALSE), ""))</f>
        <v/>
      </c>
      <c r="F588" s="5">
        <f t="shared" si="1"/>
        <v>0</v>
      </c>
      <c r="G588" s="16" t="str">
        <f>IF($A588="", "", IFERROR(VLOOKUP($A588, Stock_New!$A:$M, 5, FALSE), ""))</f>
        <v/>
      </c>
    </row>
    <row r="589" ht="22.5" customHeight="1">
      <c r="A589" s="11"/>
      <c r="B589" s="16" t="str">
        <f>IF(A589="","",IFERROR(VLOOKUP(A589, Stock_New!A:M, 2, FALSE),""))</f>
        <v/>
      </c>
      <c r="C589" s="16" t="str">
        <f>IF(A589="","",IFERROR(VLOOKUP(A589, Stock_New!A:M, 3, FALSE),""))</f>
        <v/>
      </c>
      <c r="D589" s="16"/>
      <c r="E589" s="16" t="str">
        <f>IF($A589="", "", IFERROR(VLOOKUP($A589, Stock_New!$A:$M, 4, FALSE), ""))</f>
        <v/>
      </c>
      <c r="F589" s="5">
        <f t="shared" si="1"/>
        <v>0</v>
      </c>
      <c r="G589" s="16" t="str">
        <f>IF($A589="", "", IFERROR(VLOOKUP($A589, Stock_New!$A:$M, 5, FALSE), ""))</f>
        <v/>
      </c>
    </row>
    <row r="590" ht="22.5" customHeight="1">
      <c r="A590" s="11"/>
      <c r="B590" s="16" t="str">
        <f>IF(A590="","",IFERROR(VLOOKUP(A590, Stock_New!A:M, 2, FALSE),""))</f>
        <v/>
      </c>
      <c r="C590" s="16" t="str">
        <f>IF(A590="","",IFERROR(VLOOKUP(A590, Stock_New!A:M, 3, FALSE),""))</f>
        <v/>
      </c>
      <c r="D590" s="16"/>
      <c r="E590" s="16" t="str">
        <f>IF($A590="", "", IFERROR(VLOOKUP($A590, Stock_New!$A:$M, 4, FALSE), ""))</f>
        <v/>
      </c>
      <c r="F590" s="5">
        <f t="shared" si="1"/>
        <v>0</v>
      </c>
      <c r="G590" s="16" t="str">
        <f>IF($A590="", "", IFERROR(VLOOKUP($A590, Stock_New!$A:$M, 5, FALSE), ""))</f>
        <v/>
      </c>
    </row>
    <row r="591" ht="22.5" customHeight="1">
      <c r="A591" s="11"/>
      <c r="B591" s="16" t="str">
        <f>IF(A591="","",IFERROR(VLOOKUP(A591, Stock_New!A:M, 2, FALSE),""))</f>
        <v/>
      </c>
      <c r="C591" s="16" t="str">
        <f>IF(A591="","",IFERROR(VLOOKUP(A591, Stock_New!A:M, 3, FALSE),""))</f>
        <v/>
      </c>
      <c r="D591" s="16"/>
      <c r="E591" s="16" t="str">
        <f>IF($A591="", "", IFERROR(VLOOKUP($A591, Stock_New!$A:$M, 4, FALSE), ""))</f>
        <v/>
      </c>
      <c r="F591" s="5">
        <f t="shared" si="1"/>
        <v>0</v>
      </c>
      <c r="G591" s="16" t="str">
        <f>IF($A591="", "", IFERROR(VLOOKUP($A591, Stock_New!$A:$M, 5, FALSE), ""))</f>
        <v/>
      </c>
    </row>
    <row r="592" ht="22.5" customHeight="1">
      <c r="A592" s="11"/>
      <c r="B592" s="16" t="str">
        <f>IF(A592="","",IFERROR(VLOOKUP(A592, Stock_New!A:M, 2, FALSE),""))</f>
        <v/>
      </c>
      <c r="C592" s="16" t="str">
        <f>IF(A592="","",IFERROR(VLOOKUP(A592, Stock_New!A:M, 3, FALSE),""))</f>
        <v/>
      </c>
      <c r="D592" s="16"/>
      <c r="E592" s="16" t="str">
        <f>IF($A592="", "", IFERROR(VLOOKUP($A592, Stock_New!$A:$M, 4, FALSE), ""))</f>
        <v/>
      </c>
      <c r="F592" s="5">
        <f t="shared" si="1"/>
        <v>0</v>
      </c>
      <c r="G592" s="16" t="str">
        <f>IF($A592="", "", IFERROR(VLOOKUP($A592, Stock_New!$A:$M, 5, FALSE), ""))</f>
        <v/>
      </c>
    </row>
    <row r="593" ht="22.5" customHeight="1">
      <c r="A593" s="11"/>
      <c r="B593" s="16" t="str">
        <f>IF(A593="","",IFERROR(VLOOKUP(A593, Stock_New!A:M, 2, FALSE),""))</f>
        <v/>
      </c>
      <c r="C593" s="16" t="str">
        <f>IF(A593="","",IFERROR(VLOOKUP(A593, Stock_New!A:M, 3, FALSE),""))</f>
        <v/>
      </c>
      <c r="D593" s="16"/>
      <c r="E593" s="16" t="str">
        <f>IF($A593="", "", IFERROR(VLOOKUP($A593, Stock_New!$A:$M, 4, FALSE), ""))</f>
        <v/>
      </c>
      <c r="F593" s="5">
        <f t="shared" si="1"/>
        <v>0</v>
      </c>
      <c r="G593" s="16" t="str">
        <f>IF($A593="", "", IFERROR(VLOOKUP($A593, Stock_New!$A:$M, 5, FALSE), ""))</f>
        <v/>
      </c>
    </row>
    <row r="594" ht="22.5" customHeight="1">
      <c r="A594" s="11"/>
      <c r="B594" s="16" t="str">
        <f>IF(A594="","",IFERROR(VLOOKUP(A594, Stock_New!A:M, 2, FALSE),""))</f>
        <v/>
      </c>
      <c r="C594" s="16" t="str">
        <f>IF(A594="","",IFERROR(VLOOKUP(A594, Stock_New!A:M, 3, FALSE),""))</f>
        <v/>
      </c>
      <c r="D594" s="16"/>
      <c r="E594" s="16" t="str">
        <f>IF($A594="", "", IFERROR(VLOOKUP($A594, Stock_New!$A:$M, 4, FALSE), ""))</f>
        <v/>
      </c>
      <c r="F594" s="5">
        <f t="shared" si="1"/>
        <v>0</v>
      </c>
      <c r="G594" s="16" t="str">
        <f>IF($A594="", "", IFERROR(VLOOKUP($A594, Stock_New!$A:$M, 5, FALSE), ""))</f>
        <v/>
      </c>
    </row>
    <row r="595" ht="22.5" customHeight="1">
      <c r="A595" s="11"/>
      <c r="B595" s="16" t="str">
        <f>IF(A595="","",IFERROR(VLOOKUP(A595, Stock_New!A:M, 2, FALSE),""))</f>
        <v/>
      </c>
      <c r="C595" s="16" t="str">
        <f>IF(A595="","",IFERROR(VLOOKUP(A595, Stock_New!A:M, 3, FALSE),""))</f>
        <v/>
      </c>
      <c r="D595" s="16"/>
      <c r="E595" s="16" t="str">
        <f>IF($A595="", "", IFERROR(VLOOKUP($A595, Stock_New!$A:$M, 4, FALSE), ""))</f>
        <v/>
      </c>
      <c r="F595" s="5">
        <f t="shared" si="1"/>
        <v>0</v>
      </c>
      <c r="G595" s="16" t="str">
        <f>IF($A595="", "", IFERROR(VLOOKUP($A595, Stock_New!$A:$M, 5, FALSE), ""))</f>
        <v/>
      </c>
    </row>
    <row r="596" ht="22.5" customHeight="1">
      <c r="A596" s="11"/>
      <c r="B596" s="16" t="str">
        <f>IF(A596="","",IFERROR(VLOOKUP(A596, Stock_New!A:M, 2, FALSE),""))</f>
        <v/>
      </c>
      <c r="C596" s="16" t="str">
        <f>IF(A596="","",IFERROR(VLOOKUP(A596, Stock_New!A:M, 3, FALSE),""))</f>
        <v/>
      </c>
      <c r="D596" s="16"/>
      <c r="E596" s="16" t="str">
        <f>IF($A596="", "", IFERROR(VLOOKUP($A596, Stock_New!$A:$M, 4, FALSE), ""))</f>
        <v/>
      </c>
      <c r="F596" s="5">
        <f t="shared" si="1"/>
        <v>0</v>
      </c>
      <c r="G596" s="16" t="str">
        <f>IF($A596="", "", IFERROR(VLOOKUP($A596, Stock_New!$A:$M, 5, FALSE), ""))</f>
        <v/>
      </c>
    </row>
    <row r="597" ht="22.5" customHeight="1">
      <c r="A597" s="11"/>
      <c r="B597" s="16" t="str">
        <f>IF(A597="","",IFERROR(VLOOKUP(A597, Stock_New!A:M, 2, FALSE),""))</f>
        <v/>
      </c>
      <c r="C597" s="16" t="str">
        <f>IF(A597="","",IFERROR(VLOOKUP(A597, Stock_New!A:M, 3, FALSE),""))</f>
        <v/>
      </c>
      <c r="D597" s="16"/>
      <c r="E597" s="16" t="str">
        <f>IF($A597="", "", IFERROR(VLOOKUP($A597, Stock_New!$A:$M, 4, FALSE), ""))</f>
        <v/>
      </c>
      <c r="F597" s="5">
        <f t="shared" si="1"/>
        <v>0</v>
      </c>
      <c r="G597" s="16" t="str">
        <f>IF($A597="", "", IFERROR(VLOOKUP($A597, Stock_New!$A:$M, 5, FALSE), ""))</f>
        <v/>
      </c>
    </row>
    <row r="598" ht="22.5" customHeight="1">
      <c r="A598" s="11"/>
      <c r="B598" s="16" t="str">
        <f>IF(A598="","",IFERROR(VLOOKUP(A598, Stock_New!A:M, 2, FALSE),""))</f>
        <v/>
      </c>
      <c r="C598" s="16" t="str">
        <f>IF(A598="","",IFERROR(VLOOKUP(A598, Stock_New!A:M, 3, FALSE),""))</f>
        <v/>
      </c>
      <c r="D598" s="16"/>
      <c r="E598" s="16" t="str">
        <f>IF($A598="", "", IFERROR(VLOOKUP($A598, Stock_New!$A:$M, 4, FALSE), ""))</f>
        <v/>
      </c>
      <c r="F598" s="5">
        <f t="shared" si="1"/>
        <v>0</v>
      </c>
      <c r="G598" s="16" t="str">
        <f>IF($A598="", "", IFERROR(VLOOKUP($A598, Stock_New!$A:$M, 5, FALSE), ""))</f>
        <v/>
      </c>
    </row>
    <row r="599" ht="22.5" customHeight="1">
      <c r="A599" s="11"/>
      <c r="B599" s="16" t="str">
        <f>IF(A599="","",IFERROR(VLOOKUP(A599, Stock_New!A:M, 2, FALSE),""))</f>
        <v/>
      </c>
      <c r="C599" s="16" t="str">
        <f>IF(A599="","",IFERROR(VLOOKUP(A599, Stock_New!A:M, 3, FALSE),""))</f>
        <v/>
      </c>
      <c r="D599" s="16"/>
      <c r="E599" s="16" t="str">
        <f>IF($A599="", "", IFERROR(VLOOKUP($A599, Stock_New!$A:$M, 4, FALSE), ""))</f>
        <v/>
      </c>
      <c r="F599" s="5">
        <f t="shared" si="1"/>
        <v>0</v>
      </c>
      <c r="G599" s="16" t="str">
        <f>IF($A599="", "", IFERROR(VLOOKUP($A599, Stock_New!$A:$M, 5, FALSE), ""))</f>
        <v/>
      </c>
    </row>
    <row r="600" ht="22.5" customHeight="1">
      <c r="A600" s="11"/>
      <c r="B600" s="16" t="str">
        <f>IF(A600="","",IFERROR(VLOOKUP(A600, Stock_New!A:M, 2, FALSE),""))</f>
        <v/>
      </c>
      <c r="C600" s="16" t="str">
        <f>IF(A600="","",IFERROR(VLOOKUP(A600, Stock_New!A:M, 3, FALSE),""))</f>
        <v/>
      </c>
      <c r="D600" s="16"/>
      <c r="E600" s="16" t="str">
        <f>IF($A600="", "", IFERROR(VLOOKUP($A600, Stock_New!$A:$M, 4, FALSE), ""))</f>
        <v/>
      </c>
      <c r="F600" s="5">
        <f t="shared" si="1"/>
        <v>0</v>
      </c>
      <c r="G600" s="16" t="str">
        <f>IF($A600="", "", IFERROR(VLOOKUP($A600, Stock_New!$A:$M, 5, FALSE), ""))</f>
        <v/>
      </c>
    </row>
    <row r="601" ht="22.5" customHeight="1">
      <c r="A601" s="11"/>
      <c r="B601" s="16" t="str">
        <f>IF(A601="","",IFERROR(VLOOKUP(A601, Stock_New!A:M, 2, FALSE),""))</f>
        <v/>
      </c>
      <c r="C601" s="16" t="str">
        <f>IF(A601="","",IFERROR(VLOOKUP(A601, Stock_New!A:M, 3, FALSE),""))</f>
        <v/>
      </c>
      <c r="D601" s="16"/>
      <c r="E601" s="16" t="str">
        <f>IF($A601="", "", IFERROR(VLOOKUP($A601, Stock_New!$A:$M, 4, FALSE), ""))</f>
        <v/>
      </c>
      <c r="F601" s="5">
        <f t="shared" si="1"/>
        <v>0</v>
      </c>
      <c r="G601" s="16" t="str">
        <f>IF($A601="", "", IFERROR(VLOOKUP($A601, Stock_New!$A:$M, 5, FALSE), ""))</f>
        <v/>
      </c>
    </row>
    <row r="602" ht="22.5" customHeight="1">
      <c r="A602" s="11"/>
      <c r="B602" s="16" t="str">
        <f>IF(A602="","",IFERROR(VLOOKUP(A602, Stock_New!A:M, 2, FALSE),""))</f>
        <v/>
      </c>
      <c r="C602" s="16" t="str">
        <f>IF(A602="","",IFERROR(VLOOKUP(A602, Stock_New!A:M, 3, FALSE),""))</f>
        <v/>
      </c>
      <c r="D602" s="16"/>
      <c r="E602" s="16" t="str">
        <f>IF($A602="", "", IFERROR(VLOOKUP($A602, Stock_New!$A:$M, 4, FALSE), ""))</f>
        <v/>
      </c>
      <c r="F602" s="5">
        <f t="shared" si="1"/>
        <v>0</v>
      </c>
      <c r="G602" s="16" t="str">
        <f>IF($A602="", "", IFERROR(VLOOKUP($A602, Stock_New!$A:$M, 5, FALSE), ""))</f>
        <v/>
      </c>
    </row>
    <row r="603" ht="22.5" customHeight="1">
      <c r="A603" s="11"/>
      <c r="B603" s="16" t="str">
        <f>IF(A603="","",IFERROR(VLOOKUP(A603, Stock_New!A:M, 2, FALSE),""))</f>
        <v/>
      </c>
      <c r="C603" s="16" t="str">
        <f>IF(A603="","",IFERROR(VLOOKUP(A603, Stock_New!A:M, 3, FALSE),""))</f>
        <v/>
      </c>
      <c r="D603" s="16"/>
      <c r="E603" s="16" t="str">
        <f>IF($A603="", "", IFERROR(VLOOKUP($A603, Stock_New!$A:$M, 4, FALSE), ""))</f>
        <v/>
      </c>
      <c r="F603" s="5">
        <f t="shared" si="1"/>
        <v>0</v>
      </c>
      <c r="G603" s="16" t="str">
        <f>IF($A603="", "", IFERROR(VLOOKUP($A603, Stock_New!$A:$M, 5, FALSE), ""))</f>
        <v/>
      </c>
    </row>
    <row r="604" ht="22.5" customHeight="1">
      <c r="A604" s="11"/>
      <c r="B604" s="16" t="str">
        <f>IF(A604="","",IFERROR(VLOOKUP(A604, Stock_New!A:M, 2, FALSE),""))</f>
        <v/>
      </c>
      <c r="C604" s="16" t="str">
        <f>IF(A604="","",IFERROR(VLOOKUP(A604, Stock_New!A:M, 3, FALSE),""))</f>
        <v/>
      </c>
      <c r="D604" s="16"/>
      <c r="E604" s="16" t="str">
        <f>IF($A604="", "", IFERROR(VLOOKUP($A604, Stock_New!$A:$M, 4, FALSE), ""))</f>
        <v/>
      </c>
      <c r="F604" s="5">
        <f t="shared" si="1"/>
        <v>0</v>
      </c>
      <c r="G604" s="16" t="str">
        <f>IF($A604="", "", IFERROR(VLOOKUP($A604, Stock_New!$A:$M, 5, FALSE), ""))</f>
        <v/>
      </c>
    </row>
    <row r="605" ht="22.5" customHeight="1">
      <c r="A605" s="11"/>
      <c r="B605" s="16" t="str">
        <f>IF(A605="","",IFERROR(VLOOKUP(A605, Stock_New!A:M, 2, FALSE),""))</f>
        <v/>
      </c>
      <c r="C605" s="16" t="str">
        <f>IF(A605="","",IFERROR(VLOOKUP(A605, Stock_New!A:M, 3, FALSE),""))</f>
        <v/>
      </c>
      <c r="D605" s="16"/>
      <c r="E605" s="16" t="str">
        <f>IF($A605="", "", IFERROR(VLOOKUP($A605, Stock_New!$A:$M, 4, FALSE), ""))</f>
        <v/>
      </c>
      <c r="F605" s="5">
        <f t="shared" si="1"/>
        <v>0</v>
      </c>
      <c r="G605" s="16" t="str">
        <f>IF($A605="", "", IFERROR(VLOOKUP($A605, Stock_New!$A:$M, 5, FALSE), ""))</f>
        <v/>
      </c>
    </row>
    <row r="606" ht="22.5" customHeight="1">
      <c r="A606" s="11"/>
      <c r="B606" s="16" t="str">
        <f>IF(A606="","",IFERROR(VLOOKUP(A606, Stock_New!A:M, 2, FALSE),""))</f>
        <v/>
      </c>
      <c r="C606" s="16" t="str">
        <f>IF(A606="","",IFERROR(VLOOKUP(A606, Stock_New!A:M, 3, FALSE),""))</f>
        <v/>
      </c>
      <c r="D606" s="16"/>
      <c r="E606" s="16" t="str">
        <f>IF($A606="", "", IFERROR(VLOOKUP($A606, Stock_New!$A:$M, 4, FALSE), ""))</f>
        <v/>
      </c>
      <c r="F606" s="5">
        <f t="shared" si="1"/>
        <v>0</v>
      </c>
      <c r="G606" s="16" t="str">
        <f>IF($A606="", "", IFERROR(VLOOKUP($A606, Stock_New!$A:$M, 5, FALSE), ""))</f>
        <v/>
      </c>
    </row>
    <row r="607" ht="22.5" customHeight="1">
      <c r="A607" s="11"/>
      <c r="B607" s="16" t="str">
        <f>IF(A607="","",IFERROR(VLOOKUP(A607, Stock_New!A:M, 2, FALSE),""))</f>
        <v/>
      </c>
      <c r="C607" s="16" t="str">
        <f>IF(A607="","",IFERROR(VLOOKUP(A607, Stock_New!A:M, 3, FALSE),""))</f>
        <v/>
      </c>
      <c r="D607" s="16"/>
      <c r="E607" s="16" t="str">
        <f>IF($A607="", "", IFERROR(VLOOKUP($A607, Stock_New!$A:$M, 4, FALSE), ""))</f>
        <v/>
      </c>
      <c r="F607" s="5">
        <f t="shared" si="1"/>
        <v>0</v>
      </c>
      <c r="G607" s="16" t="str">
        <f>IF($A607="", "", IFERROR(VLOOKUP($A607, Stock_New!$A:$M, 5, FALSE), ""))</f>
        <v/>
      </c>
    </row>
    <row r="608" ht="22.5" customHeight="1">
      <c r="A608" s="11"/>
      <c r="B608" s="16" t="str">
        <f>IF(A608="","",IFERROR(VLOOKUP(A608, Stock_New!A:M, 2, FALSE),""))</f>
        <v/>
      </c>
      <c r="C608" s="16" t="str">
        <f>IF(A608="","",IFERROR(VLOOKUP(A608, Stock_New!A:M, 3, FALSE),""))</f>
        <v/>
      </c>
      <c r="D608" s="16"/>
      <c r="E608" s="16" t="str">
        <f>IF($A608="", "", IFERROR(VLOOKUP($A608, Stock_New!$A:$M, 4, FALSE), ""))</f>
        <v/>
      </c>
      <c r="F608" s="5">
        <f t="shared" si="1"/>
        <v>0</v>
      </c>
      <c r="G608" s="16" t="str">
        <f>IF($A608="", "", IFERROR(VLOOKUP($A608, Stock_New!$A:$M, 5, FALSE), ""))</f>
        <v/>
      </c>
    </row>
    <row r="609" ht="22.5" customHeight="1">
      <c r="A609" s="11"/>
      <c r="B609" s="16" t="str">
        <f>IF(A609="","",IFERROR(VLOOKUP(A609, Stock_New!A:M, 2, FALSE),""))</f>
        <v/>
      </c>
      <c r="C609" s="16" t="str">
        <f>IF(A609="","",IFERROR(VLOOKUP(A609, Stock_New!A:M, 3, FALSE),""))</f>
        <v/>
      </c>
      <c r="D609" s="16"/>
      <c r="E609" s="16" t="str">
        <f>IF($A609="", "", IFERROR(VLOOKUP($A609, Stock_New!$A:$M, 4, FALSE), ""))</f>
        <v/>
      </c>
      <c r="F609" s="5">
        <f t="shared" si="1"/>
        <v>0</v>
      </c>
      <c r="G609" s="16" t="str">
        <f>IF($A609="", "", IFERROR(VLOOKUP($A609, Stock_New!$A:$M, 5, FALSE), ""))</f>
        <v/>
      </c>
    </row>
    <row r="610" ht="22.5" customHeight="1">
      <c r="A610" s="11"/>
      <c r="B610" s="16" t="str">
        <f>IF(A610="","",IFERROR(VLOOKUP(A610, Stock_New!A:M, 2, FALSE),""))</f>
        <v/>
      </c>
      <c r="C610" s="16" t="str">
        <f>IF(A610="","",IFERROR(VLOOKUP(A610, Stock_New!A:M, 3, FALSE),""))</f>
        <v/>
      </c>
      <c r="D610" s="16"/>
      <c r="E610" s="16" t="str">
        <f>IF($A610="", "", IFERROR(VLOOKUP($A610, Stock_New!$A:$M, 4, FALSE), ""))</f>
        <v/>
      </c>
      <c r="F610" s="5">
        <f t="shared" si="1"/>
        <v>0</v>
      </c>
      <c r="G610" s="16" t="str">
        <f>IF($A610="", "", IFERROR(VLOOKUP($A610, Stock_New!$A:$M, 5, FALSE), ""))</f>
        <v/>
      </c>
    </row>
    <row r="611" ht="22.5" customHeight="1">
      <c r="A611" s="11"/>
      <c r="B611" s="16" t="str">
        <f>IF(A611="","",IFERROR(VLOOKUP(A611, Stock_New!A:M, 2, FALSE),""))</f>
        <v/>
      </c>
      <c r="C611" s="16" t="str">
        <f>IF(A611="","",IFERROR(VLOOKUP(A611, Stock_New!A:M, 3, FALSE),""))</f>
        <v/>
      </c>
      <c r="D611" s="16"/>
      <c r="E611" s="16" t="str">
        <f>IF($A611="", "", IFERROR(VLOOKUP($A611, Stock_New!$A:$M, 4, FALSE), ""))</f>
        <v/>
      </c>
      <c r="F611" s="5">
        <f t="shared" si="1"/>
        <v>0</v>
      </c>
      <c r="G611" s="16" t="str">
        <f>IF($A611="", "", IFERROR(VLOOKUP($A611, Stock_New!$A:$M, 5, FALSE), ""))</f>
        <v/>
      </c>
    </row>
    <row r="612" ht="22.5" customHeight="1">
      <c r="A612" s="11"/>
      <c r="B612" s="16" t="str">
        <f>IF(A612="","",IFERROR(VLOOKUP(A612, Stock_New!A:M, 2, FALSE),""))</f>
        <v/>
      </c>
      <c r="C612" s="16" t="str">
        <f>IF(A612="","",IFERROR(VLOOKUP(A612, Stock_New!A:M, 3, FALSE),""))</f>
        <v/>
      </c>
      <c r="D612" s="16"/>
      <c r="E612" s="16" t="str">
        <f>IF($A612="", "", IFERROR(VLOOKUP($A612, Stock_New!$A:$M, 4, FALSE), ""))</f>
        <v/>
      </c>
      <c r="F612" s="5">
        <f t="shared" si="1"/>
        <v>0</v>
      </c>
      <c r="G612" s="16" t="str">
        <f>IF($A612="", "", IFERROR(VLOOKUP($A612, Stock_New!$A:$M, 5, FALSE), ""))</f>
        <v/>
      </c>
    </row>
    <row r="613" ht="22.5" customHeight="1">
      <c r="A613" s="11"/>
      <c r="B613" s="16" t="str">
        <f>IF(A613="","",IFERROR(VLOOKUP(A613, Stock_New!A:M, 2, FALSE),""))</f>
        <v/>
      </c>
      <c r="C613" s="16" t="str">
        <f>IF(A613="","",IFERROR(VLOOKUP(A613, Stock_New!A:M, 3, FALSE),""))</f>
        <v/>
      </c>
      <c r="D613" s="16"/>
      <c r="E613" s="16" t="str">
        <f>IF($A613="", "", IFERROR(VLOOKUP($A613, Stock_New!$A:$M, 4, FALSE), ""))</f>
        <v/>
      </c>
      <c r="F613" s="5">
        <f t="shared" si="1"/>
        <v>0</v>
      </c>
      <c r="G613" s="16" t="str">
        <f>IF($A613="", "", IFERROR(VLOOKUP($A613, Stock_New!$A:$M, 5, FALSE), ""))</f>
        <v/>
      </c>
    </row>
    <row r="614" ht="22.5" customHeight="1">
      <c r="A614" s="11"/>
      <c r="B614" s="16" t="str">
        <f>IF(A614="","",IFERROR(VLOOKUP(A614, Stock_New!A:M, 2, FALSE),""))</f>
        <v/>
      </c>
      <c r="C614" s="16" t="str">
        <f>IF(A614="","",IFERROR(VLOOKUP(A614, Stock_New!A:M, 3, FALSE),""))</f>
        <v/>
      </c>
      <c r="D614" s="16"/>
      <c r="E614" s="16" t="str">
        <f>IF($A614="", "", IFERROR(VLOOKUP($A614, Stock_New!$A:$M, 4, FALSE), ""))</f>
        <v/>
      </c>
      <c r="F614" s="5">
        <f t="shared" si="1"/>
        <v>0</v>
      </c>
      <c r="G614" s="16" t="str">
        <f>IF($A614="", "", IFERROR(VLOOKUP($A614, Stock_New!$A:$M, 5, FALSE), ""))</f>
        <v/>
      </c>
    </row>
    <row r="615" ht="22.5" customHeight="1">
      <c r="A615" s="11"/>
      <c r="B615" s="16" t="str">
        <f>IF(A615="","",IFERROR(VLOOKUP(A615, Stock_New!A:M, 2, FALSE),""))</f>
        <v/>
      </c>
      <c r="C615" s="16" t="str">
        <f>IF(A615="","",IFERROR(VLOOKUP(A615, Stock_New!A:M, 3, FALSE),""))</f>
        <v/>
      </c>
      <c r="D615" s="16"/>
      <c r="E615" s="16" t="str">
        <f>IF($A615="", "", IFERROR(VLOOKUP($A615, Stock_New!$A:$M, 4, FALSE), ""))</f>
        <v/>
      </c>
      <c r="F615" s="5">
        <f t="shared" si="1"/>
        <v>0</v>
      </c>
      <c r="G615" s="16" t="str">
        <f>IF($A615="", "", IFERROR(VLOOKUP($A615, Stock_New!$A:$M, 5, FALSE), ""))</f>
        <v/>
      </c>
    </row>
    <row r="616" ht="22.5" customHeight="1">
      <c r="A616" s="11"/>
      <c r="B616" s="16" t="str">
        <f>IF(A616="","",IFERROR(VLOOKUP(A616, Stock_New!A:M, 2, FALSE),""))</f>
        <v/>
      </c>
      <c r="C616" s="16" t="str">
        <f>IF(A616="","",IFERROR(VLOOKUP(A616, Stock_New!A:M, 3, FALSE),""))</f>
        <v/>
      </c>
      <c r="D616" s="16"/>
      <c r="E616" s="16" t="str">
        <f>IF($A616="", "", IFERROR(VLOOKUP($A616, Stock_New!$A:$M, 4, FALSE), ""))</f>
        <v/>
      </c>
      <c r="F616" s="5">
        <f t="shared" si="1"/>
        <v>0</v>
      </c>
      <c r="G616" s="16" t="str">
        <f>IF($A616="", "", IFERROR(VLOOKUP($A616, Stock_New!$A:$M, 5, FALSE), ""))</f>
        <v/>
      </c>
    </row>
    <row r="617" ht="22.5" customHeight="1">
      <c r="A617" s="11"/>
      <c r="B617" s="16" t="str">
        <f>IF(A617="","",IFERROR(VLOOKUP(A617, Stock_New!A:M, 2, FALSE),""))</f>
        <v/>
      </c>
      <c r="C617" s="16" t="str">
        <f>IF(A617="","",IFERROR(VLOOKUP(A617, Stock_New!A:M, 3, FALSE),""))</f>
        <v/>
      </c>
      <c r="D617" s="16"/>
      <c r="E617" s="16" t="str">
        <f>IF($A617="", "", IFERROR(VLOOKUP($A617, Stock_New!$A:$M, 4, FALSE), ""))</f>
        <v/>
      </c>
      <c r="F617" s="5">
        <f t="shared" si="1"/>
        <v>0</v>
      </c>
      <c r="G617" s="16" t="str">
        <f>IF($A617="", "", IFERROR(VLOOKUP($A617, Stock_New!$A:$M, 5, FALSE), ""))</f>
        <v/>
      </c>
    </row>
    <row r="618" ht="22.5" customHeight="1">
      <c r="A618" s="11"/>
      <c r="B618" s="16" t="str">
        <f>IF(A618="","",IFERROR(VLOOKUP(A618, Stock_New!A:M, 2, FALSE),""))</f>
        <v/>
      </c>
      <c r="C618" s="16" t="str">
        <f>IF(A618="","",IFERROR(VLOOKUP(A618, Stock_New!A:M, 3, FALSE),""))</f>
        <v/>
      </c>
      <c r="D618" s="16"/>
      <c r="E618" s="16" t="str">
        <f>IF($A618="", "", IFERROR(VLOOKUP($A618, Stock_New!$A:$M, 4, FALSE), ""))</f>
        <v/>
      </c>
      <c r="F618" s="5">
        <f t="shared" si="1"/>
        <v>0</v>
      </c>
      <c r="G618" s="16" t="str">
        <f>IF($A618="", "", IFERROR(VLOOKUP($A618, Stock_New!$A:$M, 5, FALSE), ""))</f>
        <v/>
      </c>
    </row>
    <row r="619" ht="22.5" customHeight="1">
      <c r="A619" s="11"/>
      <c r="B619" s="16" t="str">
        <f>IF(A619="","",IFERROR(VLOOKUP(A619, Stock_New!A:M, 2, FALSE),""))</f>
        <v/>
      </c>
      <c r="C619" s="16" t="str">
        <f>IF(A619="","",IFERROR(VLOOKUP(A619, Stock_New!A:M, 3, FALSE),""))</f>
        <v/>
      </c>
      <c r="D619" s="16"/>
      <c r="E619" s="16" t="str">
        <f>IF($A619="", "", IFERROR(VLOOKUP($A619, Stock_New!$A:$M, 4, FALSE), ""))</f>
        <v/>
      </c>
      <c r="F619" s="5">
        <f t="shared" si="1"/>
        <v>0</v>
      </c>
      <c r="G619" s="16" t="str">
        <f>IF($A619="", "", IFERROR(VLOOKUP($A619, Stock_New!$A:$M, 5, FALSE), ""))</f>
        <v/>
      </c>
    </row>
    <row r="620" ht="22.5" customHeight="1">
      <c r="A620" s="11"/>
      <c r="B620" s="16" t="str">
        <f>IF(A620="","",IFERROR(VLOOKUP(A620, Stock_New!A:M, 2, FALSE),""))</f>
        <v/>
      </c>
      <c r="C620" s="16" t="str">
        <f>IF(A620="","",IFERROR(VLOOKUP(A620, Stock_New!A:M, 3, FALSE),""))</f>
        <v/>
      </c>
      <c r="D620" s="16"/>
      <c r="E620" s="16" t="str">
        <f>IF($A620="", "", IFERROR(VLOOKUP($A620, Stock_New!$A:$M, 4, FALSE), ""))</f>
        <v/>
      </c>
      <c r="F620" s="5">
        <f t="shared" si="1"/>
        <v>0</v>
      </c>
      <c r="G620" s="16" t="str">
        <f>IF($A620="", "", IFERROR(VLOOKUP($A620, Stock_New!$A:$M, 5, FALSE), ""))</f>
        <v/>
      </c>
    </row>
    <row r="621" ht="22.5" customHeight="1">
      <c r="A621" s="11"/>
      <c r="B621" s="16" t="str">
        <f>IF(A621="","",IFERROR(VLOOKUP(A621, Stock_New!A:M, 2, FALSE),""))</f>
        <v/>
      </c>
      <c r="C621" s="16" t="str">
        <f>IF(A621="","",IFERROR(VLOOKUP(A621, Stock_New!A:M, 3, FALSE),""))</f>
        <v/>
      </c>
      <c r="D621" s="16"/>
      <c r="E621" s="16" t="str">
        <f>IF($A621="", "", IFERROR(VLOOKUP($A621, Stock_New!$A:$M, 4, FALSE), ""))</f>
        <v/>
      </c>
      <c r="F621" s="5">
        <f t="shared" si="1"/>
        <v>0</v>
      </c>
      <c r="G621" s="16" t="str">
        <f>IF($A621="", "", IFERROR(VLOOKUP($A621, Stock_New!$A:$M, 5, FALSE), ""))</f>
        <v/>
      </c>
    </row>
    <row r="622" ht="22.5" customHeight="1">
      <c r="A622" s="11"/>
      <c r="B622" s="16" t="str">
        <f>IF(A622="","",IFERROR(VLOOKUP(A622, Stock_New!A:M, 2, FALSE),""))</f>
        <v/>
      </c>
      <c r="C622" s="16" t="str">
        <f>IF(A622="","",IFERROR(VLOOKUP(A622, Stock_New!A:M, 3, FALSE),""))</f>
        <v/>
      </c>
      <c r="D622" s="16"/>
      <c r="E622" s="16" t="str">
        <f>IF($A622="", "", IFERROR(VLOOKUP($A622, Stock_New!$A:$M, 4, FALSE), ""))</f>
        <v/>
      </c>
      <c r="F622" s="5">
        <f t="shared" si="1"/>
        <v>0</v>
      </c>
      <c r="G622" s="16" t="str">
        <f>IF($A622="", "", IFERROR(VLOOKUP($A622, Stock_New!$A:$M, 5, FALSE), ""))</f>
        <v/>
      </c>
    </row>
    <row r="623" ht="22.5" customHeight="1">
      <c r="A623" s="11"/>
      <c r="B623" s="16" t="str">
        <f>IF(A623="","",IFERROR(VLOOKUP(A623, Stock_New!A:M, 2, FALSE),""))</f>
        <v/>
      </c>
      <c r="C623" s="16" t="str">
        <f>IF(A623="","",IFERROR(VLOOKUP(A623, Stock_New!A:M, 3, FALSE),""))</f>
        <v/>
      </c>
      <c r="D623" s="16"/>
      <c r="E623" s="16" t="str">
        <f>IF($A623="", "", IFERROR(VLOOKUP($A623, Stock_New!$A:$M, 4, FALSE), ""))</f>
        <v/>
      </c>
      <c r="F623" s="5">
        <f t="shared" si="1"/>
        <v>0</v>
      </c>
      <c r="G623" s="16" t="str">
        <f>IF($A623="", "", IFERROR(VLOOKUP($A623, Stock_New!$A:$M, 5, FALSE), ""))</f>
        <v/>
      </c>
    </row>
    <row r="624" ht="22.5" customHeight="1">
      <c r="A624" s="11"/>
      <c r="B624" s="16" t="str">
        <f>IF(A624="","",IFERROR(VLOOKUP(A624, Stock_New!A:M, 2, FALSE),""))</f>
        <v/>
      </c>
      <c r="C624" s="16" t="str">
        <f>IF(A624="","",IFERROR(VLOOKUP(A624, Stock_New!A:M, 3, FALSE),""))</f>
        <v/>
      </c>
      <c r="D624" s="16"/>
      <c r="E624" s="16" t="str">
        <f>IF($A624="", "", IFERROR(VLOOKUP($A624, Stock_New!$A:$M, 4, FALSE), ""))</f>
        <v/>
      </c>
      <c r="F624" s="5">
        <f t="shared" si="1"/>
        <v>0</v>
      </c>
      <c r="G624" s="16" t="str">
        <f>IF($A624="", "", IFERROR(VLOOKUP($A624, Stock_New!$A:$M, 5, FALSE), ""))</f>
        <v/>
      </c>
    </row>
    <row r="625" ht="22.5" customHeight="1">
      <c r="A625" s="11"/>
      <c r="B625" s="16" t="str">
        <f>IF(A625="","",IFERROR(VLOOKUP(A625, Stock_New!A:M, 2, FALSE),""))</f>
        <v/>
      </c>
      <c r="C625" s="16" t="str">
        <f>IF(A625="","",IFERROR(VLOOKUP(A625, Stock_New!A:M, 3, FALSE),""))</f>
        <v/>
      </c>
      <c r="D625" s="16"/>
      <c r="E625" s="16" t="str">
        <f>IF($A625="", "", IFERROR(VLOOKUP($A625, Stock_New!$A:$M, 4, FALSE), ""))</f>
        <v/>
      </c>
      <c r="F625" s="5">
        <f t="shared" si="1"/>
        <v>0</v>
      </c>
      <c r="G625" s="16" t="str">
        <f>IF($A625="", "", IFERROR(VLOOKUP($A625, Stock_New!$A:$M, 5, FALSE), ""))</f>
        <v/>
      </c>
    </row>
    <row r="626" ht="22.5" customHeight="1">
      <c r="A626" s="11"/>
      <c r="B626" s="16" t="str">
        <f>IF(A626="","",IFERROR(VLOOKUP(A626, Stock_New!A:M, 2, FALSE),""))</f>
        <v/>
      </c>
      <c r="C626" s="16" t="str">
        <f>IF(A626="","",IFERROR(VLOOKUP(A626, Stock_New!A:M, 3, FALSE),""))</f>
        <v/>
      </c>
      <c r="D626" s="16"/>
      <c r="E626" s="16" t="str">
        <f>IF($A626="", "", IFERROR(VLOOKUP($A626, Stock_New!$A:$M, 4, FALSE), ""))</f>
        <v/>
      </c>
      <c r="F626" s="5">
        <f t="shared" si="1"/>
        <v>0</v>
      </c>
      <c r="G626" s="16" t="str">
        <f>IF($A626="", "", IFERROR(VLOOKUP($A626, Stock_New!$A:$M, 5, FALSE), ""))</f>
        <v/>
      </c>
    </row>
    <row r="627" ht="22.5" customHeight="1">
      <c r="A627" s="11"/>
      <c r="B627" s="16" t="str">
        <f>IF(A627="","",IFERROR(VLOOKUP(A627, Stock_New!A:M, 2, FALSE),""))</f>
        <v/>
      </c>
      <c r="C627" s="16" t="str">
        <f>IF(A627="","",IFERROR(VLOOKUP(A627, Stock_New!A:M, 3, FALSE),""))</f>
        <v/>
      </c>
      <c r="D627" s="16"/>
      <c r="E627" s="16" t="str">
        <f>IF($A627="", "", IFERROR(VLOOKUP($A627, Stock_New!$A:$M, 4, FALSE), ""))</f>
        <v/>
      </c>
      <c r="F627" s="5">
        <f t="shared" si="1"/>
        <v>0</v>
      </c>
      <c r="G627" s="16" t="str">
        <f>IF($A627="", "", IFERROR(VLOOKUP($A627, Stock_New!$A:$M, 5, FALSE), ""))</f>
        <v/>
      </c>
    </row>
    <row r="628" ht="22.5" customHeight="1">
      <c r="A628" s="11"/>
      <c r="B628" s="16" t="str">
        <f>IF(A628="","",IFERROR(VLOOKUP(A628, Stock_New!A:M, 2, FALSE),""))</f>
        <v/>
      </c>
      <c r="C628" s="16" t="str">
        <f>IF(A628="","",IFERROR(VLOOKUP(A628, Stock_New!A:M, 3, FALSE),""))</f>
        <v/>
      </c>
      <c r="D628" s="16"/>
      <c r="E628" s="16" t="str">
        <f>IF($A628="", "", IFERROR(VLOOKUP($A628, Stock_New!$A:$M, 4, FALSE), ""))</f>
        <v/>
      </c>
      <c r="F628" s="5">
        <f t="shared" si="1"/>
        <v>0</v>
      </c>
      <c r="G628" s="16" t="str">
        <f>IF($A628="", "", IFERROR(VLOOKUP($A628, Stock_New!$A:$M, 5, FALSE), ""))</f>
        <v/>
      </c>
    </row>
    <row r="629" ht="22.5" customHeight="1">
      <c r="A629" s="11"/>
      <c r="B629" s="16" t="str">
        <f>IF(A629="","",IFERROR(VLOOKUP(A629, Stock_New!A:M, 2, FALSE),""))</f>
        <v/>
      </c>
      <c r="C629" s="16" t="str">
        <f>IF(A629="","",IFERROR(VLOOKUP(A629, Stock_New!A:M, 3, FALSE),""))</f>
        <v/>
      </c>
      <c r="D629" s="16"/>
      <c r="E629" s="16" t="str">
        <f>IF($A629="", "", IFERROR(VLOOKUP($A629, Stock_New!$A:$M, 4, FALSE), ""))</f>
        <v/>
      </c>
      <c r="F629" s="5">
        <f t="shared" si="1"/>
        <v>0</v>
      </c>
      <c r="G629" s="16" t="str">
        <f>IF($A629="", "", IFERROR(VLOOKUP($A629, Stock_New!$A:$M, 5, FALSE), ""))</f>
        <v/>
      </c>
    </row>
    <row r="630" ht="22.5" customHeight="1">
      <c r="A630" s="11"/>
      <c r="B630" s="16" t="str">
        <f>IF(A630="","",IFERROR(VLOOKUP(A630, Stock_New!A:M, 2, FALSE),""))</f>
        <v/>
      </c>
      <c r="C630" s="16" t="str">
        <f>IF(A630="","",IFERROR(VLOOKUP(A630, Stock_New!A:M, 3, FALSE),""))</f>
        <v/>
      </c>
      <c r="D630" s="16"/>
      <c r="E630" s="16" t="str">
        <f>IF($A630="", "", IFERROR(VLOOKUP($A630, Stock_New!$A:$M, 4, FALSE), ""))</f>
        <v/>
      </c>
      <c r="F630" s="5">
        <f t="shared" si="1"/>
        <v>0</v>
      </c>
      <c r="G630" s="16" t="str">
        <f>IF($A630="", "", IFERROR(VLOOKUP($A630, Stock_New!$A:$M, 5, FALSE), ""))</f>
        <v/>
      </c>
    </row>
    <row r="631" ht="22.5" customHeight="1">
      <c r="A631" s="11"/>
      <c r="B631" s="16" t="str">
        <f>IF(A631="","",IFERROR(VLOOKUP(A631, Stock_New!A:M, 2, FALSE),""))</f>
        <v/>
      </c>
      <c r="C631" s="16" t="str">
        <f>IF(A631="","",IFERROR(VLOOKUP(A631, Stock_New!A:M, 3, FALSE),""))</f>
        <v/>
      </c>
      <c r="D631" s="16"/>
      <c r="E631" s="16" t="str">
        <f>IF($A631="", "", IFERROR(VLOOKUP($A631, Stock_New!$A:$M, 4, FALSE), ""))</f>
        <v/>
      </c>
      <c r="F631" s="5">
        <f t="shared" si="1"/>
        <v>0</v>
      </c>
      <c r="G631" s="16" t="str">
        <f>IF($A631="", "", IFERROR(VLOOKUP($A631, Stock_New!$A:$M, 5, FALSE), ""))</f>
        <v/>
      </c>
    </row>
    <row r="632" ht="22.5" customHeight="1">
      <c r="A632" s="11"/>
      <c r="B632" s="16" t="str">
        <f>IF(A632="","",IFERROR(VLOOKUP(A632, Stock_New!A:M, 2, FALSE),""))</f>
        <v/>
      </c>
      <c r="C632" s="16" t="str">
        <f>IF(A632="","",IFERROR(VLOOKUP(A632, Stock_New!A:M, 3, FALSE),""))</f>
        <v/>
      </c>
      <c r="D632" s="16"/>
      <c r="E632" s="16" t="str">
        <f>IF($A632="", "", IFERROR(VLOOKUP($A632, Stock_New!$A:$M, 4, FALSE), ""))</f>
        <v/>
      </c>
      <c r="F632" s="5">
        <f t="shared" si="1"/>
        <v>0</v>
      </c>
      <c r="G632" s="16" t="str">
        <f>IF($A632="", "", IFERROR(VLOOKUP($A632, Stock_New!$A:$M, 5, FALSE), ""))</f>
        <v/>
      </c>
    </row>
    <row r="633" ht="22.5" customHeight="1">
      <c r="A633" s="11"/>
      <c r="B633" s="16" t="str">
        <f>IF(A633="","",IFERROR(VLOOKUP(A633, Stock_New!A:M, 2, FALSE),""))</f>
        <v/>
      </c>
      <c r="C633" s="16" t="str">
        <f>IF(A633="","",IFERROR(VLOOKUP(A633, Stock_New!A:M, 3, FALSE),""))</f>
        <v/>
      </c>
      <c r="D633" s="16"/>
      <c r="E633" s="16" t="str">
        <f>IF($A633="", "", IFERROR(VLOOKUP($A633, Stock_New!$A:$M, 4, FALSE), ""))</f>
        <v/>
      </c>
      <c r="F633" s="5">
        <f t="shared" si="1"/>
        <v>0</v>
      </c>
      <c r="G633" s="16" t="str">
        <f>IF($A633="", "", IFERROR(VLOOKUP($A633, Stock_New!$A:$M, 5, FALSE), ""))</f>
        <v/>
      </c>
    </row>
    <row r="634" ht="22.5" customHeight="1">
      <c r="A634" s="11"/>
      <c r="B634" s="16" t="str">
        <f>IF(A634="","",IFERROR(VLOOKUP(A634, Stock_New!A:M, 2, FALSE),""))</f>
        <v/>
      </c>
      <c r="C634" s="16" t="str">
        <f>IF(A634="","",IFERROR(VLOOKUP(A634, Stock_New!A:M, 3, FALSE),""))</f>
        <v/>
      </c>
      <c r="D634" s="16"/>
      <c r="E634" s="16" t="str">
        <f>IF($A634="", "", IFERROR(VLOOKUP($A634, Stock_New!$A:$M, 4, FALSE), ""))</f>
        <v/>
      </c>
      <c r="F634" s="5">
        <f t="shared" si="1"/>
        <v>0</v>
      </c>
      <c r="G634" s="16" t="str">
        <f>IF($A634="", "", IFERROR(VLOOKUP($A634, Stock_New!$A:$M, 5, FALSE), ""))</f>
        <v/>
      </c>
    </row>
    <row r="635" ht="22.5" customHeight="1">
      <c r="A635" s="11"/>
      <c r="B635" s="16" t="str">
        <f>IF(A635="","",IFERROR(VLOOKUP(A635, Stock_New!A:M, 2, FALSE),""))</f>
        <v/>
      </c>
      <c r="C635" s="16" t="str">
        <f>IF(A635="","",IFERROR(VLOOKUP(A635, Stock_New!A:M, 3, FALSE),""))</f>
        <v/>
      </c>
      <c r="D635" s="16"/>
      <c r="E635" s="16" t="str">
        <f>IF($A635="", "", IFERROR(VLOOKUP($A635, Stock_New!$A:$M, 4, FALSE), ""))</f>
        <v/>
      </c>
      <c r="F635" s="5">
        <f t="shared" si="1"/>
        <v>0</v>
      </c>
      <c r="G635" s="16" t="str">
        <f>IF($A635="", "", IFERROR(VLOOKUP($A635, Stock_New!$A:$M, 5, FALSE), ""))</f>
        <v/>
      </c>
    </row>
    <row r="636" ht="22.5" customHeight="1">
      <c r="A636" s="11"/>
      <c r="B636" s="16" t="str">
        <f>IF(A636="","",IFERROR(VLOOKUP(A636, Stock_New!A:M, 2, FALSE),""))</f>
        <v/>
      </c>
      <c r="C636" s="16" t="str">
        <f>IF(A636="","",IFERROR(VLOOKUP(A636, Stock_New!A:M, 3, FALSE),""))</f>
        <v/>
      </c>
      <c r="D636" s="16"/>
      <c r="E636" s="16" t="str">
        <f>IF($A636="", "", IFERROR(VLOOKUP($A636, Stock_New!$A:$M, 4, FALSE), ""))</f>
        <v/>
      </c>
      <c r="F636" s="5">
        <f t="shared" si="1"/>
        <v>0</v>
      </c>
      <c r="G636" s="16" t="str">
        <f>IF($A636="", "", IFERROR(VLOOKUP($A636, Stock_New!$A:$M, 5, FALSE), ""))</f>
        <v/>
      </c>
    </row>
    <row r="637" ht="22.5" customHeight="1">
      <c r="A637" s="11"/>
      <c r="B637" s="16" t="str">
        <f>IF(A637="","",IFERROR(VLOOKUP(A637, Stock_New!A:M, 2, FALSE),""))</f>
        <v/>
      </c>
      <c r="C637" s="16" t="str">
        <f>IF(A637="","",IFERROR(VLOOKUP(A637, Stock_New!A:M, 3, FALSE),""))</f>
        <v/>
      </c>
      <c r="D637" s="16"/>
      <c r="E637" s="16" t="str">
        <f>IF($A637="", "", IFERROR(VLOOKUP($A637, Stock_New!$A:$M, 4, FALSE), ""))</f>
        <v/>
      </c>
      <c r="F637" s="5">
        <f t="shared" si="1"/>
        <v>0</v>
      </c>
      <c r="G637" s="16" t="str">
        <f>IF($A637="", "", IFERROR(VLOOKUP($A637, Stock_New!$A:$M, 5, FALSE), ""))</f>
        <v/>
      </c>
    </row>
    <row r="638" ht="22.5" customHeight="1">
      <c r="A638" s="11"/>
      <c r="B638" s="16" t="str">
        <f>IF(A638="","",IFERROR(VLOOKUP(A638, Stock_New!A:M, 2, FALSE),""))</f>
        <v/>
      </c>
      <c r="C638" s="16" t="str">
        <f>IF(A638="","",IFERROR(VLOOKUP(A638, Stock_New!A:M, 3, FALSE),""))</f>
        <v/>
      </c>
      <c r="D638" s="16"/>
      <c r="E638" s="16" t="str">
        <f>IF($A638="", "", IFERROR(VLOOKUP($A638, Stock_New!$A:$M, 4, FALSE), ""))</f>
        <v/>
      </c>
      <c r="F638" s="5">
        <f t="shared" si="1"/>
        <v>0</v>
      </c>
      <c r="G638" s="16" t="str">
        <f>IF($A638="", "", IFERROR(VLOOKUP($A638, Stock_New!$A:$M, 5, FALSE), ""))</f>
        <v/>
      </c>
    </row>
    <row r="639" ht="22.5" customHeight="1">
      <c r="A639" s="11"/>
      <c r="B639" s="16" t="str">
        <f>IF(A639="","",IFERROR(VLOOKUP(A639, Stock_New!A:M, 2, FALSE),""))</f>
        <v/>
      </c>
      <c r="C639" s="16" t="str">
        <f>IF(A639="","",IFERROR(VLOOKUP(A639, Stock_New!A:M, 3, FALSE),""))</f>
        <v/>
      </c>
      <c r="D639" s="16"/>
      <c r="E639" s="16" t="str">
        <f>IF($A639="", "", IFERROR(VLOOKUP($A639, Stock_New!$A:$M, 4, FALSE), ""))</f>
        <v/>
      </c>
      <c r="F639" s="5">
        <f t="shared" si="1"/>
        <v>0</v>
      </c>
      <c r="G639" s="16" t="str">
        <f>IF($A639="", "", IFERROR(VLOOKUP($A639, Stock_New!$A:$M, 5, FALSE), ""))</f>
        <v/>
      </c>
    </row>
    <row r="640" ht="22.5" customHeight="1">
      <c r="A640" s="11"/>
      <c r="B640" s="16" t="str">
        <f>IF(A640="","",IFERROR(VLOOKUP(A640, Stock_New!A:M, 2, FALSE),""))</f>
        <v/>
      </c>
      <c r="C640" s="16" t="str">
        <f>IF(A640="","",IFERROR(VLOOKUP(A640, Stock_New!A:M, 3, FALSE),""))</f>
        <v/>
      </c>
      <c r="D640" s="16"/>
      <c r="E640" s="16" t="str">
        <f>IF($A640="", "", IFERROR(VLOOKUP($A640, Stock_New!$A:$M, 4, FALSE), ""))</f>
        <v/>
      </c>
      <c r="F640" s="5">
        <f t="shared" si="1"/>
        <v>0</v>
      </c>
      <c r="G640" s="16" t="str">
        <f>IF($A640="", "", IFERROR(VLOOKUP($A640, Stock_New!$A:$M, 5, FALSE), ""))</f>
        <v/>
      </c>
    </row>
    <row r="641" ht="22.5" customHeight="1">
      <c r="A641" s="11"/>
      <c r="B641" s="16" t="str">
        <f>IF(A641="","",IFERROR(VLOOKUP(A641, Stock_New!A:M, 2, FALSE),""))</f>
        <v/>
      </c>
      <c r="C641" s="16" t="str">
        <f>IF(A641="","",IFERROR(VLOOKUP(A641, Stock_New!A:M, 3, FALSE),""))</f>
        <v/>
      </c>
      <c r="D641" s="16"/>
      <c r="E641" s="16" t="str">
        <f>IF($A641="", "", IFERROR(VLOOKUP($A641, Stock_New!$A:$M, 4, FALSE), ""))</f>
        <v/>
      </c>
      <c r="F641" s="5">
        <f t="shared" si="1"/>
        <v>0</v>
      </c>
      <c r="G641" s="16" t="str">
        <f>IF($A641="", "", IFERROR(VLOOKUP($A641, Stock_New!$A:$M, 5, FALSE), ""))</f>
        <v/>
      </c>
    </row>
    <row r="642" ht="22.5" customHeight="1">
      <c r="A642" s="11"/>
      <c r="B642" s="16" t="str">
        <f>IF(A642="","",IFERROR(VLOOKUP(A642, Stock_New!A:M, 2, FALSE),""))</f>
        <v/>
      </c>
      <c r="C642" s="16" t="str">
        <f>IF(A642="","",IFERROR(VLOOKUP(A642, Stock_New!A:M, 3, FALSE),""))</f>
        <v/>
      </c>
      <c r="D642" s="16"/>
      <c r="E642" s="16" t="str">
        <f>IF($A642="", "", IFERROR(VLOOKUP($A642, Stock_New!$A:$M, 4, FALSE), ""))</f>
        <v/>
      </c>
      <c r="F642" s="5">
        <f t="shared" si="1"/>
        <v>0</v>
      </c>
      <c r="G642" s="16" t="str">
        <f>IF($A642="", "", IFERROR(VLOOKUP($A642, Stock_New!$A:$M, 5, FALSE), ""))</f>
        <v/>
      </c>
    </row>
    <row r="643" ht="22.5" customHeight="1">
      <c r="A643" s="11"/>
      <c r="B643" s="16" t="str">
        <f>IF(A643="","",IFERROR(VLOOKUP(A643, Stock_New!A:M, 2, FALSE),""))</f>
        <v/>
      </c>
      <c r="C643" s="16" t="str">
        <f>IF(A643="","",IFERROR(VLOOKUP(A643, Stock_New!A:M, 3, FALSE),""))</f>
        <v/>
      </c>
      <c r="D643" s="16"/>
      <c r="E643" s="16" t="str">
        <f>IF($A643="", "", IFERROR(VLOOKUP($A643, Stock_New!$A:$M, 4, FALSE), ""))</f>
        <v/>
      </c>
      <c r="F643" s="5">
        <f t="shared" si="1"/>
        <v>0</v>
      </c>
      <c r="G643" s="16" t="str">
        <f>IF($A643="", "", IFERROR(VLOOKUP($A643, Stock_New!$A:$M, 5, FALSE), ""))</f>
        <v/>
      </c>
    </row>
    <row r="644" ht="22.5" customHeight="1">
      <c r="A644" s="11"/>
      <c r="B644" s="16" t="str">
        <f>IF(A644="","",IFERROR(VLOOKUP(A644, Stock_New!A:M, 2, FALSE),""))</f>
        <v/>
      </c>
      <c r="C644" s="16" t="str">
        <f>IF(A644="","",IFERROR(VLOOKUP(A644, Stock_New!A:M, 3, FALSE),""))</f>
        <v/>
      </c>
      <c r="D644" s="16"/>
      <c r="E644" s="16" t="str">
        <f>IF($A644="", "", IFERROR(VLOOKUP($A644, Stock_New!$A:$M, 4, FALSE), ""))</f>
        <v/>
      </c>
      <c r="F644" s="5">
        <f t="shared" si="1"/>
        <v>0</v>
      </c>
      <c r="G644" s="16" t="str">
        <f>IF($A644="", "", IFERROR(VLOOKUP($A644, Stock_New!$A:$M, 5, FALSE), ""))</f>
        <v/>
      </c>
    </row>
    <row r="645" ht="22.5" customHeight="1">
      <c r="A645" s="11"/>
      <c r="B645" s="16" t="str">
        <f>IF(A645="","",IFERROR(VLOOKUP(A645, Stock_New!A:M, 2, FALSE),""))</f>
        <v/>
      </c>
      <c r="C645" s="16" t="str">
        <f>IF(A645="","",IFERROR(VLOOKUP(A645, Stock_New!A:M, 3, FALSE),""))</f>
        <v/>
      </c>
      <c r="D645" s="16"/>
      <c r="E645" s="16" t="str">
        <f>IF($A645="", "", IFERROR(VLOOKUP($A645, Stock_New!$A:$M, 4, FALSE), ""))</f>
        <v/>
      </c>
      <c r="F645" s="5">
        <f t="shared" si="1"/>
        <v>0</v>
      </c>
      <c r="G645" s="16" t="str">
        <f>IF($A645="", "", IFERROR(VLOOKUP($A645, Stock_New!$A:$M, 5, FALSE), ""))</f>
        <v/>
      </c>
    </row>
    <row r="646" ht="22.5" customHeight="1">
      <c r="A646" s="11"/>
      <c r="B646" s="16" t="str">
        <f>IF(A646="","",IFERROR(VLOOKUP(A646, Stock_New!A:M, 2, FALSE),""))</f>
        <v/>
      </c>
      <c r="C646" s="16" t="str">
        <f>IF(A646="","",IFERROR(VLOOKUP(A646, Stock_New!A:M, 3, FALSE),""))</f>
        <v/>
      </c>
      <c r="D646" s="16"/>
      <c r="E646" s="16" t="str">
        <f>IF($A646="", "", IFERROR(VLOOKUP($A646, Stock_New!$A:$M, 4, FALSE), ""))</f>
        <v/>
      </c>
      <c r="F646" s="5">
        <f t="shared" si="1"/>
        <v>0</v>
      </c>
      <c r="G646" s="16" t="str">
        <f>IF($A646="", "", IFERROR(VLOOKUP($A646, Stock_New!$A:$M, 5, FALSE), ""))</f>
        <v/>
      </c>
    </row>
    <row r="647" ht="22.5" customHeight="1">
      <c r="A647" s="11"/>
      <c r="B647" s="16" t="str">
        <f>IF(A647="","",IFERROR(VLOOKUP(A647, Stock_New!A:M, 2, FALSE),""))</f>
        <v/>
      </c>
      <c r="C647" s="16" t="str">
        <f>IF(A647="","",IFERROR(VLOOKUP(A647, Stock_New!A:M, 3, FALSE),""))</f>
        <v/>
      </c>
      <c r="D647" s="16"/>
      <c r="E647" s="16" t="str">
        <f>IF($A647="", "", IFERROR(VLOOKUP($A647, Stock_New!$A:$M, 4, FALSE), ""))</f>
        <v/>
      </c>
      <c r="F647" s="5">
        <f t="shared" si="1"/>
        <v>0</v>
      </c>
      <c r="G647" s="16" t="str">
        <f>IF($A647="", "", IFERROR(VLOOKUP($A647, Stock_New!$A:$M, 5, FALSE), ""))</f>
        <v/>
      </c>
    </row>
    <row r="648" ht="22.5" customHeight="1">
      <c r="A648" s="11"/>
      <c r="B648" s="16" t="str">
        <f>IF(A648="","",IFERROR(VLOOKUP(A648, Stock_New!A:M, 2, FALSE),""))</f>
        <v/>
      </c>
      <c r="C648" s="16" t="str">
        <f>IF(A648="","",IFERROR(VLOOKUP(A648, Stock_New!A:M, 3, FALSE),""))</f>
        <v/>
      </c>
      <c r="D648" s="16"/>
      <c r="E648" s="16" t="str">
        <f>IF($A648="", "", IFERROR(VLOOKUP($A648, Stock_New!$A:$M, 4, FALSE), ""))</f>
        <v/>
      </c>
      <c r="F648" s="5">
        <f t="shared" si="1"/>
        <v>0</v>
      </c>
      <c r="G648" s="16" t="str">
        <f>IF($A648="", "", IFERROR(VLOOKUP($A648, Stock_New!$A:$M, 5, FALSE), ""))</f>
        <v/>
      </c>
    </row>
    <row r="649" ht="22.5" customHeight="1">
      <c r="A649" s="11"/>
      <c r="B649" s="16" t="str">
        <f>IF(A649="","",IFERROR(VLOOKUP(A649, Stock_New!A:M, 2, FALSE),""))</f>
        <v/>
      </c>
      <c r="C649" s="16" t="str">
        <f>IF(A649="","",IFERROR(VLOOKUP(A649, Stock_New!A:M, 3, FALSE),""))</f>
        <v/>
      </c>
      <c r="D649" s="16"/>
      <c r="E649" s="16" t="str">
        <f>IF($A649="", "", IFERROR(VLOOKUP($A649, Stock_New!$A:$M, 4, FALSE), ""))</f>
        <v/>
      </c>
      <c r="F649" s="5">
        <f t="shared" si="1"/>
        <v>0</v>
      </c>
      <c r="G649" s="16" t="str">
        <f>IF($A649="", "", IFERROR(VLOOKUP($A649, Stock_New!$A:$M, 5, FALSE), ""))</f>
        <v/>
      </c>
    </row>
    <row r="650" ht="22.5" customHeight="1">
      <c r="A650" s="11"/>
      <c r="B650" s="16" t="str">
        <f>IF(A650="","",IFERROR(VLOOKUP(A650, Stock_New!A:M, 2, FALSE),""))</f>
        <v/>
      </c>
      <c r="C650" s="16" t="str">
        <f>IF(A650="","",IFERROR(VLOOKUP(A650, Stock_New!A:M, 3, FALSE),""))</f>
        <v/>
      </c>
      <c r="D650" s="16"/>
      <c r="E650" s="16" t="str">
        <f>IF($A650="", "", IFERROR(VLOOKUP($A650, Stock_New!$A:$M, 4, FALSE), ""))</f>
        <v/>
      </c>
      <c r="F650" s="5">
        <f t="shared" si="1"/>
        <v>0</v>
      </c>
      <c r="G650" s="16" t="str">
        <f>IF($A650="", "", IFERROR(VLOOKUP($A650, Stock_New!$A:$M, 5, FALSE), ""))</f>
        <v/>
      </c>
    </row>
    <row r="651" ht="22.5" customHeight="1">
      <c r="A651" s="11"/>
      <c r="B651" s="16" t="str">
        <f>IF(A651="","",IFERROR(VLOOKUP(A651, Stock_New!A:M, 2, FALSE),""))</f>
        <v/>
      </c>
      <c r="C651" s="16" t="str">
        <f>IF(A651="","",IFERROR(VLOOKUP(A651, Stock_New!A:M, 3, FALSE),""))</f>
        <v/>
      </c>
      <c r="D651" s="16"/>
      <c r="E651" s="16" t="str">
        <f>IF($A651="", "", IFERROR(VLOOKUP($A651, Stock_New!$A:$M, 4, FALSE), ""))</f>
        <v/>
      </c>
      <c r="F651" s="5">
        <f t="shared" si="1"/>
        <v>0</v>
      </c>
      <c r="G651" s="16" t="str">
        <f>IF($A651="", "", IFERROR(VLOOKUP($A651, Stock_New!$A:$M, 5, FALSE), ""))</f>
        <v/>
      </c>
    </row>
    <row r="652" ht="22.5" customHeight="1">
      <c r="A652" s="11"/>
      <c r="B652" s="16" t="str">
        <f>IF(A652="","",IFERROR(VLOOKUP(A652, Stock_New!A:M, 2, FALSE),""))</f>
        <v/>
      </c>
      <c r="C652" s="16" t="str">
        <f>IF(A652="","",IFERROR(VLOOKUP(A652, Stock_New!A:M, 3, FALSE),""))</f>
        <v/>
      </c>
      <c r="D652" s="16"/>
      <c r="E652" s="16" t="str">
        <f>IF($A652="", "", IFERROR(VLOOKUP($A652, Stock_New!$A:$M, 4, FALSE), ""))</f>
        <v/>
      </c>
      <c r="F652" s="5">
        <f t="shared" si="1"/>
        <v>0</v>
      </c>
      <c r="G652" s="16" t="str">
        <f>IF($A652="", "", IFERROR(VLOOKUP($A652, Stock_New!$A:$M, 5, FALSE), ""))</f>
        <v/>
      </c>
    </row>
    <row r="653" ht="22.5" customHeight="1">
      <c r="A653" s="11"/>
      <c r="B653" s="16" t="str">
        <f>IF(A653="","",IFERROR(VLOOKUP(A653, Stock_New!A:M, 2, FALSE),""))</f>
        <v/>
      </c>
      <c r="C653" s="16" t="str">
        <f>IF(A653="","",IFERROR(VLOOKUP(A653, Stock_New!A:M, 3, FALSE),""))</f>
        <v/>
      </c>
      <c r="D653" s="16"/>
      <c r="E653" s="16" t="str">
        <f>IF($A653="", "", IFERROR(VLOOKUP($A653, Stock_New!$A:$M, 4, FALSE), ""))</f>
        <v/>
      </c>
      <c r="F653" s="5">
        <f t="shared" si="1"/>
        <v>0</v>
      </c>
      <c r="G653" s="16" t="str">
        <f>IF($A653="", "", IFERROR(VLOOKUP($A653, Stock_New!$A:$M, 5, FALSE), ""))</f>
        <v/>
      </c>
    </row>
    <row r="654" ht="22.5" customHeight="1">
      <c r="A654" s="11"/>
      <c r="B654" s="16" t="str">
        <f>IF(A654="","",IFERROR(VLOOKUP(A654, Stock_New!A:M, 2, FALSE),""))</f>
        <v/>
      </c>
      <c r="C654" s="16" t="str">
        <f>IF(A654="","",IFERROR(VLOOKUP(A654, Stock_New!A:M, 3, FALSE),""))</f>
        <v/>
      </c>
      <c r="D654" s="16"/>
      <c r="E654" s="16" t="str">
        <f>IF($A654="", "", IFERROR(VLOOKUP($A654, Stock_New!$A:$M, 4, FALSE), ""))</f>
        <v/>
      </c>
      <c r="F654" s="5">
        <f t="shared" si="1"/>
        <v>0</v>
      </c>
      <c r="G654" s="16" t="str">
        <f>IF($A654="", "", IFERROR(VLOOKUP($A654, Stock_New!$A:$M, 5, FALSE), ""))</f>
        <v/>
      </c>
    </row>
    <row r="655" ht="22.5" customHeight="1">
      <c r="A655" s="11"/>
      <c r="B655" s="16" t="str">
        <f>IF(A655="","",IFERROR(VLOOKUP(A655, Stock_New!A:M, 2, FALSE),""))</f>
        <v/>
      </c>
      <c r="C655" s="16" t="str">
        <f>IF(A655="","",IFERROR(VLOOKUP(A655, Stock_New!A:M, 3, FALSE),""))</f>
        <v/>
      </c>
      <c r="D655" s="16"/>
      <c r="E655" s="16" t="str">
        <f>IF($A655="", "", IFERROR(VLOOKUP($A655, Stock_New!$A:$M, 4, FALSE), ""))</f>
        <v/>
      </c>
      <c r="F655" s="5">
        <f t="shared" si="1"/>
        <v>0</v>
      </c>
      <c r="G655" s="16" t="str">
        <f>IF($A655="", "", IFERROR(VLOOKUP($A655, Stock_New!$A:$M, 5, FALSE), ""))</f>
        <v/>
      </c>
    </row>
    <row r="656" ht="22.5" customHeight="1">
      <c r="A656" s="11"/>
      <c r="B656" s="16" t="str">
        <f>IF(A656="","",IFERROR(VLOOKUP(A656, Stock_New!A:M, 2, FALSE),""))</f>
        <v/>
      </c>
      <c r="C656" s="16" t="str">
        <f>IF(A656="","",IFERROR(VLOOKUP(A656, Stock_New!A:M, 3, FALSE),""))</f>
        <v/>
      </c>
      <c r="D656" s="16"/>
      <c r="E656" s="16" t="str">
        <f>IF($A656="", "", IFERROR(VLOOKUP($A656, Stock_New!$A:$M, 4, FALSE), ""))</f>
        <v/>
      </c>
      <c r="F656" s="5">
        <f t="shared" si="1"/>
        <v>0</v>
      </c>
      <c r="G656" s="16" t="str">
        <f>IF($A656="", "", IFERROR(VLOOKUP($A656, Stock_New!$A:$M, 5, FALSE), ""))</f>
        <v/>
      </c>
    </row>
    <row r="657" ht="22.5" customHeight="1">
      <c r="A657" s="11"/>
      <c r="B657" s="16" t="str">
        <f>IF(A657="","",IFERROR(VLOOKUP(A657, Stock_New!A:M, 2, FALSE),""))</f>
        <v/>
      </c>
      <c r="C657" s="16" t="str">
        <f>IF(A657="","",IFERROR(VLOOKUP(A657, Stock_New!A:M, 3, FALSE),""))</f>
        <v/>
      </c>
      <c r="D657" s="16"/>
      <c r="E657" s="16" t="str">
        <f>IF($A657="", "", IFERROR(VLOOKUP($A657, Stock_New!$A:$M, 4, FALSE), ""))</f>
        <v/>
      </c>
      <c r="F657" s="5">
        <f t="shared" si="1"/>
        <v>0</v>
      </c>
      <c r="G657" s="16" t="str">
        <f>IF($A657="", "", IFERROR(VLOOKUP($A657, Stock_New!$A:$M, 5, FALSE), ""))</f>
        <v/>
      </c>
    </row>
    <row r="658" ht="22.5" customHeight="1">
      <c r="A658" s="11"/>
      <c r="B658" s="16" t="str">
        <f>IF(A658="","",IFERROR(VLOOKUP(A658, Stock_New!A:M, 2, FALSE),""))</f>
        <v/>
      </c>
      <c r="C658" s="16" t="str">
        <f>IF(A658="","",IFERROR(VLOOKUP(A658, Stock_New!A:M, 3, FALSE),""))</f>
        <v/>
      </c>
      <c r="D658" s="16"/>
      <c r="E658" s="16" t="str">
        <f>IF($A658="", "", IFERROR(VLOOKUP($A658, Stock_New!$A:$M, 4, FALSE), ""))</f>
        <v/>
      </c>
      <c r="F658" s="5">
        <f t="shared" si="1"/>
        <v>0</v>
      </c>
      <c r="G658" s="16" t="str">
        <f>IF($A658="", "", IFERROR(VLOOKUP($A658, Stock_New!$A:$M, 5, FALSE), ""))</f>
        <v/>
      </c>
    </row>
    <row r="659" ht="22.5" customHeight="1">
      <c r="A659" s="11"/>
      <c r="B659" s="16" t="str">
        <f>IF(A659="","",IFERROR(VLOOKUP(A659, Stock_New!A:M, 2, FALSE),""))</f>
        <v/>
      </c>
      <c r="C659" s="16" t="str">
        <f>IF(A659="","",IFERROR(VLOOKUP(A659, Stock_New!A:M, 3, FALSE),""))</f>
        <v/>
      </c>
      <c r="D659" s="16"/>
      <c r="E659" s="16" t="str">
        <f>IF($A659="", "", IFERROR(VLOOKUP($A659, Stock_New!$A:$M, 4, FALSE), ""))</f>
        <v/>
      </c>
      <c r="F659" s="5">
        <f t="shared" si="1"/>
        <v>0</v>
      </c>
      <c r="G659" s="16" t="str">
        <f>IF($A659="", "", IFERROR(VLOOKUP($A659, Stock_New!$A:$M, 5, FALSE), ""))</f>
        <v/>
      </c>
    </row>
    <row r="660" ht="22.5" customHeight="1">
      <c r="A660" s="11"/>
      <c r="B660" s="16" t="str">
        <f>IF(A660="","",IFERROR(VLOOKUP(A660, Stock_New!A:M, 2, FALSE),""))</f>
        <v/>
      </c>
      <c r="C660" s="16" t="str">
        <f>IF(A660="","",IFERROR(VLOOKUP(A660, Stock_New!A:M, 3, FALSE),""))</f>
        <v/>
      </c>
      <c r="D660" s="16"/>
      <c r="E660" s="16" t="str">
        <f>IF($A660="", "", IFERROR(VLOOKUP($A660, Stock_New!$A:$M, 4, FALSE), ""))</f>
        <v/>
      </c>
      <c r="F660" s="5">
        <f t="shared" si="1"/>
        <v>0</v>
      </c>
      <c r="G660" s="16" t="str">
        <f>IF($A660="", "", IFERROR(VLOOKUP($A660, Stock_New!$A:$M, 5, FALSE), ""))</f>
        <v/>
      </c>
    </row>
    <row r="661" ht="22.5" customHeight="1">
      <c r="A661" s="11"/>
      <c r="B661" s="16" t="str">
        <f>IF(A661="","",IFERROR(VLOOKUP(A661, Stock_New!A:M, 2, FALSE),""))</f>
        <v/>
      </c>
      <c r="C661" s="16" t="str">
        <f>IF(A661="","",IFERROR(VLOOKUP(A661, Stock_New!A:M, 3, FALSE),""))</f>
        <v/>
      </c>
      <c r="D661" s="16"/>
      <c r="E661" s="16" t="str">
        <f>IF($A661="", "", IFERROR(VLOOKUP($A661, Stock_New!$A:$M, 4, FALSE), ""))</f>
        <v/>
      </c>
      <c r="F661" s="5">
        <f t="shared" si="1"/>
        <v>0</v>
      </c>
      <c r="G661" s="16" t="str">
        <f>IF($A661="", "", IFERROR(VLOOKUP($A661, Stock_New!$A:$M, 5, FALSE), ""))</f>
        <v/>
      </c>
    </row>
    <row r="662" ht="22.5" customHeight="1">
      <c r="A662" s="11"/>
      <c r="B662" s="16" t="str">
        <f>IF(A662="","",IFERROR(VLOOKUP(A662, Stock_New!A:M, 2, FALSE),""))</f>
        <v/>
      </c>
      <c r="C662" s="16" t="str">
        <f>IF(A662="","",IFERROR(VLOOKUP(A662, Stock_New!A:M, 3, FALSE),""))</f>
        <v/>
      </c>
      <c r="D662" s="16"/>
      <c r="E662" s="16" t="str">
        <f>IF($A662="", "", IFERROR(VLOOKUP($A662, Stock_New!$A:$M, 4, FALSE), ""))</f>
        <v/>
      </c>
      <c r="F662" s="5">
        <f t="shared" si="1"/>
        <v>0</v>
      </c>
      <c r="G662" s="16" t="str">
        <f>IF($A662="", "", IFERROR(VLOOKUP($A662, Stock_New!$A:$M, 5, FALSE), ""))</f>
        <v/>
      </c>
    </row>
    <row r="663" ht="22.5" customHeight="1">
      <c r="A663" s="11"/>
      <c r="B663" s="16" t="str">
        <f>IF(A663="","",IFERROR(VLOOKUP(A663, Stock_New!A:M, 2, FALSE),""))</f>
        <v/>
      </c>
      <c r="C663" s="16" t="str">
        <f>IF(A663="","",IFERROR(VLOOKUP(A663, Stock_New!A:M, 3, FALSE),""))</f>
        <v/>
      </c>
      <c r="D663" s="16"/>
      <c r="E663" s="16" t="str">
        <f>IF($A663="", "", IFERROR(VLOOKUP($A663, Stock_New!$A:$M, 4, FALSE), ""))</f>
        <v/>
      </c>
      <c r="F663" s="5">
        <f t="shared" si="1"/>
        <v>0</v>
      </c>
      <c r="G663" s="16" t="str">
        <f>IF($A663="", "", IFERROR(VLOOKUP($A663, Stock_New!$A:$M, 5, FALSE), ""))</f>
        <v/>
      </c>
    </row>
    <row r="664" ht="22.5" customHeight="1">
      <c r="A664" s="11"/>
      <c r="B664" s="16" t="str">
        <f>IF(A664="","",IFERROR(VLOOKUP(A664, Stock_New!A:M, 2, FALSE),""))</f>
        <v/>
      </c>
      <c r="C664" s="16" t="str">
        <f>IF(A664="","",IFERROR(VLOOKUP(A664, Stock_New!A:M, 3, FALSE),""))</f>
        <v/>
      </c>
      <c r="D664" s="16"/>
      <c r="E664" s="16" t="str">
        <f>IF($A664="", "", IFERROR(VLOOKUP($A664, Stock_New!$A:$M, 4, FALSE), ""))</f>
        <v/>
      </c>
      <c r="F664" s="5">
        <f t="shared" si="1"/>
        <v>0</v>
      </c>
      <c r="G664" s="16" t="str">
        <f>IF($A664="", "", IFERROR(VLOOKUP($A664, Stock_New!$A:$M, 5, FALSE), ""))</f>
        <v/>
      </c>
    </row>
    <row r="665" ht="22.5" customHeight="1">
      <c r="A665" s="11"/>
      <c r="B665" s="16" t="str">
        <f>IF(A665="","",IFERROR(VLOOKUP(A665, Stock_New!A:M, 2, FALSE),""))</f>
        <v/>
      </c>
      <c r="C665" s="16" t="str">
        <f>IF(A665="","",IFERROR(VLOOKUP(A665, Stock_New!A:M, 3, FALSE),""))</f>
        <v/>
      </c>
      <c r="D665" s="16"/>
      <c r="E665" s="16" t="str">
        <f>IF($A665="", "", IFERROR(VLOOKUP($A665, Stock_New!$A:$M, 4, FALSE), ""))</f>
        <v/>
      </c>
      <c r="F665" s="5">
        <f t="shared" si="1"/>
        <v>0</v>
      </c>
      <c r="G665" s="16" t="str">
        <f>IF($A665="", "", IFERROR(VLOOKUP($A665, Stock_New!$A:$M, 5, FALSE), ""))</f>
        <v/>
      </c>
    </row>
    <row r="666" ht="22.5" customHeight="1">
      <c r="A666" s="11"/>
      <c r="B666" s="16" t="str">
        <f>IF(A666="","",IFERROR(VLOOKUP(A666, Stock_New!A:M, 2, FALSE),""))</f>
        <v/>
      </c>
      <c r="C666" s="16" t="str">
        <f>IF(A666="","",IFERROR(VLOOKUP(A666, Stock_New!A:M, 3, FALSE),""))</f>
        <v/>
      </c>
      <c r="D666" s="16"/>
      <c r="E666" s="16" t="str">
        <f>IF($A666="", "", IFERROR(VLOOKUP($A666, Stock_New!$A:$M, 4, FALSE), ""))</f>
        <v/>
      </c>
      <c r="F666" s="5">
        <f t="shared" si="1"/>
        <v>0</v>
      </c>
      <c r="G666" s="16" t="str">
        <f>IF($A666="", "", IFERROR(VLOOKUP($A666, Stock_New!$A:$M, 5, FALSE), ""))</f>
        <v/>
      </c>
    </row>
    <row r="667" ht="22.5" customHeight="1">
      <c r="A667" s="11"/>
      <c r="B667" s="16" t="str">
        <f>IF(A667="","",IFERROR(VLOOKUP(A667, Stock_New!A:M, 2, FALSE),""))</f>
        <v/>
      </c>
      <c r="C667" s="16" t="str">
        <f>IF(A667="","",IFERROR(VLOOKUP(A667, Stock_New!A:M, 3, FALSE),""))</f>
        <v/>
      </c>
      <c r="D667" s="16"/>
      <c r="E667" s="16" t="str">
        <f>IF($A667="", "", IFERROR(VLOOKUP($A667, Stock_New!$A:$M, 4, FALSE), ""))</f>
        <v/>
      </c>
      <c r="F667" s="5">
        <f t="shared" si="1"/>
        <v>0</v>
      </c>
      <c r="G667" s="16" t="str">
        <f>IF($A667="", "", IFERROR(VLOOKUP($A667, Stock_New!$A:$M, 5, FALSE), ""))</f>
        <v/>
      </c>
    </row>
    <row r="668" ht="22.5" customHeight="1">
      <c r="A668" s="11"/>
      <c r="B668" s="16" t="str">
        <f>IF(A668="","",IFERROR(VLOOKUP(A668, Stock_New!A:M, 2, FALSE),""))</f>
        <v/>
      </c>
      <c r="C668" s="16" t="str">
        <f>IF(A668="","",IFERROR(VLOOKUP(A668, Stock_New!A:M, 3, FALSE),""))</f>
        <v/>
      </c>
      <c r="D668" s="16"/>
      <c r="E668" s="16" t="str">
        <f>IF($A668="", "", IFERROR(VLOOKUP($A668, Stock_New!$A:$M, 4, FALSE), ""))</f>
        <v/>
      </c>
      <c r="F668" s="5">
        <f t="shared" si="1"/>
        <v>0</v>
      </c>
      <c r="G668" s="16" t="str">
        <f>IF($A668="", "", IFERROR(VLOOKUP($A668, Stock_New!$A:$M, 5, FALSE), ""))</f>
        <v/>
      </c>
    </row>
    <row r="669" ht="22.5" customHeight="1">
      <c r="A669" s="11"/>
      <c r="B669" s="16" t="str">
        <f>IF(A669="","",IFERROR(VLOOKUP(A669, Stock_New!A:M, 2, FALSE),""))</f>
        <v/>
      </c>
      <c r="C669" s="16" t="str">
        <f>IF(A669="","",IFERROR(VLOOKUP(A669, Stock_New!A:M, 3, FALSE),""))</f>
        <v/>
      </c>
      <c r="D669" s="16"/>
      <c r="E669" s="16" t="str">
        <f>IF($A669="", "", IFERROR(VLOOKUP($A669, Stock_New!$A:$M, 4, FALSE), ""))</f>
        <v/>
      </c>
      <c r="F669" s="5">
        <f t="shared" si="1"/>
        <v>0</v>
      </c>
      <c r="G669" s="16" t="str">
        <f>IF($A669="", "", IFERROR(VLOOKUP($A669, Stock_New!$A:$M, 5, FALSE), ""))</f>
        <v/>
      </c>
    </row>
    <row r="670" ht="22.5" customHeight="1">
      <c r="A670" s="11"/>
      <c r="B670" s="16" t="str">
        <f>IF(A670="","",IFERROR(VLOOKUP(A670, Stock_New!A:M, 2, FALSE),""))</f>
        <v/>
      </c>
      <c r="C670" s="16" t="str">
        <f>IF(A670="","",IFERROR(VLOOKUP(A670, Stock_New!A:M, 3, FALSE),""))</f>
        <v/>
      </c>
      <c r="D670" s="16"/>
      <c r="E670" s="16" t="str">
        <f>IF($A670="", "", IFERROR(VLOOKUP($A670, Stock_New!$A:$M, 4, FALSE), ""))</f>
        <v/>
      </c>
      <c r="F670" s="5">
        <f t="shared" si="1"/>
        <v>0</v>
      </c>
      <c r="G670" s="16" t="str">
        <f>IF($A670="", "", IFERROR(VLOOKUP($A670, Stock_New!$A:$M, 5, FALSE), ""))</f>
        <v/>
      </c>
    </row>
    <row r="671" ht="22.5" customHeight="1">
      <c r="A671" s="11"/>
      <c r="B671" s="16" t="str">
        <f>IF(A671="","",IFERROR(VLOOKUP(A671, Stock_New!A:M, 2, FALSE),""))</f>
        <v/>
      </c>
      <c r="C671" s="16" t="str">
        <f>IF(A671="","",IFERROR(VLOOKUP(A671, Stock_New!A:M, 3, FALSE),""))</f>
        <v/>
      </c>
      <c r="D671" s="16"/>
      <c r="E671" s="16" t="str">
        <f>IF($A671="", "", IFERROR(VLOOKUP($A671, Stock_New!$A:$M, 4, FALSE), ""))</f>
        <v/>
      </c>
      <c r="F671" s="5">
        <f t="shared" si="1"/>
        <v>0</v>
      </c>
      <c r="G671" s="16" t="str">
        <f>IF($A671="", "", IFERROR(VLOOKUP($A671, Stock_New!$A:$M, 5, FALSE), ""))</f>
        <v/>
      </c>
    </row>
    <row r="672" ht="22.5" customHeight="1">
      <c r="A672" s="11"/>
      <c r="B672" s="16" t="str">
        <f>IF(A672="","",IFERROR(VLOOKUP(A672, Stock_New!A:M, 2, FALSE),""))</f>
        <v/>
      </c>
      <c r="C672" s="16" t="str">
        <f>IF(A672="","",IFERROR(VLOOKUP(A672, Stock_New!A:M, 3, FALSE),""))</f>
        <v/>
      </c>
      <c r="D672" s="16"/>
      <c r="E672" s="16" t="str">
        <f>IF($A672="", "", IFERROR(VLOOKUP($A672, Stock_New!$A:$M, 4, FALSE), ""))</f>
        <v/>
      </c>
      <c r="F672" s="5">
        <f t="shared" si="1"/>
        <v>0</v>
      </c>
      <c r="G672" s="16" t="str">
        <f>IF($A672="", "", IFERROR(VLOOKUP($A672, Stock_New!$A:$M, 5, FALSE), ""))</f>
        <v/>
      </c>
    </row>
    <row r="673" ht="22.5" customHeight="1">
      <c r="A673" s="11"/>
      <c r="B673" s="16" t="str">
        <f>IF(A673="","",IFERROR(VLOOKUP(A673, Stock_New!A:M, 2, FALSE),""))</f>
        <v/>
      </c>
      <c r="C673" s="16" t="str">
        <f>IF(A673="","",IFERROR(VLOOKUP(A673, Stock_New!A:M, 3, FALSE),""))</f>
        <v/>
      </c>
      <c r="D673" s="16"/>
      <c r="E673" s="16" t="str">
        <f>IF($A673="", "", IFERROR(VLOOKUP($A673, Stock_New!$A:$M, 4, FALSE), ""))</f>
        <v/>
      </c>
      <c r="F673" s="5">
        <f t="shared" si="1"/>
        <v>0</v>
      </c>
      <c r="G673" s="16" t="str">
        <f>IF($A673="", "", IFERROR(VLOOKUP($A673, Stock_New!$A:$M, 5, FALSE), ""))</f>
        <v/>
      </c>
    </row>
    <row r="674" ht="22.5" customHeight="1">
      <c r="A674" s="11"/>
      <c r="B674" s="16" t="str">
        <f>IF(A674="","",IFERROR(VLOOKUP(A674, Stock_New!A:M, 2, FALSE),""))</f>
        <v/>
      </c>
      <c r="C674" s="16" t="str">
        <f>IF(A674="","",IFERROR(VLOOKUP(A674, Stock_New!A:M, 3, FALSE),""))</f>
        <v/>
      </c>
      <c r="D674" s="16"/>
      <c r="E674" s="16" t="str">
        <f>IF($A674="", "", IFERROR(VLOOKUP($A674, Stock_New!$A:$M, 4, FALSE), ""))</f>
        <v/>
      </c>
      <c r="F674" s="5">
        <f t="shared" si="1"/>
        <v>0</v>
      </c>
      <c r="G674" s="16" t="str">
        <f>IF($A674="", "", IFERROR(VLOOKUP($A674, Stock_New!$A:$M, 5, FALSE), ""))</f>
        <v/>
      </c>
    </row>
    <row r="675" ht="22.5" customHeight="1">
      <c r="A675" s="11"/>
      <c r="B675" s="16" t="str">
        <f>IF(A675="","",IFERROR(VLOOKUP(A675, Stock_New!A:M, 2, FALSE),""))</f>
        <v/>
      </c>
      <c r="C675" s="16" t="str">
        <f>IF(A675="","",IFERROR(VLOOKUP(A675, Stock_New!A:M, 3, FALSE),""))</f>
        <v/>
      </c>
      <c r="D675" s="16"/>
      <c r="E675" s="16" t="str">
        <f>IF($A675="", "", IFERROR(VLOOKUP($A675, Stock_New!$A:$M, 4, FALSE), ""))</f>
        <v/>
      </c>
      <c r="F675" s="5">
        <f t="shared" si="1"/>
        <v>0</v>
      </c>
      <c r="G675" s="16" t="str">
        <f>IF($A675="", "", IFERROR(VLOOKUP($A675, Stock_New!$A:$M, 5, FALSE), ""))</f>
        <v/>
      </c>
    </row>
    <row r="676" ht="22.5" customHeight="1">
      <c r="A676" s="11"/>
      <c r="B676" s="16" t="str">
        <f>IF(A676="","",IFERROR(VLOOKUP(A676, Stock_New!A:M, 2, FALSE),""))</f>
        <v/>
      </c>
      <c r="C676" s="16" t="str">
        <f>IF(A676="","",IFERROR(VLOOKUP(A676, Stock_New!A:M, 3, FALSE),""))</f>
        <v/>
      </c>
      <c r="D676" s="16"/>
      <c r="E676" s="16" t="str">
        <f>IF($A676="", "", IFERROR(VLOOKUP($A676, Stock_New!$A:$M, 4, FALSE), ""))</f>
        <v/>
      </c>
      <c r="F676" s="5">
        <f t="shared" si="1"/>
        <v>0</v>
      </c>
      <c r="G676" s="16" t="str">
        <f>IF($A676="", "", IFERROR(VLOOKUP($A676, Stock_New!$A:$M, 5, FALSE), ""))</f>
        <v/>
      </c>
    </row>
    <row r="677" ht="22.5" customHeight="1">
      <c r="A677" s="11"/>
      <c r="B677" s="16" t="str">
        <f>IF(A677="","",IFERROR(VLOOKUP(A677, Stock_New!A:M, 2, FALSE),""))</f>
        <v/>
      </c>
      <c r="C677" s="16" t="str">
        <f>IF(A677="","",IFERROR(VLOOKUP(A677, Stock_New!A:M, 3, FALSE),""))</f>
        <v/>
      </c>
      <c r="D677" s="16"/>
      <c r="E677" s="16" t="str">
        <f>IF($A677="", "", IFERROR(VLOOKUP($A677, Stock_New!$A:$M, 4, FALSE), ""))</f>
        <v/>
      </c>
      <c r="F677" s="5">
        <f t="shared" si="1"/>
        <v>0</v>
      </c>
      <c r="G677" s="16" t="str">
        <f>IF($A677="", "", IFERROR(VLOOKUP($A677, Stock_New!$A:$M, 5, FALSE), ""))</f>
        <v/>
      </c>
    </row>
    <row r="678" ht="22.5" customHeight="1">
      <c r="A678" s="11"/>
      <c r="B678" s="16" t="str">
        <f>IF(A678="","",IFERROR(VLOOKUP(A678, Stock_New!A:M, 2, FALSE),""))</f>
        <v/>
      </c>
      <c r="C678" s="16" t="str">
        <f>IF(A678="","",IFERROR(VLOOKUP(A678, Stock_New!A:M, 3, FALSE),""))</f>
        <v/>
      </c>
      <c r="D678" s="16"/>
      <c r="E678" s="16" t="str">
        <f>IF($A678="", "", IFERROR(VLOOKUP($A678, Stock_New!$A:$M, 4, FALSE), ""))</f>
        <v/>
      </c>
      <c r="F678" s="5">
        <f t="shared" si="1"/>
        <v>0</v>
      </c>
      <c r="G678" s="16" t="str">
        <f>IF($A678="", "", IFERROR(VLOOKUP($A678, Stock_New!$A:$M, 5, FALSE), ""))</f>
        <v/>
      </c>
    </row>
    <row r="679" ht="22.5" customHeight="1">
      <c r="A679" s="11"/>
      <c r="B679" s="16" t="str">
        <f>IF(A679="","",IFERROR(VLOOKUP(A679, Stock_New!A:M, 2, FALSE),""))</f>
        <v/>
      </c>
      <c r="C679" s="16" t="str">
        <f>IF(A679="","",IFERROR(VLOOKUP(A679, Stock_New!A:M, 3, FALSE),""))</f>
        <v/>
      </c>
      <c r="D679" s="16"/>
      <c r="E679" s="16" t="str">
        <f>IF($A679="", "", IFERROR(VLOOKUP($A679, Stock_New!$A:$M, 4, FALSE), ""))</f>
        <v/>
      </c>
      <c r="F679" s="5">
        <f t="shared" si="1"/>
        <v>0</v>
      </c>
      <c r="G679" s="16" t="str">
        <f>IF($A679="", "", IFERROR(VLOOKUP($A679, Stock_New!$A:$M, 5, FALSE), ""))</f>
        <v/>
      </c>
    </row>
    <row r="680" ht="22.5" customHeight="1">
      <c r="A680" s="11"/>
      <c r="B680" s="16" t="str">
        <f>IF(A680="","",IFERROR(VLOOKUP(A680, Stock_New!A:M, 2, FALSE),""))</f>
        <v/>
      </c>
      <c r="C680" s="16" t="str">
        <f>IF(A680="","",IFERROR(VLOOKUP(A680, Stock_New!A:M, 3, FALSE),""))</f>
        <v/>
      </c>
      <c r="D680" s="16"/>
      <c r="E680" s="16" t="str">
        <f>IF($A680="", "", IFERROR(VLOOKUP($A680, Stock_New!$A:$M, 4, FALSE), ""))</f>
        <v/>
      </c>
      <c r="F680" s="5">
        <f t="shared" si="1"/>
        <v>0</v>
      </c>
      <c r="G680" s="16" t="str">
        <f>IF($A680="", "", IFERROR(VLOOKUP($A680, Stock_New!$A:$M, 5, FALSE), ""))</f>
        <v/>
      </c>
    </row>
    <row r="681" ht="22.5" customHeight="1">
      <c r="A681" s="11"/>
      <c r="B681" s="16" t="str">
        <f>IF(A681="","",IFERROR(VLOOKUP(A681, Stock_New!A:M, 2, FALSE),""))</f>
        <v/>
      </c>
      <c r="C681" s="16" t="str">
        <f>IF(A681="","",IFERROR(VLOOKUP(A681, Stock_New!A:M, 3, FALSE),""))</f>
        <v/>
      </c>
      <c r="D681" s="16"/>
      <c r="E681" s="16" t="str">
        <f>IF($A681="", "", IFERROR(VLOOKUP($A681, Stock_New!$A:$M, 4, FALSE), ""))</f>
        <v/>
      </c>
      <c r="F681" s="5">
        <f t="shared" si="1"/>
        <v>0</v>
      </c>
      <c r="G681" s="16" t="str">
        <f>IF($A681="", "", IFERROR(VLOOKUP($A681, Stock_New!$A:$M, 5, FALSE), ""))</f>
        <v/>
      </c>
    </row>
    <row r="682" ht="22.5" customHeight="1">
      <c r="A682" s="11"/>
      <c r="B682" s="16" t="str">
        <f>IF(A682="","",IFERROR(VLOOKUP(A682, Stock_New!A:M, 2, FALSE),""))</f>
        <v/>
      </c>
      <c r="C682" s="16" t="str">
        <f>IF(A682="","",IFERROR(VLOOKUP(A682, Stock_New!A:M, 3, FALSE),""))</f>
        <v/>
      </c>
      <c r="D682" s="16"/>
      <c r="E682" s="16" t="str">
        <f>IF($A682="", "", IFERROR(VLOOKUP($A682, Stock_New!$A:$M, 4, FALSE), ""))</f>
        <v/>
      </c>
      <c r="F682" s="5">
        <f t="shared" si="1"/>
        <v>0</v>
      </c>
      <c r="G682" s="16" t="str">
        <f>IF($A682="", "", IFERROR(VLOOKUP($A682, Stock_New!$A:$M, 5, FALSE), ""))</f>
        <v/>
      </c>
    </row>
    <row r="683" ht="22.5" customHeight="1">
      <c r="A683" s="11"/>
      <c r="B683" s="16" t="str">
        <f>IF(A683="","",IFERROR(VLOOKUP(A683, Stock_New!A:M, 2, FALSE),""))</f>
        <v/>
      </c>
      <c r="C683" s="16" t="str">
        <f>IF(A683="","",IFERROR(VLOOKUP(A683, Stock_New!A:M, 3, FALSE),""))</f>
        <v/>
      </c>
      <c r="D683" s="16"/>
      <c r="E683" s="16" t="str">
        <f>IF($A683="", "", IFERROR(VLOOKUP($A683, Stock_New!$A:$M, 4, FALSE), ""))</f>
        <v/>
      </c>
      <c r="F683" s="5">
        <f t="shared" si="1"/>
        <v>0</v>
      </c>
      <c r="G683" s="16" t="str">
        <f>IF($A683="", "", IFERROR(VLOOKUP($A683, Stock_New!$A:$M, 5, FALSE), ""))</f>
        <v/>
      </c>
    </row>
    <row r="684" ht="22.5" customHeight="1">
      <c r="A684" s="11"/>
      <c r="B684" s="16" t="str">
        <f>IF(A684="","",IFERROR(VLOOKUP(A684, Stock_New!A:M, 2, FALSE),""))</f>
        <v/>
      </c>
      <c r="C684" s="16" t="str">
        <f>IF(A684="","",IFERROR(VLOOKUP(A684, Stock_New!A:M, 3, FALSE),""))</f>
        <v/>
      </c>
      <c r="D684" s="16"/>
      <c r="E684" s="16" t="str">
        <f>IF($A684="", "", IFERROR(VLOOKUP($A684, Stock_New!$A:$M, 4, FALSE), ""))</f>
        <v/>
      </c>
      <c r="F684" s="5">
        <f t="shared" si="1"/>
        <v>0</v>
      </c>
      <c r="G684" s="16" t="str">
        <f>IF($A684="", "", IFERROR(VLOOKUP($A684, Stock_New!$A:$M, 5, FALSE), ""))</f>
        <v/>
      </c>
    </row>
    <row r="685" ht="22.5" customHeight="1">
      <c r="A685" s="11"/>
      <c r="B685" s="16" t="str">
        <f>IF(A685="","",IFERROR(VLOOKUP(A685, Stock_New!A:M, 2, FALSE),""))</f>
        <v/>
      </c>
      <c r="C685" s="16" t="str">
        <f>IF(A685="","",IFERROR(VLOOKUP(A685, Stock_New!A:M, 3, FALSE),""))</f>
        <v/>
      </c>
      <c r="D685" s="16"/>
      <c r="E685" s="16" t="str">
        <f>IF($A685="", "", IFERROR(VLOOKUP($A685, Stock_New!$A:$M, 4, FALSE), ""))</f>
        <v/>
      </c>
      <c r="F685" s="5">
        <f t="shared" si="1"/>
        <v>0</v>
      </c>
      <c r="G685" s="16" t="str">
        <f>IF($A685="", "", IFERROR(VLOOKUP($A685, Stock_New!$A:$M, 5, FALSE), ""))</f>
        <v/>
      </c>
    </row>
    <row r="686" ht="22.5" customHeight="1">
      <c r="A686" s="11"/>
      <c r="B686" s="16" t="str">
        <f>IF(A686="","",IFERROR(VLOOKUP(A686, Stock_New!A:M, 2, FALSE),""))</f>
        <v/>
      </c>
      <c r="C686" s="16" t="str">
        <f>IF(A686="","",IFERROR(VLOOKUP(A686, Stock_New!A:M, 3, FALSE),""))</f>
        <v/>
      </c>
      <c r="D686" s="16"/>
      <c r="E686" s="16" t="str">
        <f>IF($A686="", "", IFERROR(VLOOKUP($A686, Stock_New!$A:$M, 4, FALSE), ""))</f>
        <v/>
      </c>
      <c r="F686" s="5">
        <f t="shared" si="1"/>
        <v>0</v>
      </c>
      <c r="G686" s="16" t="str">
        <f>IF($A686="", "", IFERROR(VLOOKUP($A686, Stock_New!$A:$M, 5, FALSE), ""))</f>
        <v/>
      </c>
    </row>
    <row r="687" ht="22.5" customHeight="1">
      <c r="A687" s="11"/>
      <c r="B687" s="16" t="str">
        <f>IF(A687="","",IFERROR(VLOOKUP(A687, Stock_New!A:M, 2, FALSE),""))</f>
        <v/>
      </c>
      <c r="C687" s="16" t="str">
        <f>IF(A687="","",IFERROR(VLOOKUP(A687, Stock_New!A:M, 3, FALSE),""))</f>
        <v/>
      </c>
      <c r="D687" s="16"/>
      <c r="E687" s="16" t="str">
        <f>IF($A687="", "", IFERROR(VLOOKUP($A687, Stock_New!$A:$M, 4, FALSE), ""))</f>
        <v/>
      </c>
      <c r="F687" s="5">
        <f t="shared" si="1"/>
        <v>0</v>
      </c>
      <c r="G687" s="16" t="str">
        <f>IF($A687="", "", IFERROR(VLOOKUP($A687, Stock_New!$A:$M, 5, FALSE), ""))</f>
        <v/>
      </c>
    </row>
    <row r="688" ht="22.5" customHeight="1">
      <c r="A688" s="11"/>
      <c r="B688" s="16" t="str">
        <f>IF(A688="","",IFERROR(VLOOKUP(A688, Stock_New!A:M, 2, FALSE),""))</f>
        <v/>
      </c>
      <c r="C688" s="16" t="str">
        <f>IF(A688="","",IFERROR(VLOOKUP(A688, Stock_New!A:M, 3, FALSE),""))</f>
        <v/>
      </c>
      <c r="D688" s="16"/>
      <c r="E688" s="16" t="str">
        <f>IF($A688="", "", IFERROR(VLOOKUP($A688, Stock_New!$A:$M, 4, FALSE), ""))</f>
        <v/>
      </c>
      <c r="F688" s="5">
        <f t="shared" si="1"/>
        <v>0</v>
      </c>
      <c r="G688" s="16" t="str">
        <f>IF($A688="", "", IFERROR(VLOOKUP($A688, Stock_New!$A:$M, 5, FALSE), ""))</f>
        <v/>
      </c>
    </row>
    <row r="689" ht="22.5" customHeight="1">
      <c r="A689" s="11"/>
      <c r="B689" s="16" t="str">
        <f>IF(A689="","",IFERROR(VLOOKUP(A689, Stock_New!A:M, 2, FALSE),""))</f>
        <v/>
      </c>
      <c r="C689" s="16" t="str">
        <f>IF(A689="","",IFERROR(VLOOKUP(A689, Stock_New!A:M, 3, FALSE),""))</f>
        <v/>
      </c>
      <c r="D689" s="16"/>
      <c r="E689" s="16" t="str">
        <f>IF($A689="", "", IFERROR(VLOOKUP($A689, Stock_New!$A:$M, 4, FALSE), ""))</f>
        <v/>
      </c>
      <c r="F689" s="5">
        <f t="shared" si="1"/>
        <v>0</v>
      </c>
      <c r="G689" s="16" t="str">
        <f>IF($A689="", "", IFERROR(VLOOKUP($A689, Stock_New!$A:$M, 5, FALSE), ""))</f>
        <v/>
      </c>
    </row>
    <row r="690" ht="22.5" customHeight="1">
      <c r="A690" s="11"/>
      <c r="B690" s="16" t="str">
        <f>IF(A690="","",IFERROR(VLOOKUP(A690, Stock_New!A:M, 2, FALSE),""))</f>
        <v/>
      </c>
      <c r="C690" s="16" t="str">
        <f>IF(A690="","",IFERROR(VLOOKUP(A690, Stock_New!A:M, 3, FALSE),""))</f>
        <v/>
      </c>
      <c r="D690" s="16"/>
      <c r="E690" s="16" t="str">
        <f>IF($A690="", "", IFERROR(VLOOKUP($A690, Stock_New!$A:$M, 4, FALSE), ""))</f>
        <v/>
      </c>
      <c r="F690" s="5">
        <f t="shared" si="1"/>
        <v>0</v>
      </c>
      <c r="G690" s="16" t="str">
        <f>IF($A690="", "", IFERROR(VLOOKUP($A690, Stock_New!$A:$M, 5, FALSE), ""))</f>
        <v/>
      </c>
    </row>
    <row r="691" ht="22.5" customHeight="1">
      <c r="A691" s="11"/>
      <c r="B691" s="16" t="str">
        <f>IF(A691="","",IFERROR(VLOOKUP(A691, Stock_New!A:M, 2, FALSE),""))</f>
        <v/>
      </c>
      <c r="C691" s="16" t="str">
        <f>IF(A691="","",IFERROR(VLOOKUP(A691, Stock_New!A:M, 3, FALSE),""))</f>
        <v/>
      </c>
      <c r="D691" s="16"/>
      <c r="E691" s="16" t="str">
        <f>IF($A691="", "", IFERROR(VLOOKUP($A691, Stock_New!$A:$M, 4, FALSE), ""))</f>
        <v/>
      </c>
      <c r="F691" s="5">
        <f t="shared" si="1"/>
        <v>0</v>
      </c>
      <c r="G691" s="16" t="str">
        <f>IF($A691="", "", IFERROR(VLOOKUP($A691, Stock_New!$A:$M, 5, FALSE), ""))</f>
        <v/>
      </c>
    </row>
    <row r="692" ht="22.5" customHeight="1">
      <c r="A692" s="11"/>
      <c r="B692" s="16" t="str">
        <f>IF(A692="","",IFERROR(VLOOKUP(A692, Stock_New!A:M, 2, FALSE),""))</f>
        <v/>
      </c>
      <c r="C692" s="16" t="str">
        <f>IF(A692="","",IFERROR(VLOOKUP(A692, Stock_New!A:M, 3, FALSE),""))</f>
        <v/>
      </c>
      <c r="D692" s="16"/>
      <c r="E692" s="16" t="str">
        <f>IF($A692="", "", IFERROR(VLOOKUP($A692, Stock_New!$A:$M, 4, FALSE), ""))</f>
        <v/>
      </c>
      <c r="F692" s="5">
        <f t="shared" si="1"/>
        <v>0</v>
      </c>
      <c r="G692" s="16" t="str">
        <f>IF($A692="", "", IFERROR(VLOOKUP($A692, Stock_New!$A:$M, 5, FALSE), ""))</f>
        <v/>
      </c>
    </row>
    <row r="693" ht="22.5" customHeight="1">
      <c r="A693" s="11"/>
      <c r="B693" s="16" t="str">
        <f>IF(A693="","",IFERROR(VLOOKUP(A693, Stock_New!A:M, 2, FALSE),""))</f>
        <v/>
      </c>
      <c r="C693" s="16" t="str">
        <f>IF(A693="","",IFERROR(VLOOKUP(A693, Stock_New!A:M, 3, FALSE),""))</f>
        <v/>
      </c>
      <c r="D693" s="16"/>
      <c r="E693" s="16" t="str">
        <f>IF($A693="", "", IFERROR(VLOOKUP($A693, Stock_New!$A:$M, 4, FALSE), ""))</f>
        <v/>
      </c>
      <c r="F693" s="5">
        <f t="shared" si="1"/>
        <v>0</v>
      </c>
      <c r="G693" s="16" t="str">
        <f>IF($A693="", "", IFERROR(VLOOKUP($A693, Stock_New!$A:$M, 5, FALSE), ""))</f>
        <v/>
      </c>
    </row>
    <row r="694" ht="22.5" customHeight="1">
      <c r="A694" s="11"/>
      <c r="B694" s="16" t="str">
        <f>IF(A694="","",IFERROR(VLOOKUP(A694, Stock_New!A:M, 2, FALSE),""))</f>
        <v/>
      </c>
      <c r="C694" s="16" t="str">
        <f>IF(A694="","",IFERROR(VLOOKUP(A694, Stock_New!A:M, 3, FALSE),""))</f>
        <v/>
      </c>
      <c r="D694" s="16"/>
      <c r="E694" s="16" t="str">
        <f>IF($A694="", "", IFERROR(VLOOKUP($A694, Stock_New!$A:$M, 4, FALSE), ""))</f>
        <v/>
      </c>
      <c r="F694" s="5">
        <f t="shared" si="1"/>
        <v>0</v>
      </c>
      <c r="G694" s="16" t="str">
        <f>IF($A694="", "", IFERROR(VLOOKUP($A694, Stock_New!$A:$M, 5, FALSE), ""))</f>
        <v/>
      </c>
    </row>
    <row r="695" ht="22.5" customHeight="1">
      <c r="A695" s="11"/>
      <c r="B695" s="16" t="str">
        <f>IF(A695="","",IFERROR(VLOOKUP(A695, Stock_New!A:M, 2, FALSE),""))</f>
        <v/>
      </c>
      <c r="C695" s="16" t="str">
        <f>IF(A695="","",IFERROR(VLOOKUP(A695, Stock_New!A:M, 3, FALSE),""))</f>
        <v/>
      </c>
      <c r="D695" s="16"/>
      <c r="E695" s="16" t="str">
        <f>IF($A695="", "", IFERROR(VLOOKUP($A695, Stock_New!$A:$M, 4, FALSE), ""))</f>
        <v/>
      </c>
      <c r="F695" s="5">
        <f t="shared" si="1"/>
        <v>0</v>
      </c>
      <c r="G695" s="16" t="str">
        <f>IF($A695="", "", IFERROR(VLOOKUP($A695, Stock_New!$A:$M, 5, FALSE), ""))</f>
        <v/>
      </c>
    </row>
    <row r="696" ht="22.5" customHeight="1">
      <c r="A696" s="11"/>
      <c r="B696" s="16" t="str">
        <f>IF(A696="","",IFERROR(VLOOKUP(A696, Stock_New!A:M, 2, FALSE),""))</f>
        <v/>
      </c>
      <c r="C696" s="16" t="str">
        <f>IF(A696="","",IFERROR(VLOOKUP(A696, Stock_New!A:M, 3, FALSE),""))</f>
        <v/>
      </c>
      <c r="D696" s="16"/>
      <c r="E696" s="16" t="str">
        <f>IF($A696="", "", IFERROR(VLOOKUP($A696, Stock_New!$A:$M, 4, FALSE), ""))</f>
        <v/>
      </c>
      <c r="F696" s="5">
        <f t="shared" si="1"/>
        <v>0</v>
      </c>
      <c r="G696" s="16" t="str">
        <f>IF($A696="", "", IFERROR(VLOOKUP($A696, Stock_New!$A:$M, 5, FALSE), ""))</f>
        <v/>
      </c>
    </row>
    <row r="697" ht="22.5" customHeight="1">
      <c r="A697" s="11"/>
      <c r="B697" s="16" t="str">
        <f>IF(A697="","",IFERROR(VLOOKUP(A697, Stock_New!A:M, 2, FALSE),""))</f>
        <v/>
      </c>
      <c r="C697" s="16" t="str">
        <f>IF(A697="","",IFERROR(VLOOKUP(A697, Stock_New!A:M, 3, FALSE),""))</f>
        <v/>
      </c>
      <c r="D697" s="16"/>
      <c r="E697" s="16" t="str">
        <f>IF($A697="", "", IFERROR(VLOOKUP($A697, Stock_New!$A:$M, 4, FALSE), ""))</f>
        <v/>
      </c>
      <c r="F697" s="5">
        <f t="shared" si="1"/>
        <v>0</v>
      </c>
      <c r="G697" s="16" t="str">
        <f>IF($A697="", "", IFERROR(VLOOKUP($A697, Stock_New!$A:$M, 5, FALSE), ""))</f>
        <v/>
      </c>
    </row>
    <row r="698" ht="22.5" customHeight="1">
      <c r="A698" s="11"/>
      <c r="B698" s="16" t="str">
        <f>IF(A698="","",IFERROR(VLOOKUP(A698, Stock_New!A:M, 2, FALSE),""))</f>
        <v/>
      </c>
      <c r="C698" s="16" t="str">
        <f>IF(A698="","",IFERROR(VLOOKUP(A698, Stock_New!A:M, 3, FALSE),""))</f>
        <v/>
      </c>
      <c r="D698" s="16"/>
      <c r="E698" s="16" t="str">
        <f>IF($A698="", "", IFERROR(VLOOKUP($A698, Stock_New!$A:$M, 4, FALSE), ""))</f>
        <v/>
      </c>
      <c r="F698" s="5">
        <f t="shared" si="1"/>
        <v>0</v>
      </c>
      <c r="G698" s="16" t="str">
        <f>IF($A698="", "", IFERROR(VLOOKUP($A698, Stock_New!$A:$M, 5, FALSE), ""))</f>
        <v/>
      </c>
    </row>
    <row r="699" ht="22.5" customHeight="1">
      <c r="A699" s="11"/>
      <c r="B699" s="16" t="str">
        <f>IF(A699="","",IFERROR(VLOOKUP(A699, Stock_New!A:M, 2, FALSE),""))</f>
        <v/>
      </c>
      <c r="C699" s="16" t="str">
        <f>IF(A699="","",IFERROR(VLOOKUP(A699, Stock_New!A:M, 3, FALSE),""))</f>
        <v/>
      </c>
      <c r="D699" s="16"/>
      <c r="E699" s="16" t="str">
        <f>IF($A699="", "", IFERROR(VLOOKUP($A699, Stock_New!$A:$M, 4, FALSE), ""))</f>
        <v/>
      </c>
      <c r="F699" s="5">
        <f t="shared" si="1"/>
        <v>0</v>
      </c>
      <c r="G699" s="16" t="str">
        <f>IF($A699="", "", IFERROR(VLOOKUP($A699, Stock_New!$A:$M, 5, FALSE), ""))</f>
        <v/>
      </c>
    </row>
    <row r="700" ht="22.5" customHeight="1">
      <c r="A700" s="11"/>
      <c r="B700" s="16" t="str">
        <f>IF(A700="","",IFERROR(VLOOKUP(A700, Stock_New!A:M, 2, FALSE),""))</f>
        <v/>
      </c>
      <c r="C700" s="16" t="str">
        <f>IF(A700="","",IFERROR(VLOOKUP(A700, Stock_New!A:M, 3, FALSE),""))</f>
        <v/>
      </c>
      <c r="D700" s="16"/>
      <c r="E700" s="16" t="str">
        <f>IF($A700="", "", IFERROR(VLOOKUP($A700, Stock_New!$A:$M, 4, FALSE), ""))</f>
        <v/>
      </c>
      <c r="F700" s="5">
        <f t="shared" si="1"/>
        <v>0</v>
      </c>
      <c r="G700" s="16" t="str">
        <f>IF($A700="", "", IFERROR(VLOOKUP($A700, Stock_New!$A:$M, 5, FALSE), ""))</f>
        <v/>
      </c>
    </row>
    <row r="701" ht="22.5" customHeight="1">
      <c r="A701" s="11"/>
      <c r="B701" s="16" t="str">
        <f>IF(A701="","",IFERROR(VLOOKUP(A701, Stock_New!A:M, 2, FALSE),""))</f>
        <v/>
      </c>
      <c r="C701" s="16" t="str">
        <f>IF(A701="","",IFERROR(VLOOKUP(A701, Stock_New!A:M, 3, FALSE),""))</f>
        <v/>
      </c>
      <c r="D701" s="16"/>
      <c r="E701" s="16" t="str">
        <f>IF($A701="", "", IFERROR(VLOOKUP($A701, Stock_New!$A:$M, 4, FALSE), ""))</f>
        <v/>
      </c>
      <c r="F701" s="5">
        <f t="shared" si="1"/>
        <v>0</v>
      </c>
      <c r="G701" s="16" t="str">
        <f>IF($A701="", "", IFERROR(VLOOKUP($A701, Stock_New!$A:$M, 5, FALSE), ""))</f>
        <v/>
      </c>
    </row>
    <row r="702" ht="22.5" customHeight="1">
      <c r="A702" s="11"/>
      <c r="B702" s="16" t="str">
        <f>IF(A702="","",IFERROR(VLOOKUP(A702, Stock_New!A:M, 2, FALSE),""))</f>
        <v/>
      </c>
      <c r="C702" s="16" t="str">
        <f>IF(A702="","",IFERROR(VLOOKUP(A702, Stock_New!A:M, 3, FALSE),""))</f>
        <v/>
      </c>
      <c r="D702" s="16"/>
      <c r="E702" s="16" t="str">
        <f>IF($A702="", "", IFERROR(VLOOKUP($A702, Stock_New!$A:$M, 4, FALSE), ""))</f>
        <v/>
      </c>
      <c r="F702" s="5">
        <f t="shared" si="1"/>
        <v>0</v>
      </c>
      <c r="G702" s="16" t="str">
        <f>IF($A702="", "", IFERROR(VLOOKUP($A702, Stock_New!$A:$M, 5, FALSE), ""))</f>
        <v/>
      </c>
    </row>
    <row r="703" ht="22.5" customHeight="1">
      <c r="A703" s="11"/>
      <c r="B703" s="16" t="str">
        <f>IF(A703="","",IFERROR(VLOOKUP(A703, Stock_New!A:M, 2, FALSE),""))</f>
        <v/>
      </c>
      <c r="C703" s="16" t="str">
        <f>IF(A703="","",IFERROR(VLOOKUP(A703, Stock_New!A:M, 3, FALSE),""))</f>
        <v/>
      </c>
      <c r="D703" s="16"/>
      <c r="E703" s="16" t="str">
        <f>IF($A703="", "", IFERROR(VLOOKUP($A703, Stock_New!$A:$M, 4, FALSE), ""))</f>
        <v/>
      </c>
      <c r="F703" s="5">
        <f t="shared" si="1"/>
        <v>0</v>
      </c>
      <c r="G703" s="16" t="str">
        <f>IF($A703="", "", IFERROR(VLOOKUP($A703, Stock_New!$A:$M, 5, FALSE), ""))</f>
        <v/>
      </c>
    </row>
    <row r="704" ht="22.5" customHeight="1">
      <c r="A704" s="11"/>
      <c r="B704" s="16" t="str">
        <f>IF(A704="","",IFERROR(VLOOKUP(A704, Stock_New!A:M, 2, FALSE),""))</f>
        <v/>
      </c>
      <c r="C704" s="16" t="str">
        <f>IF(A704="","",IFERROR(VLOOKUP(A704, Stock_New!A:M, 3, FALSE),""))</f>
        <v/>
      </c>
      <c r="D704" s="16"/>
      <c r="E704" s="16" t="str">
        <f>IF($A704="", "", IFERROR(VLOOKUP($A704, Stock_New!$A:$M, 4, FALSE), ""))</f>
        <v/>
      </c>
      <c r="F704" s="5">
        <f t="shared" si="1"/>
        <v>0</v>
      </c>
      <c r="G704" s="16" t="str">
        <f>IF($A704="", "", IFERROR(VLOOKUP($A704, Stock_New!$A:$M, 5, FALSE), ""))</f>
        <v/>
      </c>
    </row>
    <row r="705" ht="22.5" customHeight="1">
      <c r="A705" s="11"/>
      <c r="B705" s="16" t="str">
        <f>IF(A705="","",IFERROR(VLOOKUP(A705, Stock_New!A:M, 2, FALSE),""))</f>
        <v/>
      </c>
      <c r="C705" s="16" t="str">
        <f>IF(A705="","",IFERROR(VLOOKUP(A705, Stock_New!A:M, 3, FALSE),""))</f>
        <v/>
      </c>
      <c r="D705" s="16"/>
      <c r="E705" s="16" t="str">
        <f>IF($A705="", "", IFERROR(VLOOKUP($A705, Stock_New!$A:$M, 4, FALSE), ""))</f>
        <v/>
      </c>
      <c r="F705" s="5">
        <f t="shared" si="1"/>
        <v>0</v>
      </c>
      <c r="G705" s="16" t="str">
        <f>IF($A705="", "", IFERROR(VLOOKUP($A705, Stock_New!$A:$M, 5, FALSE), ""))</f>
        <v/>
      </c>
    </row>
    <row r="706" ht="22.5" customHeight="1">
      <c r="A706" s="11"/>
      <c r="B706" s="16" t="str">
        <f>IF(A706="","",IFERROR(VLOOKUP(A706, Stock_New!A:M, 2, FALSE),""))</f>
        <v/>
      </c>
      <c r="C706" s="16" t="str">
        <f>IF(A706="","",IFERROR(VLOOKUP(A706, Stock_New!A:M, 3, FALSE),""))</f>
        <v/>
      </c>
      <c r="D706" s="16"/>
      <c r="E706" s="16" t="str">
        <f>IF($A706="", "", IFERROR(VLOOKUP($A706, Stock_New!$A:$M, 4, FALSE), ""))</f>
        <v/>
      </c>
      <c r="F706" s="5">
        <f t="shared" si="1"/>
        <v>0</v>
      </c>
      <c r="G706" s="16" t="str">
        <f>IF($A706="", "", IFERROR(VLOOKUP($A706, Stock_New!$A:$M, 5, FALSE), ""))</f>
        <v/>
      </c>
    </row>
    <row r="707" ht="22.5" customHeight="1">
      <c r="A707" s="11"/>
      <c r="B707" s="16" t="str">
        <f>IF(A707="","",IFERROR(VLOOKUP(A707, Stock_New!A:M, 2, FALSE),""))</f>
        <v/>
      </c>
      <c r="C707" s="16" t="str">
        <f>IF(A707="","",IFERROR(VLOOKUP(A707, Stock_New!A:M, 3, FALSE),""))</f>
        <v/>
      </c>
      <c r="D707" s="16"/>
      <c r="E707" s="16" t="str">
        <f>IF($A707="", "", IFERROR(VLOOKUP($A707, Stock_New!$A:$M, 4, FALSE), ""))</f>
        <v/>
      </c>
      <c r="F707" s="5">
        <f t="shared" si="1"/>
        <v>0</v>
      </c>
      <c r="G707" s="16" t="str">
        <f>IF($A707="", "", IFERROR(VLOOKUP($A707, Stock_New!$A:$M, 5, FALSE), ""))</f>
        <v/>
      </c>
    </row>
    <row r="708" ht="22.5" customHeight="1">
      <c r="A708" s="11"/>
      <c r="B708" s="16" t="str">
        <f>IF(A708="","",IFERROR(VLOOKUP(A708, Stock_New!A:M, 2, FALSE),""))</f>
        <v/>
      </c>
      <c r="C708" s="16" t="str">
        <f>IF(A708="","",IFERROR(VLOOKUP(A708, Stock_New!A:M, 3, FALSE),""))</f>
        <v/>
      </c>
      <c r="D708" s="16"/>
      <c r="E708" s="16" t="str">
        <f>IF($A708="", "", IFERROR(VLOOKUP($A708, Stock_New!$A:$M, 4, FALSE), ""))</f>
        <v/>
      </c>
      <c r="F708" s="5">
        <f t="shared" si="1"/>
        <v>0</v>
      </c>
      <c r="G708" s="16" t="str">
        <f>IF($A708="", "", IFERROR(VLOOKUP($A708, Stock_New!$A:$M, 5, FALSE), ""))</f>
        <v/>
      </c>
    </row>
    <row r="709" ht="22.5" customHeight="1">
      <c r="A709" s="11"/>
      <c r="B709" s="16" t="str">
        <f>IF(A709="","",IFERROR(VLOOKUP(A709, Stock_New!A:M, 2, FALSE),""))</f>
        <v/>
      </c>
      <c r="C709" s="16" t="str">
        <f>IF(A709="","",IFERROR(VLOOKUP(A709, Stock_New!A:M, 3, FALSE),""))</f>
        <v/>
      </c>
      <c r="D709" s="16"/>
      <c r="E709" s="16" t="str">
        <f>IF($A709="", "", IFERROR(VLOOKUP($A709, Stock_New!$A:$M, 4, FALSE), ""))</f>
        <v/>
      </c>
      <c r="F709" s="5">
        <f t="shared" si="1"/>
        <v>0</v>
      </c>
      <c r="G709" s="16" t="str">
        <f>IF($A709="", "", IFERROR(VLOOKUP($A709, Stock_New!$A:$M, 5, FALSE), ""))</f>
        <v/>
      </c>
    </row>
    <row r="710" ht="22.5" customHeight="1">
      <c r="A710" s="11"/>
      <c r="B710" s="16" t="str">
        <f>IF(A710="","",IFERROR(VLOOKUP(A710, Stock_New!A:M, 2, FALSE),""))</f>
        <v/>
      </c>
      <c r="C710" s="16" t="str">
        <f>IF(A710="","",IFERROR(VLOOKUP(A710, Stock_New!A:M, 3, FALSE),""))</f>
        <v/>
      </c>
      <c r="D710" s="16"/>
      <c r="E710" s="16" t="str">
        <f>IF($A710="", "", IFERROR(VLOOKUP($A710, Stock_New!$A:$M, 4, FALSE), ""))</f>
        <v/>
      </c>
      <c r="F710" s="5">
        <f t="shared" si="1"/>
        <v>0</v>
      </c>
      <c r="G710" s="16" t="str">
        <f>IF($A710="", "", IFERROR(VLOOKUP($A710, Stock_New!$A:$M, 5, FALSE), ""))</f>
        <v/>
      </c>
    </row>
    <row r="711" ht="22.5" customHeight="1">
      <c r="A711" s="11"/>
      <c r="B711" s="16" t="str">
        <f>IF(A711="","",IFERROR(VLOOKUP(A711, Stock_New!A:M, 2, FALSE),""))</f>
        <v/>
      </c>
      <c r="C711" s="16" t="str">
        <f>IF(A711="","",IFERROR(VLOOKUP(A711, Stock_New!A:M, 3, FALSE),""))</f>
        <v/>
      </c>
      <c r="D711" s="16"/>
      <c r="E711" s="16" t="str">
        <f>IF($A711="", "", IFERROR(VLOOKUP($A711, Stock_New!$A:$M, 4, FALSE), ""))</f>
        <v/>
      </c>
      <c r="F711" s="5">
        <f t="shared" si="1"/>
        <v>0</v>
      </c>
      <c r="G711" s="16" t="str">
        <f>IF($A711="", "", IFERROR(VLOOKUP($A711, Stock_New!$A:$M, 5, FALSE), ""))</f>
        <v/>
      </c>
    </row>
    <row r="712" ht="22.5" customHeight="1">
      <c r="A712" s="11"/>
      <c r="B712" s="16" t="str">
        <f>IF(A712="","",IFERROR(VLOOKUP(A712, Stock_New!A:M, 2, FALSE),""))</f>
        <v/>
      </c>
      <c r="C712" s="16" t="str">
        <f>IF(A712="","",IFERROR(VLOOKUP(A712, Stock_New!A:M, 3, FALSE),""))</f>
        <v/>
      </c>
      <c r="D712" s="16"/>
      <c r="E712" s="16" t="str">
        <f>IF($A712="", "", IFERROR(VLOOKUP($A712, Stock_New!$A:$M, 4, FALSE), ""))</f>
        <v/>
      </c>
      <c r="F712" s="5">
        <f t="shared" si="1"/>
        <v>0</v>
      </c>
      <c r="G712" s="16" t="str">
        <f>IF($A712="", "", IFERROR(VLOOKUP($A712, Stock_New!$A:$M, 5, FALSE), ""))</f>
        <v/>
      </c>
    </row>
    <row r="713" ht="22.5" customHeight="1">
      <c r="A713" s="11"/>
      <c r="B713" s="16" t="str">
        <f>IF(A713="","",IFERROR(VLOOKUP(A713, Stock_New!A:M, 2, FALSE),""))</f>
        <v/>
      </c>
      <c r="C713" s="16" t="str">
        <f>IF(A713="","",IFERROR(VLOOKUP(A713, Stock_New!A:M, 3, FALSE),""))</f>
        <v/>
      </c>
      <c r="D713" s="16"/>
      <c r="E713" s="16" t="str">
        <f>IF($A713="", "", IFERROR(VLOOKUP($A713, Stock_New!$A:$M, 4, FALSE), ""))</f>
        <v/>
      </c>
      <c r="F713" s="5">
        <f t="shared" si="1"/>
        <v>0</v>
      </c>
      <c r="G713" s="16" t="str">
        <f>IF($A713="", "", IFERROR(VLOOKUP($A713, Stock_New!$A:$M, 5, FALSE), ""))</f>
        <v/>
      </c>
    </row>
    <row r="714" ht="22.5" customHeight="1">
      <c r="A714" s="11"/>
      <c r="B714" s="16" t="str">
        <f>IF(A714="","",IFERROR(VLOOKUP(A714, Stock_New!A:M, 2, FALSE),""))</f>
        <v/>
      </c>
      <c r="C714" s="16" t="str">
        <f>IF(A714="","",IFERROR(VLOOKUP(A714, Stock_New!A:M, 3, FALSE),""))</f>
        <v/>
      </c>
      <c r="D714" s="16"/>
      <c r="E714" s="16" t="str">
        <f>IF($A714="", "", IFERROR(VLOOKUP($A714, Stock_New!$A:$M, 4, FALSE), ""))</f>
        <v/>
      </c>
      <c r="F714" s="5">
        <f t="shared" si="1"/>
        <v>0</v>
      </c>
      <c r="G714" s="16" t="str">
        <f>IF($A714="", "", IFERROR(VLOOKUP($A714, Stock_New!$A:$M, 5, FALSE), ""))</f>
        <v/>
      </c>
    </row>
    <row r="715" ht="22.5" customHeight="1">
      <c r="A715" s="11"/>
      <c r="B715" s="16" t="str">
        <f>IF(A715="","",IFERROR(VLOOKUP(A715, Stock_New!A:M, 2, FALSE),""))</f>
        <v/>
      </c>
      <c r="C715" s="16" t="str">
        <f>IF(A715="","",IFERROR(VLOOKUP(A715, Stock_New!A:M, 3, FALSE),""))</f>
        <v/>
      </c>
      <c r="D715" s="16"/>
      <c r="E715" s="16" t="str">
        <f>IF($A715="", "", IFERROR(VLOOKUP($A715, Stock_New!$A:$M, 4, FALSE), ""))</f>
        <v/>
      </c>
      <c r="F715" s="5">
        <f t="shared" si="1"/>
        <v>0</v>
      </c>
      <c r="G715" s="16" t="str">
        <f>IF($A715="", "", IFERROR(VLOOKUP($A715, Stock_New!$A:$M, 5, FALSE), ""))</f>
        <v/>
      </c>
    </row>
    <row r="716" ht="22.5" customHeight="1">
      <c r="A716" s="11"/>
      <c r="B716" s="16" t="str">
        <f>IF(A716="","",IFERROR(VLOOKUP(A716, Stock_New!A:M, 2, FALSE),""))</f>
        <v/>
      </c>
      <c r="C716" s="16" t="str">
        <f>IF(A716="","",IFERROR(VLOOKUP(A716, Stock_New!A:M, 3, FALSE),""))</f>
        <v/>
      </c>
      <c r="D716" s="16"/>
      <c r="E716" s="16" t="str">
        <f>IF($A716="", "", IFERROR(VLOOKUP($A716, Stock_New!$A:$M, 4, FALSE), ""))</f>
        <v/>
      </c>
      <c r="F716" s="5">
        <f t="shared" si="1"/>
        <v>0</v>
      </c>
      <c r="G716" s="16" t="str">
        <f>IF($A716="", "", IFERROR(VLOOKUP($A716, Stock_New!$A:$M, 5, FALSE), ""))</f>
        <v/>
      </c>
    </row>
    <row r="717" ht="22.5" customHeight="1">
      <c r="A717" s="11"/>
      <c r="B717" s="16" t="str">
        <f>IF(A717="","",IFERROR(VLOOKUP(A717, Stock_New!A:M, 2, FALSE),""))</f>
        <v/>
      </c>
      <c r="C717" s="16" t="str">
        <f>IF(A717="","",IFERROR(VLOOKUP(A717, Stock_New!A:M, 3, FALSE),""))</f>
        <v/>
      </c>
      <c r="D717" s="16"/>
      <c r="E717" s="16" t="str">
        <f>IF($A717="", "", IFERROR(VLOOKUP($A717, Stock_New!$A:$M, 4, FALSE), ""))</f>
        <v/>
      </c>
      <c r="F717" s="5">
        <f t="shared" si="1"/>
        <v>0</v>
      </c>
      <c r="G717" s="16" t="str">
        <f>IF($A717="", "", IFERROR(VLOOKUP($A717, Stock_New!$A:$M, 5, FALSE), ""))</f>
        <v/>
      </c>
    </row>
    <row r="718" ht="22.5" customHeight="1">
      <c r="A718" s="11"/>
      <c r="B718" s="16" t="str">
        <f>IF(A718="","",IFERROR(VLOOKUP(A718, Stock_New!A:M, 2, FALSE),""))</f>
        <v/>
      </c>
      <c r="C718" s="16" t="str">
        <f>IF(A718="","",IFERROR(VLOOKUP(A718, Stock_New!A:M, 3, FALSE),""))</f>
        <v/>
      </c>
      <c r="D718" s="16"/>
      <c r="E718" s="16" t="str">
        <f>IF($A718="", "", IFERROR(VLOOKUP($A718, Stock_New!$A:$M, 4, FALSE), ""))</f>
        <v/>
      </c>
      <c r="F718" s="5">
        <f t="shared" si="1"/>
        <v>0</v>
      </c>
      <c r="G718" s="16" t="str">
        <f>IF($A718="", "", IFERROR(VLOOKUP($A718, Stock_New!$A:$M, 5, FALSE), ""))</f>
        <v/>
      </c>
    </row>
    <row r="719" ht="22.5" customHeight="1">
      <c r="A719" s="11"/>
      <c r="B719" s="16" t="str">
        <f>IF(A719="","",IFERROR(VLOOKUP(A719, Stock_New!A:M, 2, FALSE),""))</f>
        <v/>
      </c>
      <c r="C719" s="16" t="str">
        <f>IF(A719="","",IFERROR(VLOOKUP(A719, Stock_New!A:M, 3, FALSE),""))</f>
        <v/>
      </c>
      <c r="D719" s="16"/>
      <c r="E719" s="16" t="str">
        <f>IF($A719="", "", IFERROR(VLOOKUP($A719, Stock_New!$A:$M, 4, FALSE), ""))</f>
        <v/>
      </c>
      <c r="F719" s="5">
        <f t="shared" si="1"/>
        <v>0</v>
      </c>
      <c r="G719" s="16" t="str">
        <f>IF($A719="", "", IFERROR(VLOOKUP($A719, Stock_New!$A:$M, 5, FALSE), ""))</f>
        <v/>
      </c>
    </row>
    <row r="720" ht="22.5" customHeight="1">
      <c r="A720" s="11"/>
      <c r="B720" s="16" t="str">
        <f>IF(A720="","",IFERROR(VLOOKUP(A720, Stock_New!A:M, 2, FALSE),""))</f>
        <v/>
      </c>
      <c r="C720" s="16" t="str">
        <f>IF(A720="","",IFERROR(VLOOKUP(A720, Stock_New!A:M, 3, FALSE),""))</f>
        <v/>
      </c>
      <c r="D720" s="16"/>
      <c r="E720" s="16" t="str">
        <f>IF($A720="", "", IFERROR(VLOOKUP($A720, Stock_New!$A:$M, 4, FALSE), ""))</f>
        <v/>
      </c>
      <c r="F720" s="5">
        <f t="shared" si="1"/>
        <v>0</v>
      </c>
      <c r="G720" s="16" t="str">
        <f>IF($A720="", "", IFERROR(VLOOKUP($A720, Stock_New!$A:$M, 5, FALSE), ""))</f>
        <v/>
      </c>
    </row>
    <row r="721" ht="22.5" customHeight="1">
      <c r="A721" s="11"/>
      <c r="B721" s="16" t="str">
        <f>IF(A721="","",IFERROR(VLOOKUP(A721, Stock_New!A:M, 2, FALSE),""))</f>
        <v/>
      </c>
      <c r="C721" s="16" t="str">
        <f>IF(A721="","",IFERROR(VLOOKUP(A721, Stock_New!A:M, 3, FALSE),""))</f>
        <v/>
      </c>
      <c r="D721" s="16"/>
      <c r="E721" s="16" t="str">
        <f>IF($A721="", "", IFERROR(VLOOKUP($A721, Stock_New!$A:$M, 4, FALSE), ""))</f>
        <v/>
      </c>
      <c r="F721" s="5">
        <f t="shared" si="1"/>
        <v>0</v>
      </c>
      <c r="G721" s="16" t="str">
        <f>IF($A721="", "", IFERROR(VLOOKUP($A721, Stock_New!$A:$M, 5, FALSE), ""))</f>
        <v/>
      </c>
    </row>
    <row r="722" ht="22.5" customHeight="1">
      <c r="A722" s="11"/>
      <c r="B722" s="16" t="str">
        <f>IF(A722="","",IFERROR(VLOOKUP(A722, Stock_New!A:M, 2, FALSE),""))</f>
        <v/>
      </c>
      <c r="C722" s="16" t="str">
        <f>IF(A722="","",IFERROR(VLOOKUP(A722, Stock_New!A:M, 3, FALSE),""))</f>
        <v/>
      </c>
      <c r="D722" s="16"/>
      <c r="E722" s="16" t="str">
        <f>IF($A722="", "", IFERROR(VLOOKUP($A722, Stock_New!$A:$M, 4, FALSE), ""))</f>
        <v/>
      </c>
      <c r="F722" s="5">
        <f t="shared" si="1"/>
        <v>0</v>
      </c>
      <c r="G722" s="16" t="str">
        <f>IF($A722="", "", IFERROR(VLOOKUP($A722, Stock_New!$A:$M, 5, FALSE), ""))</f>
        <v/>
      </c>
    </row>
    <row r="723" ht="22.5" customHeight="1">
      <c r="A723" s="11"/>
      <c r="B723" s="16" t="str">
        <f>IF(A723="","",IFERROR(VLOOKUP(A723, Stock_New!A:M, 2, FALSE),""))</f>
        <v/>
      </c>
      <c r="C723" s="16" t="str">
        <f>IF(A723="","",IFERROR(VLOOKUP(A723, Stock_New!A:M, 3, FALSE),""))</f>
        <v/>
      </c>
      <c r="D723" s="16"/>
      <c r="E723" s="16" t="str">
        <f>IF($A723="", "", IFERROR(VLOOKUP($A723, Stock_New!$A:$M, 4, FALSE), ""))</f>
        <v/>
      </c>
      <c r="F723" s="5">
        <f t="shared" si="1"/>
        <v>0</v>
      </c>
      <c r="G723" s="16" t="str">
        <f>IF($A723="", "", IFERROR(VLOOKUP($A723, Stock_New!$A:$M, 5, FALSE), ""))</f>
        <v/>
      </c>
    </row>
    <row r="724" ht="22.5" customHeight="1">
      <c r="A724" s="11"/>
      <c r="B724" s="16" t="str">
        <f>IF(A724="","",IFERROR(VLOOKUP(A724, Stock_New!A:M, 2, FALSE),""))</f>
        <v/>
      </c>
      <c r="C724" s="16" t="str">
        <f>IF(A724="","",IFERROR(VLOOKUP(A724, Stock_New!A:M, 3, FALSE),""))</f>
        <v/>
      </c>
      <c r="D724" s="16"/>
      <c r="E724" s="16" t="str">
        <f>IF($A724="", "", IFERROR(VLOOKUP($A724, Stock_New!$A:$M, 4, FALSE), ""))</f>
        <v/>
      </c>
      <c r="F724" s="5">
        <f t="shared" si="1"/>
        <v>0</v>
      </c>
      <c r="G724" s="16" t="str">
        <f>IF($A724="", "", IFERROR(VLOOKUP($A724, Stock_New!$A:$M, 5, FALSE), ""))</f>
        <v/>
      </c>
    </row>
    <row r="725" ht="22.5" customHeight="1">
      <c r="A725" s="11"/>
      <c r="B725" s="16" t="str">
        <f>IF(A725="","",IFERROR(VLOOKUP(A725, Stock_New!A:M, 2, FALSE),""))</f>
        <v/>
      </c>
      <c r="C725" s="16" t="str">
        <f>IF(A725="","",IFERROR(VLOOKUP(A725, Stock_New!A:M, 3, FALSE),""))</f>
        <v/>
      </c>
      <c r="D725" s="16"/>
      <c r="E725" s="16" t="str">
        <f>IF($A725="", "", IFERROR(VLOOKUP($A725, Stock_New!$A:$M, 4, FALSE), ""))</f>
        <v/>
      </c>
      <c r="F725" s="5">
        <f t="shared" si="1"/>
        <v>0</v>
      </c>
      <c r="G725" s="16" t="str">
        <f>IF($A725="", "", IFERROR(VLOOKUP($A725, Stock_New!$A:$M, 5, FALSE), ""))</f>
        <v/>
      </c>
    </row>
    <row r="726" ht="22.5" customHeight="1">
      <c r="A726" s="11"/>
      <c r="B726" s="16" t="str">
        <f>IF(A726="","",IFERROR(VLOOKUP(A726, Stock_New!A:M, 2, FALSE),""))</f>
        <v/>
      </c>
      <c r="C726" s="16" t="str">
        <f>IF(A726="","",IFERROR(VLOOKUP(A726, Stock_New!A:M, 3, FALSE),""))</f>
        <v/>
      </c>
      <c r="D726" s="16"/>
      <c r="E726" s="16" t="str">
        <f>IF($A726="", "", IFERROR(VLOOKUP($A726, Stock_New!$A:$M, 4, FALSE), ""))</f>
        <v/>
      </c>
      <c r="F726" s="5">
        <f t="shared" si="1"/>
        <v>0</v>
      </c>
      <c r="G726" s="16" t="str">
        <f>IF($A726="", "", IFERROR(VLOOKUP($A726, Stock_New!$A:$M, 5, FALSE), ""))</f>
        <v/>
      </c>
    </row>
    <row r="727" ht="22.5" customHeight="1">
      <c r="A727" s="11"/>
      <c r="B727" s="16" t="str">
        <f>IF(A727="","",IFERROR(VLOOKUP(A727, Stock_New!A:M, 2, FALSE),""))</f>
        <v/>
      </c>
      <c r="C727" s="16" t="str">
        <f>IF(A727="","",IFERROR(VLOOKUP(A727, Stock_New!A:M, 3, FALSE),""))</f>
        <v/>
      </c>
      <c r="D727" s="16"/>
      <c r="E727" s="16" t="str">
        <f>IF($A727="", "", IFERROR(VLOOKUP($A727, Stock_New!$A:$M, 4, FALSE), ""))</f>
        <v/>
      </c>
      <c r="F727" s="5">
        <f t="shared" si="1"/>
        <v>0</v>
      </c>
      <c r="G727" s="16" t="str">
        <f>IF($A727="", "", IFERROR(VLOOKUP($A727, Stock_New!$A:$M, 5, FALSE), ""))</f>
        <v/>
      </c>
    </row>
    <row r="728" ht="22.5" customHeight="1">
      <c r="A728" s="11"/>
      <c r="B728" s="16" t="str">
        <f>IF(A728="","",IFERROR(VLOOKUP(A728, Stock_New!A:M, 2, FALSE),""))</f>
        <v/>
      </c>
      <c r="C728" s="16" t="str">
        <f>IF(A728="","",IFERROR(VLOOKUP(A728, Stock_New!A:M, 3, FALSE),""))</f>
        <v/>
      </c>
      <c r="D728" s="16"/>
      <c r="E728" s="16" t="str">
        <f>IF($A728="", "", IFERROR(VLOOKUP($A728, Stock_New!$A:$M, 4, FALSE), ""))</f>
        <v/>
      </c>
      <c r="F728" s="5">
        <f t="shared" si="1"/>
        <v>0</v>
      </c>
      <c r="G728" s="16" t="str">
        <f>IF($A728="", "", IFERROR(VLOOKUP($A728, Stock_New!$A:$M, 5, FALSE), ""))</f>
        <v/>
      </c>
    </row>
    <row r="729" ht="22.5" customHeight="1">
      <c r="A729" s="11"/>
      <c r="B729" s="16" t="str">
        <f>IF(A729="","",IFERROR(VLOOKUP(A729, Stock_New!A:M, 2, FALSE),""))</f>
        <v/>
      </c>
      <c r="C729" s="16" t="str">
        <f>IF(A729="","",IFERROR(VLOOKUP(A729, Stock_New!A:M, 3, FALSE),""))</f>
        <v/>
      </c>
      <c r="D729" s="16"/>
      <c r="E729" s="16" t="str">
        <f>IF($A729="", "", IFERROR(VLOOKUP($A729, Stock_New!$A:$M, 4, FALSE), ""))</f>
        <v/>
      </c>
      <c r="F729" s="5">
        <f t="shared" si="1"/>
        <v>0</v>
      </c>
      <c r="G729" s="16" t="str">
        <f>IF($A729="", "", IFERROR(VLOOKUP($A729, Stock_New!$A:$M, 5, FALSE), ""))</f>
        <v/>
      </c>
    </row>
    <row r="730" ht="22.5" customHeight="1">
      <c r="A730" s="11"/>
      <c r="B730" s="16" t="str">
        <f>IF(A730="","",IFERROR(VLOOKUP(A730, Stock_New!A:M, 2, FALSE),""))</f>
        <v/>
      </c>
      <c r="C730" s="16" t="str">
        <f>IF(A730="","",IFERROR(VLOOKUP(A730, Stock_New!A:M, 3, FALSE),""))</f>
        <v/>
      </c>
      <c r="D730" s="16"/>
      <c r="E730" s="16" t="str">
        <f>IF($A730="", "", IFERROR(VLOOKUP($A730, Stock_New!$A:$M, 4, FALSE), ""))</f>
        <v/>
      </c>
      <c r="F730" s="5">
        <f t="shared" si="1"/>
        <v>0</v>
      </c>
      <c r="G730" s="16" t="str">
        <f>IF($A730="", "", IFERROR(VLOOKUP($A730, Stock_New!$A:$M, 5, FALSE), ""))</f>
        <v/>
      </c>
    </row>
    <row r="731" ht="22.5" customHeight="1">
      <c r="A731" s="11"/>
      <c r="B731" s="16" t="str">
        <f>IF(A731="","",IFERROR(VLOOKUP(A731, Stock_New!A:M, 2, FALSE),""))</f>
        <v/>
      </c>
      <c r="C731" s="16" t="str">
        <f>IF(A731="","",IFERROR(VLOOKUP(A731, Stock_New!A:M, 3, FALSE),""))</f>
        <v/>
      </c>
      <c r="D731" s="16"/>
      <c r="E731" s="16" t="str">
        <f>IF($A731="", "", IFERROR(VLOOKUP($A731, Stock_New!$A:$M, 4, FALSE), ""))</f>
        <v/>
      </c>
      <c r="F731" s="5">
        <f t="shared" si="1"/>
        <v>0</v>
      </c>
      <c r="G731" s="16" t="str">
        <f>IF($A731="", "", IFERROR(VLOOKUP($A731, Stock_New!$A:$M, 5, FALSE), ""))</f>
        <v/>
      </c>
    </row>
    <row r="732" ht="22.5" customHeight="1">
      <c r="A732" s="11"/>
      <c r="B732" s="16" t="str">
        <f>IF(A732="","",IFERROR(VLOOKUP(A732, Stock_New!A:M, 2, FALSE),""))</f>
        <v/>
      </c>
      <c r="C732" s="16" t="str">
        <f>IF(A732="","",IFERROR(VLOOKUP(A732, Stock_New!A:M, 3, FALSE),""))</f>
        <v/>
      </c>
      <c r="D732" s="16"/>
      <c r="E732" s="16" t="str">
        <f>IF($A732="", "", IFERROR(VLOOKUP($A732, Stock_New!$A:$M, 4, FALSE), ""))</f>
        <v/>
      </c>
      <c r="F732" s="5">
        <f t="shared" si="1"/>
        <v>0</v>
      </c>
      <c r="G732" s="16" t="str">
        <f>IF($A732="", "", IFERROR(VLOOKUP($A732, Stock_New!$A:$M, 5, FALSE), ""))</f>
        <v/>
      </c>
    </row>
    <row r="733" ht="22.5" customHeight="1">
      <c r="A733" s="11"/>
      <c r="B733" s="16" t="str">
        <f>IF(A733="","",IFERROR(VLOOKUP(A733, Stock_New!A:M, 2, FALSE),""))</f>
        <v/>
      </c>
      <c r="C733" s="16" t="str">
        <f>IF(A733="","",IFERROR(VLOOKUP(A733, Stock_New!A:M, 3, FALSE),""))</f>
        <v/>
      </c>
      <c r="D733" s="16"/>
      <c r="E733" s="16" t="str">
        <f>IF($A733="", "", IFERROR(VLOOKUP($A733, Stock_New!$A:$M, 4, FALSE), ""))</f>
        <v/>
      </c>
      <c r="F733" s="5">
        <f t="shared" si="1"/>
        <v>0</v>
      </c>
      <c r="G733" s="16" t="str">
        <f>IF($A733="", "", IFERROR(VLOOKUP($A733, Stock_New!$A:$M, 5, FALSE), ""))</f>
        <v/>
      </c>
    </row>
    <row r="734" ht="22.5" customHeight="1">
      <c r="A734" s="11"/>
      <c r="B734" s="16" t="str">
        <f>IF(A734="","",IFERROR(VLOOKUP(A734, Stock_New!A:M, 2, FALSE),""))</f>
        <v/>
      </c>
      <c r="C734" s="16" t="str">
        <f>IF(A734="","",IFERROR(VLOOKUP(A734, Stock_New!A:M, 3, FALSE),""))</f>
        <v/>
      </c>
      <c r="D734" s="16"/>
      <c r="E734" s="16" t="str">
        <f>IF($A734="", "", IFERROR(VLOOKUP($A734, Stock_New!$A:$M, 4, FALSE), ""))</f>
        <v/>
      </c>
      <c r="F734" s="5">
        <f t="shared" si="1"/>
        <v>0</v>
      </c>
      <c r="G734" s="16" t="str">
        <f>IF($A734="", "", IFERROR(VLOOKUP($A734, Stock_New!$A:$M, 5, FALSE), ""))</f>
        <v/>
      </c>
    </row>
    <row r="735" ht="22.5" customHeight="1">
      <c r="A735" s="11"/>
      <c r="B735" s="16" t="str">
        <f>IF(A735="","",IFERROR(VLOOKUP(A735, Stock_New!A:M, 2, FALSE),""))</f>
        <v/>
      </c>
      <c r="C735" s="16" t="str">
        <f>IF(A735="","",IFERROR(VLOOKUP(A735, Stock_New!A:M, 3, FALSE),""))</f>
        <v/>
      </c>
      <c r="D735" s="16"/>
      <c r="E735" s="16" t="str">
        <f>IF($A735="", "", IFERROR(VLOOKUP($A735, Stock_New!$A:$M, 4, FALSE), ""))</f>
        <v/>
      </c>
      <c r="F735" s="5">
        <f t="shared" si="1"/>
        <v>0</v>
      </c>
      <c r="G735" s="16" t="str">
        <f>IF($A735="", "", IFERROR(VLOOKUP($A735, Stock_New!$A:$M, 5, FALSE), ""))</f>
        <v/>
      </c>
    </row>
    <row r="736" ht="22.5" customHeight="1">
      <c r="A736" s="11"/>
      <c r="B736" s="16" t="str">
        <f>IF(A736="","",IFERROR(VLOOKUP(A736, Stock_New!A:M, 2, FALSE),""))</f>
        <v/>
      </c>
      <c r="C736" s="16" t="str">
        <f>IF(A736="","",IFERROR(VLOOKUP(A736, Stock_New!A:M, 3, FALSE),""))</f>
        <v/>
      </c>
      <c r="D736" s="16"/>
      <c r="E736" s="16" t="str">
        <f>IF($A736="", "", IFERROR(VLOOKUP($A736, Stock_New!$A:$M, 4, FALSE), ""))</f>
        <v/>
      </c>
      <c r="F736" s="5">
        <f t="shared" si="1"/>
        <v>0</v>
      </c>
      <c r="G736" s="16" t="str">
        <f>IF($A736="", "", IFERROR(VLOOKUP($A736, Stock_New!$A:$M, 5, FALSE), ""))</f>
        <v/>
      </c>
    </row>
    <row r="737" ht="22.5" customHeight="1">
      <c r="A737" s="11"/>
      <c r="B737" s="16" t="str">
        <f>IF(A737="","",IFERROR(VLOOKUP(A737, Stock_New!A:M, 2, FALSE),""))</f>
        <v/>
      </c>
      <c r="C737" s="16" t="str">
        <f>IF(A737="","",IFERROR(VLOOKUP(A737, Stock_New!A:M, 3, FALSE),""))</f>
        <v/>
      </c>
      <c r="D737" s="16"/>
      <c r="E737" s="16" t="str">
        <f>IF($A737="", "", IFERROR(VLOOKUP($A737, Stock_New!$A:$M, 4, FALSE), ""))</f>
        <v/>
      </c>
      <c r="F737" s="5">
        <f t="shared" si="1"/>
        <v>0</v>
      </c>
      <c r="G737" s="16" t="str">
        <f>IF($A737="", "", IFERROR(VLOOKUP($A737, Stock_New!$A:$M, 5, FALSE), ""))</f>
        <v/>
      </c>
    </row>
    <row r="738" ht="22.5" customHeight="1">
      <c r="A738" s="11"/>
      <c r="B738" s="16" t="str">
        <f>IF(A738="","",IFERROR(VLOOKUP(A738, Stock_New!A:M, 2, FALSE),""))</f>
        <v/>
      </c>
      <c r="C738" s="16" t="str">
        <f>IF(A738="","",IFERROR(VLOOKUP(A738, Stock_New!A:M, 3, FALSE),""))</f>
        <v/>
      </c>
      <c r="D738" s="16"/>
      <c r="E738" s="16" t="str">
        <f>IF($A738="", "", IFERROR(VLOOKUP($A738, Stock_New!$A:$M, 4, FALSE), ""))</f>
        <v/>
      </c>
      <c r="F738" s="5">
        <f t="shared" si="1"/>
        <v>0</v>
      </c>
      <c r="G738" s="16" t="str">
        <f>IF($A738="", "", IFERROR(VLOOKUP($A738, Stock_New!$A:$M, 5, FALSE), ""))</f>
        <v/>
      </c>
    </row>
    <row r="739" ht="22.5" customHeight="1">
      <c r="A739" s="11"/>
      <c r="B739" s="16" t="str">
        <f>IF(A739="","",IFERROR(VLOOKUP(A739, Stock_New!A:M, 2, FALSE),""))</f>
        <v/>
      </c>
      <c r="C739" s="16" t="str">
        <f>IF(A739="","",IFERROR(VLOOKUP(A739, Stock_New!A:M, 3, FALSE),""))</f>
        <v/>
      </c>
      <c r="D739" s="16"/>
      <c r="E739" s="16" t="str">
        <f>IF($A739="", "", IFERROR(VLOOKUP($A739, Stock_New!$A:$M, 4, FALSE), ""))</f>
        <v/>
      </c>
      <c r="F739" s="5">
        <f t="shared" si="1"/>
        <v>0</v>
      </c>
      <c r="G739" s="16" t="str">
        <f>IF($A739="", "", IFERROR(VLOOKUP($A739, Stock_New!$A:$M, 5, FALSE), ""))</f>
        <v/>
      </c>
    </row>
    <row r="740" ht="22.5" customHeight="1">
      <c r="A740" s="11"/>
      <c r="B740" s="16" t="str">
        <f>IF(A740="","",IFERROR(VLOOKUP(A740, Stock_New!A:M, 2, FALSE),""))</f>
        <v/>
      </c>
      <c r="C740" s="16" t="str">
        <f>IF(A740="","",IFERROR(VLOOKUP(A740, Stock_New!A:M, 3, FALSE),""))</f>
        <v/>
      </c>
      <c r="D740" s="16"/>
      <c r="E740" s="16" t="str">
        <f>IF($A740="", "", IFERROR(VLOOKUP($A740, Stock_New!$A:$M, 4, FALSE), ""))</f>
        <v/>
      </c>
      <c r="F740" s="5">
        <f t="shared" si="1"/>
        <v>0</v>
      </c>
      <c r="G740" s="16" t="str">
        <f>IF($A740="", "", IFERROR(VLOOKUP($A740, Stock_New!$A:$M, 5, FALSE), ""))</f>
        <v/>
      </c>
    </row>
    <row r="741" ht="22.5" customHeight="1">
      <c r="A741" s="11"/>
      <c r="B741" s="16" t="str">
        <f>IF(A741="","",IFERROR(VLOOKUP(A741, Stock_New!A:M, 2, FALSE),""))</f>
        <v/>
      </c>
      <c r="C741" s="16" t="str">
        <f>IF(A741="","",IFERROR(VLOOKUP(A741, Stock_New!A:M, 3, FALSE),""))</f>
        <v/>
      </c>
      <c r="D741" s="16"/>
      <c r="E741" s="16" t="str">
        <f>IF($A741="", "", IFERROR(VLOOKUP($A741, Stock_New!$A:$M, 4, FALSE), ""))</f>
        <v/>
      </c>
      <c r="F741" s="5">
        <f t="shared" si="1"/>
        <v>0</v>
      </c>
      <c r="G741" s="16" t="str">
        <f>IF($A741="", "", IFERROR(VLOOKUP($A741, Stock_New!$A:$M, 5, FALSE), ""))</f>
        <v/>
      </c>
    </row>
    <row r="742" ht="22.5" customHeight="1">
      <c r="A742" s="11"/>
      <c r="B742" s="16" t="str">
        <f>IF(A742="","",IFERROR(VLOOKUP(A742, Stock_New!A:M, 2, FALSE),""))</f>
        <v/>
      </c>
      <c r="C742" s="16" t="str">
        <f>IF(A742="","",IFERROR(VLOOKUP(A742, Stock_New!A:M, 3, FALSE),""))</f>
        <v/>
      </c>
      <c r="D742" s="16"/>
      <c r="E742" s="16" t="str">
        <f>IF($A742="", "", IFERROR(VLOOKUP($A742, Stock_New!$A:$M, 4, FALSE), ""))</f>
        <v/>
      </c>
      <c r="F742" s="5">
        <f t="shared" si="1"/>
        <v>0</v>
      </c>
      <c r="G742" s="16" t="str">
        <f>IF($A742="", "", IFERROR(VLOOKUP($A742, Stock_New!$A:$M, 5, FALSE), ""))</f>
        <v/>
      </c>
    </row>
    <row r="743" ht="22.5" customHeight="1">
      <c r="A743" s="11"/>
      <c r="B743" s="16" t="str">
        <f>IF(A743="","",IFERROR(VLOOKUP(A743, Stock_New!A:M, 2, FALSE),""))</f>
        <v/>
      </c>
      <c r="C743" s="16" t="str">
        <f>IF(A743="","",IFERROR(VLOOKUP(A743, Stock_New!A:M, 3, FALSE),""))</f>
        <v/>
      </c>
      <c r="D743" s="16"/>
      <c r="E743" s="16" t="str">
        <f>IF($A743="", "", IFERROR(VLOOKUP($A743, Stock_New!$A:$M, 4, FALSE), ""))</f>
        <v/>
      </c>
      <c r="F743" s="5">
        <f t="shared" si="1"/>
        <v>0</v>
      </c>
      <c r="G743" s="16" t="str">
        <f>IF($A743="", "", IFERROR(VLOOKUP($A743, Stock_New!$A:$M, 5, FALSE), ""))</f>
        <v/>
      </c>
    </row>
    <row r="744" ht="22.5" customHeight="1">
      <c r="A744" s="11"/>
      <c r="B744" s="16" t="str">
        <f>IF(A744="","",IFERROR(VLOOKUP(A744, Stock_New!A:M, 2, FALSE),""))</f>
        <v/>
      </c>
      <c r="C744" s="16" t="str">
        <f>IF(A744="","",IFERROR(VLOOKUP(A744, Stock_New!A:M, 3, FALSE),""))</f>
        <v/>
      </c>
      <c r="D744" s="16"/>
      <c r="E744" s="16" t="str">
        <f>IF($A744="", "", IFERROR(VLOOKUP($A744, Stock_New!$A:$M, 4, FALSE), ""))</f>
        <v/>
      </c>
      <c r="F744" s="5">
        <f t="shared" si="1"/>
        <v>0</v>
      </c>
      <c r="G744" s="16" t="str">
        <f>IF($A744="", "", IFERROR(VLOOKUP($A744, Stock_New!$A:$M, 5, FALSE), ""))</f>
        <v/>
      </c>
    </row>
    <row r="745" ht="22.5" customHeight="1">
      <c r="A745" s="11"/>
      <c r="B745" s="16" t="str">
        <f>IF(A745="","",IFERROR(VLOOKUP(A745, Stock_New!A:M, 2, FALSE),""))</f>
        <v/>
      </c>
      <c r="C745" s="16" t="str">
        <f>IF(A745="","",IFERROR(VLOOKUP(A745, Stock_New!A:M, 3, FALSE),""))</f>
        <v/>
      </c>
      <c r="D745" s="16"/>
      <c r="E745" s="16" t="str">
        <f>IF($A745="", "", IFERROR(VLOOKUP($A745, Stock_New!$A:$M, 4, FALSE), ""))</f>
        <v/>
      </c>
      <c r="F745" s="5">
        <f t="shared" si="1"/>
        <v>0</v>
      </c>
      <c r="G745" s="16" t="str">
        <f>IF($A745="", "", IFERROR(VLOOKUP($A745, Stock_New!$A:$M, 5, FALSE), ""))</f>
        <v/>
      </c>
    </row>
    <row r="746" ht="22.5" customHeight="1">
      <c r="A746" s="11"/>
      <c r="B746" s="16" t="str">
        <f>IF(A746="","",IFERROR(VLOOKUP(A746, Stock_New!A:M, 2, FALSE),""))</f>
        <v/>
      </c>
      <c r="C746" s="16" t="str">
        <f>IF(A746="","",IFERROR(VLOOKUP(A746, Stock_New!A:M, 3, FALSE),""))</f>
        <v/>
      </c>
      <c r="D746" s="16"/>
      <c r="E746" s="16" t="str">
        <f>IF($A746="", "", IFERROR(VLOOKUP($A746, Stock_New!$A:$M, 4, FALSE), ""))</f>
        <v/>
      </c>
      <c r="F746" s="5">
        <f t="shared" si="1"/>
        <v>0</v>
      </c>
      <c r="G746" s="16" t="str">
        <f>IF($A746="", "", IFERROR(VLOOKUP($A746, Stock_New!$A:$M, 5, FALSE), ""))</f>
        <v/>
      </c>
    </row>
    <row r="747" ht="22.5" customHeight="1">
      <c r="A747" s="11"/>
      <c r="B747" s="16" t="str">
        <f>IF(A747="","",IFERROR(VLOOKUP(A747, Stock_New!A:M, 2, FALSE),""))</f>
        <v/>
      </c>
      <c r="C747" s="16" t="str">
        <f>IF(A747="","",IFERROR(VLOOKUP(A747, Stock_New!A:M, 3, FALSE),""))</f>
        <v/>
      </c>
      <c r="D747" s="16"/>
      <c r="E747" s="16" t="str">
        <f>IF($A747="", "", IFERROR(VLOOKUP($A747, Stock_New!$A:$M, 4, FALSE), ""))</f>
        <v/>
      </c>
      <c r="F747" s="5">
        <f t="shared" si="1"/>
        <v>0</v>
      </c>
      <c r="G747" s="16" t="str">
        <f>IF($A747="", "", IFERROR(VLOOKUP($A747, Stock_New!$A:$M, 5, FALSE), ""))</f>
        <v/>
      </c>
    </row>
    <row r="748" ht="22.5" customHeight="1">
      <c r="A748" s="11"/>
      <c r="B748" s="16" t="str">
        <f>IF(A748="","",IFERROR(VLOOKUP(A748, Stock_New!A:M, 2, FALSE),""))</f>
        <v/>
      </c>
      <c r="C748" s="16" t="str">
        <f>IF(A748="","",IFERROR(VLOOKUP(A748, Stock_New!A:M, 3, FALSE),""))</f>
        <v/>
      </c>
      <c r="D748" s="16"/>
      <c r="E748" s="16" t="str">
        <f>IF($A748="", "", IFERROR(VLOOKUP($A748, Stock_New!$A:$M, 4, FALSE), ""))</f>
        <v/>
      </c>
      <c r="F748" s="5">
        <f t="shared" si="1"/>
        <v>0</v>
      </c>
      <c r="G748" s="16" t="str">
        <f>IF($A748="", "", IFERROR(VLOOKUP($A748, Stock_New!$A:$M, 5, FALSE), ""))</f>
        <v/>
      </c>
    </row>
    <row r="749" ht="22.5" customHeight="1">
      <c r="A749" s="11"/>
      <c r="B749" s="16" t="str">
        <f>IF(A749="","",IFERROR(VLOOKUP(A749, Stock_New!A:M, 2, FALSE),""))</f>
        <v/>
      </c>
      <c r="C749" s="16" t="str">
        <f>IF(A749="","",IFERROR(VLOOKUP(A749, Stock_New!A:M, 3, FALSE),""))</f>
        <v/>
      </c>
      <c r="D749" s="16"/>
      <c r="E749" s="16" t="str">
        <f>IF($A749="", "", IFERROR(VLOOKUP($A749, Stock_New!$A:$M, 4, FALSE), ""))</f>
        <v/>
      </c>
      <c r="F749" s="5">
        <f t="shared" si="1"/>
        <v>0</v>
      </c>
      <c r="G749" s="16" t="str">
        <f>IF($A749="", "", IFERROR(VLOOKUP($A749, Stock_New!$A:$M, 5, FALSE), ""))</f>
        <v/>
      </c>
    </row>
    <row r="750" ht="22.5" customHeight="1">
      <c r="A750" s="11"/>
      <c r="B750" s="16" t="str">
        <f>IF(A750="","",IFERROR(VLOOKUP(A750, Stock_New!A:M, 2, FALSE),""))</f>
        <v/>
      </c>
      <c r="C750" s="16" t="str">
        <f>IF(A750="","",IFERROR(VLOOKUP(A750, Stock_New!A:M, 3, FALSE),""))</f>
        <v/>
      </c>
      <c r="D750" s="16"/>
      <c r="E750" s="16" t="str">
        <f>IF($A750="", "", IFERROR(VLOOKUP($A750, Stock_New!$A:$M, 4, FALSE), ""))</f>
        <v/>
      </c>
      <c r="F750" s="5">
        <f t="shared" si="1"/>
        <v>0</v>
      </c>
      <c r="G750" s="16" t="str">
        <f>IF($A750="", "", IFERROR(VLOOKUP($A750, Stock_New!$A:$M, 5, FALSE), ""))</f>
        <v/>
      </c>
    </row>
    <row r="751" ht="22.5" customHeight="1">
      <c r="A751" s="11"/>
      <c r="B751" s="16" t="str">
        <f>IF(A751="","",IFERROR(VLOOKUP(A751, Stock_New!A:M, 2, FALSE),""))</f>
        <v/>
      </c>
      <c r="C751" s="16" t="str">
        <f>IF(A751="","",IFERROR(VLOOKUP(A751, Stock_New!A:M, 3, FALSE),""))</f>
        <v/>
      </c>
      <c r="D751" s="16"/>
      <c r="E751" s="16" t="str">
        <f>IF($A751="", "", IFERROR(VLOOKUP($A751, Stock_New!$A:$M, 4, FALSE), ""))</f>
        <v/>
      </c>
      <c r="F751" s="5">
        <f t="shared" si="1"/>
        <v>0</v>
      </c>
      <c r="G751" s="16" t="str">
        <f>IF($A751="", "", IFERROR(VLOOKUP($A751, Stock_New!$A:$M, 5, FALSE), ""))</f>
        <v/>
      </c>
    </row>
    <row r="752" ht="22.5" customHeight="1">
      <c r="A752" s="11"/>
      <c r="B752" s="16" t="str">
        <f>IF(A752="","",IFERROR(VLOOKUP(A752, Stock_New!A:M, 2, FALSE),""))</f>
        <v/>
      </c>
      <c r="C752" s="16" t="str">
        <f>IF(A752="","",IFERROR(VLOOKUP(A752, Stock_New!A:M, 3, FALSE),""))</f>
        <v/>
      </c>
      <c r="D752" s="16"/>
      <c r="E752" s="16" t="str">
        <f>IF($A752="", "", IFERROR(VLOOKUP($A752, Stock_New!$A:$M, 4, FALSE), ""))</f>
        <v/>
      </c>
      <c r="F752" s="5">
        <f t="shared" si="1"/>
        <v>0</v>
      </c>
      <c r="G752" s="16" t="str">
        <f>IF($A752="", "", IFERROR(VLOOKUP($A752, Stock_New!$A:$M, 5, FALSE), ""))</f>
        <v/>
      </c>
    </row>
    <row r="753" ht="22.5" customHeight="1">
      <c r="A753" s="11"/>
      <c r="B753" s="16" t="str">
        <f>IF(A753="","",IFERROR(VLOOKUP(A753, Stock_New!A:M, 2, FALSE),""))</f>
        <v/>
      </c>
      <c r="C753" s="16" t="str">
        <f>IF(A753="","",IFERROR(VLOOKUP(A753, Stock_New!A:M, 3, FALSE),""))</f>
        <v/>
      </c>
      <c r="D753" s="16"/>
      <c r="E753" s="16" t="str">
        <f>IF($A753="", "", IFERROR(VLOOKUP($A753, Stock_New!$A:$M, 4, FALSE), ""))</f>
        <v/>
      </c>
      <c r="F753" s="5">
        <f t="shared" si="1"/>
        <v>0</v>
      </c>
      <c r="G753" s="16" t="str">
        <f>IF($A753="", "", IFERROR(VLOOKUP($A753, Stock_New!$A:$M, 5, FALSE), ""))</f>
        <v/>
      </c>
    </row>
    <row r="754" ht="22.5" customHeight="1">
      <c r="A754" s="11"/>
      <c r="B754" s="16" t="str">
        <f>IF(A754="","",IFERROR(VLOOKUP(A754, Stock_New!A:M, 2, FALSE),""))</f>
        <v/>
      </c>
      <c r="C754" s="16" t="str">
        <f>IF(A754="","",IFERROR(VLOOKUP(A754, Stock_New!A:M, 3, FALSE),""))</f>
        <v/>
      </c>
      <c r="D754" s="16"/>
      <c r="E754" s="16" t="str">
        <f>IF($A754="", "", IFERROR(VLOOKUP($A754, Stock_New!$A:$M, 4, FALSE), ""))</f>
        <v/>
      </c>
      <c r="F754" s="5">
        <f t="shared" si="1"/>
        <v>0</v>
      </c>
      <c r="G754" s="16" t="str">
        <f>IF($A754="", "", IFERROR(VLOOKUP($A754, Stock_New!$A:$M, 5, FALSE), ""))</f>
        <v/>
      </c>
    </row>
    <row r="755" ht="22.5" customHeight="1">
      <c r="A755" s="11"/>
      <c r="B755" s="16" t="str">
        <f>IF(A755="","",IFERROR(VLOOKUP(A755, Stock_New!A:M, 2, FALSE),""))</f>
        <v/>
      </c>
      <c r="C755" s="16" t="str">
        <f>IF(A755="","",IFERROR(VLOOKUP(A755, Stock_New!A:M, 3, FALSE),""))</f>
        <v/>
      </c>
      <c r="D755" s="16"/>
      <c r="E755" s="16" t="str">
        <f>IF($A755="", "", IFERROR(VLOOKUP($A755, Stock_New!$A:$M, 4, FALSE), ""))</f>
        <v/>
      </c>
      <c r="F755" s="5">
        <f t="shared" si="1"/>
        <v>0</v>
      </c>
      <c r="G755" s="16" t="str">
        <f>IF($A755="", "", IFERROR(VLOOKUP($A755, Stock_New!$A:$M, 5, FALSE), ""))</f>
        <v/>
      </c>
    </row>
    <row r="756" ht="22.5" customHeight="1">
      <c r="A756" s="11"/>
      <c r="B756" s="16" t="str">
        <f>IF(A756="","",IFERROR(VLOOKUP(A756, Stock_New!A:M, 2, FALSE),""))</f>
        <v/>
      </c>
      <c r="C756" s="16" t="str">
        <f>IF(A756="","",IFERROR(VLOOKUP(A756, Stock_New!A:M, 3, FALSE),""))</f>
        <v/>
      </c>
      <c r="D756" s="16"/>
      <c r="E756" s="16" t="str">
        <f>IF($A756="", "", IFERROR(VLOOKUP($A756, Stock_New!$A:$M, 4, FALSE), ""))</f>
        <v/>
      </c>
      <c r="F756" s="5">
        <f t="shared" si="1"/>
        <v>0</v>
      </c>
      <c r="G756" s="16" t="str">
        <f>IF($A756="", "", IFERROR(VLOOKUP($A756, Stock_New!$A:$M, 5, FALSE), ""))</f>
        <v/>
      </c>
    </row>
    <row r="757" ht="22.5" customHeight="1">
      <c r="A757" s="11"/>
      <c r="B757" s="16" t="str">
        <f>IF(A757="","",IFERROR(VLOOKUP(A757, Stock_New!A:M, 2, FALSE),""))</f>
        <v/>
      </c>
      <c r="C757" s="16" t="str">
        <f>IF(A757="","",IFERROR(VLOOKUP(A757, Stock_New!A:M, 3, FALSE),""))</f>
        <v/>
      </c>
      <c r="D757" s="16"/>
      <c r="E757" s="16" t="str">
        <f>IF($A757="", "", IFERROR(VLOOKUP($A757, Stock_New!$A:$M, 4, FALSE), ""))</f>
        <v/>
      </c>
      <c r="F757" s="5">
        <f t="shared" si="1"/>
        <v>0</v>
      </c>
      <c r="G757" s="16" t="str">
        <f>IF($A757="", "", IFERROR(VLOOKUP($A757, Stock_New!$A:$M, 5, FALSE), ""))</f>
        <v/>
      </c>
    </row>
    <row r="758" ht="22.5" customHeight="1">
      <c r="A758" s="11"/>
      <c r="B758" s="16" t="str">
        <f>IF(A758="","",IFERROR(VLOOKUP(A758, Stock_New!A:M, 2, FALSE),""))</f>
        <v/>
      </c>
      <c r="C758" s="16" t="str">
        <f>IF(A758="","",IFERROR(VLOOKUP(A758, Stock_New!A:M, 3, FALSE),""))</f>
        <v/>
      </c>
      <c r="D758" s="16"/>
      <c r="E758" s="16" t="str">
        <f>IF($A758="", "", IFERROR(VLOOKUP($A758, Stock_New!$A:$M, 4, FALSE), ""))</f>
        <v/>
      </c>
      <c r="F758" s="5">
        <f t="shared" si="1"/>
        <v>0</v>
      </c>
      <c r="G758" s="16" t="str">
        <f>IF($A758="", "", IFERROR(VLOOKUP($A758, Stock_New!$A:$M, 5, FALSE), ""))</f>
        <v/>
      </c>
    </row>
    <row r="759" ht="22.5" customHeight="1">
      <c r="A759" s="11"/>
      <c r="B759" s="16" t="str">
        <f>IF(A759="","",IFERROR(VLOOKUP(A759, Stock_New!A:M, 2, FALSE),""))</f>
        <v/>
      </c>
      <c r="C759" s="16" t="str">
        <f>IF(A759="","",IFERROR(VLOOKUP(A759, Stock_New!A:M, 3, FALSE),""))</f>
        <v/>
      </c>
      <c r="D759" s="16"/>
      <c r="E759" s="16" t="str">
        <f>IF($A759="", "", IFERROR(VLOOKUP($A759, Stock_New!$A:$M, 4, FALSE), ""))</f>
        <v/>
      </c>
      <c r="F759" s="5">
        <f t="shared" si="1"/>
        <v>0</v>
      </c>
      <c r="G759" s="16" t="str">
        <f>IF($A759="", "", IFERROR(VLOOKUP($A759, Stock_New!$A:$M, 5, FALSE), ""))</f>
        <v/>
      </c>
    </row>
    <row r="760" ht="22.5" customHeight="1">
      <c r="A760" s="11"/>
      <c r="B760" s="16" t="str">
        <f>IF(A760="","",IFERROR(VLOOKUP(A760, Stock_New!A:M, 2, FALSE),""))</f>
        <v/>
      </c>
      <c r="C760" s="16" t="str">
        <f>IF(A760="","",IFERROR(VLOOKUP(A760, Stock_New!A:M, 3, FALSE),""))</f>
        <v/>
      </c>
      <c r="D760" s="16"/>
      <c r="E760" s="16" t="str">
        <f>IF($A760="", "", IFERROR(VLOOKUP($A760, Stock_New!$A:$M, 4, FALSE), ""))</f>
        <v/>
      </c>
      <c r="F760" s="5">
        <f t="shared" si="1"/>
        <v>0</v>
      </c>
      <c r="G760" s="16" t="str">
        <f>IF($A760="", "", IFERROR(VLOOKUP($A760, Stock_New!$A:$M, 5, FALSE), ""))</f>
        <v/>
      </c>
    </row>
    <row r="761" ht="22.5" customHeight="1">
      <c r="A761" s="11"/>
      <c r="B761" s="16" t="str">
        <f>IF(A761="","",IFERROR(VLOOKUP(A761, Stock_New!A:M, 2, FALSE),""))</f>
        <v/>
      </c>
      <c r="C761" s="16" t="str">
        <f>IF(A761="","",IFERROR(VLOOKUP(A761, Stock_New!A:M, 3, FALSE),""))</f>
        <v/>
      </c>
      <c r="D761" s="16"/>
      <c r="E761" s="16" t="str">
        <f>IF($A761="", "", IFERROR(VLOOKUP($A761, Stock_New!$A:$M, 4, FALSE), ""))</f>
        <v/>
      </c>
      <c r="F761" s="5">
        <f t="shared" si="1"/>
        <v>0</v>
      </c>
      <c r="G761" s="16" t="str">
        <f>IF($A761="", "", IFERROR(VLOOKUP($A761, Stock_New!$A:$M, 5, FALSE), ""))</f>
        <v/>
      </c>
    </row>
    <row r="762" ht="22.5" customHeight="1">
      <c r="A762" s="11"/>
      <c r="B762" s="16" t="str">
        <f>IF(A762="","",IFERROR(VLOOKUP(A762, Stock_New!A:M, 2, FALSE),""))</f>
        <v/>
      </c>
      <c r="C762" s="16" t="str">
        <f>IF(A762="","",IFERROR(VLOOKUP(A762, Stock_New!A:M, 3, FALSE),""))</f>
        <v/>
      </c>
      <c r="D762" s="16"/>
      <c r="E762" s="16" t="str">
        <f>IF($A762="", "", IFERROR(VLOOKUP($A762, Stock_New!$A:$M, 4, FALSE), ""))</f>
        <v/>
      </c>
      <c r="F762" s="5">
        <f t="shared" si="1"/>
        <v>0</v>
      </c>
      <c r="G762" s="16" t="str">
        <f>IF($A762="", "", IFERROR(VLOOKUP($A762, Stock_New!$A:$M, 5, FALSE), ""))</f>
        <v/>
      </c>
    </row>
    <row r="763" ht="22.5" customHeight="1">
      <c r="A763" s="11"/>
      <c r="B763" s="16" t="str">
        <f>IF(A763="","",IFERROR(VLOOKUP(A763, Stock_New!A:M, 2, FALSE),""))</f>
        <v/>
      </c>
      <c r="C763" s="16" t="str">
        <f>IF(A763="","",IFERROR(VLOOKUP(A763, Stock_New!A:M, 3, FALSE),""))</f>
        <v/>
      </c>
      <c r="D763" s="16"/>
      <c r="E763" s="16" t="str">
        <f>IF($A763="", "", IFERROR(VLOOKUP($A763, Stock_New!$A:$M, 4, FALSE), ""))</f>
        <v/>
      </c>
      <c r="F763" s="5">
        <f t="shared" si="1"/>
        <v>0</v>
      </c>
      <c r="G763" s="16" t="str">
        <f>IF($A763="", "", IFERROR(VLOOKUP($A763, Stock_New!$A:$M, 5, FALSE), ""))</f>
        <v/>
      </c>
    </row>
    <row r="764" ht="22.5" customHeight="1">
      <c r="A764" s="11"/>
      <c r="B764" s="16" t="str">
        <f>IF(A764="","",IFERROR(VLOOKUP(A764, Stock_New!A:M, 2, FALSE),""))</f>
        <v/>
      </c>
      <c r="C764" s="16" t="str">
        <f>IF(A764="","",IFERROR(VLOOKUP(A764, Stock_New!A:M, 3, FALSE),""))</f>
        <v/>
      </c>
      <c r="D764" s="16"/>
      <c r="E764" s="16" t="str">
        <f>IF($A764="", "", IFERROR(VLOOKUP($A764, Stock_New!$A:$M, 4, FALSE), ""))</f>
        <v/>
      </c>
      <c r="F764" s="5">
        <f t="shared" si="1"/>
        <v>0</v>
      </c>
      <c r="G764" s="16" t="str">
        <f>IF($A764="", "", IFERROR(VLOOKUP($A764, Stock_New!$A:$M, 5, FALSE), ""))</f>
        <v/>
      </c>
    </row>
    <row r="765" ht="22.5" customHeight="1">
      <c r="A765" s="11"/>
      <c r="B765" s="16" t="str">
        <f>IF(A765="","",IFERROR(VLOOKUP(A765, Stock_New!A:M, 2, FALSE),""))</f>
        <v/>
      </c>
      <c r="C765" s="16" t="str">
        <f>IF(A765="","",IFERROR(VLOOKUP(A765, Stock_New!A:M, 3, FALSE),""))</f>
        <v/>
      </c>
      <c r="D765" s="16"/>
      <c r="E765" s="16" t="str">
        <f>IF($A765="", "", IFERROR(VLOOKUP($A765, Stock_New!$A:$M, 4, FALSE), ""))</f>
        <v/>
      </c>
      <c r="F765" s="5">
        <f t="shared" si="1"/>
        <v>0</v>
      </c>
      <c r="G765" s="16" t="str">
        <f>IF($A765="", "", IFERROR(VLOOKUP($A765, Stock_New!$A:$M, 5, FALSE), ""))</f>
        <v/>
      </c>
    </row>
    <row r="766" ht="22.5" customHeight="1">
      <c r="A766" s="11"/>
      <c r="B766" s="16" t="str">
        <f>IF(A766="","",IFERROR(VLOOKUP(A766, Stock_New!A:M, 2, FALSE),""))</f>
        <v/>
      </c>
      <c r="C766" s="16" t="str">
        <f>IF(A766="","",IFERROR(VLOOKUP(A766, Stock_New!A:M, 3, FALSE),""))</f>
        <v/>
      </c>
      <c r="D766" s="16"/>
      <c r="E766" s="16" t="str">
        <f>IF($A766="", "", IFERROR(VLOOKUP($A766, Stock_New!$A:$M, 4, FALSE), ""))</f>
        <v/>
      </c>
      <c r="F766" s="5">
        <f t="shared" si="1"/>
        <v>0</v>
      </c>
      <c r="G766" s="16" t="str">
        <f>IF($A766="", "", IFERROR(VLOOKUP($A766, Stock_New!$A:$M, 5, FALSE), ""))</f>
        <v/>
      </c>
    </row>
    <row r="767" ht="22.5" customHeight="1">
      <c r="A767" s="11"/>
      <c r="B767" s="16" t="str">
        <f>IF(A767="","",IFERROR(VLOOKUP(A767, Stock_New!A:M, 2, FALSE),""))</f>
        <v/>
      </c>
      <c r="C767" s="16" t="str">
        <f>IF(A767="","",IFERROR(VLOOKUP(A767, Stock_New!A:M, 3, FALSE),""))</f>
        <v/>
      </c>
      <c r="D767" s="16"/>
      <c r="E767" s="16" t="str">
        <f>IF($A767="", "", IFERROR(VLOOKUP($A767, Stock_New!$A:$M, 4, FALSE), ""))</f>
        <v/>
      </c>
      <c r="F767" s="5">
        <f t="shared" si="1"/>
        <v>0</v>
      </c>
      <c r="G767" s="16" t="str">
        <f>IF($A767="", "", IFERROR(VLOOKUP($A767, Stock_New!$A:$M, 5, FALSE), ""))</f>
        <v/>
      </c>
    </row>
    <row r="768" ht="22.5" customHeight="1">
      <c r="A768" s="11"/>
      <c r="B768" s="16" t="str">
        <f>IF(A768="","",IFERROR(VLOOKUP(A768, Stock_New!A:M, 2, FALSE),""))</f>
        <v/>
      </c>
      <c r="C768" s="16" t="str">
        <f>IF(A768="","",IFERROR(VLOOKUP(A768, Stock_New!A:M, 3, FALSE),""))</f>
        <v/>
      </c>
      <c r="D768" s="16"/>
      <c r="E768" s="16" t="str">
        <f>IF($A768="", "", IFERROR(VLOOKUP($A768, Stock_New!$A:$M, 4, FALSE), ""))</f>
        <v/>
      </c>
      <c r="F768" s="5">
        <f t="shared" si="1"/>
        <v>0</v>
      </c>
      <c r="G768" s="16" t="str">
        <f>IF($A768="", "", IFERROR(VLOOKUP($A768, Stock_New!$A:$M, 5, FALSE), ""))</f>
        <v/>
      </c>
    </row>
    <row r="769" ht="22.5" customHeight="1">
      <c r="A769" s="11"/>
      <c r="B769" s="16" t="str">
        <f>IF(A769="","",IFERROR(VLOOKUP(A769, Stock_New!A:M, 2, FALSE),""))</f>
        <v/>
      </c>
      <c r="C769" s="16" t="str">
        <f>IF(A769="","",IFERROR(VLOOKUP(A769, Stock_New!A:M, 3, FALSE),""))</f>
        <v/>
      </c>
      <c r="D769" s="16"/>
      <c r="E769" s="16" t="str">
        <f>IF($A769="", "", IFERROR(VLOOKUP($A769, Stock_New!$A:$M, 4, FALSE), ""))</f>
        <v/>
      </c>
      <c r="F769" s="5">
        <f t="shared" si="1"/>
        <v>0</v>
      </c>
      <c r="G769" s="16" t="str">
        <f>IF($A769="", "", IFERROR(VLOOKUP($A769, Stock_New!$A:$M, 5, FALSE), ""))</f>
        <v/>
      </c>
    </row>
    <row r="770" ht="22.5" customHeight="1">
      <c r="A770" s="11"/>
      <c r="B770" s="16" t="str">
        <f>IF(A770="","",IFERROR(VLOOKUP(A770, Stock_New!A:M, 2, FALSE),""))</f>
        <v/>
      </c>
      <c r="C770" s="16" t="str">
        <f>IF(A770="","",IFERROR(VLOOKUP(A770, Stock_New!A:M, 3, FALSE),""))</f>
        <v/>
      </c>
      <c r="D770" s="16"/>
      <c r="E770" s="16" t="str">
        <f>IF($A770="", "", IFERROR(VLOOKUP($A770, Stock_New!$A:$M, 4, FALSE), ""))</f>
        <v/>
      </c>
      <c r="F770" s="5">
        <f t="shared" si="1"/>
        <v>0</v>
      </c>
      <c r="G770" s="16" t="str">
        <f>IF($A770="", "", IFERROR(VLOOKUP($A770, Stock_New!$A:$M, 5, FALSE), ""))</f>
        <v/>
      </c>
    </row>
    <row r="771" ht="22.5" customHeight="1">
      <c r="A771" s="11"/>
      <c r="B771" s="16" t="str">
        <f>IF(A771="","",IFERROR(VLOOKUP(A771, Stock_New!A:M, 2, FALSE),""))</f>
        <v/>
      </c>
      <c r="C771" s="16" t="str">
        <f>IF(A771="","",IFERROR(VLOOKUP(A771, Stock_New!A:M, 3, FALSE),""))</f>
        <v/>
      </c>
      <c r="D771" s="16"/>
      <c r="E771" s="16" t="str">
        <f>IF($A771="", "", IFERROR(VLOOKUP($A771, Stock_New!$A:$M, 4, FALSE), ""))</f>
        <v/>
      </c>
      <c r="F771" s="5">
        <f t="shared" si="1"/>
        <v>0</v>
      </c>
      <c r="G771" s="16" t="str">
        <f>IF($A771="", "", IFERROR(VLOOKUP($A771, Stock_New!$A:$M, 5, FALSE), ""))</f>
        <v/>
      </c>
    </row>
    <row r="772" ht="22.5" customHeight="1">
      <c r="A772" s="11"/>
      <c r="B772" s="16" t="str">
        <f>IF(A772="","",IFERROR(VLOOKUP(A772, Stock_New!A:M, 2, FALSE),""))</f>
        <v/>
      </c>
      <c r="C772" s="16" t="str">
        <f>IF(A772="","",IFERROR(VLOOKUP(A772, Stock_New!A:M, 3, FALSE),""))</f>
        <v/>
      </c>
      <c r="D772" s="16"/>
      <c r="E772" s="16" t="str">
        <f>IF($A772="", "", IFERROR(VLOOKUP($A772, Stock_New!$A:$M, 4, FALSE), ""))</f>
        <v/>
      </c>
      <c r="F772" s="5">
        <f t="shared" si="1"/>
        <v>0</v>
      </c>
      <c r="G772" s="16" t="str">
        <f>IF($A772="", "", IFERROR(VLOOKUP($A772, Stock_New!$A:$M, 5, FALSE), ""))</f>
        <v/>
      </c>
    </row>
    <row r="773" ht="22.5" customHeight="1">
      <c r="A773" s="11"/>
      <c r="B773" s="16" t="str">
        <f>IF(A773="","",IFERROR(VLOOKUP(A773, Stock_New!A:M, 2, FALSE),""))</f>
        <v/>
      </c>
      <c r="C773" s="16" t="str">
        <f>IF(A773="","",IFERROR(VLOOKUP(A773, Stock_New!A:M, 3, FALSE),""))</f>
        <v/>
      </c>
      <c r="D773" s="16"/>
      <c r="E773" s="16" t="str">
        <f>IF($A773="", "", IFERROR(VLOOKUP($A773, Stock_New!$A:$M, 4, FALSE), ""))</f>
        <v/>
      </c>
      <c r="F773" s="5">
        <f t="shared" si="1"/>
        <v>0</v>
      </c>
      <c r="G773" s="16" t="str">
        <f>IF($A773="", "", IFERROR(VLOOKUP($A773, Stock_New!$A:$M, 5, FALSE), ""))</f>
        <v/>
      </c>
    </row>
    <row r="774" ht="22.5" customHeight="1">
      <c r="A774" s="11"/>
      <c r="B774" s="16" t="str">
        <f>IF(A774="","",IFERROR(VLOOKUP(A774, Stock_New!A:M, 2, FALSE),""))</f>
        <v/>
      </c>
      <c r="C774" s="16" t="str">
        <f>IF(A774="","",IFERROR(VLOOKUP(A774, Stock_New!A:M, 3, FALSE),""))</f>
        <v/>
      </c>
      <c r="D774" s="16"/>
      <c r="E774" s="16" t="str">
        <f>IF($A774="", "", IFERROR(VLOOKUP($A774, Stock_New!$A:$M, 4, FALSE), ""))</f>
        <v/>
      </c>
      <c r="F774" s="5">
        <f t="shared" si="1"/>
        <v>0</v>
      </c>
      <c r="G774" s="16" t="str">
        <f>IF($A774="", "", IFERROR(VLOOKUP($A774, Stock_New!$A:$M, 5, FALSE), ""))</f>
        <v/>
      </c>
    </row>
    <row r="775" ht="22.5" customHeight="1">
      <c r="A775" s="11"/>
      <c r="B775" s="16" t="str">
        <f>IF(A775="","",IFERROR(VLOOKUP(A775, Stock_New!A:M, 2, FALSE),""))</f>
        <v/>
      </c>
      <c r="C775" s="16" t="str">
        <f>IF(A775="","",IFERROR(VLOOKUP(A775, Stock_New!A:M, 3, FALSE),""))</f>
        <v/>
      </c>
      <c r="D775" s="16"/>
      <c r="E775" s="16" t="str">
        <f>IF($A775="", "", IFERROR(VLOOKUP($A775, Stock_New!$A:$M, 4, FALSE), ""))</f>
        <v/>
      </c>
      <c r="F775" s="5">
        <f t="shared" si="1"/>
        <v>0</v>
      </c>
      <c r="G775" s="16" t="str">
        <f>IF($A775="", "", IFERROR(VLOOKUP($A775, Stock_New!$A:$M, 5, FALSE), ""))</f>
        <v/>
      </c>
    </row>
    <row r="776" ht="22.5" customHeight="1">
      <c r="A776" s="11"/>
      <c r="B776" s="16" t="str">
        <f>IF(A776="","",IFERROR(VLOOKUP(A776, Stock_New!A:M, 2, FALSE),""))</f>
        <v/>
      </c>
      <c r="C776" s="16" t="str">
        <f>IF(A776="","",IFERROR(VLOOKUP(A776, Stock_New!A:M, 3, FALSE),""))</f>
        <v/>
      </c>
      <c r="D776" s="16"/>
      <c r="E776" s="16" t="str">
        <f>IF($A776="", "", IFERROR(VLOOKUP($A776, Stock_New!$A:$M, 4, FALSE), ""))</f>
        <v/>
      </c>
      <c r="F776" s="5">
        <f t="shared" si="1"/>
        <v>0</v>
      </c>
      <c r="G776" s="16" t="str">
        <f>IF($A776="", "", IFERROR(VLOOKUP($A776, Stock_New!$A:$M, 5, FALSE), ""))</f>
        <v/>
      </c>
    </row>
    <row r="777" ht="22.5" customHeight="1">
      <c r="A777" s="11"/>
      <c r="B777" s="16" t="str">
        <f>IF(A777="","",IFERROR(VLOOKUP(A777, Stock_New!A:M, 2, FALSE),""))</f>
        <v/>
      </c>
      <c r="C777" s="16" t="str">
        <f>IF(A777="","",IFERROR(VLOOKUP(A777, Stock_New!A:M, 3, FALSE),""))</f>
        <v/>
      </c>
      <c r="D777" s="16"/>
      <c r="E777" s="16" t="str">
        <f>IF($A777="", "", IFERROR(VLOOKUP($A777, Stock_New!$A:$M, 4, FALSE), ""))</f>
        <v/>
      </c>
      <c r="F777" s="5">
        <f t="shared" si="1"/>
        <v>0</v>
      </c>
      <c r="G777" s="16" t="str">
        <f>IF($A777="", "", IFERROR(VLOOKUP($A777, Stock_New!$A:$M, 5, FALSE), ""))</f>
        <v/>
      </c>
    </row>
    <row r="778" ht="22.5" customHeight="1">
      <c r="A778" s="11"/>
      <c r="B778" s="16" t="str">
        <f>IF(A778="","",IFERROR(VLOOKUP(A778, Stock_New!A:M, 2, FALSE),""))</f>
        <v/>
      </c>
      <c r="C778" s="16" t="str">
        <f>IF(A778="","",IFERROR(VLOOKUP(A778, Stock_New!A:M, 3, FALSE),""))</f>
        <v/>
      </c>
      <c r="D778" s="16"/>
      <c r="E778" s="16" t="str">
        <f>IF($A778="", "", IFERROR(VLOOKUP($A778, Stock_New!$A:$M, 4, FALSE), ""))</f>
        <v/>
      </c>
      <c r="F778" s="5">
        <f t="shared" si="1"/>
        <v>0</v>
      </c>
      <c r="G778" s="16" t="str">
        <f>IF($A778="", "", IFERROR(VLOOKUP($A778, Stock_New!$A:$M, 5, FALSE), ""))</f>
        <v/>
      </c>
    </row>
    <row r="779" ht="22.5" customHeight="1">
      <c r="A779" s="11"/>
      <c r="B779" s="16" t="str">
        <f>IF(A779="","",IFERROR(VLOOKUP(A779, Stock_New!A:M, 2, FALSE),""))</f>
        <v/>
      </c>
      <c r="C779" s="16" t="str">
        <f>IF(A779="","",IFERROR(VLOOKUP(A779, Stock_New!A:M, 3, FALSE),""))</f>
        <v/>
      </c>
      <c r="D779" s="16"/>
      <c r="E779" s="16" t="str">
        <f>IF($A779="", "", IFERROR(VLOOKUP($A779, Stock_New!$A:$M, 4, FALSE), ""))</f>
        <v/>
      </c>
      <c r="F779" s="5">
        <f t="shared" si="1"/>
        <v>0</v>
      </c>
      <c r="G779" s="16" t="str">
        <f>IF($A779="", "", IFERROR(VLOOKUP($A779, Stock_New!$A:$M, 5, FALSE), ""))</f>
        <v/>
      </c>
    </row>
    <row r="780" ht="22.5" customHeight="1">
      <c r="A780" s="11"/>
      <c r="B780" s="16" t="str">
        <f>IF(A780="","",IFERROR(VLOOKUP(A780, Stock_New!A:M, 2, FALSE),""))</f>
        <v/>
      </c>
      <c r="C780" s="16" t="str">
        <f>IF(A780="","",IFERROR(VLOOKUP(A780, Stock_New!A:M, 3, FALSE),""))</f>
        <v/>
      </c>
      <c r="D780" s="16"/>
      <c r="E780" s="16" t="str">
        <f>IF($A780="", "", IFERROR(VLOOKUP($A780, Stock_New!$A:$M, 4, FALSE), ""))</f>
        <v/>
      </c>
      <c r="F780" s="5">
        <f t="shared" si="1"/>
        <v>0</v>
      </c>
      <c r="G780" s="16" t="str">
        <f>IF($A780="", "", IFERROR(VLOOKUP($A780, Stock_New!$A:$M, 5, FALSE), ""))</f>
        <v/>
      </c>
    </row>
    <row r="781" ht="22.5" customHeight="1">
      <c r="A781" s="11"/>
      <c r="B781" s="16" t="str">
        <f>IF(A781="","",IFERROR(VLOOKUP(A781, Stock_New!A:M, 2, FALSE),""))</f>
        <v/>
      </c>
      <c r="C781" s="16" t="str">
        <f>IF(A781="","",IFERROR(VLOOKUP(A781, Stock_New!A:M, 3, FALSE),""))</f>
        <v/>
      </c>
      <c r="D781" s="16"/>
      <c r="E781" s="16" t="str">
        <f>IF($A781="", "", IFERROR(VLOOKUP($A781, Stock_New!$A:$M, 4, FALSE), ""))</f>
        <v/>
      </c>
      <c r="F781" s="5">
        <f t="shared" si="1"/>
        <v>0</v>
      </c>
      <c r="G781" s="16" t="str">
        <f>IF($A781="", "", IFERROR(VLOOKUP($A781, Stock_New!$A:$M, 5, FALSE), ""))</f>
        <v/>
      </c>
    </row>
    <row r="782" ht="22.5" customHeight="1">
      <c r="A782" s="11"/>
      <c r="B782" s="16" t="str">
        <f>IF(A782="","",IFERROR(VLOOKUP(A782, Stock_New!A:M, 2, FALSE),""))</f>
        <v/>
      </c>
      <c r="C782" s="16" t="str">
        <f>IF(A782="","",IFERROR(VLOOKUP(A782, Stock_New!A:M, 3, FALSE),""))</f>
        <v/>
      </c>
      <c r="D782" s="16"/>
      <c r="E782" s="16" t="str">
        <f>IF($A782="", "", IFERROR(VLOOKUP($A782, Stock_New!$A:$M, 4, FALSE), ""))</f>
        <v/>
      </c>
      <c r="F782" s="5">
        <f t="shared" si="1"/>
        <v>0</v>
      </c>
      <c r="G782" s="16" t="str">
        <f>IF($A782="", "", IFERROR(VLOOKUP($A782, Stock_New!$A:$M, 5, FALSE), ""))</f>
        <v/>
      </c>
    </row>
    <row r="783" ht="22.5" customHeight="1">
      <c r="A783" s="11"/>
      <c r="B783" s="16" t="str">
        <f>IF(A783="","",IFERROR(VLOOKUP(A783, Stock_New!A:M, 2, FALSE),""))</f>
        <v/>
      </c>
      <c r="C783" s="16" t="str">
        <f>IF(A783="","",IFERROR(VLOOKUP(A783, Stock_New!A:M, 3, FALSE),""))</f>
        <v/>
      </c>
      <c r="D783" s="16"/>
      <c r="E783" s="16" t="str">
        <f>IF($A783="", "", IFERROR(VLOOKUP($A783, Stock_New!$A:$M, 4, FALSE), ""))</f>
        <v/>
      </c>
      <c r="F783" s="5">
        <f t="shared" si="1"/>
        <v>0</v>
      </c>
      <c r="G783" s="16" t="str">
        <f>IF($A783="", "", IFERROR(VLOOKUP($A783, Stock_New!$A:$M, 5, FALSE), ""))</f>
        <v/>
      </c>
    </row>
    <row r="784" ht="22.5" customHeight="1">
      <c r="A784" s="11"/>
      <c r="B784" s="16" t="str">
        <f>IF(A784="","",IFERROR(VLOOKUP(A784, Stock_New!A:M, 2, FALSE),""))</f>
        <v/>
      </c>
      <c r="C784" s="16" t="str">
        <f>IF(A784="","",IFERROR(VLOOKUP(A784, Stock_New!A:M, 3, FALSE),""))</f>
        <v/>
      </c>
      <c r="D784" s="16"/>
      <c r="E784" s="16" t="str">
        <f>IF($A784="", "", IFERROR(VLOOKUP($A784, Stock_New!$A:$M, 4, FALSE), ""))</f>
        <v/>
      </c>
      <c r="F784" s="5">
        <f t="shared" si="1"/>
        <v>0</v>
      </c>
      <c r="G784" s="16" t="str">
        <f>IF($A784="", "", IFERROR(VLOOKUP($A784, Stock_New!$A:$M, 5, FALSE), ""))</f>
        <v/>
      </c>
    </row>
    <row r="785" ht="22.5" customHeight="1">
      <c r="A785" s="11"/>
      <c r="B785" s="16" t="str">
        <f>IF(A785="","",IFERROR(VLOOKUP(A785, Stock_New!A:M, 2, FALSE),""))</f>
        <v/>
      </c>
      <c r="C785" s="16" t="str">
        <f>IF(A785="","",IFERROR(VLOOKUP(A785, Stock_New!A:M, 3, FALSE),""))</f>
        <v/>
      </c>
      <c r="D785" s="16"/>
      <c r="E785" s="16" t="str">
        <f>IF($A785="", "", IFERROR(VLOOKUP($A785, Stock_New!$A:$M, 4, FALSE), ""))</f>
        <v/>
      </c>
      <c r="F785" s="5">
        <f t="shared" si="1"/>
        <v>0</v>
      </c>
      <c r="G785" s="16" t="str">
        <f>IF($A785="", "", IFERROR(VLOOKUP($A785, Stock_New!$A:$M, 5, FALSE), ""))</f>
        <v/>
      </c>
    </row>
    <row r="786" ht="22.5" customHeight="1">
      <c r="A786" s="11"/>
      <c r="B786" s="16" t="str">
        <f>IF(A786="","",IFERROR(VLOOKUP(A786, Stock_New!A:M, 2, FALSE),""))</f>
        <v/>
      </c>
      <c r="C786" s="16" t="str">
        <f>IF(A786="","",IFERROR(VLOOKUP(A786, Stock_New!A:M, 3, FALSE),""))</f>
        <v/>
      </c>
      <c r="D786" s="16"/>
      <c r="E786" s="16" t="str">
        <f>IF($A786="", "", IFERROR(VLOOKUP($A786, Stock_New!$A:$M, 4, FALSE), ""))</f>
        <v/>
      </c>
      <c r="F786" s="5">
        <f t="shared" si="1"/>
        <v>0</v>
      </c>
      <c r="G786" s="16" t="str">
        <f>IF($A786="", "", IFERROR(VLOOKUP($A786, Stock_New!$A:$M, 5, FALSE), ""))</f>
        <v/>
      </c>
    </row>
    <row r="787" ht="22.5" customHeight="1">
      <c r="A787" s="11"/>
      <c r="B787" s="16" t="str">
        <f>IF(A787="","",IFERROR(VLOOKUP(A787, Stock_New!A:M, 2, FALSE),""))</f>
        <v/>
      </c>
      <c r="C787" s="16" t="str">
        <f>IF(A787="","",IFERROR(VLOOKUP(A787, Stock_New!A:M, 3, FALSE),""))</f>
        <v/>
      </c>
      <c r="D787" s="16"/>
      <c r="E787" s="16" t="str">
        <f>IF($A787="", "", IFERROR(VLOOKUP($A787, Stock_New!$A:$M, 4, FALSE), ""))</f>
        <v/>
      </c>
      <c r="F787" s="5">
        <f t="shared" si="1"/>
        <v>0</v>
      </c>
      <c r="G787" s="16" t="str">
        <f>IF($A787="", "", IFERROR(VLOOKUP($A787, Stock_New!$A:$M, 5, FALSE), ""))</f>
        <v/>
      </c>
    </row>
    <row r="788" ht="22.5" customHeight="1">
      <c r="A788" s="11"/>
      <c r="B788" s="16" t="str">
        <f>IF(A788="","",IFERROR(VLOOKUP(A788, Stock_New!A:M, 2, FALSE),""))</f>
        <v/>
      </c>
      <c r="C788" s="16" t="str">
        <f>IF(A788="","",IFERROR(VLOOKUP(A788, Stock_New!A:M, 3, FALSE),""))</f>
        <v/>
      </c>
      <c r="D788" s="16"/>
      <c r="E788" s="16" t="str">
        <f>IF($A788="", "", IFERROR(VLOOKUP($A788, Stock_New!$A:$M, 4, FALSE), ""))</f>
        <v/>
      </c>
      <c r="F788" s="5">
        <f t="shared" si="1"/>
        <v>0</v>
      </c>
      <c r="G788" s="16" t="str">
        <f>IF($A788="", "", IFERROR(VLOOKUP($A788, Stock_New!$A:$M, 5, FALSE), ""))</f>
        <v/>
      </c>
    </row>
    <row r="789" ht="22.5" customHeight="1">
      <c r="A789" s="11"/>
      <c r="B789" s="16" t="str">
        <f>IF(A789="","",IFERROR(VLOOKUP(A789, Stock_New!A:M, 2, FALSE),""))</f>
        <v/>
      </c>
      <c r="C789" s="16" t="str">
        <f>IF(A789="","",IFERROR(VLOOKUP(A789, Stock_New!A:M, 3, FALSE),""))</f>
        <v/>
      </c>
      <c r="D789" s="16"/>
      <c r="E789" s="16" t="str">
        <f>IF($A789="", "", IFERROR(VLOOKUP($A789, Stock_New!$A:$M, 4, FALSE), ""))</f>
        <v/>
      </c>
      <c r="F789" s="5">
        <f t="shared" si="1"/>
        <v>0</v>
      </c>
      <c r="G789" s="16" t="str">
        <f>IF($A789="", "", IFERROR(VLOOKUP($A789, Stock_New!$A:$M, 5, FALSE), ""))</f>
        <v/>
      </c>
    </row>
    <row r="790" ht="22.5" customHeight="1">
      <c r="A790" s="11"/>
      <c r="B790" s="16" t="str">
        <f>IF(A790="","",IFERROR(VLOOKUP(A790, Stock_New!A:M, 2, FALSE),""))</f>
        <v/>
      </c>
      <c r="C790" s="16" t="str">
        <f>IF(A790="","",IFERROR(VLOOKUP(A790, Stock_New!A:M, 3, FALSE),""))</f>
        <v/>
      </c>
      <c r="D790" s="16"/>
      <c r="E790" s="16" t="str">
        <f>IF($A790="", "", IFERROR(VLOOKUP($A790, Stock_New!$A:$M, 4, FALSE), ""))</f>
        <v/>
      </c>
      <c r="F790" s="5">
        <f t="shared" si="1"/>
        <v>0</v>
      </c>
      <c r="G790" s="16" t="str">
        <f>IF($A790="", "", IFERROR(VLOOKUP($A790, Stock_New!$A:$M, 5, FALSE), ""))</f>
        <v/>
      </c>
    </row>
    <row r="791" ht="22.5" customHeight="1">
      <c r="A791" s="11"/>
      <c r="B791" s="16" t="str">
        <f>IF(A791="","",IFERROR(VLOOKUP(A791, Stock_New!A:M, 2, FALSE),""))</f>
        <v/>
      </c>
      <c r="C791" s="16" t="str">
        <f>IF(A791="","",IFERROR(VLOOKUP(A791, Stock_New!A:M, 3, FALSE),""))</f>
        <v/>
      </c>
      <c r="D791" s="16"/>
      <c r="E791" s="16" t="str">
        <f>IF($A791="", "", IFERROR(VLOOKUP($A791, Stock_New!$A:$M, 4, FALSE), ""))</f>
        <v/>
      </c>
      <c r="F791" s="5">
        <f t="shared" si="1"/>
        <v>0</v>
      </c>
      <c r="G791" s="16" t="str">
        <f>IF($A791="", "", IFERROR(VLOOKUP($A791, Stock_New!$A:$M, 5, FALSE), ""))</f>
        <v/>
      </c>
    </row>
    <row r="792" ht="22.5" customHeight="1">
      <c r="A792" s="11"/>
      <c r="B792" s="16" t="str">
        <f>IF(A792="","",IFERROR(VLOOKUP(A792, Stock_New!A:M, 2, FALSE),""))</f>
        <v/>
      </c>
      <c r="C792" s="16" t="str">
        <f>IF(A792="","",IFERROR(VLOOKUP(A792, Stock_New!A:M, 3, FALSE),""))</f>
        <v/>
      </c>
      <c r="D792" s="16"/>
      <c r="E792" s="16" t="str">
        <f>IF($A792="", "", IFERROR(VLOOKUP($A792, Stock_New!$A:$M, 4, FALSE), ""))</f>
        <v/>
      </c>
      <c r="F792" s="5">
        <f t="shared" si="1"/>
        <v>0</v>
      </c>
      <c r="G792" s="16" t="str">
        <f>IF($A792="", "", IFERROR(VLOOKUP($A792, Stock_New!$A:$M, 5, FALSE), ""))</f>
        <v/>
      </c>
    </row>
    <row r="793" ht="22.5" customHeight="1">
      <c r="A793" s="11"/>
      <c r="B793" s="16" t="str">
        <f>IF(A793="","",IFERROR(VLOOKUP(A793, Stock_New!A:M, 2, FALSE),""))</f>
        <v/>
      </c>
      <c r="C793" s="16" t="str">
        <f>IF(A793="","",IFERROR(VLOOKUP(A793, Stock_New!A:M, 3, FALSE),""))</f>
        <v/>
      </c>
      <c r="D793" s="16"/>
      <c r="E793" s="16" t="str">
        <f>IF($A793="", "", IFERROR(VLOOKUP($A793, Stock_New!$A:$M, 4, FALSE), ""))</f>
        <v/>
      </c>
      <c r="F793" s="5">
        <f t="shared" si="1"/>
        <v>0</v>
      </c>
      <c r="G793" s="16" t="str">
        <f>IF($A793="", "", IFERROR(VLOOKUP($A793, Stock_New!$A:$M, 5, FALSE), ""))</f>
        <v/>
      </c>
    </row>
    <row r="794" ht="22.5" customHeight="1">
      <c r="A794" s="11"/>
      <c r="B794" s="16" t="str">
        <f>IF(A794="","",IFERROR(VLOOKUP(A794, Stock_New!A:M, 2, FALSE),""))</f>
        <v/>
      </c>
      <c r="C794" s="16" t="str">
        <f>IF(A794="","",IFERROR(VLOOKUP(A794, Stock_New!A:M, 3, FALSE),""))</f>
        <v/>
      </c>
      <c r="D794" s="16"/>
      <c r="E794" s="16" t="str">
        <f>IF($A794="", "", IFERROR(VLOOKUP($A794, Stock_New!$A:$M, 4, FALSE), ""))</f>
        <v/>
      </c>
      <c r="F794" s="5">
        <f t="shared" si="1"/>
        <v>0</v>
      </c>
      <c r="G794" s="16" t="str">
        <f>IF($A794="", "", IFERROR(VLOOKUP($A794, Stock_New!$A:$M, 5, FALSE), ""))</f>
        <v/>
      </c>
    </row>
    <row r="795" ht="22.5" customHeight="1">
      <c r="A795" s="11"/>
      <c r="B795" s="16" t="str">
        <f>IF(A795="","",IFERROR(VLOOKUP(A795, Stock_New!A:M, 2, FALSE),""))</f>
        <v/>
      </c>
      <c r="C795" s="16" t="str">
        <f>IF(A795="","",IFERROR(VLOOKUP(A795, Stock_New!A:M, 3, FALSE),""))</f>
        <v/>
      </c>
      <c r="D795" s="16"/>
      <c r="E795" s="16" t="str">
        <f>IF($A795="", "", IFERROR(VLOOKUP($A795, Stock_New!$A:$M, 4, FALSE), ""))</f>
        <v/>
      </c>
      <c r="F795" s="5">
        <f t="shared" si="1"/>
        <v>0</v>
      </c>
      <c r="G795" s="16" t="str">
        <f>IF($A795="", "", IFERROR(VLOOKUP($A795, Stock_New!$A:$M, 5, FALSE), ""))</f>
        <v/>
      </c>
    </row>
    <row r="796" ht="22.5" customHeight="1">
      <c r="A796" s="11"/>
      <c r="B796" s="16" t="str">
        <f>IF(A796="","",IFERROR(VLOOKUP(A796, Stock_New!A:M, 2, FALSE),""))</f>
        <v/>
      </c>
      <c r="C796" s="16" t="str">
        <f>IF(A796="","",IFERROR(VLOOKUP(A796, Stock_New!A:M, 3, FALSE),""))</f>
        <v/>
      </c>
      <c r="D796" s="16"/>
      <c r="E796" s="16" t="str">
        <f>IF($A796="", "", IFERROR(VLOOKUP($A796, Stock_New!$A:$M, 4, FALSE), ""))</f>
        <v/>
      </c>
      <c r="F796" s="5">
        <f t="shared" si="1"/>
        <v>0</v>
      </c>
      <c r="G796" s="16" t="str">
        <f>IF($A796="", "", IFERROR(VLOOKUP($A796, Stock_New!$A:$M, 5, FALSE), ""))</f>
        <v/>
      </c>
    </row>
    <row r="797" ht="22.5" customHeight="1">
      <c r="A797" s="11"/>
      <c r="B797" s="16" t="str">
        <f>IF(A797="","",IFERROR(VLOOKUP(A797, Stock_New!A:M, 2, FALSE),""))</f>
        <v/>
      </c>
      <c r="C797" s="16" t="str">
        <f>IF(A797="","",IFERROR(VLOOKUP(A797, Stock_New!A:M, 3, FALSE),""))</f>
        <v/>
      </c>
      <c r="D797" s="16"/>
      <c r="E797" s="16" t="str">
        <f>IF($A797="", "", IFERROR(VLOOKUP($A797, Stock_New!$A:$M, 4, FALSE), ""))</f>
        <v/>
      </c>
      <c r="F797" s="5">
        <f t="shared" si="1"/>
        <v>0</v>
      </c>
      <c r="G797" s="16" t="str">
        <f>IF($A797="", "", IFERROR(VLOOKUP($A797, Stock_New!$A:$M, 5, FALSE), ""))</f>
        <v/>
      </c>
    </row>
    <row r="798" ht="22.5" customHeight="1">
      <c r="A798" s="11"/>
      <c r="B798" s="16" t="str">
        <f>IF(A798="","",IFERROR(VLOOKUP(A798, Stock_New!A:M, 2, FALSE),""))</f>
        <v/>
      </c>
      <c r="C798" s="16" t="str">
        <f>IF(A798="","",IFERROR(VLOOKUP(A798, Stock_New!A:M, 3, FALSE),""))</f>
        <v/>
      </c>
      <c r="D798" s="16"/>
      <c r="E798" s="16" t="str">
        <f>IF($A798="", "", IFERROR(VLOOKUP($A798, Stock_New!$A:$M, 4, FALSE), ""))</f>
        <v/>
      </c>
      <c r="F798" s="5">
        <f t="shared" si="1"/>
        <v>0</v>
      </c>
      <c r="G798" s="16" t="str">
        <f>IF($A798="", "", IFERROR(VLOOKUP($A798, Stock_New!$A:$M, 5, FALSE), ""))</f>
        <v/>
      </c>
    </row>
    <row r="799" ht="22.5" customHeight="1">
      <c r="A799" s="11"/>
      <c r="B799" s="16" t="str">
        <f>IF(A799="","",IFERROR(VLOOKUP(A799, Stock_New!A:M, 2, FALSE),""))</f>
        <v/>
      </c>
      <c r="C799" s="16" t="str">
        <f>IF(A799="","",IFERROR(VLOOKUP(A799, Stock_New!A:M, 3, FALSE),""))</f>
        <v/>
      </c>
      <c r="D799" s="16"/>
      <c r="E799" s="16" t="str">
        <f>IF($A799="", "", IFERROR(VLOOKUP($A799, Stock_New!$A:$M, 4, FALSE), ""))</f>
        <v/>
      </c>
      <c r="F799" s="5">
        <f t="shared" si="1"/>
        <v>0</v>
      </c>
      <c r="G799" s="16" t="str">
        <f>IF($A799="", "", IFERROR(VLOOKUP($A799, Stock_New!$A:$M, 5, FALSE), ""))</f>
        <v/>
      </c>
    </row>
    <row r="800" ht="22.5" customHeight="1">
      <c r="A800" s="11"/>
      <c r="B800" s="16" t="str">
        <f>IF(A800="","",IFERROR(VLOOKUP(A800, Stock_New!A:M, 2, FALSE),""))</f>
        <v/>
      </c>
      <c r="C800" s="16" t="str">
        <f>IF(A800="","",IFERROR(VLOOKUP(A800, Stock_New!A:M, 3, FALSE),""))</f>
        <v/>
      </c>
      <c r="D800" s="16"/>
      <c r="E800" s="16" t="str">
        <f>IF($A800="", "", IFERROR(VLOOKUP($A800, Stock_New!$A:$M, 4, FALSE), ""))</f>
        <v/>
      </c>
      <c r="F800" s="5">
        <f t="shared" si="1"/>
        <v>0</v>
      </c>
      <c r="G800" s="16" t="str">
        <f>IF($A800="", "", IFERROR(VLOOKUP($A800, Stock_New!$A:$M, 5, FALSE), ""))</f>
        <v/>
      </c>
    </row>
    <row r="801" ht="22.5" customHeight="1">
      <c r="A801" s="11"/>
      <c r="B801" s="16" t="str">
        <f>IF(A801="","",IFERROR(VLOOKUP(A801, Stock_New!A:M, 2, FALSE),""))</f>
        <v/>
      </c>
      <c r="C801" s="16" t="str">
        <f>IF(A801="","",IFERROR(VLOOKUP(A801, Stock_New!A:M, 3, FALSE),""))</f>
        <v/>
      </c>
      <c r="D801" s="16"/>
      <c r="E801" s="16" t="str">
        <f>IF($A801="", "", IFERROR(VLOOKUP($A801, Stock_New!$A:$M, 4, FALSE), ""))</f>
        <v/>
      </c>
      <c r="F801" s="5">
        <f t="shared" si="1"/>
        <v>0</v>
      </c>
      <c r="G801" s="16" t="str">
        <f>IF($A801="", "", IFERROR(VLOOKUP($A801, Stock_New!$A:$M, 5, FALSE), ""))</f>
        <v/>
      </c>
    </row>
    <row r="802" ht="22.5" customHeight="1">
      <c r="A802" s="11"/>
      <c r="B802" s="16" t="str">
        <f>IF(A802="","",IFERROR(VLOOKUP(A802, Stock_New!A:M, 2, FALSE),""))</f>
        <v/>
      </c>
      <c r="C802" s="16" t="str">
        <f>IF(A802="","",IFERROR(VLOOKUP(A802, Stock_New!A:M, 3, FALSE),""))</f>
        <v/>
      </c>
      <c r="D802" s="16"/>
      <c r="E802" s="16" t="str">
        <f>IF($A802="", "", IFERROR(VLOOKUP($A802, Stock_New!$A:$M, 4, FALSE), ""))</f>
        <v/>
      </c>
      <c r="F802" s="5">
        <f t="shared" si="1"/>
        <v>0</v>
      </c>
      <c r="G802" s="16" t="str">
        <f>IF($A802="", "", IFERROR(VLOOKUP($A802, Stock_New!$A:$M, 5, FALSE), ""))</f>
        <v/>
      </c>
    </row>
    <row r="803" ht="22.5" customHeight="1">
      <c r="A803" s="11"/>
      <c r="B803" s="16" t="str">
        <f>IF(A803="","",IFERROR(VLOOKUP(A803, Stock_New!A:M, 2, FALSE),""))</f>
        <v/>
      </c>
      <c r="C803" s="16" t="str">
        <f>IF(A803="","",IFERROR(VLOOKUP(A803, Stock_New!A:M, 3, FALSE),""))</f>
        <v/>
      </c>
      <c r="D803" s="16"/>
      <c r="E803" s="16" t="str">
        <f>IF($A803="", "", IFERROR(VLOOKUP($A803, Stock_New!$A:$M, 4, FALSE), ""))</f>
        <v/>
      </c>
      <c r="F803" s="5">
        <f t="shared" si="1"/>
        <v>0</v>
      </c>
      <c r="G803" s="16" t="str">
        <f>IF($A803="", "", IFERROR(VLOOKUP($A803, Stock_New!$A:$M, 5, FALSE), ""))</f>
        <v/>
      </c>
    </row>
    <row r="804" ht="22.5" customHeight="1">
      <c r="A804" s="11"/>
      <c r="B804" s="16" t="str">
        <f>IF(A804="","",IFERROR(VLOOKUP(A804, Stock_New!A:M, 2, FALSE),""))</f>
        <v/>
      </c>
      <c r="C804" s="16" t="str">
        <f>IF(A804="","",IFERROR(VLOOKUP(A804, Stock_New!A:M, 3, FALSE),""))</f>
        <v/>
      </c>
      <c r="D804" s="16"/>
      <c r="E804" s="16" t="str">
        <f>IF($A804="", "", IFERROR(VLOOKUP($A804, Stock_New!$A:$M, 4, FALSE), ""))</f>
        <v/>
      </c>
      <c r="F804" s="5">
        <f t="shared" si="1"/>
        <v>0</v>
      </c>
      <c r="G804" s="16" t="str">
        <f>IF($A804="", "", IFERROR(VLOOKUP($A804, Stock_New!$A:$M, 5, FALSE), ""))</f>
        <v/>
      </c>
    </row>
    <row r="805" ht="22.5" customHeight="1">
      <c r="A805" s="11"/>
      <c r="B805" s="16" t="str">
        <f>IF(A805="","",IFERROR(VLOOKUP(A805, Stock_New!A:M, 2, FALSE),""))</f>
        <v/>
      </c>
      <c r="C805" s="16" t="str">
        <f>IF(A805="","",IFERROR(VLOOKUP(A805, Stock_New!A:M, 3, FALSE),""))</f>
        <v/>
      </c>
      <c r="D805" s="16"/>
      <c r="E805" s="16" t="str">
        <f>IF($A805="", "", IFERROR(VLOOKUP($A805, Stock_New!$A:$M, 4, FALSE), ""))</f>
        <v/>
      </c>
      <c r="F805" s="5">
        <f t="shared" si="1"/>
        <v>0</v>
      </c>
      <c r="G805" s="16" t="str">
        <f>IF($A805="", "", IFERROR(VLOOKUP($A805, Stock_New!$A:$M, 5, FALSE), ""))</f>
        <v/>
      </c>
    </row>
    <row r="806" ht="22.5" customHeight="1">
      <c r="A806" s="11"/>
      <c r="B806" s="16" t="str">
        <f>IF(A806="","",IFERROR(VLOOKUP(A806, Stock_New!A:M, 2, FALSE),""))</f>
        <v/>
      </c>
      <c r="C806" s="16" t="str">
        <f>IF(A806="","",IFERROR(VLOOKUP(A806, Stock_New!A:M, 3, FALSE),""))</f>
        <v/>
      </c>
      <c r="D806" s="16"/>
      <c r="E806" s="16" t="str">
        <f>IF($A806="", "", IFERROR(VLOOKUP($A806, Stock_New!$A:$M, 4, FALSE), ""))</f>
        <v/>
      </c>
      <c r="F806" s="5">
        <f t="shared" si="1"/>
        <v>0</v>
      </c>
      <c r="G806" s="16" t="str">
        <f>IF($A806="", "", IFERROR(VLOOKUP($A806, Stock_New!$A:$M, 5, FALSE), ""))</f>
        <v/>
      </c>
    </row>
    <row r="807" ht="22.5" customHeight="1">
      <c r="A807" s="11"/>
      <c r="B807" s="16" t="str">
        <f>IF(A807="","",IFERROR(VLOOKUP(A807, Stock_New!A:M, 2, FALSE),""))</f>
        <v/>
      </c>
      <c r="C807" s="16" t="str">
        <f>IF(A807="","",IFERROR(VLOOKUP(A807, Stock_New!A:M, 3, FALSE),""))</f>
        <v/>
      </c>
      <c r="D807" s="16"/>
      <c r="E807" s="16" t="str">
        <f>IF($A807="", "", IFERROR(VLOOKUP($A807, Stock_New!$A:$M, 4, FALSE), ""))</f>
        <v/>
      </c>
      <c r="F807" s="5">
        <f t="shared" si="1"/>
        <v>0</v>
      </c>
      <c r="G807" s="16" t="str">
        <f>IF($A807="", "", IFERROR(VLOOKUP($A807, Stock_New!$A:$M, 5, FALSE), ""))</f>
        <v/>
      </c>
    </row>
    <row r="808" ht="22.5" customHeight="1">
      <c r="A808" s="11"/>
      <c r="B808" s="16" t="str">
        <f>IF(A808="","",IFERROR(VLOOKUP(A808, Stock_New!A:M, 2, FALSE),""))</f>
        <v/>
      </c>
      <c r="C808" s="16" t="str">
        <f>IF(A808="","",IFERROR(VLOOKUP(A808, Stock_New!A:M, 3, FALSE),""))</f>
        <v/>
      </c>
      <c r="D808" s="16"/>
      <c r="E808" s="16" t="str">
        <f>IF($A808="", "", IFERROR(VLOOKUP($A808, Stock_New!$A:$M, 4, FALSE), ""))</f>
        <v/>
      </c>
      <c r="F808" s="5">
        <f t="shared" si="1"/>
        <v>0</v>
      </c>
      <c r="G808" s="16" t="str">
        <f>IF($A808="", "", IFERROR(VLOOKUP($A808, Stock_New!$A:$M, 5, FALSE), ""))</f>
        <v/>
      </c>
    </row>
    <row r="809" ht="22.5" customHeight="1">
      <c r="A809" s="11"/>
      <c r="B809" s="16" t="str">
        <f>IF(A809="","",IFERROR(VLOOKUP(A809, Stock_New!A:M, 2, FALSE),""))</f>
        <v/>
      </c>
      <c r="C809" s="16" t="str">
        <f>IF(A809="","",IFERROR(VLOOKUP(A809, Stock_New!A:M, 3, FALSE),""))</f>
        <v/>
      </c>
      <c r="D809" s="16"/>
      <c r="E809" s="16" t="str">
        <f>IF($A809="", "", IFERROR(VLOOKUP($A809, Stock_New!$A:$M, 4, FALSE), ""))</f>
        <v/>
      </c>
      <c r="F809" s="5">
        <f t="shared" si="1"/>
        <v>0</v>
      </c>
      <c r="G809" s="16" t="str">
        <f>IF($A809="", "", IFERROR(VLOOKUP($A809, Stock_New!$A:$M, 5, FALSE), ""))</f>
        <v/>
      </c>
    </row>
    <row r="810" ht="22.5" customHeight="1">
      <c r="A810" s="11"/>
      <c r="B810" s="16" t="str">
        <f>IF(A810="","",IFERROR(VLOOKUP(A810, Stock_New!A:M, 2, FALSE),""))</f>
        <v/>
      </c>
      <c r="C810" s="16" t="str">
        <f>IF(A810="","",IFERROR(VLOOKUP(A810, Stock_New!A:M, 3, FALSE),""))</f>
        <v/>
      </c>
      <c r="D810" s="16"/>
      <c r="E810" s="16" t="str">
        <f>IF($A810="", "", IFERROR(VLOOKUP($A810, Stock_New!$A:$M, 4, FALSE), ""))</f>
        <v/>
      </c>
      <c r="F810" s="5">
        <f t="shared" si="1"/>
        <v>0</v>
      </c>
      <c r="G810" s="16" t="str">
        <f>IF($A810="", "", IFERROR(VLOOKUP($A810, Stock_New!$A:$M, 5, FALSE), ""))</f>
        <v/>
      </c>
    </row>
    <row r="811" ht="22.5" customHeight="1">
      <c r="A811" s="11"/>
      <c r="B811" s="16" t="str">
        <f>IF(A811="","",IFERROR(VLOOKUP(A811, Stock_New!A:M, 2, FALSE),""))</f>
        <v/>
      </c>
      <c r="C811" s="16" t="str">
        <f>IF(A811="","",IFERROR(VLOOKUP(A811, Stock_New!A:M, 3, FALSE),""))</f>
        <v/>
      </c>
      <c r="D811" s="16"/>
      <c r="E811" s="16" t="str">
        <f>IF($A811="", "", IFERROR(VLOOKUP($A811, Stock_New!$A:$M, 4, FALSE), ""))</f>
        <v/>
      </c>
      <c r="F811" s="5">
        <f t="shared" si="1"/>
        <v>0</v>
      </c>
      <c r="G811" s="16" t="str">
        <f>IF($A811="", "", IFERROR(VLOOKUP($A811, Stock_New!$A:$M, 5, FALSE), ""))</f>
        <v/>
      </c>
    </row>
    <row r="812" ht="22.5" customHeight="1">
      <c r="A812" s="11"/>
      <c r="B812" s="16" t="str">
        <f>IF(A812="","",IFERROR(VLOOKUP(A812, Stock_New!A:M, 2, FALSE),""))</f>
        <v/>
      </c>
      <c r="C812" s="16" t="str">
        <f>IF(A812="","",IFERROR(VLOOKUP(A812, Stock_New!A:M, 3, FALSE),""))</f>
        <v/>
      </c>
      <c r="D812" s="16"/>
      <c r="E812" s="16" t="str">
        <f>IF($A812="", "", IFERROR(VLOOKUP($A812, Stock_New!$A:$M, 4, FALSE), ""))</f>
        <v/>
      </c>
      <c r="F812" s="5">
        <f t="shared" si="1"/>
        <v>0</v>
      </c>
      <c r="G812" s="16" t="str">
        <f>IF($A812="", "", IFERROR(VLOOKUP($A812, Stock_New!$A:$M, 5, FALSE), ""))</f>
        <v/>
      </c>
    </row>
    <row r="813" ht="22.5" customHeight="1">
      <c r="A813" s="11"/>
      <c r="B813" s="16" t="str">
        <f>IF(A813="","",IFERROR(VLOOKUP(A813, Stock_New!A:M, 2, FALSE),""))</f>
        <v/>
      </c>
      <c r="C813" s="16" t="str">
        <f>IF(A813="","",IFERROR(VLOOKUP(A813, Stock_New!A:M, 3, FALSE),""))</f>
        <v/>
      </c>
      <c r="D813" s="16"/>
      <c r="E813" s="16" t="str">
        <f>IF($A813="", "", IFERROR(VLOOKUP($A813, Stock_New!$A:$M, 4, FALSE), ""))</f>
        <v/>
      </c>
      <c r="F813" s="5">
        <f t="shared" si="1"/>
        <v>0</v>
      </c>
      <c r="G813" s="16" t="str">
        <f>IF($A813="", "", IFERROR(VLOOKUP($A813, Stock_New!$A:$M, 5, FALSE), ""))</f>
        <v/>
      </c>
    </row>
    <row r="814" ht="22.5" customHeight="1">
      <c r="A814" s="11"/>
      <c r="B814" s="16" t="str">
        <f>IF(A814="","",IFERROR(VLOOKUP(A814, Stock_New!A:M, 2, FALSE),""))</f>
        <v/>
      </c>
      <c r="C814" s="16" t="str">
        <f>IF(A814="","",IFERROR(VLOOKUP(A814, Stock_New!A:M, 3, FALSE),""))</f>
        <v/>
      </c>
      <c r="D814" s="16"/>
      <c r="E814" s="16" t="str">
        <f>IF($A814="", "", IFERROR(VLOOKUP($A814, Stock_New!$A:$M, 4, FALSE), ""))</f>
        <v/>
      </c>
      <c r="F814" s="5">
        <f t="shared" si="1"/>
        <v>0</v>
      </c>
      <c r="G814" s="16" t="str">
        <f>IF($A814="", "", IFERROR(VLOOKUP($A814, Stock_New!$A:$M, 5, FALSE), ""))</f>
        <v/>
      </c>
    </row>
    <row r="815" ht="22.5" customHeight="1">
      <c r="A815" s="11"/>
      <c r="B815" s="16" t="str">
        <f>IF(A815="","",IFERROR(VLOOKUP(A815, Stock_New!A:M, 2, FALSE),""))</f>
        <v/>
      </c>
      <c r="C815" s="16" t="str">
        <f>IF(A815="","",IFERROR(VLOOKUP(A815, Stock_New!A:M, 3, FALSE),""))</f>
        <v/>
      </c>
      <c r="D815" s="16"/>
      <c r="E815" s="16" t="str">
        <f>IF($A815="", "", IFERROR(VLOOKUP($A815, Stock_New!$A:$M, 4, FALSE), ""))</f>
        <v/>
      </c>
      <c r="F815" s="5">
        <f t="shared" si="1"/>
        <v>0</v>
      </c>
      <c r="G815" s="16" t="str">
        <f>IF($A815="", "", IFERROR(VLOOKUP($A815, Stock_New!$A:$M, 5, FALSE), ""))</f>
        <v/>
      </c>
    </row>
    <row r="816" ht="22.5" customHeight="1">
      <c r="A816" s="11"/>
      <c r="B816" s="16" t="str">
        <f>IF(A816="","",IFERROR(VLOOKUP(A816, Stock_New!A:M, 2, FALSE),""))</f>
        <v/>
      </c>
      <c r="C816" s="16" t="str">
        <f>IF(A816="","",IFERROR(VLOOKUP(A816, Stock_New!A:M, 3, FALSE),""))</f>
        <v/>
      </c>
      <c r="D816" s="16"/>
      <c r="E816" s="16" t="str">
        <f>IF($A816="", "", IFERROR(VLOOKUP($A816, Stock_New!$A:$M, 4, FALSE), ""))</f>
        <v/>
      </c>
      <c r="F816" s="5">
        <f t="shared" si="1"/>
        <v>0</v>
      </c>
      <c r="G816" s="16" t="str">
        <f>IF($A816="", "", IFERROR(VLOOKUP($A816, Stock_New!$A:$M, 5, FALSE), ""))</f>
        <v/>
      </c>
    </row>
    <row r="817" ht="22.5" customHeight="1">
      <c r="A817" s="11"/>
      <c r="B817" s="16" t="str">
        <f>IF(A817="","",IFERROR(VLOOKUP(A817, Stock_New!A:M, 2, FALSE),""))</f>
        <v/>
      </c>
      <c r="C817" s="16" t="str">
        <f>IF(A817="","",IFERROR(VLOOKUP(A817, Stock_New!A:M, 3, FALSE),""))</f>
        <v/>
      </c>
      <c r="D817" s="16"/>
      <c r="E817" s="16" t="str">
        <f>IF($A817="", "", IFERROR(VLOOKUP($A817, Stock_New!$A:$M, 4, FALSE), ""))</f>
        <v/>
      </c>
      <c r="F817" s="5">
        <f t="shared" si="1"/>
        <v>0</v>
      </c>
      <c r="G817" s="16" t="str">
        <f>IF($A817="", "", IFERROR(VLOOKUP($A817, Stock_New!$A:$M, 5, FALSE), ""))</f>
        <v/>
      </c>
    </row>
    <row r="818" ht="22.5" customHeight="1">
      <c r="A818" s="11"/>
      <c r="B818" s="16" t="str">
        <f>IF(A818="","",IFERROR(VLOOKUP(A818, Stock_New!A:M, 2, FALSE),""))</f>
        <v/>
      </c>
      <c r="C818" s="16" t="str">
        <f>IF(A818="","",IFERROR(VLOOKUP(A818, Stock_New!A:M, 3, FALSE),""))</f>
        <v/>
      </c>
      <c r="D818" s="16"/>
      <c r="E818" s="16" t="str">
        <f>IF($A818="", "", IFERROR(VLOOKUP($A818, Stock_New!$A:$M, 4, FALSE), ""))</f>
        <v/>
      </c>
      <c r="F818" s="5">
        <f t="shared" si="1"/>
        <v>0</v>
      </c>
      <c r="G818" s="16" t="str">
        <f>IF($A818="", "", IFERROR(VLOOKUP($A818, Stock_New!$A:$M, 5, FALSE), ""))</f>
        <v/>
      </c>
    </row>
    <row r="819" ht="22.5" customHeight="1">
      <c r="A819" s="11"/>
      <c r="B819" s="16" t="str">
        <f>IF(A819="","",IFERROR(VLOOKUP(A819, Stock_New!A:M, 2, FALSE),""))</f>
        <v/>
      </c>
      <c r="C819" s="16" t="str">
        <f>IF(A819="","",IFERROR(VLOOKUP(A819, Stock_New!A:M, 3, FALSE),""))</f>
        <v/>
      </c>
      <c r="D819" s="16"/>
      <c r="E819" s="16" t="str">
        <f>IF($A819="", "", IFERROR(VLOOKUP($A819, Stock_New!$A:$M, 4, FALSE), ""))</f>
        <v/>
      </c>
      <c r="F819" s="5">
        <f t="shared" si="1"/>
        <v>0</v>
      </c>
      <c r="G819" s="16" t="str">
        <f>IF($A819="", "", IFERROR(VLOOKUP($A819, Stock_New!$A:$M, 5, FALSE), ""))</f>
        <v/>
      </c>
    </row>
    <row r="820" ht="22.5" customHeight="1">
      <c r="A820" s="11"/>
      <c r="B820" s="16" t="str">
        <f>IF(A820="","",IFERROR(VLOOKUP(A820, Stock_New!A:M, 2, FALSE),""))</f>
        <v/>
      </c>
      <c r="C820" s="16" t="str">
        <f>IF(A820="","",IFERROR(VLOOKUP(A820, Stock_New!A:M, 3, FALSE),""))</f>
        <v/>
      </c>
      <c r="D820" s="16"/>
      <c r="E820" s="16" t="str">
        <f>IF($A820="", "", IFERROR(VLOOKUP($A820, Stock_New!$A:$M, 4, FALSE), ""))</f>
        <v/>
      </c>
      <c r="F820" s="5">
        <f t="shared" si="1"/>
        <v>0</v>
      </c>
      <c r="G820" s="16" t="str">
        <f>IF($A820="", "", IFERROR(VLOOKUP($A820, Stock_New!$A:$M, 5, FALSE), ""))</f>
        <v/>
      </c>
    </row>
    <row r="821" ht="22.5" customHeight="1">
      <c r="A821" s="11"/>
      <c r="B821" s="16" t="str">
        <f>IF(A821="","",IFERROR(VLOOKUP(A821, Stock_New!A:M, 2, FALSE),""))</f>
        <v/>
      </c>
      <c r="C821" s="16" t="str">
        <f>IF(A821="","",IFERROR(VLOOKUP(A821, Stock_New!A:M, 3, FALSE),""))</f>
        <v/>
      </c>
      <c r="D821" s="16"/>
      <c r="E821" s="16" t="str">
        <f>IF($A821="", "", IFERROR(VLOOKUP($A821, Stock_New!$A:$M, 4, FALSE), ""))</f>
        <v/>
      </c>
      <c r="F821" s="5">
        <f t="shared" si="1"/>
        <v>0</v>
      </c>
      <c r="G821" s="16" t="str">
        <f>IF($A821="", "", IFERROR(VLOOKUP($A821, Stock_New!$A:$M, 5, FALSE), ""))</f>
        <v/>
      </c>
    </row>
    <row r="822" ht="22.5" customHeight="1">
      <c r="A822" s="11"/>
      <c r="B822" s="16" t="str">
        <f>IF(A822="","",IFERROR(VLOOKUP(A822, Stock_New!A:M, 2, FALSE),""))</f>
        <v/>
      </c>
      <c r="C822" s="16" t="str">
        <f>IF(A822="","",IFERROR(VLOOKUP(A822, Stock_New!A:M, 3, FALSE),""))</f>
        <v/>
      </c>
      <c r="D822" s="16"/>
      <c r="E822" s="16" t="str">
        <f>IF($A822="", "", IFERROR(VLOOKUP($A822, Stock_New!$A:$M, 4, FALSE), ""))</f>
        <v/>
      </c>
      <c r="F822" s="5">
        <f t="shared" si="1"/>
        <v>0</v>
      </c>
      <c r="G822" s="16" t="str">
        <f>IF($A822="", "", IFERROR(VLOOKUP($A822, Stock_New!$A:$M, 5, FALSE), ""))</f>
        <v/>
      </c>
    </row>
    <row r="823" ht="22.5" customHeight="1">
      <c r="A823" s="11"/>
      <c r="B823" s="16" t="str">
        <f>IF(A823="","",IFERROR(VLOOKUP(A823, Stock_New!A:M, 2, FALSE),""))</f>
        <v/>
      </c>
      <c r="C823" s="16" t="str">
        <f>IF(A823="","",IFERROR(VLOOKUP(A823, Stock_New!A:M, 3, FALSE),""))</f>
        <v/>
      </c>
      <c r="D823" s="16"/>
      <c r="E823" s="16" t="str">
        <f>IF($A823="", "", IFERROR(VLOOKUP($A823, Stock_New!$A:$M, 4, FALSE), ""))</f>
        <v/>
      </c>
      <c r="F823" s="5">
        <f t="shared" si="1"/>
        <v>0</v>
      </c>
      <c r="G823" s="16" t="str">
        <f>IF($A823="", "", IFERROR(VLOOKUP($A823, Stock_New!$A:$M, 5, FALSE), ""))</f>
        <v/>
      </c>
    </row>
    <row r="824" ht="22.5" customHeight="1">
      <c r="A824" s="11"/>
      <c r="B824" s="16" t="str">
        <f>IF(A824="","",IFERROR(VLOOKUP(A824, Stock_New!A:M, 2, FALSE),""))</f>
        <v/>
      </c>
      <c r="C824" s="16" t="str">
        <f>IF(A824="","",IFERROR(VLOOKUP(A824, Stock_New!A:M, 3, FALSE),""))</f>
        <v/>
      </c>
      <c r="D824" s="16"/>
      <c r="E824" s="16" t="str">
        <f>IF($A824="", "", IFERROR(VLOOKUP($A824, Stock_New!$A:$M, 4, FALSE), ""))</f>
        <v/>
      </c>
      <c r="F824" s="5">
        <f t="shared" si="1"/>
        <v>0</v>
      </c>
      <c r="G824" s="16" t="str">
        <f>IF($A824="", "", IFERROR(VLOOKUP($A824, Stock_New!$A:$M, 5, FALSE), ""))</f>
        <v/>
      </c>
    </row>
    <row r="825" ht="22.5" customHeight="1">
      <c r="A825" s="11"/>
      <c r="B825" s="16" t="str">
        <f>IF(A825="","",IFERROR(VLOOKUP(A825, Stock_New!A:M, 2, FALSE),""))</f>
        <v/>
      </c>
      <c r="C825" s="16" t="str">
        <f>IF(A825="","",IFERROR(VLOOKUP(A825, Stock_New!A:M, 3, FALSE),""))</f>
        <v/>
      </c>
      <c r="D825" s="16"/>
      <c r="E825" s="16" t="str">
        <f>IF($A825="", "", IFERROR(VLOOKUP($A825, Stock_New!$A:$M, 4, FALSE), ""))</f>
        <v/>
      </c>
      <c r="F825" s="5">
        <f t="shared" si="1"/>
        <v>0</v>
      </c>
      <c r="G825" s="16" t="str">
        <f>IF($A825="", "", IFERROR(VLOOKUP($A825, Stock_New!$A:$M, 5, FALSE), ""))</f>
        <v/>
      </c>
    </row>
    <row r="826" ht="22.5" customHeight="1">
      <c r="A826" s="11"/>
      <c r="B826" s="16" t="str">
        <f>IF(A826="","",IFERROR(VLOOKUP(A826, Stock_New!A:M, 2, FALSE),""))</f>
        <v/>
      </c>
      <c r="C826" s="16" t="str">
        <f>IF(A826="","",IFERROR(VLOOKUP(A826, Stock_New!A:M, 3, FALSE),""))</f>
        <v/>
      </c>
      <c r="D826" s="16"/>
      <c r="E826" s="16" t="str">
        <f>IF($A826="", "", IFERROR(VLOOKUP($A826, Stock_New!$A:$M, 4, FALSE), ""))</f>
        <v/>
      </c>
      <c r="F826" s="5">
        <f t="shared" si="1"/>
        <v>0</v>
      </c>
      <c r="G826" s="16" t="str">
        <f>IF($A826="", "", IFERROR(VLOOKUP($A826, Stock_New!$A:$M, 5, FALSE), ""))</f>
        <v/>
      </c>
    </row>
    <row r="827" ht="22.5" customHeight="1">
      <c r="A827" s="11"/>
      <c r="B827" s="16" t="str">
        <f>IF(A827="","",IFERROR(VLOOKUP(A827, Stock_New!A:M, 2, FALSE),""))</f>
        <v/>
      </c>
      <c r="C827" s="16" t="str">
        <f>IF(A827="","",IFERROR(VLOOKUP(A827, Stock_New!A:M, 3, FALSE),""))</f>
        <v/>
      </c>
      <c r="D827" s="16"/>
      <c r="E827" s="16" t="str">
        <f>IF($A827="", "", IFERROR(VLOOKUP($A827, Stock_New!$A:$M, 4, FALSE), ""))</f>
        <v/>
      </c>
      <c r="F827" s="5">
        <f t="shared" si="1"/>
        <v>0</v>
      </c>
      <c r="G827" s="16" t="str">
        <f>IF($A827="", "", IFERROR(VLOOKUP($A827, Stock_New!$A:$M, 5, FALSE), ""))</f>
        <v/>
      </c>
    </row>
    <row r="828" ht="22.5" customHeight="1">
      <c r="A828" s="11"/>
      <c r="B828" s="16" t="str">
        <f>IF(A828="","",IFERROR(VLOOKUP(A828, Stock_New!A:M, 2, FALSE),""))</f>
        <v/>
      </c>
      <c r="C828" s="16" t="str">
        <f>IF(A828="","",IFERROR(VLOOKUP(A828, Stock_New!A:M, 3, FALSE),""))</f>
        <v/>
      </c>
      <c r="D828" s="16"/>
      <c r="E828" s="16" t="str">
        <f>IF($A828="", "", IFERROR(VLOOKUP($A828, Stock_New!$A:$M, 4, FALSE), ""))</f>
        <v/>
      </c>
      <c r="F828" s="5">
        <f t="shared" si="1"/>
        <v>0</v>
      </c>
      <c r="G828" s="16" t="str">
        <f>IF($A828="", "", IFERROR(VLOOKUP($A828, Stock_New!$A:$M, 5, FALSE), ""))</f>
        <v/>
      </c>
    </row>
    <row r="829" ht="22.5" customHeight="1">
      <c r="A829" s="11"/>
      <c r="B829" s="16" t="str">
        <f>IF(A829="","",IFERROR(VLOOKUP(A829, Stock_New!A:M, 2, FALSE),""))</f>
        <v/>
      </c>
      <c r="C829" s="16" t="str">
        <f>IF(A829="","",IFERROR(VLOOKUP(A829, Stock_New!A:M, 3, FALSE),""))</f>
        <v/>
      </c>
      <c r="D829" s="16"/>
      <c r="E829" s="16" t="str">
        <f>IF($A829="", "", IFERROR(VLOOKUP($A829, Stock_New!$A:$M, 4, FALSE), ""))</f>
        <v/>
      </c>
      <c r="F829" s="5">
        <f t="shared" si="1"/>
        <v>0</v>
      </c>
      <c r="G829" s="16" t="str">
        <f>IF($A829="", "", IFERROR(VLOOKUP($A829, Stock_New!$A:$M, 5, FALSE), ""))</f>
        <v/>
      </c>
    </row>
    <row r="830" ht="22.5" customHeight="1">
      <c r="A830" s="11"/>
      <c r="B830" s="16" t="str">
        <f>IF(A830="","",IFERROR(VLOOKUP(A830, Stock_New!A:M, 2, FALSE),""))</f>
        <v/>
      </c>
      <c r="C830" s="16" t="str">
        <f>IF(A830="","",IFERROR(VLOOKUP(A830, Stock_New!A:M, 3, FALSE),""))</f>
        <v/>
      </c>
      <c r="D830" s="16"/>
      <c r="E830" s="16" t="str">
        <f>IF($A830="", "", IFERROR(VLOOKUP($A830, Stock_New!$A:$M, 4, FALSE), ""))</f>
        <v/>
      </c>
      <c r="F830" s="5">
        <f t="shared" si="1"/>
        <v>0</v>
      </c>
      <c r="G830" s="16" t="str">
        <f>IF($A830="", "", IFERROR(VLOOKUP($A830, Stock_New!$A:$M, 5, FALSE), ""))</f>
        <v/>
      </c>
    </row>
    <row r="831" ht="22.5" customHeight="1">
      <c r="A831" s="11"/>
      <c r="B831" s="16" t="str">
        <f>IF(A831="","",IFERROR(VLOOKUP(A831, Stock_New!A:M, 2, FALSE),""))</f>
        <v/>
      </c>
      <c r="C831" s="16" t="str">
        <f>IF(A831="","",IFERROR(VLOOKUP(A831, Stock_New!A:M, 3, FALSE),""))</f>
        <v/>
      </c>
      <c r="D831" s="16"/>
      <c r="E831" s="16" t="str">
        <f>IF($A831="", "", IFERROR(VLOOKUP($A831, Stock_New!$A:$M, 4, FALSE), ""))</f>
        <v/>
      </c>
      <c r="F831" s="5">
        <f t="shared" si="1"/>
        <v>0</v>
      </c>
      <c r="G831" s="16" t="str">
        <f>IF($A831="", "", IFERROR(VLOOKUP($A831, Stock_New!$A:$M, 5, FALSE), ""))</f>
        <v/>
      </c>
    </row>
    <row r="832" ht="22.5" customHeight="1">
      <c r="A832" s="11"/>
      <c r="B832" s="16" t="str">
        <f>IF(A832="","",IFERROR(VLOOKUP(A832, Stock_New!A:M, 2, FALSE),""))</f>
        <v/>
      </c>
      <c r="C832" s="16" t="str">
        <f>IF(A832="","",IFERROR(VLOOKUP(A832, Stock_New!A:M, 3, FALSE),""))</f>
        <v/>
      </c>
      <c r="D832" s="16"/>
      <c r="E832" s="16" t="str">
        <f>IF($A832="", "", IFERROR(VLOOKUP($A832, Stock_New!$A:$M, 4, FALSE), ""))</f>
        <v/>
      </c>
      <c r="F832" s="5">
        <f t="shared" si="1"/>
        <v>0</v>
      </c>
      <c r="G832" s="16" t="str">
        <f>IF($A832="", "", IFERROR(VLOOKUP($A832, Stock_New!$A:$M, 5, FALSE), ""))</f>
        <v/>
      </c>
    </row>
    <row r="833" ht="22.5" customHeight="1">
      <c r="A833" s="11"/>
      <c r="B833" s="16" t="str">
        <f>IF(A833="","",IFERROR(VLOOKUP(A833, Stock_New!A:M, 2, FALSE),""))</f>
        <v/>
      </c>
      <c r="C833" s="16" t="str">
        <f>IF(A833="","",IFERROR(VLOOKUP(A833, Stock_New!A:M, 3, FALSE),""))</f>
        <v/>
      </c>
      <c r="D833" s="16"/>
      <c r="E833" s="16" t="str">
        <f>IF($A833="", "", IFERROR(VLOOKUP($A833, Stock_New!$A:$M, 4, FALSE), ""))</f>
        <v/>
      </c>
      <c r="F833" s="5">
        <f t="shared" si="1"/>
        <v>0</v>
      </c>
      <c r="G833" s="16" t="str">
        <f>IF($A833="", "", IFERROR(VLOOKUP($A833, Stock_New!$A:$M, 5, FALSE), ""))</f>
        <v/>
      </c>
    </row>
    <row r="834" ht="22.5" customHeight="1">
      <c r="A834" s="11"/>
      <c r="B834" s="16" t="str">
        <f>IF(A834="","",IFERROR(VLOOKUP(A834, Stock_New!A:M, 2, FALSE),""))</f>
        <v/>
      </c>
      <c r="C834" s="16" t="str">
        <f>IF(A834="","",IFERROR(VLOOKUP(A834, Stock_New!A:M, 3, FALSE),""))</f>
        <v/>
      </c>
      <c r="D834" s="16"/>
      <c r="E834" s="16" t="str">
        <f>IF($A834="", "", IFERROR(VLOOKUP($A834, Stock_New!$A:$M, 4, FALSE), ""))</f>
        <v/>
      </c>
      <c r="F834" s="5">
        <f t="shared" si="1"/>
        <v>0</v>
      </c>
      <c r="G834" s="16" t="str">
        <f>IF($A834="", "", IFERROR(VLOOKUP($A834, Stock_New!$A:$M, 5, FALSE), ""))</f>
        <v/>
      </c>
    </row>
    <row r="835" ht="22.5" customHeight="1">
      <c r="A835" s="11"/>
      <c r="B835" s="16" t="str">
        <f>IF(A835="","",IFERROR(VLOOKUP(A835, Stock_New!A:M, 2, FALSE),""))</f>
        <v/>
      </c>
      <c r="C835" s="16" t="str">
        <f>IF(A835="","",IFERROR(VLOOKUP(A835, Stock_New!A:M, 3, FALSE),""))</f>
        <v/>
      </c>
      <c r="D835" s="16"/>
      <c r="E835" s="16" t="str">
        <f>IF($A835="", "", IFERROR(VLOOKUP($A835, Stock_New!$A:$M, 4, FALSE), ""))</f>
        <v/>
      </c>
      <c r="F835" s="5">
        <f t="shared" si="1"/>
        <v>0</v>
      </c>
      <c r="G835" s="16" t="str">
        <f>IF($A835="", "", IFERROR(VLOOKUP($A835, Stock_New!$A:$M, 5, FALSE), ""))</f>
        <v/>
      </c>
    </row>
    <row r="836" ht="22.5" customHeight="1">
      <c r="A836" s="11"/>
      <c r="B836" s="16" t="str">
        <f>IF(A836="","",IFERROR(VLOOKUP(A836, Stock_New!A:M, 2, FALSE),""))</f>
        <v/>
      </c>
      <c r="C836" s="16" t="str">
        <f>IF(A836="","",IFERROR(VLOOKUP(A836, Stock_New!A:M, 3, FALSE),""))</f>
        <v/>
      </c>
      <c r="D836" s="16"/>
      <c r="E836" s="16" t="str">
        <f>IF($A836="", "", IFERROR(VLOOKUP($A836, Stock_New!$A:$M, 4, FALSE), ""))</f>
        <v/>
      </c>
      <c r="F836" s="5">
        <f t="shared" si="1"/>
        <v>0</v>
      </c>
      <c r="G836" s="16" t="str">
        <f>IF($A836="", "", IFERROR(VLOOKUP($A836, Stock_New!$A:$M, 5, FALSE), ""))</f>
        <v/>
      </c>
    </row>
    <row r="837" ht="22.5" customHeight="1">
      <c r="A837" s="11"/>
      <c r="B837" s="16" t="str">
        <f>IF(A837="","",IFERROR(VLOOKUP(A837, Stock_New!A:M, 2, FALSE),""))</f>
        <v/>
      </c>
      <c r="C837" s="16" t="str">
        <f>IF(A837="","",IFERROR(VLOOKUP(A837, Stock_New!A:M, 3, FALSE),""))</f>
        <v/>
      </c>
      <c r="D837" s="16"/>
      <c r="E837" s="16" t="str">
        <f>IF($A837="", "", IFERROR(VLOOKUP($A837, Stock_New!$A:$M, 4, FALSE), ""))</f>
        <v/>
      </c>
      <c r="F837" s="5">
        <f t="shared" si="1"/>
        <v>0</v>
      </c>
      <c r="G837" s="16" t="str">
        <f>IF($A837="", "", IFERROR(VLOOKUP($A837, Stock_New!$A:$M, 5, FALSE), ""))</f>
        <v/>
      </c>
    </row>
    <row r="838" ht="22.5" customHeight="1">
      <c r="A838" s="11"/>
      <c r="B838" s="16" t="str">
        <f>IF(A838="","",IFERROR(VLOOKUP(A838, Stock_New!A:M, 2, FALSE),""))</f>
        <v/>
      </c>
      <c r="C838" s="16" t="str">
        <f>IF(A838="","",IFERROR(VLOOKUP(A838, Stock_New!A:M, 3, FALSE),""))</f>
        <v/>
      </c>
      <c r="D838" s="16"/>
      <c r="E838" s="16" t="str">
        <f>IF($A838="", "", IFERROR(VLOOKUP($A838, Stock_New!$A:$M, 4, FALSE), ""))</f>
        <v/>
      </c>
      <c r="F838" s="5">
        <f t="shared" si="1"/>
        <v>0</v>
      </c>
      <c r="G838" s="16" t="str">
        <f>IF($A838="", "", IFERROR(VLOOKUP($A838, Stock_New!$A:$M, 5, FALSE), ""))</f>
        <v/>
      </c>
    </row>
    <row r="839" ht="22.5" customHeight="1">
      <c r="A839" s="11"/>
      <c r="B839" s="16" t="str">
        <f>IF(A839="","",IFERROR(VLOOKUP(A839, Stock_New!A:M, 2, FALSE),""))</f>
        <v/>
      </c>
      <c r="C839" s="16" t="str">
        <f>IF(A839="","",IFERROR(VLOOKUP(A839, Stock_New!A:M, 3, FALSE),""))</f>
        <v/>
      </c>
      <c r="D839" s="16"/>
      <c r="E839" s="16" t="str">
        <f>IF($A839="", "", IFERROR(VLOOKUP($A839, Stock_New!$A:$M, 4, FALSE), ""))</f>
        <v/>
      </c>
      <c r="F839" s="5">
        <f t="shared" si="1"/>
        <v>0</v>
      </c>
      <c r="G839" s="16" t="str">
        <f>IF($A839="", "", IFERROR(VLOOKUP($A839, Stock_New!$A:$M, 5, FALSE), ""))</f>
        <v/>
      </c>
    </row>
    <row r="840" ht="22.5" customHeight="1">
      <c r="A840" s="11"/>
      <c r="B840" s="16" t="str">
        <f>IF(A840="","",IFERROR(VLOOKUP(A840, Stock_New!A:M, 2, FALSE),""))</f>
        <v/>
      </c>
      <c r="C840" s="16" t="str">
        <f>IF(A840="","",IFERROR(VLOOKUP(A840, Stock_New!A:M, 3, FALSE),""))</f>
        <v/>
      </c>
      <c r="D840" s="16"/>
      <c r="E840" s="16" t="str">
        <f>IF($A840="", "", IFERROR(VLOOKUP($A840, Stock_New!$A:$M, 4, FALSE), ""))</f>
        <v/>
      </c>
      <c r="F840" s="5">
        <f t="shared" si="1"/>
        <v>0</v>
      </c>
      <c r="G840" s="16" t="str">
        <f>IF($A840="", "", IFERROR(VLOOKUP($A840, Stock_New!$A:$M, 5, FALSE), ""))</f>
        <v/>
      </c>
    </row>
    <row r="841" ht="22.5" customHeight="1">
      <c r="A841" s="11"/>
      <c r="B841" s="16" t="str">
        <f>IF(A841="","",IFERROR(VLOOKUP(A841, Stock_New!A:M, 2, FALSE),""))</f>
        <v/>
      </c>
      <c r="C841" s="16" t="str">
        <f>IF(A841="","",IFERROR(VLOOKUP(A841, Stock_New!A:M, 3, FALSE),""))</f>
        <v/>
      </c>
      <c r="D841" s="16"/>
      <c r="E841" s="16" t="str">
        <f>IF($A841="", "", IFERROR(VLOOKUP($A841, Stock_New!$A:$M, 4, FALSE), ""))</f>
        <v/>
      </c>
      <c r="F841" s="5">
        <f t="shared" si="1"/>
        <v>0</v>
      </c>
      <c r="G841" s="16" t="str">
        <f>IF($A841="", "", IFERROR(VLOOKUP($A841, Stock_New!$A:$M, 5, FALSE), ""))</f>
        <v/>
      </c>
    </row>
    <row r="842" ht="22.5" customHeight="1">
      <c r="A842" s="11"/>
      <c r="B842" s="16" t="str">
        <f>IF(A842="","",IFERROR(VLOOKUP(A842, Stock_New!A:M, 2, FALSE),""))</f>
        <v/>
      </c>
      <c r="C842" s="16" t="str">
        <f>IF(A842="","",IFERROR(VLOOKUP(A842, Stock_New!A:M, 3, FALSE),""))</f>
        <v/>
      </c>
      <c r="D842" s="16"/>
      <c r="E842" s="16" t="str">
        <f>IF($A842="", "", IFERROR(VLOOKUP($A842, Stock_New!$A:$M, 4, FALSE), ""))</f>
        <v/>
      </c>
      <c r="F842" s="5">
        <f t="shared" si="1"/>
        <v>0</v>
      </c>
      <c r="G842" s="16" t="str">
        <f>IF($A842="", "", IFERROR(VLOOKUP($A842, Stock_New!$A:$M, 5, FALSE), ""))</f>
        <v/>
      </c>
    </row>
    <row r="843" ht="22.5" customHeight="1">
      <c r="A843" s="11"/>
      <c r="B843" s="16" t="str">
        <f>IF(A843="","",IFERROR(VLOOKUP(A843, Stock_New!A:M, 2, FALSE),""))</f>
        <v/>
      </c>
      <c r="C843" s="16" t="str">
        <f>IF(A843="","",IFERROR(VLOOKUP(A843, Stock_New!A:M, 3, FALSE),""))</f>
        <v/>
      </c>
      <c r="D843" s="16"/>
      <c r="E843" s="16" t="str">
        <f>IF($A843="", "", IFERROR(VLOOKUP($A843, Stock_New!$A:$M, 4, FALSE), ""))</f>
        <v/>
      </c>
      <c r="F843" s="5">
        <f t="shared" si="1"/>
        <v>0</v>
      </c>
      <c r="G843" s="16" t="str">
        <f>IF($A843="", "", IFERROR(VLOOKUP($A843, Stock_New!$A:$M, 5, FALSE), ""))</f>
        <v/>
      </c>
    </row>
    <row r="844" ht="22.5" customHeight="1">
      <c r="A844" s="11"/>
      <c r="B844" s="16" t="str">
        <f>IF(A844="","",IFERROR(VLOOKUP(A844, Stock_New!A:M, 2, FALSE),""))</f>
        <v/>
      </c>
      <c r="C844" s="16" t="str">
        <f>IF(A844="","",IFERROR(VLOOKUP(A844, Stock_New!A:M, 3, FALSE),""))</f>
        <v/>
      </c>
      <c r="D844" s="16"/>
      <c r="E844" s="16" t="str">
        <f>IF($A844="", "", IFERROR(VLOOKUP($A844, Stock_New!$A:$M, 4, FALSE), ""))</f>
        <v/>
      </c>
      <c r="F844" s="5">
        <f t="shared" si="1"/>
        <v>0</v>
      </c>
      <c r="G844" s="16" t="str">
        <f>IF($A844="", "", IFERROR(VLOOKUP($A844, Stock_New!$A:$M, 5, FALSE), ""))</f>
        <v/>
      </c>
    </row>
    <row r="845" ht="22.5" customHeight="1">
      <c r="A845" s="11"/>
      <c r="B845" s="16" t="str">
        <f>IF(A845="","",IFERROR(VLOOKUP(A845, Stock_New!A:M, 2, FALSE),""))</f>
        <v/>
      </c>
      <c r="C845" s="16" t="str">
        <f>IF(A845="","",IFERROR(VLOOKUP(A845, Stock_New!A:M, 3, FALSE),""))</f>
        <v/>
      </c>
      <c r="D845" s="16"/>
      <c r="E845" s="16" t="str">
        <f>IF($A845="", "", IFERROR(VLOOKUP($A845, Stock_New!$A:$M, 4, FALSE), ""))</f>
        <v/>
      </c>
      <c r="F845" s="5">
        <f t="shared" si="1"/>
        <v>0</v>
      </c>
      <c r="G845" s="16" t="str">
        <f>IF($A845="", "", IFERROR(VLOOKUP($A845, Stock_New!$A:$M, 5, FALSE), ""))</f>
        <v/>
      </c>
    </row>
    <row r="846" ht="22.5" customHeight="1">
      <c r="A846" s="11"/>
      <c r="B846" s="16" t="str">
        <f>IF(A846="","",IFERROR(VLOOKUP(A846, Stock_New!A:M, 2, FALSE),""))</f>
        <v/>
      </c>
      <c r="C846" s="16" t="str">
        <f>IF(A846="","",IFERROR(VLOOKUP(A846, Stock_New!A:M, 3, FALSE),""))</f>
        <v/>
      </c>
      <c r="D846" s="16"/>
      <c r="E846" s="16" t="str">
        <f>IF($A846="", "", IFERROR(VLOOKUP($A846, Stock_New!$A:$M, 4, FALSE), ""))</f>
        <v/>
      </c>
      <c r="F846" s="5">
        <f t="shared" si="1"/>
        <v>0</v>
      </c>
      <c r="G846" s="16" t="str">
        <f>IF($A846="", "", IFERROR(VLOOKUP($A846, Stock_New!$A:$M, 5, FALSE), ""))</f>
        <v/>
      </c>
    </row>
    <row r="847" ht="22.5" customHeight="1">
      <c r="A847" s="11"/>
      <c r="B847" s="16" t="str">
        <f>IF(A847="","",IFERROR(VLOOKUP(A847, Stock_New!A:M, 2, FALSE),""))</f>
        <v/>
      </c>
      <c r="C847" s="16" t="str">
        <f>IF(A847="","",IFERROR(VLOOKUP(A847, Stock_New!A:M, 3, FALSE),""))</f>
        <v/>
      </c>
      <c r="D847" s="16"/>
      <c r="E847" s="16" t="str">
        <f>IF($A847="", "", IFERROR(VLOOKUP($A847, Stock_New!$A:$M, 4, FALSE), ""))</f>
        <v/>
      </c>
      <c r="F847" s="5">
        <f t="shared" si="1"/>
        <v>0</v>
      </c>
      <c r="G847" s="16" t="str">
        <f>IF($A847="", "", IFERROR(VLOOKUP($A847, Stock_New!$A:$M, 5, FALSE), ""))</f>
        <v/>
      </c>
    </row>
    <row r="848" ht="22.5" customHeight="1">
      <c r="A848" s="11"/>
      <c r="B848" s="16" t="str">
        <f>IF(A848="","",IFERROR(VLOOKUP(A848, Stock_New!A:M, 2, FALSE),""))</f>
        <v/>
      </c>
      <c r="C848" s="16" t="str">
        <f>IF(A848="","",IFERROR(VLOOKUP(A848, Stock_New!A:M, 3, FALSE),""))</f>
        <v/>
      </c>
      <c r="D848" s="16"/>
      <c r="E848" s="16" t="str">
        <f>IF($A848="", "", IFERROR(VLOOKUP($A848, Stock_New!$A:$M, 4, FALSE), ""))</f>
        <v/>
      </c>
      <c r="F848" s="5">
        <f t="shared" si="1"/>
        <v>0</v>
      </c>
      <c r="G848" s="16" t="str">
        <f>IF($A848="", "", IFERROR(VLOOKUP($A848, Stock_New!$A:$M, 5, FALSE), ""))</f>
        <v/>
      </c>
    </row>
    <row r="849" ht="22.5" customHeight="1">
      <c r="A849" s="11"/>
      <c r="B849" s="16" t="str">
        <f>IF(A849="","",IFERROR(VLOOKUP(A849, Stock_New!A:M, 2, FALSE),""))</f>
        <v/>
      </c>
      <c r="C849" s="16" t="str">
        <f>IF(A849="","",IFERROR(VLOOKUP(A849, Stock_New!A:M, 3, FALSE),""))</f>
        <v/>
      </c>
      <c r="D849" s="16"/>
      <c r="E849" s="16" t="str">
        <f>IF($A849="", "", IFERROR(VLOOKUP($A849, Stock_New!$A:$M, 4, FALSE), ""))</f>
        <v/>
      </c>
      <c r="F849" s="5">
        <f t="shared" si="1"/>
        <v>0</v>
      </c>
      <c r="G849" s="16" t="str">
        <f>IF($A849="", "", IFERROR(VLOOKUP($A849, Stock_New!$A:$M, 5, FALSE), ""))</f>
        <v/>
      </c>
    </row>
    <row r="850" ht="22.5" customHeight="1">
      <c r="A850" s="11"/>
      <c r="B850" s="16" t="str">
        <f>IF(A850="","",IFERROR(VLOOKUP(A850, Stock_New!A:M, 2, FALSE),""))</f>
        <v/>
      </c>
      <c r="C850" s="16" t="str">
        <f>IF(A850="","",IFERROR(VLOOKUP(A850, Stock_New!A:M, 3, FALSE),""))</f>
        <v/>
      </c>
      <c r="D850" s="16"/>
      <c r="E850" s="16" t="str">
        <f>IF($A850="", "", IFERROR(VLOOKUP($A850, Stock_New!$A:$M, 4, FALSE), ""))</f>
        <v/>
      </c>
      <c r="F850" s="5">
        <f t="shared" si="1"/>
        <v>0</v>
      </c>
      <c r="G850" s="16" t="str">
        <f>IF($A850="", "", IFERROR(VLOOKUP($A850, Stock_New!$A:$M, 5, FALSE), ""))</f>
        <v/>
      </c>
    </row>
    <row r="851" ht="22.5" customHeight="1">
      <c r="A851" s="11"/>
      <c r="B851" s="16" t="str">
        <f>IF(A851="","",IFERROR(VLOOKUP(A851, Stock_New!A:M, 2, FALSE),""))</f>
        <v/>
      </c>
      <c r="C851" s="16" t="str">
        <f>IF(A851="","",IFERROR(VLOOKUP(A851, Stock_New!A:M, 3, FALSE),""))</f>
        <v/>
      </c>
      <c r="D851" s="16"/>
      <c r="E851" s="16" t="str">
        <f>IF($A851="", "", IFERROR(VLOOKUP($A851, Stock_New!$A:$M, 4, FALSE), ""))</f>
        <v/>
      </c>
      <c r="F851" s="5">
        <f t="shared" si="1"/>
        <v>0</v>
      </c>
      <c r="G851" s="16" t="str">
        <f>IF($A851="", "", IFERROR(VLOOKUP($A851, Stock_New!$A:$M, 5, FALSE), ""))</f>
        <v/>
      </c>
    </row>
    <row r="852" ht="22.5" customHeight="1">
      <c r="A852" s="11"/>
      <c r="B852" s="16" t="str">
        <f>IF(A852="","",IFERROR(VLOOKUP(A852, Stock_New!A:M, 2, FALSE),""))</f>
        <v/>
      </c>
      <c r="C852" s="16" t="str">
        <f>IF(A852="","",IFERROR(VLOOKUP(A852, Stock_New!A:M, 3, FALSE),""))</f>
        <v/>
      </c>
      <c r="D852" s="16"/>
      <c r="E852" s="16" t="str">
        <f>IF($A852="", "", IFERROR(VLOOKUP($A852, Stock_New!$A:$M, 4, FALSE), ""))</f>
        <v/>
      </c>
      <c r="F852" s="5">
        <f t="shared" si="1"/>
        <v>0</v>
      </c>
      <c r="G852" s="16" t="str">
        <f>IF($A852="", "", IFERROR(VLOOKUP($A852, Stock_New!$A:$M, 5, FALSE), ""))</f>
        <v/>
      </c>
    </row>
    <row r="853" ht="22.5" customHeight="1">
      <c r="A853" s="11"/>
      <c r="B853" s="16" t="str">
        <f>IF(A853="","",IFERROR(VLOOKUP(A853, Stock_New!A:M, 2, FALSE),""))</f>
        <v/>
      </c>
      <c r="C853" s="16" t="str">
        <f>IF(A853="","",IFERROR(VLOOKUP(A853, Stock_New!A:M, 3, FALSE),""))</f>
        <v/>
      </c>
      <c r="D853" s="16"/>
      <c r="E853" s="16" t="str">
        <f>IF($A853="", "", IFERROR(VLOOKUP($A853, Stock_New!$A:$M, 4, FALSE), ""))</f>
        <v/>
      </c>
      <c r="F853" s="5">
        <f t="shared" si="1"/>
        <v>0</v>
      </c>
      <c r="G853" s="16" t="str">
        <f>IF($A853="", "", IFERROR(VLOOKUP($A853, Stock_New!$A:$M, 5, FALSE), ""))</f>
        <v/>
      </c>
    </row>
    <row r="854" ht="22.5" customHeight="1">
      <c r="A854" s="11"/>
      <c r="B854" s="16" t="str">
        <f>IF(A854="","",IFERROR(VLOOKUP(A854, Stock_New!A:M, 2, FALSE),""))</f>
        <v/>
      </c>
      <c r="C854" s="16" t="str">
        <f>IF(A854="","",IFERROR(VLOOKUP(A854, Stock_New!A:M, 3, FALSE),""))</f>
        <v/>
      </c>
      <c r="D854" s="16"/>
      <c r="E854" s="16" t="str">
        <f>IF($A854="", "", IFERROR(VLOOKUP($A854, Stock_New!$A:$M, 4, FALSE), ""))</f>
        <v/>
      </c>
      <c r="F854" s="5">
        <f t="shared" si="1"/>
        <v>0</v>
      </c>
      <c r="G854" s="16" t="str">
        <f>IF($A854="", "", IFERROR(VLOOKUP($A854, Stock_New!$A:$M, 5, FALSE), ""))</f>
        <v/>
      </c>
    </row>
    <row r="855" ht="22.5" customHeight="1">
      <c r="A855" s="11"/>
      <c r="B855" s="16" t="str">
        <f>IF(A855="","",IFERROR(VLOOKUP(A855, Stock_New!A:M, 2, FALSE),""))</f>
        <v/>
      </c>
      <c r="C855" s="16" t="str">
        <f>IF(A855="","",IFERROR(VLOOKUP(A855, Stock_New!A:M, 3, FALSE),""))</f>
        <v/>
      </c>
      <c r="D855" s="16"/>
      <c r="E855" s="16" t="str">
        <f>IF($A855="", "", IFERROR(VLOOKUP($A855, Stock_New!$A:$M, 4, FALSE), ""))</f>
        <v/>
      </c>
      <c r="F855" s="5">
        <f t="shared" si="1"/>
        <v>0</v>
      </c>
      <c r="G855" s="16" t="str">
        <f>IF($A855="", "", IFERROR(VLOOKUP($A855, Stock_New!$A:$M, 5, FALSE), ""))</f>
        <v/>
      </c>
    </row>
    <row r="856" ht="22.5" customHeight="1">
      <c r="A856" s="11"/>
      <c r="B856" s="16" t="str">
        <f>IF(A856="","",IFERROR(VLOOKUP(A856, Stock_New!A:M, 2, FALSE),""))</f>
        <v/>
      </c>
      <c r="C856" s="16" t="str">
        <f>IF(A856="","",IFERROR(VLOOKUP(A856, Stock_New!A:M, 3, FALSE),""))</f>
        <v/>
      </c>
      <c r="D856" s="16"/>
      <c r="E856" s="16" t="str">
        <f>IF($A856="", "", IFERROR(VLOOKUP($A856, Stock_New!$A:$M, 4, FALSE), ""))</f>
        <v/>
      </c>
      <c r="F856" s="5">
        <f t="shared" si="1"/>
        <v>0</v>
      </c>
      <c r="G856" s="16" t="str">
        <f>IF($A856="", "", IFERROR(VLOOKUP($A856, Stock_New!$A:$M, 5, FALSE), ""))</f>
        <v/>
      </c>
    </row>
    <row r="857" ht="22.5" customHeight="1">
      <c r="A857" s="11"/>
      <c r="B857" s="16" t="str">
        <f>IF(A857="","",IFERROR(VLOOKUP(A857, Stock_New!A:M, 2, FALSE),""))</f>
        <v/>
      </c>
      <c r="C857" s="16" t="str">
        <f>IF(A857="","",IFERROR(VLOOKUP(A857, Stock_New!A:M, 3, FALSE),""))</f>
        <v/>
      </c>
      <c r="D857" s="16"/>
      <c r="E857" s="16" t="str">
        <f>IF($A857="", "", IFERROR(VLOOKUP($A857, Stock_New!$A:$M, 4, FALSE), ""))</f>
        <v/>
      </c>
      <c r="F857" s="5">
        <f t="shared" si="1"/>
        <v>0</v>
      </c>
      <c r="G857" s="16" t="str">
        <f>IF($A857="", "", IFERROR(VLOOKUP($A857, Stock_New!$A:$M, 5, FALSE), ""))</f>
        <v/>
      </c>
    </row>
    <row r="858" ht="22.5" customHeight="1">
      <c r="A858" s="11"/>
      <c r="B858" s="16" t="str">
        <f>IF(A858="","",IFERROR(VLOOKUP(A858, Stock_New!A:M, 2, FALSE),""))</f>
        <v/>
      </c>
      <c r="C858" s="16" t="str">
        <f>IF(A858="","",IFERROR(VLOOKUP(A858, Stock_New!A:M, 3, FALSE),""))</f>
        <v/>
      </c>
      <c r="D858" s="16"/>
      <c r="E858" s="16" t="str">
        <f>IF($A858="", "", IFERROR(VLOOKUP($A858, Stock_New!$A:$M, 4, FALSE), ""))</f>
        <v/>
      </c>
      <c r="F858" s="5">
        <f t="shared" si="1"/>
        <v>0</v>
      </c>
      <c r="G858" s="16" t="str">
        <f>IF($A858="", "", IFERROR(VLOOKUP($A858, Stock_New!$A:$M, 5, FALSE), ""))</f>
        <v/>
      </c>
    </row>
    <row r="859" ht="22.5" customHeight="1">
      <c r="A859" s="11"/>
      <c r="B859" s="16" t="str">
        <f>IF(A859="","",IFERROR(VLOOKUP(A859, Stock_New!A:M, 2, FALSE),""))</f>
        <v/>
      </c>
      <c r="C859" s="16" t="str">
        <f>IF(A859="","",IFERROR(VLOOKUP(A859, Stock_New!A:M, 3, FALSE),""))</f>
        <v/>
      </c>
      <c r="D859" s="16"/>
      <c r="E859" s="16" t="str">
        <f>IF($A859="", "", IFERROR(VLOOKUP($A859, Stock_New!$A:$M, 4, FALSE), ""))</f>
        <v/>
      </c>
      <c r="F859" s="5">
        <f t="shared" si="1"/>
        <v>0</v>
      </c>
      <c r="G859" s="16" t="str">
        <f>IF($A859="", "", IFERROR(VLOOKUP($A859, Stock_New!$A:$M, 5, FALSE), ""))</f>
        <v/>
      </c>
    </row>
    <row r="860" ht="22.5" customHeight="1">
      <c r="A860" s="11"/>
      <c r="B860" s="16" t="str">
        <f>IF(A860="","",IFERROR(VLOOKUP(A860, Stock_New!A:M, 2, FALSE),""))</f>
        <v/>
      </c>
      <c r="C860" s="16" t="str">
        <f>IF(A860="","",IFERROR(VLOOKUP(A860, Stock_New!A:M, 3, FALSE),""))</f>
        <v/>
      </c>
      <c r="D860" s="16"/>
      <c r="E860" s="16" t="str">
        <f>IF($A860="", "", IFERROR(VLOOKUP($A860, Stock_New!$A:$M, 4, FALSE), ""))</f>
        <v/>
      </c>
      <c r="F860" s="5">
        <f t="shared" si="1"/>
        <v>0</v>
      </c>
      <c r="G860" s="16" t="str">
        <f>IF($A860="", "", IFERROR(VLOOKUP($A860, Stock_New!$A:$M, 5, FALSE), ""))</f>
        <v/>
      </c>
    </row>
    <row r="861" ht="22.5" customHeight="1">
      <c r="A861" s="11"/>
      <c r="B861" s="16" t="str">
        <f>IF(A861="","",IFERROR(VLOOKUP(A861, Stock_New!A:M, 2, FALSE),""))</f>
        <v/>
      </c>
      <c r="C861" s="16" t="str">
        <f>IF(A861="","",IFERROR(VLOOKUP(A861, Stock_New!A:M, 3, FALSE),""))</f>
        <v/>
      </c>
      <c r="D861" s="16"/>
      <c r="E861" s="16" t="str">
        <f>IF($A861="", "", IFERROR(VLOOKUP($A861, Stock_New!$A:$M, 4, FALSE), ""))</f>
        <v/>
      </c>
      <c r="F861" s="5">
        <f t="shared" si="1"/>
        <v>0</v>
      </c>
      <c r="G861" s="16" t="str">
        <f>IF($A861="", "", IFERROR(VLOOKUP($A861, Stock_New!$A:$M, 5, FALSE), ""))</f>
        <v/>
      </c>
    </row>
    <row r="862" ht="22.5" customHeight="1">
      <c r="A862" s="11"/>
      <c r="B862" s="16" t="str">
        <f>IF(A862="","",IFERROR(VLOOKUP(A862, Stock_New!A:M, 2, FALSE),""))</f>
        <v/>
      </c>
      <c r="C862" s="16" t="str">
        <f>IF(A862="","",IFERROR(VLOOKUP(A862, Stock_New!A:M, 3, FALSE),""))</f>
        <v/>
      </c>
      <c r="D862" s="16"/>
      <c r="E862" s="16" t="str">
        <f>IF($A862="", "", IFERROR(VLOOKUP($A862, Stock_New!$A:$M, 4, FALSE), ""))</f>
        <v/>
      </c>
      <c r="F862" s="5">
        <f t="shared" si="1"/>
        <v>0</v>
      </c>
      <c r="G862" s="16" t="str">
        <f>IF($A862="", "", IFERROR(VLOOKUP($A862, Stock_New!$A:$M, 5, FALSE), ""))</f>
        <v/>
      </c>
    </row>
    <row r="863" ht="22.5" customHeight="1">
      <c r="A863" s="11"/>
      <c r="B863" s="16" t="str">
        <f>IF(A863="","",IFERROR(VLOOKUP(A863, Stock_New!A:M, 2, FALSE),""))</f>
        <v/>
      </c>
      <c r="C863" s="16" t="str">
        <f>IF(A863="","",IFERROR(VLOOKUP(A863, Stock_New!A:M, 3, FALSE),""))</f>
        <v/>
      </c>
      <c r="D863" s="16"/>
      <c r="E863" s="16" t="str">
        <f>IF($A863="", "", IFERROR(VLOOKUP($A863, Stock_New!$A:$M, 4, FALSE), ""))</f>
        <v/>
      </c>
      <c r="F863" s="5">
        <f t="shared" si="1"/>
        <v>0</v>
      </c>
      <c r="G863" s="16" t="str">
        <f>IF($A863="", "", IFERROR(VLOOKUP($A863, Stock_New!$A:$M, 5, FALSE), ""))</f>
        <v/>
      </c>
    </row>
    <row r="864" ht="22.5" customHeight="1">
      <c r="A864" s="11"/>
      <c r="B864" s="16" t="str">
        <f>IF(A864="","",IFERROR(VLOOKUP(A864, Stock_New!A:M, 2, FALSE),""))</f>
        <v/>
      </c>
      <c r="C864" s="16" t="str">
        <f>IF(A864="","",IFERROR(VLOOKUP(A864, Stock_New!A:M, 3, FALSE),""))</f>
        <v/>
      </c>
      <c r="D864" s="16"/>
      <c r="E864" s="16" t="str">
        <f>IF($A864="", "", IFERROR(VLOOKUP($A864, Stock_New!$A:$M, 4, FALSE), ""))</f>
        <v/>
      </c>
      <c r="F864" s="5">
        <f t="shared" si="1"/>
        <v>0</v>
      </c>
      <c r="G864" s="16" t="str">
        <f>IF($A864="", "", IFERROR(VLOOKUP($A864, Stock_New!$A:$M, 5, FALSE), ""))</f>
        <v/>
      </c>
    </row>
    <row r="865" ht="22.5" customHeight="1">
      <c r="A865" s="11"/>
      <c r="B865" s="16" t="str">
        <f>IF(A865="","",IFERROR(VLOOKUP(A865, Stock_New!A:M, 2, FALSE),""))</f>
        <v/>
      </c>
      <c r="C865" s="16" t="str">
        <f>IF(A865="","",IFERROR(VLOOKUP(A865, Stock_New!A:M, 3, FALSE),""))</f>
        <v/>
      </c>
      <c r="D865" s="16"/>
      <c r="E865" s="16" t="str">
        <f>IF($A865="", "", IFERROR(VLOOKUP($A865, Stock_New!$A:$M, 4, FALSE), ""))</f>
        <v/>
      </c>
      <c r="F865" s="5">
        <f t="shared" si="1"/>
        <v>0</v>
      </c>
      <c r="G865" s="16" t="str">
        <f>IF($A865="", "", IFERROR(VLOOKUP($A865, Stock_New!$A:$M, 5, FALSE), ""))</f>
        <v/>
      </c>
    </row>
    <row r="866" ht="22.5" customHeight="1">
      <c r="A866" s="11"/>
      <c r="B866" s="16" t="str">
        <f>IF(A866="","",IFERROR(VLOOKUP(A866, Stock_New!A:M, 2, FALSE),""))</f>
        <v/>
      </c>
      <c r="C866" s="16" t="str">
        <f>IF(A866="","",IFERROR(VLOOKUP(A866, Stock_New!A:M, 3, FALSE),""))</f>
        <v/>
      </c>
      <c r="D866" s="16"/>
      <c r="E866" s="16" t="str">
        <f>IF($A866="", "", IFERROR(VLOOKUP($A866, Stock_New!$A:$M, 4, FALSE), ""))</f>
        <v/>
      </c>
      <c r="F866" s="5">
        <f t="shared" si="1"/>
        <v>0</v>
      </c>
      <c r="G866" s="16" t="str">
        <f>IF($A866="", "", IFERROR(VLOOKUP($A866, Stock_New!$A:$M, 5, FALSE), ""))</f>
        <v/>
      </c>
    </row>
    <row r="867" ht="22.5" customHeight="1">
      <c r="A867" s="11"/>
      <c r="B867" s="16" t="str">
        <f>IF(A867="","",IFERROR(VLOOKUP(A867, Stock_New!A:M, 2, FALSE),""))</f>
        <v/>
      </c>
      <c r="C867" s="16" t="str">
        <f>IF(A867="","",IFERROR(VLOOKUP(A867, Stock_New!A:M, 3, FALSE),""))</f>
        <v/>
      </c>
      <c r="D867" s="16"/>
      <c r="E867" s="16" t="str">
        <f>IF($A867="", "", IFERROR(VLOOKUP($A867, Stock_New!$A:$M, 4, FALSE), ""))</f>
        <v/>
      </c>
      <c r="F867" s="5">
        <f t="shared" si="1"/>
        <v>0</v>
      </c>
      <c r="G867" s="16" t="str">
        <f>IF($A867="", "", IFERROR(VLOOKUP($A867, Stock_New!$A:$M, 5, FALSE), ""))</f>
        <v/>
      </c>
    </row>
    <row r="868" ht="22.5" customHeight="1">
      <c r="A868" s="11"/>
      <c r="B868" s="16" t="str">
        <f>IF(A868="","",IFERROR(VLOOKUP(A868, Stock_New!A:M, 2, FALSE),""))</f>
        <v/>
      </c>
      <c r="C868" s="16" t="str">
        <f>IF(A868="","",IFERROR(VLOOKUP(A868, Stock_New!A:M, 3, FALSE),""))</f>
        <v/>
      </c>
      <c r="D868" s="16"/>
      <c r="E868" s="16" t="str">
        <f>IF($A868="", "", IFERROR(VLOOKUP($A868, Stock_New!$A:$M, 4, FALSE), ""))</f>
        <v/>
      </c>
      <c r="F868" s="5">
        <f t="shared" si="1"/>
        <v>0</v>
      </c>
      <c r="G868" s="16" t="str">
        <f>IF($A868="", "", IFERROR(VLOOKUP($A868, Stock_New!$A:$M, 5, FALSE), ""))</f>
        <v/>
      </c>
    </row>
    <row r="869" ht="22.5" customHeight="1">
      <c r="A869" s="11"/>
      <c r="B869" s="16" t="str">
        <f>IF(A869="","",IFERROR(VLOOKUP(A869, Stock_New!A:M, 2, FALSE),""))</f>
        <v/>
      </c>
      <c r="C869" s="16" t="str">
        <f>IF(A869="","",IFERROR(VLOOKUP(A869, Stock_New!A:M, 3, FALSE),""))</f>
        <v/>
      </c>
      <c r="D869" s="16"/>
      <c r="E869" s="16" t="str">
        <f>IF($A869="", "", IFERROR(VLOOKUP($A869, Stock_New!$A:$M, 4, FALSE), ""))</f>
        <v/>
      </c>
      <c r="F869" s="5">
        <f t="shared" si="1"/>
        <v>0</v>
      </c>
      <c r="G869" s="16" t="str">
        <f>IF($A869="", "", IFERROR(VLOOKUP($A869, Stock_New!$A:$M, 5, FALSE), ""))</f>
        <v/>
      </c>
    </row>
    <row r="870" ht="22.5" customHeight="1">
      <c r="A870" s="11"/>
      <c r="B870" s="16" t="str">
        <f>IF(A870="","",IFERROR(VLOOKUP(A870, Stock_New!A:M, 2, FALSE),""))</f>
        <v/>
      </c>
      <c r="C870" s="16" t="str">
        <f>IF(A870="","",IFERROR(VLOOKUP(A870, Stock_New!A:M, 3, FALSE),""))</f>
        <v/>
      </c>
      <c r="D870" s="16"/>
      <c r="E870" s="16" t="str">
        <f>IF($A870="", "", IFERROR(VLOOKUP($A870, Stock_New!$A:$M, 4, FALSE), ""))</f>
        <v/>
      </c>
      <c r="F870" s="5">
        <f t="shared" si="1"/>
        <v>0</v>
      </c>
      <c r="G870" s="16" t="str">
        <f>IF($A870="", "", IFERROR(VLOOKUP($A870, Stock_New!$A:$M, 5, FALSE), ""))</f>
        <v/>
      </c>
    </row>
    <row r="871" ht="22.5" customHeight="1">
      <c r="A871" s="11"/>
      <c r="B871" s="16" t="str">
        <f>IF(A871="","",IFERROR(VLOOKUP(A871, Stock_New!A:M, 2, FALSE),""))</f>
        <v/>
      </c>
      <c r="C871" s="16" t="str">
        <f>IF(A871="","",IFERROR(VLOOKUP(A871, Stock_New!A:M, 3, FALSE),""))</f>
        <v/>
      </c>
      <c r="D871" s="16"/>
      <c r="E871" s="16" t="str">
        <f>IF($A871="", "", IFERROR(VLOOKUP($A871, Stock_New!$A:$M, 4, FALSE), ""))</f>
        <v/>
      </c>
      <c r="F871" s="5">
        <f t="shared" si="1"/>
        <v>0</v>
      </c>
      <c r="G871" s="16" t="str">
        <f>IF($A871="", "", IFERROR(VLOOKUP($A871, Stock_New!$A:$M, 5, FALSE), ""))</f>
        <v/>
      </c>
    </row>
    <row r="872" ht="22.5" customHeight="1">
      <c r="A872" s="11"/>
      <c r="B872" s="16" t="str">
        <f>IF(A872="","",IFERROR(VLOOKUP(A872, Stock_New!A:M, 2, FALSE),""))</f>
        <v/>
      </c>
      <c r="C872" s="16" t="str">
        <f>IF(A872="","",IFERROR(VLOOKUP(A872, Stock_New!A:M, 3, FALSE),""))</f>
        <v/>
      </c>
      <c r="D872" s="16"/>
      <c r="E872" s="16" t="str">
        <f>IF($A872="", "", IFERROR(VLOOKUP($A872, Stock_New!$A:$M, 4, FALSE), ""))</f>
        <v/>
      </c>
      <c r="F872" s="5">
        <f t="shared" si="1"/>
        <v>0</v>
      </c>
      <c r="G872" s="16" t="str">
        <f>IF($A872="", "", IFERROR(VLOOKUP($A872, Stock_New!$A:$M, 5, FALSE), ""))</f>
        <v/>
      </c>
    </row>
    <row r="873" ht="22.5" customHeight="1">
      <c r="A873" s="11"/>
      <c r="B873" s="16" t="str">
        <f>IF(A873="","",IFERROR(VLOOKUP(A873, Stock_New!A:M, 2, FALSE),""))</f>
        <v/>
      </c>
      <c r="C873" s="16" t="str">
        <f>IF(A873="","",IFERROR(VLOOKUP(A873, Stock_New!A:M, 3, FALSE),""))</f>
        <v/>
      </c>
      <c r="D873" s="16"/>
      <c r="E873" s="16" t="str">
        <f>IF($A873="", "", IFERROR(VLOOKUP($A873, Stock_New!$A:$M, 4, FALSE), ""))</f>
        <v/>
      </c>
      <c r="F873" s="5">
        <f t="shared" si="1"/>
        <v>0</v>
      </c>
      <c r="G873" s="16" t="str">
        <f>IF($A873="", "", IFERROR(VLOOKUP($A873, Stock_New!$A:$M, 5, FALSE), ""))</f>
        <v/>
      </c>
    </row>
    <row r="874" ht="22.5" customHeight="1">
      <c r="A874" s="11"/>
      <c r="B874" s="16" t="str">
        <f>IF(A874="","",IFERROR(VLOOKUP(A874, Stock_New!A:M, 2, FALSE),""))</f>
        <v/>
      </c>
      <c r="C874" s="16" t="str">
        <f>IF(A874="","",IFERROR(VLOOKUP(A874, Stock_New!A:M, 3, FALSE),""))</f>
        <v/>
      </c>
      <c r="D874" s="16"/>
      <c r="E874" s="16" t="str">
        <f>IF($A874="", "", IFERROR(VLOOKUP($A874, Stock_New!$A:$M, 4, FALSE), ""))</f>
        <v/>
      </c>
      <c r="F874" s="5">
        <f t="shared" si="1"/>
        <v>0</v>
      </c>
      <c r="G874" s="16" t="str">
        <f>IF($A874="", "", IFERROR(VLOOKUP($A874, Stock_New!$A:$M, 5, FALSE), ""))</f>
        <v/>
      </c>
    </row>
    <row r="875" ht="22.5" customHeight="1">
      <c r="A875" s="11"/>
      <c r="B875" s="16" t="str">
        <f>IF(A875="","",IFERROR(VLOOKUP(A875, Stock_New!A:M, 2, FALSE),""))</f>
        <v/>
      </c>
      <c r="C875" s="16" t="str">
        <f>IF(A875="","",IFERROR(VLOOKUP(A875, Stock_New!A:M, 3, FALSE),""))</f>
        <v/>
      </c>
      <c r="D875" s="16"/>
      <c r="E875" s="16" t="str">
        <f>IF($A875="", "", IFERROR(VLOOKUP($A875, Stock_New!$A:$M, 4, FALSE), ""))</f>
        <v/>
      </c>
      <c r="F875" s="5">
        <f t="shared" si="1"/>
        <v>0</v>
      </c>
      <c r="G875" s="16" t="str">
        <f>IF($A875="", "", IFERROR(VLOOKUP($A875, Stock_New!$A:$M, 5, FALSE), ""))</f>
        <v/>
      </c>
    </row>
    <row r="876" ht="22.5" customHeight="1">
      <c r="A876" s="11"/>
      <c r="B876" s="16" t="str">
        <f>IF(A876="","",IFERROR(VLOOKUP(A876, Stock_New!A:M, 2, FALSE),""))</f>
        <v/>
      </c>
      <c r="C876" s="16" t="str">
        <f>IF(A876="","",IFERROR(VLOOKUP(A876, Stock_New!A:M, 3, FALSE),""))</f>
        <v/>
      </c>
      <c r="D876" s="16"/>
      <c r="E876" s="16" t="str">
        <f>IF($A876="", "", IFERROR(VLOOKUP($A876, Stock_New!$A:$M, 4, FALSE), ""))</f>
        <v/>
      </c>
      <c r="F876" s="5">
        <f t="shared" si="1"/>
        <v>0</v>
      </c>
      <c r="G876" s="16" t="str">
        <f>IF($A876="", "", IFERROR(VLOOKUP($A876, Stock_New!$A:$M, 5, FALSE), ""))</f>
        <v/>
      </c>
    </row>
    <row r="877" ht="22.5" customHeight="1">
      <c r="A877" s="11"/>
      <c r="B877" s="16" t="str">
        <f>IF(A877="","",IFERROR(VLOOKUP(A877, Stock_New!A:M, 2, FALSE),""))</f>
        <v/>
      </c>
      <c r="C877" s="16" t="str">
        <f>IF(A877="","",IFERROR(VLOOKUP(A877, Stock_New!A:M, 3, FALSE),""))</f>
        <v/>
      </c>
      <c r="D877" s="16"/>
      <c r="E877" s="16" t="str">
        <f>IF($A877="", "", IFERROR(VLOOKUP($A877, Stock_New!$A:$M, 4, FALSE), ""))</f>
        <v/>
      </c>
      <c r="F877" s="5">
        <f t="shared" si="1"/>
        <v>0</v>
      </c>
      <c r="G877" s="16" t="str">
        <f>IF($A877="", "", IFERROR(VLOOKUP($A877, Stock_New!$A:$M, 5, FALSE), ""))</f>
        <v/>
      </c>
    </row>
    <row r="878" ht="22.5" customHeight="1">
      <c r="A878" s="11"/>
      <c r="B878" s="16" t="str">
        <f>IF(A878="","",IFERROR(VLOOKUP(A878, Stock_New!A:M, 2, FALSE),""))</f>
        <v/>
      </c>
      <c r="C878" s="16" t="str">
        <f>IF(A878="","",IFERROR(VLOOKUP(A878, Stock_New!A:M, 3, FALSE),""))</f>
        <v/>
      </c>
      <c r="D878" s="16"/>
      <c r="E878" s="16" t="str">
        <f>IF($A878="", "", IFERROR(VLOOKUP($A878, Stock_New!$A:$M, 4, FALSE), ""))</f>
        <v/>
      </c>
      <c r="F878" s="5">
        <f t="shared" si="1"/>
        <v>0</v>
      </c>
      <c r="G878" s="16" t="str">
        <f>IF($A878="", "", IFERROR(VLOOKUP($A878, Stock_New!$A:$M, 5, FALSE), ""))</f>
        <v/>
      </c>
    </row>
    <row r="879" ht="22.5" customHeight="1">
      <c r="A879" s="11"/>
      <c r="B879" s="16" t="str">
        <f>IF(A879="","",IFERROR(VLOOKUP(A879, Stock_New!A:M, 2, FALSE),""))</f>
        <v/>
      </c>
      <c r="C879" s="16" t="str">
        <f>IF(A879="","",IFERROR(VLOOKUP(A879, Stock_New!A:M, 3, FALSE),""))</f>
        <v/>
      </c>
      <c r="D879" s="16"/>
      <c r="E879" s="16" t="str">
        <f>IF($A879="", "", IFERROR(VLOOKUP($A879, Stock_New!$A:$M, 4, FALSE), ""))</f>
        <v/>
      </c>
      <c r="F879" s="5">
        <f t="shared" si="1"/>
        <v>0</v>
      </c>
      <c r="G879" s="16" t="str">
        <f>IF($A879="", "", IFERROR(VLOOKUP($A879, Stock_New!$A:$M, 5, FALSE), ""))</f>
        <v/>
      </c>
    </row>
    <row r="880" ht="22.5" customHeight="1">
      <c r="A880" s="11"/>
      <c r="B880" s="16" t="str">
        <f>IF(A880="","",IFERROR(VLOOKUP(A880, Stock_New!A:M, 2, FALSE),""))</f>
        <v/>
      </c>
      <c r="C880" s="16" t="str">
        <f>IF(A880="","",IFERROR(VLOOKUP(A880, Stock_New!A:M, 3, FALSE),""))</f>
        <v/>
      </c>
      <c r="D880" s="16"/>
      <c r="E880" s="16" t="str">
        <f>IF($A880="", "", IFERROR(VLOOKUP($A880, Stock_New!$A:$M, 4, FALSE), ""))</f>
        <v/>
      </c>
      <c r="F880" s="5">
        <f t="shared" si="1"/>
        <v>0</v>
      </c>
      <c r="G880" s="16" t="str">
        <f>IF($A880="", "", IFERROR(VLOOKUP($A880, Stock_New!$A:$M, 5, FALSE), ""))</f>
        <v/>
      </c>
    </row>
    <row r="881" ht="22.5" customHeight="1">
      <c r="A881" s="11"/>
      <c r="B881" s="16" t="str">
        <f>IF(A881="","",IFERROR(VLOOKUP(A881, Stock_New!A:M, 2, FALSE),""))</f>
        <v/>
      </c>
      <c r="C881" s="16" t="str">
        <f>IF(A881="","",IFERROR(VLOOKUP(A881, Stock_New!A:M, 3, FALSE),""))</f>
        <v/>
      </c>
      <c r="D881" s="16"/>
      <c r="E881" s="16" t="str">
        <f>IF($A881="", "", IFERROR(VLOOKUP($A881, Stock_New!$A:$M, 4, FALSE), ""))</f>
        <v/>
      </c>
      <c r="F881" s="5">
        <f t="shared" si="1"/>
        <v>0</v>
      </c>
      <c r="G881" s="16" t="str">
        <f>IF($A881="", "", IFERROR(VLOOKUP($A881, Stock_New!$A:$M, 5, FALSE), ""))</f>
        <v/>
      </c>
    </row>
    <row r="882" ht="22.5" customHeight="1">
      <c r="A882" s="11"/>
      <c r="B882" s="16" t="str">
        <f>IF(A882="","",IFERROR(VLOOKUP(A882, Stock_New!A:M, 2, FALSE),""))</f>
        <v/>
      </c>
      <c r="C882" s="16" t="str">
        <f>IF(A882="","",IFERROR(VLOOKUP(A882, Stock_New!A:M, 3, FALSE),""))</f>
        <v/>
      </c>
      <c r="D882" s="16"/>
      <c r="E882" s="16" t="str">
        <f>IF($A882="", "", IFERROR(VLOOKUP($A882, Stock_New!$A:$M, 4, FALSE), ""))</f>
        <v/>
      </c>
      <c r="F882" s="5">
        <f t="shared" si="1"/>
        <v>0</v>
      </c>
      <c r="G882" s="16" t="str">
        <f>IF($A882="", "", IFERROR(VLOOKUP($A882, Stock_New!$A:$M, 5, FALSE), ""))</f>
        <v/>
      </c>
    </row>
    <row r="883" ht="22.5" customHeight="1">
      <c r="A883" s="11"/>
      <c r="B883" s="16" t="str">
        <f>IF(A883="","",IFERROR(VLOOKUP(A883, Stock_New!A:M, 2, FALSE),""))</f>
        <v/>
      </c>
      <c r="C883" s="16" t="str">
        <f>IF(A883="","",IFERROR(VLOOKUP(A883, Stock_New!A:M, 3, FALSE),""))</f>
        <v/>
      </c>
      <c r="D883" s="16"/>
      <c r="E883" s="16" t="str">
        <f>IF($A883="", "", IFERROR(VLOOKUP($A883, Stock_New!$A:$M, 4, FALSE), ""))</f>
        <v/>
      </c>
      <c r="F883" s="5">
        <f t="shared" si="1"/>
        <v>0</v>
      </c>
      <c r="G883" s="16" t="str">
        <f>IF($A883="", "", IFERROR(VLOOKUP($A883, Stock_New!$A:$M, 5, FALSE), ""))</f>
        <v/>
      </c>
    </row>
    <row r="884" ht="22.5" customHeight="1">
      <c r="A884" s="11"/>
      <c r="B884" s="16" t="str">
        <f>IF(A884="","",IFERROR(VLOOKUP(A884, Stock_New!A:M, 2, FALSE),""))</f>
        <v/>
      </c>
      <c r="C884" s="16" t="str">
        <f>IF(A884="","",IFERROR(VLOOKUP(A884, Stock_New!A:M, 3, FALSE),""))</f>
        <v/>
      </c>
      <c r="D884" s="16"/>
      <c r="E884" s="16" t="str">
        <f>IF($A884="", "", IFERROR(VLOOKUP($A884, Stock_New!$A:$M, 4, FALSE), ""))</f>
        <v/>
      </c>
      <c r="F884" s="5">
        <f t="shared" si="1"/>
        <v>0</v>
      </c>
      <c r="G884" s="16" t="str">
        <f>IF($A884="", "", IFERROR(VLOOKUP($A884, Stock_New!$A:$M, 5, FALSE), ""))</f>
        <v/>
      </c>
    </row>
    <row r="885" ht="22.5" customHeight="1">
      <c r="A885" s="11"/>
      <c r="B885" s="16" t="str">
        <f>IF(A885="","",IFERROR(VLOOKUP(A885, Stock_New!A:M, 2, FALSE),""))</f>
        <v/>
      </c>
      <c r="C885" s="16" t="str">
        <f>IF(A885="","",IFERROR(VLOOKUP(A885, Stock_New!A:M, 3, FALSE),""))</f>
        <v/>
      </c>
      <c r="D885" s="16"/>
      <c r="E885" s="16" t="str">
        <f>IF($A885="", "", IFERROR(VLOOKUP($A885, Stock_New!$A:$M, 4, FALSE), ""))</f>
        <v/>
      </c>
      <c r="F885" s="5">
        <f t="shared" si="1"/>
        <v>0</v>
      </c>
      <c r="G885" s="16" t="str">
        <f>IF($A885="", "", IFERROR(VLOOKUP($A885, Stock_New!$A:$M, 5, FALSE), ""))</f>
        <v/>
      </c>
    </row>
    <row r="886" ht="22.5" customHeight="1">
      <c r="A886" s="11"/>
      <c r="B886" s="16" t="str">
        <f>IF(A886="","",IFERROR(VLOOKUP(A886, Stock_New!A:M, 2, FALSE),""))</f>
        <v/>
      </c>
      <c r="C886" s="16" t="str">
        <f>IF(A886="","",IFERROR(VLOOKUP(A886, Stock_New!A:M, 3, FALSE),""))</f>
        <v/>
      </c>
      <c r="D886" s="16"/>
      <c r="E886" s="16" t="str">
        <f>IF($A886="", "", IFERROR(VLOOKUP($A886, Stock_New!$A:$M, 4, FALSE), ""))</f>
        <v/>
      </c>
      <c r="F886" s="5">
        <f t="shared" si="1"/>
        <v>0</v>
      </c>
      <c r="G886" s="16" t="str">
        <f>IF($A886="", "", IFERROR(VLOOKUP($A886, Stock_New!$A:$M, 5, FALSE), ""))</f>
        <v/>
      </c>
    </row>
    <row r="887" ht="22.5" customHeight="1">
      <c r="A887" s="11"/>
      <c r="B887" s="16" t="str">
        <f>IF(A887="","",IFERROR(VLOOKUP(A887, Stock_New!A:M, 2, FALSE),""))</f>
        <v/>
      </c>
      <c r="C887" s="16" t="str">
        <f>IF(A887="","",IFERROR(VLOOKUP(A887, Stock_New!A:M, 3, FALSE),""))</f>
        <v/>
      </c>
      <c r="D887" s="16"/>
      <c r="E887" s="16" t="str">
        <f>IF($A887="", "", IFERROR(VLOOKUP($A887, Stock_New!$A:$M, 4, FALSE), ""))</f>
        <v/>
      </c>
      <c r="F887" s="5">
        <f t="shared" si="1"/>
        <v>0</v>
      </c>
      <c r="G887" s="16" t="str">
        <f>IF($A887="", "", IFERROR(VLOOKUP($A887, Stock_New!$A:$M, 5, FALSE), ""))</f>
        <v/>
      </c>
    </row>
    <row r="888" ht="22.5" customHeight="1">
      <c r="A888" s="11"/>
      <c r="B888" s="16" t="str">
        <f>IF(A888="","",IFERROR(VLOOKUP(A888, Stock_New!A:M, 2, FALSE),""))</f>
        <v/>
      </c>
      <c r="C888" s="16" t="str">
        <f>IF(A888="","",IFERROR(VLOOKUP(A888, Stock_New!A:M, 3, FALSE),""))</f>
        <v/>
      </c>
      <c r="D888" s="16"/>
      <c r="E888" s="16" t="str">
        <f>IF($A888="", "", IFERROR(VLOOKUP($A888, Stock_New!$A:$M, 4, FALSE), ""))</f>
        <v/>
      </c>
      <c r="F888" s="5">
        <f t="shared" si="1"/>
        <v>0</v>
      </c>
      <c r="G888" s="16" t="str">
        <f>IF($A888="", "", IFERROR(VLOOKUP($A888, Stock_New!$A:$M, 5, FALSE), ""))</f>
        <v/>
      </c>
    </row>
    <row r="889" ht="22.5" customHeight="1">
      <c r="A889" s="11"/>
      <c r="B889" s="16" t="str">
        <f>IF(A889="","",IFERROR(VLOOKUP(A889, Stock_New!A:M, 2, FALSE),""))</f>
        <v/>
      </c>
      <c r="C889" s="16" t="str">
        <f>IF(A889="","",IFERROR(VLOOKUP(A889, Stock_New!A:M, 3, FALSE),""))</f>
        <v/>
      </c>
      <c r="D889" s="16"/>
      <c r="E889" s="16" t="str">
        <f>IF($A889="", "", IFERROR(VLOOKUP($A889, Stock_New!$A:$M, 4, FALSE), ""))</f>
        <v/>
      </c>
      <c r="F889" s="5">
        <f t="shared" si="1"/>
        <v>0</v>
      </c>
      <c r="G889" s="16" t="str">
        <f>IF($A889="", "", IFERROR(VLOOKUP($A889, Stock_New!$A:$M, 5, FALSE), ""))</f>
        <v/>
      </c>
    </row>
    <row r="890" ht="22.5" customHeight="1">
      <c r="A890" s="11"/>
      <c r="B890" s="16" t="str">
        <f>IF(A890="","",IFERROR(VLOOKUP(A890, Stock_New!A:M, 2, FALSE),""))</f>
        <v/>
      </c>
      <c r="C890" s="16" t="str">
        <f>IF(A890="","",IFERROR(VLOOKUP(A890, Stock_New!A:M, 3, FALSE),""))</f>
        <v/>
      </c>
      <c r="D890" s="16"/>
      <c r="E890" s="16" t="str">
        <f>IF($A890="", "", IFERROR(VLOOKUP($A890, Stock_New!$A:$M, 4, FALSE), ""))</f>
        <v/>
      </c>
      <c r="F890" s="5">
        <f t="shared" si="1"/>
        <v>0</v>
      </c>
      <c r="G890" s="16" t="str">
        <f>IF($A890="", "", IFERROR(VLOOKUP($A890, Stock_New!$A:$M, 5, FALSE), ""))</f>
        <v/>
      </c>
    </row>
    <row r="891" ht="22.5" customHeight="1">
      <c r="A891" s="11"/>
      <c r="B891" s="16" t="str">
        <f>IF(A891="","",IFERROR(VLOOKUP(A891, Stock_New!A:M, 2, FALSE),""))</f>
        <v/>
      </c>
      <c r="C891" s="16" t="str">
        <f>IF(A891="","",IFERROR(VLOOKUP(A891, Stock_New!A:M, 3, FALSE),""))</f>
        <v/>
      </c>
      <c r="D891" s="16"/>
      <c r="E891" s="16" t="str">
        <f>IF($A891="", "", IFERROR(VLOOKUP($A891, Stock_New!$A:$M, 4, FALSE), ""))</f>
        <v/>
      </c>
      <c r="F891" s="5">
        <f t="shared" si="1"/>
        <v>0</v>
      </c>
      <c r="G891" s="16" t="str">
        <f>IF($A891="", "", IFERROR(VLOOKUP($A891, Stock_New!$A:$M, 5, FALSE), ""))</f>
        <v/>
      </c>
    </row>
    <row r="892" ht="22.5" customHeight="1">
      <c r="A892" s="11"/>
      <c r="B892" s="16" t="str">
        <f>IF(A892="","",IFERROR(VLOOKUP(A892, Stock_New!A:M, 2, FALSE),""))</f>
        <v/>
      </c>
      <c r="C892" s="16" t="str">
        <f>IF(A892="","",IFERROR(VLOOKUP(A892, Stock_New!A:M, 3, FALSE),""))</f>
        <v/>
      </c>
      <c r="D892" s="16"/>
      <c r="E892" s="16" t="str">
        <f>IF($A892="", "", IFERROR(VLOOKUP($A892, Stock_New!$A:$M, 4, FALSE), ""))</f>
        <v/>
      </c>
      <c r="F892" s="5">
        <f t="shared" si="1"/>
        <v>0</v>
      </c>
      <c r="G892" s="16" t="str">
        <f>IF($A892="", "", IFERROR(VLOOKUP($A892, Stock_New!$A:$M, 5, FALSE), ""))</f>
        <v/>
      </c>
    </row>
    <row r="893" ht="22.5" customHeight="1">
      <c r="A893" s="11"/>
      <c r="B893" s="16" t="str">
        <f>IF(A893="","",IFERROR(VLOOKUP(A893, Stock_New!A:M, 2, FALSE),""))</f>
        <v/>
      </c>
      <c r="C893" s="16" t="str">
        <f>IF(A893="","",IFERROR(VLOOKUP(A893, Stock_New!A:M, 3, FALSE),""))</f>
        <v/>
      </c>
      <c r="D893" s="16"/>
      <c r="E893" s="16" t="str">
        <f>IF($A893="", "", IFERROR(VLOOKUP($A893, Stock_New!$A:$M, 4, FALSE), ""))</f>
        <v/>
      </c>
      <c r="F893" s="5">
        <f t="shared" si="1"/>
        <v>0</v>
      </c>
      <c r="G893" s="16" t="str">
        <f>IF($A893="", "", IFERROR(VLOOKUP($A893, Stock_New!$A:$M, 5, FALSE), ""))</f>
        <v/>
      </c>
    </row>
    <row r="894" ht="22.5" customHeight="1">
      <c r="A894" s="11"/>
      <c r="B894" s="16" t="str">
        <f>IF(A894="","",IFERROR(VLOOKUP(A894, Stock_New!A:M, 2, FALSE),""))</f>
        <v/>
      </c>
      <c r="C894" s="16" t="str">
        <f>IF(A894="","",IFERROR(VLOOKUP(A894, Stock_New!A:M, 3, FALSE),""))</f>
        <v/>
      </c>
      <c r="D894" s="16"/>
      <c r="E894" s="16" t="str">
        <f>IF($A894="", "", IFERROR(VLOOKUP($A894, Stock_New!$A:$M, 4, FALSE), ""))</f>
        <v/>
      </c>
      <c r="F894" s="5">
        <f t="shared" si="1"/>
        <v>0</v>
      </c>
      <c r="G894" s="16" t="str">
        <f>IF($A894="", "", IFERROR(VLOOKUP($A894, Stock_New!$A:$M, 5, FALSE), ""))</f>
        <v/>
      </c>
    </row>
    <row r="895" ht="22.5" customHeight="1">
      <c r="A895" s="11"/>
      <c r="B895" s="16" t="str">
        <f>IF(A895="","",IFERROR(VLOOKUP(A895, Stock_New!A:M, 2, FALSE),""))</f>
        <v/>
      </c>
      <c r="C895" s="16" t="str">
        <f>IF(A895="","",IFERROR(VLOOKUP(A895, Stock_New!A:M, 3, FALSE),""))</f>
        <v/>
      </c>
      <c r="D895" s="16"/>
      <c r="E895" s="16" t="str">
        <f>IF($A895="", "", IFERROR(VLOOKUP($A895, Stock_New!$A:$M, 4, FALSE), ""))</f>
        <v/>
      </c>
      <c r="F895" s="5">
        <f t="shared" si="1"/>
        <v>0</v>
      </c>
      <c r="G895" s="16" t="str">
        <f>IF($A895="", "", IFERROR(VLOOKUP($A895, Stock_New!$A:$M, 5, FALSE), ""))</f>
        <v/>
      </c>
    </row>
    <row r="896" ht="22.5" customHeight="1">
      <c r="A896" s="11"/>
      <c r="B896" s="16" t="str">
        <f>IF(A896="","",IFERROR(VLOOKUP(A896, Stock_New!A:M, 2, FALSE),""))</f>
        <v/>
      </c>
      <c r="C896" s="16" t="str">
        <f>IF(A896="","",IFERROR(VLOOKUP(A896, Stock_New!A:M, 3, FALSE),""))</f>
        <v/>
      </c>
      <c r="D896" s="16"/>
      <c r="E896" s="16" t="str">
        <f>IF($A896="", "", IFERROR(VLOOKUP($A896, Stock_New!$A:$M, 4, FALSE), ""))</f>
        <v/>
      </c>
      <c r="F896" s="5">
        <f t="shared" si="1"/>
        <v>0</v>
      </c>
      <c r="G896" s="16" t="str">
        <f>IF($A896="", "", IFERROR(VLOOKUP($A896, Stock_New!$A:$M, 5, FALSE), ""))</f>
        <v/>
      </c>
    </row>
    <row r="897" ht="22.5" customHeight="1">
      <c r="A897" s="11"/>
      <c r="B897" s="16" t="str">
        <f>IF(A897="","",IFERROR(VLOOKUP(A897, Stock_New!A:M, 2, FALSE),""))</f>
        <v/>
      </c>
      <c r="C897" s="16" t="str">
        <f>IF(A897="","",IFERROR(VLOOKUP(A897, Stock_New!A:M, 3, FALSE),""))</f>
        <v/>
      </c>
      <c r="D897" s="16"/>
      <c r="E897" s="16" t="str">
        <f>IF($A897="", "", IFERROR(VLOOKUP($A897, Stock_New!$A:$M, 4, FALSE), ""))</f>
        <v/>
      </c>
      <c r="F897" s="5">
        <f t="shared" si="1"/>
        <v>0</v>
      </c>
      <c r="G897" s="16" t="str">
        <f>IF($A897="", "", IFERROR(VLOOKUP($A897, Stock_New!$A:$M, 5, FALSE), ""))</f>
        <v/>
      </c>
    </row>
    <row r="898" ht="22.5" customHeight="1">
      <c r="A898" s="11"/>
      <c r="B898" s="16" t="str">
        <f>IF(A898="","",IFERROR(VLOOKUP(A898, Stock_New!A:M, 2, FALSE),""))</f>
        <v/>
      </c>
      <c r="C898" s="16" t="str">
        <f>IF(A898="","",IFERROR(VLOOKUP(A898, Stock_New!A:M, 3, FALSE),""))</f>
        <v/>
      </c>
      <c r="D898" s="16"/>
      <c r="E898" s="16" t="str">
        <f>IF($A898="", "", IFERROR(VLOOKUP($A898, Stock_New!$A:$M, 4, FALSE), ""))</f>
        <v/>
      </c>
      <c r="F898" s="5">
        <f t="shared" si="1"/>
        <v>0</v>
      </c>
      <c r="G898" s="16" t="str">
        <f>IF($A898="", "", IFERROR(VLOOKUP($A898, Stock_New!$A:$M, 5, FALSE), ""))</f>
        <v/>
      </c>
    </row>
    <row r="899" ht="22.5" customHeight="1">
      <c r="A899" s="11"/>
      <c r="B899" s="16" t="str">
        <f>IF(A899="","",IFERROR(VLOOKUP(A899, Stock_New!A:M, 2, FALSE),""))</f>
        <v/>
      </c>
      <c r="C899" s="16" t="str">
        <f>IF(A899="","",IFERROR(VLOOKUP(A899, Stock_New!A:M, 3, FALSE),""))</f>
        <v/>
      </c>
      <c r="D899" s="16"/>
      <c r="E899" s="16" t="str">
        <f>IF($A899="", "", IFERROR(VLOOKUP($A899, Stock_New!$A:$M, 4, FALSE), ""))</f>
        <v/>
      </c>
      <c r="F899" s="5">
        <f t="shared" si="1"/>
        <v>0</v>
      </c>
      <c r="G899" s="16" t="str">
        <f>IF($A899="", "", IFERROR(VLOOKUP($A899, Stock_New!$A:$M, 5, FALSE), ""))</f>
        <v/>
      </c>
    </row>
    <row r="900" ht="22.5" customHeight="1">
      <c r="A900" s="11"/>
      <c r="B900" s="16" t="str">
        <f>IF(A900="","",IFERROR(VLOOKUP(A900, Stock_New!A:M, 2, FALSE),""))</f>
        <v/>
      </c>
      <c r="C900" s="16" t="str">
        <f>IF(A900="","",IFERROR(VLOOKUP(A900, Stock_New!A:M, 3, FALSE),""))</f>
        <v/>
      </c>
      <c r="D900" s="16"/>
      <c r="E900" s="16" t="str">
        <f>IF($A900="", "", IFERROR(VLOOKUP($A900, Stock_New!$A:$M, 4, FALSE), ""))</f>
        <v/>
      </c>
      <c r="F900" s="5">
        <f t="shared" si="1"/>
        <v>0</v>
      </c>
      <c r="G900" s="16" t="str">
        <f>IF($A900="", "", IFERROR(VLOOKUP($A900, Stock_New!$A:$M, 5, FALSE), ""))</f>
        <v/>
      </c>
    </row>
    <row r="901" ht="22.5" customHeight="1">
      <c r="A901" s="11"/>
      <c r="B901" s="16" t="str">
        <f>IF(A901="","",IFERROR(VLOOKUP(A901, Stock_New!A:M, 2, FALSE),""))</f>
        <v/>
      </c>
      <c r="C901" s="16" t="str">
        <f>IF(A901="","",IFERROR(VLOOKUP(A901, Stock_New!A:M, 3, FALSE),""))</f>
        <v/>
      </c>
      <c r="D901" s="16"/>
      <c r="E901" s="16" t="str">
        <f>IF($A901="", "", IFERROR(VLOOKUP($A901, Stock_New!$A:$M, 4, FALSE), ""))</f>
        <v/>
      </c>
      <c r="F901" s="5">
        <f t="shared" si="1"/>
        <v>0</v>
      </c>
      <c r="G901" s="16" t="str">
        <f>IF($A901="", "", IFERROR(VLOOKUP($A901, Stock_New!$A:$M, 5, FALSE), ""))</f>
        <v/>
      </c>
    </row>
    <row r="902" ht="22.5" customHeight="1">
      <c r="A902" s="11"/>
      <c r="B902" s="16" t="str">
        <f>IF(A902="","",IFERROR(VLOOKUP(A902, Stock_New!A:M, 2, FALSE),""))</f>
        <v/>
      </c>
      <c r="C902" s="16" t="str">
        <f>IF(A902="","",IFERROR(VLOOKUP(A902, Stock_New!A:M, 3, FALSE),""))</f>
        <v/>
      </c>
      <c r="D902" s="16"/>
      <c r="E902" s="16" t="str">
        <f>IF($A902="", "", IFERROR(VLOOKUP($A902, Stock_New!$A:$M, 4, FALSE), ""))</f>
        <v/>
      </c>
      <c r="F902" s="5">
        <f t="shared" si="1"/>
        <v>0</v>
      </c>
      <c r="G902" s="16" t="str">
        <f>IF($A902="", "", IFERROR(VLOOKUP($A902, Stock_New!$A:$M, 5, FALSE), ""))</f>
        <v/>
      </c>
    </row>
    <row r="903" ht="22.5" customHeight="1">
      <c r="A903" s="11"/>
      <c r="B903" s="16" t="str">
        <f>IF(A903="","",IFERROR(VLOOKUP(A903, Stock_New!A:M, 2, FALSE),""))</f>
        <v/>
      </c>
      <c r="C903" s="16" t="str">
        <f>IF(A903="","",IFERROR(VLOOKUP(A903, Stock_New!A:M, 3, FALSE),""))</f>
        <v/>
      </c>
      <c r="D903" s="16"/>
      <c r="E903" s="16" t="str">
        <f>IF($A903="", "", IFERROR(VLOOKUP($A903, Stock_New!$A:$M, 4, FALSE), ""))</f>
        <v/>
      </c>
      <c r="F903" s="5">
        <f t="shared" si="1"/>
        <v>0</v>
      </c>
      <c r="G903" s="16" t="str">
        <f>IF($A903="", "", IFERROR(VLOOKUP($A903, Stock_New!$A:$M, 5, FALSE), ""))</f>
        <v/>
      </c>
    </row>
    <row r="904" ht="22.5" customHeight="1">
      <c r="A904" s="11"/>
      <c r="B904" s="16" t="str">
        <f>IF(A904="","",IFERROR(VLOOKUP(A904, Stock_New!A:M, 2, FALSE),""))</f>
        <v/>
      </c>
      <c r="C904" s="16" t="str">
        <f>IF(A904="","",IFERROR(VLOOKUP(A904, Stock_New!A:M, 3, FALSE),""))</f>
        <v/>
      </c>
      <c r="D904" s="16"/>
      <c r="E904" s="16" t="str">
        <f>IF($A904="", "", IFERROR(VLOOKUP($A904, Stock_New!$A:$M, 4, FALSE), ""))</f>
        <v/>
      </c>
      <c r="F904" s="5">
        <f t="shared" si="1"/>
        <v>0</v>
      </c>
      <c r="G904" s="16" t="str">
        <f>IF($A904="", "", IFERROR(VLOOKUP($A904, Stock_New!$A:$M, 5, FALSE), ""))</f>
        <v/>
      </c>
    </row>
    <row r="905" ht="22.5" customHeight="1">
      <c r="A905" s="11"/>
      <c r="B905" s="16" t="str">
        <f>IF(A905="","",IFERROR(VLOOKUP(A905, Stock_New!A:M, 2, FALSE),""))</f>
        <v/>
      </c>
      <c r="C905" s="16" t="str">
        <f>IF(A905="","",IFERROR(VLOOKUP(A905, Stock_New!A:M, 3, FALSE),""))</f>
        <v/>
      </c>
      <c r="D905" s="16"/>
      <c r="E905" s="16" t="str">
        <f>IF($A905="", "", IFERROR(VLOOKUP($A905, Stock_New!$A:$M, 4, FALSE), ""))</f>
        <v/>
      </c>
      <c r="F905" s="5">
        <f t="shared" si="1"/>
        <v>0</v>
      </c>
      <c r="G905" s="16" t="str">
        <f>IF($A905="", "", IFERROR(VLOOKUP($A905, Stock_New!$A:$M, 5, FALSE), ""))</f>
        <v/>
      </c>
    </row>
    <row r="906" ht="22.5" customHeight="1">
      <c r="A906" s="11"/>
      <c r="B906" s="16" t="str">
        <f>IF(A906="","",IFERROR(VLOOKUP(A906, Stock_New!A:M, 2, FALSE),""))</f>
        <v/>
      </c>
      <c r="C906" s="16" t="str">
        <f>IF(A906="","",IFERROR(VLOOKUP(A906, Stock_New!A:M, 3, FALSE),""))</f>
        <v/>
      </c>
      <c r="D906" s="16"/>
      <c r="E906" s="16" t="str">
        <f>IF($A906="", "", IFERROR(VLOOKUP($A906, Stock_New!$A:$M, 4, FALSE), ""))</f>
        <v/>
      </c>
      <c r="F906" s="5">
        <f t="shared" si="1"/>
        <v>0</v>
      </c>
      <c r="G906" s="16" t="str">
        <f>IF($A906="", "", IFERROR(VLOOKUP($A906, Stock_New!$A:$M, 5, FALSE), ""))</f>
        <v/>
      </c>
    </row>
    <row r="907" ht="22.5" customHeight="1">
      <c r="A907" s="11"/>
      <c r="B907" s="16" t="str">
        <f>IF(A907="","",IFERROR(VLOOKUP(A907, Stock_New!A:M, 2, FALSE),""))</f>
        <v/>
      </c>
      <c r="C907" s="16" t="str">
        <f>IF(A907="","",IFERROR(VLOOKUP(A907, Stock_New!A:M, 3, FALSE),""))</f>
        <v/>
      </c>
      <c r="D907" s="16"/>
      <c r="E907" s="16" t="str">
        <f>IF($A907="", "", IFERROR(VLOOKUP($A907, Stock_New!$A:$M, 4, FALSE), ""))</f>
        <v/>
      </c>
      <c r="F907" s="5">
        <f t="shared" si="1"/>
        <v>0</v>
      </c>
      <c r="G907" s="16" t="str">
        <f>IF($A907="", "", IFERROR(VLOOKUP($A907, Stock_New!$A:$M, 5, FALSE), ""))</f>
        <v/>
      </c>
    </row>
    <row r="908" ht="22.5" customHeight="1">
      <c r="A908" s="11"/>
      <c r="B908" s="16" t="str">
        <f>IF(A908="","",IFERROR(VLOOKUP(A908, Stock_New!A:M, 2, FALSE),""))</f>
        <v/>
      </c>
      <c r="C908" s="16" t="str">
        <f>IF(A908="","",IFERROR(VLOOKUP(A908, Stock_New!A:M, 3, FALSE),""))</f>
        <v/>
      </c>
      <c r="D908" s="16"/>
      <c r="E908" s="16" t="str">
        <f>IF($A908="", "", IFERROR(VLOOKUP($A908, Stock_New!$A:$M, 4, FALSE), ""))</f>
        <v/>
      </c>
      <c r="F908" s="5">
        <f t="shared" si="1"/>
        <v>0</v>
      </c>
      <c r="G908" s="16" t="str">
        <f>IF($A908="", "", IFERROR(VLOOKUP($A908, Stock_New!$A:$M, 5, FALSE), ""))</f>
        <v/>
      </c>
    </row>
    <row r="909" ht="22.5" customHeight="1">
      <c r="A909" s="11"/>
      <c r="B909" s="16" t="str">
        <f>IF(A909="","",IFERROR(VLOOKUP(A909, Stock_New!A:M, 2, FALSE),""))</f>
        <v/>
      </c>
      <c r="C909" s="16" t="str">
        <f>IF(A909="","",IFERROR(VLOOKUP(A909, Stock_New!A:M, 3, FALSE),""))</f>
        <v/>
      </c>
      <c r="D909" s="16"/>
      <c r="E909" s="16" t="str">
        <f>IF($A909="", "", IFERROR(VLOOKUP($A909, Stock_New!$A:$M, 4, FALSE), ""))</f>
        <v/>
      </c>
      <c r="F909" s="5">
        <f t="shared" si="1"/>
        <v>0</v>
      </c>
      <c r="G909" s="16" t="str">
        <f>IF($A909="", "", IFERROR(VLOOKUP($A909, Stock_New!$A:$M, 5, FALSE), ""))</f>
        <v/>
      </c>
    </row>
    <row r="910" ht="22.5" customHeight="1">
      <c r="A910" s="11"/>
      <c r="B910" s="16" t="str">
        <f>IF(A910="","",IFERROR(VLOOKUP(A910, Stock_New!A:M, 2, FALSE),""))</f>
        <v/>
      </c>
      <c r="C910" s="16" t="str">
        <f>IF(A910="","",IFERROR(VLOOKUP(A910, Stock_New!A:M, 3, FALSE),""))</f>
        <v/>
      </c>
      <c r="D910" s="16"/>
      <c r="E910" s="16" t="str">
        <f>IF($A910="", "", IFERROR(VLOOKUP($A910, Stock_New!$A:$M, 4, FALSE), ""))</f>
        <v/>
      </c>
      <c r="F910" s="5">
        <f t="shared" si="1"/>
        <v>0</v>
      </c>
      <c r="G910" s="16" t="str">
        <f>IF($A910="", "", IFERROR(VLOOKUP($A910, Stock_New!$A:$M, 5, FALSE), ""))</f>
        <v/>
      </c>
    </row>
    <row r="911" ht="22.5" customHeight="1">
      <c r="A911" s="11"/>
      <c r="B911" s="16" t="str">
        <f>IF(A911="","",IFERROR(VLOOKUP(A911, Stock_New!A:M, 2, FALSE),""))</f>
        <v/>
      </c>
      <c r="C911" s="16" t="str">
        <f>IF(A911="","",IFERROR(VLOOKUP(A911, Stock_New!A:M, 3, FALSE),""))</f>
        <v/>
      </c>
      <c r="D911" s="16"/>
      <c r="E911" s="16" t="str">
        <f>IF($A911="", "", IFERROR(VLOOKUP($A911, Stock_New!$A:$M, 4, FALSE), ""))</f>
        <v/>
      </c>
      <c r="F911" s="5">
        <f t="shared" si="1"/>
        <v>0</v>
      </c>
      <c r="G911" s="16" t="str">
        <f>IF($A911="", "", IFERROR(VLOOKUP($A911, Stock_New!$A:$M, 5, FALSE), ""))</f>
        <v/>
      </c>
    </row>
    <row r="912" ht="22.5" customHeight="1">
      <c r="A912" s="11"/>
      <c r="B912" s="16" t="str">
        <f>IF(A912="","",IFERROR(VLOOKUP(A912, Stock_New!A:M, 2, FALSE),""))</f>
        <v/>
      </c>
      <c r="C912" s="16" t="str">
        <f>IF(A912="","",IFERROR(VLOOKUP(A912, Stock_New!A:M, 3, FALSE),""))</f>
        <v/>
      </c>
      <c r="D912" s="16"/>
      <c r="E912" s="16" t="str">
        <f>IF($A912="", "", IFERROR(VLOOKUP($A912, Stock_New!$A:$M, 4, FALSE), ""))</f>
        <v/>
      </c>
      <c r="F912" s="5">
        <f t="shared" si="1"/>
        <v>0</v>
      </c>
      <c r="G912" s="16" t="str">
        <f>IF($A912="", "", IFERROR(VLOOKUP($A912, Stock_New!$A:$M, 5, FALSE), ""))</f>
        <v/>
      </c>
    </row>
    <row r="913" ht="22.5" customHeight="1">
      <c r="A913" s="11"/>
      <c r="B913" s="16" t="str">
        <f>IF(A913="","",IFERROR(VLOOKUP(A913, Stock_New!A:M, 2, FALSE),""))</f>
        <v/>
      </c>
      <c r="C913" s="16" t="str">
        <f>IF(A913="","",IFERROR(VLOOKUP(A913, Stock_New!A:M, 3, FALSE),""))</f>
        <v/>
      </c>
      <c r="D913" s="16"/>
      <c r="E913" s="16" t="str">
        <f>IF($A913="", "", IFERROR(VLOOKUP($A913, Stock_New!$A:$M, 4, FALSE), ""))</f>
        <v/>
      </c>
      <c r="F913" s="5">
        <f t="shared" si="1"/>
        <v>0</v>
      </c>
      <c r="G913" s="16" t="str">
        <f>IF($A913="", "", IFERROR(VLOOKUP($A913, Stock_New!$A:$M, 5, FALSE), ""))</f>
        <v/>
      </c>
    </row>
    <row r="914" ht="22.5" customHeight="1">
      <c r="A914" s="11"/>
      <c r="B914" s="16" t="str">
        <f>IF(A914="","",IFERROR(VLOOKUP(A914, Stock_New!A:M, 2, FALSE),""))</f>
        <v/>
      </c>
      <c r="C914" s="16" t="str">
        <f>IF(A914="","",IFERROR(VLOOKUP(A914, Stock_New!A:M, 3, FALSE),""))</f>
        <v/>
      </c>
      <c r="D914" s="16"/>
      <c r="E914" s="16" t="str">
        <f>IF($A914="", "", IFERROR(VLOOKUP($A914, Stock_New!$A:$M, 4, FALSE), ""))</f>
        <v/>
      </c>
      <c r="F914" s="5">
        <f t="shared" si="1"/>
        <v>0</v>
      </c>
      <c r="G914" s="16" t="str">
        <f>IF($A914="", "", IFERROR(VLOOKUP($A914, Stock_New!$A:$M, 5, FALSE), ""))</f>
        <v/>
      </c>
    </row>
    <row r="915" ht="22.5" customHeight="1">
      <c r="A915" s="11"/>
      <c r="B915" s="16" t="str">
        <f>IF(A915="","",IFERROR(VLOOKUP(A915, Stock_New!A:M, 2, FALSE),""))</f>
        <v/>
      </c>
      <c r="C915" s="16" t="str">
        <f>IF(A915="","",IFERROR(VLOOKUP(A915, Stock_New!A:M, 3, FALSE),""))</f>
        <v/>
      </c>
      <c r="D915" s="16"/>
      <c r="E915" s="16" t="str">
        <f>IF($A915="", "", IFERROR(VLOOKUP($A915, Stock_New!$A:$M, 4, FALSE), ""))</f>
        <v/>
      </c>
      <c r="F915" s="5">
        <f t="shared" si="1"/>
        <v>0</v>
      </c>
      <c r="G915" s="16" t="str">
        <f>IF($A915="", "", IFERROR(VLOOKUP($A915, Stock_New!$A:$M, 5, FALSE), ""))</f>
        <v/>
      </c>
    </row>
    <row r="916" ht="22.5" customHeight="1">
      <c r="A916" s="11"/>
      <c r="B916" s="16" t="str">
        <f>IF(A916="","",IFERROR(VLOOKUP(A916, Stock_New!A:M, 2, FALSE),""))</f>
        <v/>
      </c>
      <c r="C916" s="16" t="str">
        <f>IF(A916="","",IFERROR(VLOOKUP(A916, Stock_New!A:M, 3, FALSE),""))</f>
        <v/>
      </c>
      <c r="D916" s="16"/>
      <c r="E916" s="16" t="str">
        <f>IF($A916="", "", IFERROR(VLOOKUP($A916, Stock_New!$A:$M, 4, FALSE), ""))</f>
        <v/>
      </c>
      <c r="F916" s="5">
        <f t="shared" si="1"/>
        <v>0</v>
      </c>
      <c r="G916" s="16" t="str">
        <f>IF($A916="", "", IFERROR(VLOOKUP($A916, Stock_New!$A:$M, 5, FALSE), ""))</f>
        <v/>
      </c>
    </row>
    <row r="917" ht="22.5" customHeight="1">
      <c r="A917" s="11"/>
      <c r="B917" s="16" t="str">
        <f>IF(A917="","",IFERROR(VLOOKUP(A917, Stock_New!A:M, 2, FALSE),""))</f>
        <v/>
      </c>
      <c r="C917" s="16" t="str">
        <f>IF(A917="","",IFERROR(VLOOKUP(A917, Stock_New!A:M, 3, FALSE),""))</f>
        <v/>
      </c>
      <c r="D917" s="16"/>
      <c r="E917" s="16" t="str">
        <f>IF($A917="", "", IFERROR(VLOOKUP($A917, Stock_New!$A:$M, 4, FALSE), ""))</f>
        <v/>
      </c>
      <c r="F917" s="5">
        <f t="shared" si="1"/>
        <v>0</v>
      </c>
      <c r="G917" s="16" t="str">
        <f>IF($A917="", "", IFERROR(VLOOKUP($A917, Stock_New!$A:$M, 5, FALSE), ""))</f>
        <v/>
      </c>
    </row>
    <row r="918" ht="22.5" customHeight="1">
      <c r="A918" s="11"/>
      <c r="B918" s="16" t="str">
        <f>IF(A918="","",IFERROR(VLOOKUP(A918, Stock_New!A:M, 2, FALSE),""))</f>
        <v/>
      </c>
      <c r="C918" s="16" t="str">
        <f>IF(A918="","",IFERROR(VLOOKUP(A918, Stock_New!A:M, 3, FALSE),""))</f>
        <v/>
      </c>
      <c r="D918" s="16"/>
      <c r="E918" s="16" t="str">
        <f>IF($A918="", "", IFERROR(VLOOKUP($A918, Stock_New!$A:$M, 4, FALSE), ""))</f>
        <v/>
      </c>
      <c r="F918" s="5">
        <f t="shared" si="1"/>
        <v>0</v>
      </c>
      <c r="G918" s="16" t="str">
        <f>IF($A918="", "", IFERROR(VLOOKUP($A918, Stock_New!$A:$M, 5, FALSE), ""))</f>
        <v/>
      </c>
    </row>
    <row r="919" ht="22.5" customHeight="1">
      <c r="A919" s="11"/>
      <c r="B919" s="16" t="str">
        <f>IF(A919="","",IFERROR(VLOOKUP(A919, Stock_New!A:M, 2, FALSE),""))</f>
        <v/>
      </c>
      <c r="C919" s="16" t="str">
        <f>IF(A919="","",IFERROR(VLOOKUP(A919, Stock_New!A:M, 3, FALSE),""))</f>
        <v/>
      </c>
      <c r="D919" s="16"/>
      <c r="E919" s="16" t="str">
        <f>IF($A919="", "", IFERROR(VLOOKUP($A919, Stock_New!$A:$M, 4, FALSE), ""))</f>
        <v/>
      </c>
      <c r="F919" s="5">
        <f t="shared" si="1"/>
        <v>0</v>
      </c>
      <c r="G919" s="16" t="str">
        <f>IF($A919="", "", IFERROR(VLOOKUP($A919, Stock_New!$A:$M, 5, FALSE), ""))</f>
        <v/>
      </c>
    </row>
    <row r="920" ht="22.5" customHeight="1">
      <c r="A920" s="11"/>
      <c r="B920" s="16" t="str">
        <f>IF(A920="","",IFERROR(VLOOKUP(A920, Stock_New!A:M, 2, FALSE),""))</f>
        <v/>
      </c>
      <c r="C920" s="16" t="str">
        <f>IF(A920="","",IFERROR(VLOOKUP(A920, Stock_New!A:M, 3, FALSE),""))</f>
        <v/>
      </c>
      <c r="D920" s="16"/>
      <c r="E920" s="16" t="str">
        <f>IF($A920="", "", IFERROR(VLOOKUP($A920, Stock_New!$A:$M, 4, FALSE), ""))</f>
        <v/>
      </c>
      <c r="F920" s="5">
        <f t="shared" si="1"/>
        <v>0</v>
      </c>
      <c r="G920" s="16" t="str">
        <f>IF($A920="", "", IFERROR(VLOOKUP($A920, Stock_New!$A:$M, 5, FALSE), ""))</f>
        <v/>
      </c>
    </row>
    <row r="921" ht="22.5" customHeight="1">
      <c r="A921" s="11"/>
      <c r="B921" s="16" t="str">
        <f>IF(A921="","",IFERROR(VLOOKUP(A921, Stock_New!A:M, 2, FALSE),""))</f>
        <v/>
      </c>
      <c r="C921" s="16" t="str">
        <f>IF(A921="","",IFERROR(VLOOKUP(A921, Stock_New!A:M, 3, FALSE),""))</f>
        <v/>
      </c>
      <c r="D921" s="16"/>
      <c r="E921" s="16" t="str">
        <f>IF($A921="", "", IFERROR(VLOOKUP($A921, Stock_New!$A:$M, 4, FALSE), ""))</f>
        <v/>
      </c>
      <c r="F921" s="5">
        <f t="shared" si="1"/>
        <v>0</v>
      </c>
      <c r="G921" s="16" t="str">
        <f>IF($A921="", "", IFERROR(VLOOKUP($A921, Stock_New!$A:$M, 5, FALSE), ""))</f>
        <v/>
      </c>
    </row>
    <row r="922" ht="22.5" customHeight="1">
      <c r="A922" s="11"/>
      <c r="B922" s="16" t="str">
        <f>IF(A922="","",IFERROR(VLOOKUP(A922, Stock_New!A:M, 2, FALSE),""))</f>
        <v/>
      </c>
      <c r="C922" s="16" t="str">
        <f>IF(A922="","",IFERROR(VLOOKUP(A922, Stock_New!A:M, 3, FALSE),""))</f>
        <v/>
      </c>
      <c r="D922" s="16"/>
      <c r="E922" s="16" t="str">
        <f>IF($A922="", "", IFERROR(VLOOKUP($A922, Stock_New!$A:$M, 4, FALSE), ""))</f>
        <v/>
      </c>
      <c r="F922" s="5">
        <f t="shared" si="1"/>
        <v>0</v>
      </c>
      <c r="G922" s="16" t="str">
        <f>IF($A922="", "", IFERROR(VLOOKUP($A922, Stock_New!$A:$M, 5, FALSE), ""))</f>
        <v/>
      </c>
    </row>
    <row r="923" ht="22.5" customHeight="1">
      <c r="A923" s="11"/>
      <c r="B923" s="16" t="str">
        <f>IF(A923="","",IFERROR(VLOOKUP(A923, Stock_New!A:M, 2, FALSE),""))</f>
        <v/>
      </c>
      <c r="C923" s="16" t="str">
        <f>IF(A923="","",IFERROR(VLOOKUP(A923, Stock_New!A:M, 3, FALSE),""))</f>
        <v/>
      </c>
      <c r="D923" s="16"/>
      <c r="E923" s="16" t="str">
        <f>IF($A923="", "", IFERROR(VLOOKUP($A923, Stock_New!$A:$M, 4, FALSE), ""))</f>
        <v/>
      </c>
      <c r="F923" s="5">
        <f t="shared" si="1"/>
        <v>0</v>
      </c>
      <c r="G923" s="16" t="str">
        <f>IF($A923="", "", IFERROR(VLOOKUP($A923, Stock_New!$A:$M, 5, FALSE), ""))</f>
        <v/>
      </c>
    </row>
    <row r="924" ht="22.5" customHeight="1">
      <c r="A924" s="11"/>
      <c r="B924" s="16" t="str">
        <f>IF(A924="","",IFERROR(VLOOKUP(A924, Stock_New!A:M, 2, FALSE),""))</f>
        <v/>
      </c>
      <c r="C924" s="16" t="str">
        <f>IF(A924="","",IFERROR(VLOOKUP(A924, Stock_New!A:M, 3, FALSE),""))</f>
        <v/>
      </c>
      <c r="D924" s="16"/>
      <c r="E924" s="16" t="str">
        <f>IF($A924="", "", IFERROR(VLOOKUP($A924, Stock_New!$A:$M, 4, FALSE), ""))</f>
        <v/>
      </c>
      <c r="F924" s="5">
        <f t="shared" si="1"/>
        <v>0</v>
      </c>
      <c r="G924" s="16" t="str">
        <f>IF($A924="", "", IFERROR(VLOOKUP($A924, Stock_New!$A:$M, 5, FALSE), ""))</f>
        <v/>
      </c>
    </row>
    <row r="925" ht="22.5" customHeight="1">
      <c r="A925" s="11"/>
      <c r="B925" s="16" t="str">
        <f>IF(A925="","",IFERROR(VLOOKUP(A925, Stock_New!A:M, 2, FALSE),""))</f>
        <v/>
      </c>
      <c r="C925" s="16" t="str">
        <f>IF(A925="","",IFERROR(VLOOKUP(A925, Stock_New!A:M, 3, FALSE),""))</f>
        <v/>
      </c>
      <c r="D925" s="16"/>
      <c r="E925" s="16" t="str">
        <f>IF($A925="", "", IFERROR(VLOOKUP($A925, Stock_New!$A:$M, 4, FALSE), ""))</f>
        <v/>
      </c>
      <c r="F925" s="5">
        <f t="shared" si="1"/>
        <v>0</v>
      </c>
      <c r="G925" s="16" t="str">
        <f>IF($A925="", "", IFERROR(VLOOKUP($A925, Stock_New!$A:$M, 5, FALSE), ""))</f>
        <v/>
      </c>
    </row>
    <row r="926" ht="22.5" customHeight="1">
      <c r="A926" s="11"/>
      <c r="B926" s="16" t="str">
        <f>IF(A926="","",IFERROR(VLOOKUP(A926, Stock_New!A:M, 2, FALSE),""))</f>
        <v/>
      </c>
      <c r="C926" s="16" t="str">
        <f>IF(A926="","",IFERROR(VLOOKUP(A926, Stock_New!A:M, 3, FALSE),""))</f>
        <v/>
      </c>
      <c r="D926" s="16"/>
      <c r="E926" s="16" t="str">
        <f>IF($A926="", "", IFERROR(VLOOKUP($A926, Stock_New!$A:$M, 4, FALSE), ""))</f>
        <v/>
      </c>
      <c r="F926" s="5">
        <f t="shared" si="1"/>
        <v>0</v>
      </c>
      <c r="G926" s="16" t="str">
        <f>IF($A926="", "", IFERROR(VLOOKUP($A926, Stock_New!$A:$M, 5, FALSE), ""))</f>
        <v/>
      </c>
    </row>
    <row r="927" ht="22.5" customHeight="1">
      <c r="A927" s="11"/>
      <c r="B927" s="16" t="str">
        <f>IF(A927="","",IFERROR(VLOOKUP(A927, Stock_New!A:M, 2, FALSE),""))</f>
        <v/>
      </c>
      <c r="C927" s="16" t="str">
        <f>IF(A927="","",IFERROR(VLOOKUP(A927, Stock_New!A:M, 3, FALSE),""))</f>
        <v/>
      </c>
      <c r="D927" s="16"/>
      <c r="E927" s="16" t="str">
        <f>IF($A927="", "", IFERROR(VLOOKUP($A927, Stock_New!$A:$M, 4, FALSE), ""))</f>
        <v/>
      </c>
      <c r="F927" s="5">
        <f t="shared" si="1"/>
        <v>0</v>
      </c>
      <c r="G927" s="16" t="str">
        <f>IF($A927="", "", IFERROR(VLOOKUP($A927, Stock_New!$A:$M, 5, FALSE), ""))</f>
        <v/>
      </c>
    </row>
    <row r="928" ht="22.5" customHeight="1">
      <c r="A928" s="11"/>
      <c r="B928" s="16" t="str">
        <f>IF(A928="","",IFERROR(VLOOKUP(A928, Stock_New!A:M, 2, FALSE),""))</f>
        <v/>
      </c>
      <c r="C928" s="16" t="str">
        <f>IF(A928="","",IFERROR(VLOOKUP(A928, Stock_New!A:M, 3, FALSE),""))</f>
        <v/>
      </c>
      <c r="D928" s="16"/>
      <c r="E928" s="16" t="str">
        <f>IF($A928="", "", IFERROR(VLOOKUP($A928, Stock_New!$A:$M, 4, FALSE), ""))</f>
        <v/>
      </c>
      <c r="F928" s="5">
        <f t="shared" si="1"/>
        <v>0</v>
      </c>
      <c r="G928" s="16" t="str">
        <f>IF($A928="", "", IFERROR(VLOOKUP($A928, Stock_New!$A:$M, 5, FALSE), ""))</f>
        <v/>
      </c>
    </row>
    <row r="929" ht="22.5" customHeight="1">
      <c r="A929" s="11"/>
      <c r="B929" s="16" t="str">
        <f>IF(A929="","",IFERROR(VLOOKUP(A929, Stock_New!A:M, 2, FALSE),""))</f>
        <v/>
      </c>
      <c r="C929" s="16" t="str">
        <f>IF(A929="","",IFERROR(VLOOKUP(A929, Stock_New!A:M, 3, FALSE),""))</f>
        <v/>
      </c>
      <c r="D929" s="16"/>
      <c r="E929" s="16" t="str">
        <f>IF($A929="", "", IFERROR(VLOOKUP($A929, Stock_New!$A:$M, 4, FALSE), ""))</f>
        <v/>
      </c>
      <c r="F929" s="5">
        <f t="shared" si="1"/>
        <v>0</v>
      </c>
      <c r="G929" s="16" t="str">
        <f>IF($A929="", "", IFERROR(VLOOKUP($A929, Stock_New!$A:$M, 5, FALSE), ""))</f>
        <v/>
      </c>
    </row>
    <row r="930" ht="22.5" customHeight="1">
      <c r="A930" s="11"/>
      <c r="B930" s="16" t="str">
        <f>IF(A930="","",IFERROR(VLOOKUP(A930, Stock_New!A:M, 2, FALSE),""))</f>
        <v/>
      </c>
      <c r="C930" s="16" t="str">
        <f>IF(A930="","",IFERROR(VLOOKUP(A930, Stock_New!A:M, 3, FALSE),""))</f>
        <v/>
      </c>
      <c r="D930" s="16"/>
      <c r="E930" s="16" t="str">
        <f>IF($A930="", "", IFERROR(VLOOKUP($A930, Stock_New!$A:$M, 4, FALSE), ""))</f>
        <v/>
      </c>
      <c r="F930" s="5">
        <f t="shared" si="1"/>
        <v>0</v>
      </c>
      <c r="G930" s="16" t="str">
        <f>IF($A930="", "", IFERROR(VLOOKUP($A930, Stock_New!$A:$M, 5, FALSE), ""))</f>
        <v/>
      </c>
    </row>
    <row r="931" ht="22.5" customHeight="1">
      <c r="A931" s="11"/>
      <c r="B931" s="16" t="str">
        <f>IF(A931="","",IFERROR(VLOOKUP(A931, Stock_New!A:M, 2, FALSE),""))</f>
        <v/>
      </c>
      <c r="C931" s="16" t="str">
        <f>IF(A931="","",IFERROR(VLOOKUP(A931, Stock_New!A:M, 3, FALSE),""))</f>
        <v/>
      </c>
      <c r="D931" s="16"/>
      <c r="E931" s="16" t="str">
        <f>IF($A931="", "", IFERROR(VLOOKUP($A931, Stock_New!$A:$M, 4, FALSE), ""))</f>
        <v/>
      </c>
      <c r="F931" s="5">
        <f t="shared" si="1"/>
        <v>0</v>
      </c>
      <c r="G931" s="16" t="str">
        <f>IF($A931="", "", IFERROR(VLOOKUP($A931, Stock_New!$A:$M, 5, FALSE), ""))</f>
        <v/>
      </c>
    </row>
    <row r="932" ht="22.5" customHeight="1">
      <c r="A932" s="11"/>
      <c r="B932" s="16" t="str">
        <f>IF(A932="","",IFERROR(VLOOKUP(A932, Stock_New!A:M, 2, FALSE),""))</f>
        <v/>
      </c>
      <c r="C932" s="16" t="str">
        <f>IF(A932="","",IFERROR(VLOOKUP(A932, Stock_New!A:M, 3, FALSE),""))</f>
        <v/>
      </c>
      <c r="D932" s="16"/>
      <c r="E932" s="16" t="str">
        <f>IF($A932="", "", IFERROR(VLOOKUP($A932, Stock_New!$A:$M, 4, FALSE), ""))</f>
        <v/>
      </c>
      <c r="F932" s="5">
        <f t="shared" si="1"/>
        <v>0</v>
      </c>
      <c r="G932" s="16" t="str">
        <f>IF($A932="", "", IFERROR(VLOOKUP($A932, Stock_New!$A:$M, 5, FALSE), ""))</f>
        <v/>
      </c>
    </row>
    <row r="933" ht="22.5" customHeight="1">
      <c r="A933" s="11"/>
      <c r="B933" s="16" t="str">
        <f>IF(A933="","",IFERROR(VLOOKUP(A933, Stock_New!A:M, 2, FALSE),""))</f>
        <v/>
      </c>
      <c r="C933" s="16" t="str">
        <f>IF(A933="","",IFERROR(VLOOKUP(A933, Stock_New!A:M, 3, FALSE),""))</f>
        <v/>
      </c>
      <c r="D933" s="16"/>
      <c r="E933" s="16" t="str">
        <f>IF($A933="", "", IFERROR(VLOOKUP($A933, Stock_New!$A:$M, 4, FALSE), ""))</f>
        <v/>
      </c>
      <c r="F933" s="5">
        <f t="shared" si="1"/>
        <v>0</v>
      </c>
      <c r="G933" s="16" t="str">
        <f>IF($A933="", "", IFERROR(VLOOKUP($A933, Stock_New!$A:$M, 5, FALSE), ""))</f>
        <v/>
      </c>
    </row>
    <row r="934" ht="22.5" customHeight="1">
      <c r="A934" s="11"/>
      <c r="B934" s="16" t="str">
        <f>IF(A934="","",IFERROR(VLOOKUP(A934, Stock_New!A:M, 2, FALSE),""))</f>
        <v/>
      </c>
      <c r="C934" s="16" t="str">
        <f>IF(A934="","",IFERROR(VLOOKUP(A934, Stock_New!A:M, 3, FALSE),""))</f>
        <v/>
      </c>
      <c r="D934" s="16"/>
      <c r="E934" s="16" t="str">
        <f>IF($A934="", "", IFERROR(VLOOKUP($A934, Stock_New!$A:$M, 4, FALSE), ""))</f>
        <v/>
      </c>
      <c r="F934" s="5">
        <f t="shared" si="1"/>
        <v>0</v>
      </c>
      <c r="G934" s="16" t="str">
        <f>IF($A934="", "", IFERROR(VLOOKUP($A934, Stock_New!$A:$M, 5, FALSE), ""))</f>
        <v/>
      </c>
    </row>
    <row r="935" ht="22.5" customHeight="1">
      <c r="A935" s="11"/>
      <c r="B935" s="16" t="str">
        <f>IF(A935="","",IFERROR(VLOOKUP(A935, Stock_New!A:M, 2, FALSE),""))</f>
        <v/>
      </c>
      <c r="C935" s="16" t="str">
        <f>IF(A935="","",IFERROR(VLOOKUP(A935, Stock_New!A:M, 3, FALSE),""))</f>
        <v/>
      </c>
      <c r="D935" s="16"/>
      <c r="E935" s="16" t="str">
        <f>IF($A935="", "", IFERROR(VLOOKUP($A935, Stock_New!$A:$M, 4, FALSE), ""))</f>
        <v/>
      </c>
      <c r="F935" s="5">
        <f t="shared" si="1"/>
        <v>0</v>
      </c>
      <c r="G935" s="16" t="str">
        <f>IF($A935="", "", IFERROR(VLOOKUP($A935, Stock_New!$A:$M, 5, FALSE), ""))</f>
        <v/>
      </c>
    </row>
    <row r="936" ht="22.5" customHeight="1">
      <c r="A936" s="11"/>
      <c r="B936" s="16" t="str">
        <f>IF(A936="","",IFERROR(VLOOKUP(A936, Stock_New!A:M, 2, FALSE),""))</f>
        <v/>
      </c>
      <c r="C936" s="16" t="str">
        <f>IF(A936="","",IFERROR(VLOOKUP(A936, Stock_New!A:M, 3, FALSE),""))</f>
        <v/>
      </c>
      <c r="D936" s="16"/>
      <c r="E936" s="16" t="str">
        <f>IF($A936="", "", IFERROR(VLOOKUP($A936, Stock_New!$A:$M, 4, FALSE), ""))</f>
        <v/>
      </c>
      <c r="F936" s="5">
        <f t="shared" si="1"/>
        <v>0</v>
      </c>
      <c r="G936" s="16" t="str">
        <f>IF($A936="", "", IFERROR(VLOOKUP($A936, Stock_New!$A:$M, 5, FALSE), ""))</f>
        <v/>
      </c>
    </row>
    <row r="937" ht="22.5" customHeight="1">
      <c r="A937" s="11"/>
      <c r="B937" s="16" t="str">
        <f>IF(A937="","",IFERROR(VLOOKUP(A937, Stock_New!A:M, 2, FALSE),""))</f>
        <v/>
      </c>
      <c r="C937" s="16" t="str">
        <f>IF(A937="","",IFERROR(VLOOKUP(A937, Stock_New!A:M, 3, FALSE),""))</f>
        <v/>
      </c>
      <c r="D937" s="16"/>
      <c r="E937" s="16" t="str">
        <f>IF($A937="", "", IFERROR(VLOOKUP($A937, Stock_New!$A:$M, 4, FALSE), ""))</f>
        <v/>
      </c>
      <c r="F937" s="5">
        <f t="shared" si="1"/>
        <v>0</v>
      </c>
      <c r="G937" s="16" t="str">
        <f>IF($A937="", "", IFERROR(VLOOKUP($A937, Stock_New!$A:$M, 5, FALSE), ""))</f>
        <v/>
      </c>
    </row>
    <row r="938" ht="22.5" customHeight="1">
      <c r="A938" s="11"/>
      <c r="B938" s="16" t="str">
        <f>IF(A938="","",IFERROR(VLOOKUP(A938, Stock_New!A:M, 2, FALSE),""))</f>
        <v/>
      </c>
      <c r="C938" s="16" t="str">
        <f>IF(A938="","",IFERROR(VLOOKUP(A938, Stock_New!A:M, 3, FALSE),""))</f>
        <v/>
      </c>
      <c r="D938" s="16"/>
      <c r="E938" s="16" t="str">
        <f>IF($A938="", "", IFERROR(VLOOKUP($A938, Stock_New!$A:$M, 4, FALSE), ""))</f>
        <v/>
      </c>
      <c r="F938" s="5">
        <f t="shared" si="1"/>
        <v>0</v>
      </c>
      <c r="G938" s="16" t="str">
        <f>IF($A938="", "", IFERROR(VLOOKUP($A938, Stock_New!$A:$M, 5, FALSE), ""))</f>
        <v/>
      </c>
    </row>
    <row r="939" ht="22.5" customHeight="1">
      <c r="A939" s="11"/>
      <c r="B939" s="16" t="str">
        <f>IF(A939="","",IFERROR(VLOOKUP(A939, Stock_New!A:M, 2, FALSE),""))</f>
        <v/>
      </c>
      <c r="C939" s="16" t="str">
        <f>IF(A939="","",IFERROR(VLOOKUP(A939, Stock_New!A:M, 3, FALSE),""))</f>
        <v/>
      </c>
      <c r="D939" s="16"/>
      <c r="E939" s="16" t="str">
        <f>IF($A939="", "", IFERROR(VLOOKUP($A939, Stock_New!$A:$M, 4, FALSE), ""))</f>
        <v/>
      </c>
      <c r="F939" s="5">
        <f t="shared" si="1"/>
        <v>0</v>
      </c>
      <c r="G939" s="16" t="str">
        <f>IF($A939="", "", IFERROR(VLOOKUP($A939, Stock_New!$A:$M, 5, FALSE), ""))</f>
        <v/>
      </c>
    </row>
    <row r="940" ht="22.5" customHeight="1">
      <c r="A940" s="11"/>
      <c r="B940" s="16" t="str">
        <f>IF(A940="","",IFERROR(VLOOKUP(A940, Stock_New!A:M, 2, FALSE),""))</f>
        <v/>
      </c>
      <c r="C940" s="16" t="str">
        <f>IF(A940="","",IFERROR(VLOOKUP(A940, Stock_New!A:M, 3, FALSE),""))</f>
        <v/>
      </c>
      <c r="D940" s="16"/>
      <c r="E940" s="16" t="str">
        <f>IF($A940="", "", IFERROR(VLOOKUP($A940, Stock_New!$A:$M, 4, FALSE), ""))</f>
        <v/>
      </c>
      <c r="F940" s="5">
        <f t="shared" si="1"/>
        <v>0</v>
      </c>
      <c r="G940" s="16" t="str">
        <f>IF($A940="", "", IFERROR(VLOOKUP($A940, Stock_New!$A:$M, 5, FALSE), ""))</f>
        <v/>
      </c>
    </row>
    <row r="941" ht="22.5" customHeight="1">
      <c r="A941" s="11"/>
      <c r="B941" s="16" t="str">
        <f>IF(A941="","",IFERROR(VLOOKUP(A941, Stock_New!A:M, 2, FALSE),""))</f>
        <v/>
      </c>
      <c r="C941" s="16" t="str">
        <f>IF(A941="","",IFERROR(VLOOKUP(A941, Stock_New!A:M, 3, FALSE),""))</f>
        <v/>
      </c>
      <c r="D941" s="16"/>
      <c r="E941" s="16" t="str">
        <f>IF($A941="", "", IFERROR(VLOOKUP($A941, Stock_New!$A:$M, 4, FALSE), ""))</f>
        <v/>
      </c>
      <c r="F941" s="5">
        <f t="shared" si="1"/>
        <v>0</v>
      </c>
      <c r="G941" s="16" t="str">
        <f>IF($A941="", "", IFERROR(VLOOKUP($A941, Stock_New!$A:$M, 5, FALSE), ""))</f>
        <v/>
      </c>
    </row>
    <row r="942" ht="22.5" customHeight="1">
      <c r="A942" s="11"/>
      <c r="B942" s="16" t="str">
        <f>IF(A942="","",IFERROR(VLOOKUP(A942, Stock_New!A:M, 2, FALSE),""))</f>
        <v/>
      </c>
      <c r="C942" s="16" t="str">
        <f>IF(A942="","",IFERROR(VLOOKUP(A942, Stock_New!A:M, 3, FALSE),""))</f>
        <v/>
      </c>
      <c r="D942" s="16"/>
      <c r="E942" s="16" t="str">
        <f>IF($A942="", "", IFERROR(VLOOKUP($A942, Stock_New!$A:$M, 4, FALSE), ""))</f>
        <v/>
      </c>
      <c r="F942" s="5">
        <f t="shared" si="1"/>
        <v>0</v>
      </c>
      <c r="G942" s="16" t="str">
        <f>IF($A942="", "", IFERROR(VLOOKUP($A942, Stock_New!$A:$M, 5, FALSE), ""))</f>
        <v/>
      </c>
    </row>
    <row r="943" ht="22.5" customHeight="1">
      <c r="A943" s="11"/>
      <c r="B943" s="16" t="str">
        <f>IF(A943="","",IFERROR(VLOOKUP(A943, Stock_New!A:M, 2, FALSE),""))</f>
        <v/>
      </c>
      <c r="C943" s="16" t="str">
        <f>IF(A943="","",IFERROR(VLOOKUP(A943, Stock_New!A:M, 3, FALSE),""))</f>
        <v/>
      </c>
      <c r="D943" s="16"/>
      <c r="E943" s="16" t="str">
        <f>IF($A943="", "", IFERROR(VLOOKUP($A943, Stock_New!$A:$M, 4, FALSE), ""))</f>
        <v/>
      </c>
      <c r="F943" s="5">
        <f t="shared" si="1"/>
        <v>0</v>
      </c>
      <c r="G943" s="16" t="str">
        <f>IF($A943="", "", IFERROR(VLOOKUP($A943, Stock_New!$A:$M, 5, FALSE), ""))</f>
        <v/>
      </c>
    </row>
    <row r="944" ht="22.5" customHeight="1">
      <c r="A944" s="11"/>
      <c r="B944" s="16" t="str">
        <f>IF(A944="","",IFERROR(VLOOKUP(A944, Stock_New!A:M, 2, FALSE),""))</f>
        <v/>
      </c>
      <c r="C944" s="16" t="str">
        <f>IF(A944="","",IFERROR(VLOOKUP(A944, Stock_New!A:M, 3, FALSE),""))</f>
        <v/>
      </c>
      <c r="D944" s="16"/>
      <c r="E944" s="16" t="str">
        <f>IF($A944="", "", IFERROR(VLOOKUP($A944, Stock_New!$A:$M, 4, FALSE), ""))</f>
        <v/>
      </c>
      <c r="F944" s="5">
        <f t="shared" si="1"/>
        <v>0</v>
      </c>
      <c r="G944" s="16" t="str">
        <f>IF($A944="", "", IFERROR(VLOOKUP($A944, Stock_New!$A:$M, 5, FALSE), ""))</f>
        <v/>
      </c>
    </row>
    <row r="945" ht="22.5" customHeight="1">
      <c r="A945" s="11"/>
      <c r="B945" s="16" t="str">
        <f>IF(A945="","",IFERROR(VLOOKUP(A945, Stock_New!A:M, 2, FALSE),""))</f>
        <v/>
      </c>
      <c r="C945" s="16" t="str">
        <f>IF(A945="","",IFERROR(VLOOKUP(A945, Stock_New!A:M, 3, FALSE),""))</f>
        <v/>
      </c>
      <c r="D945" s="16"/>
      <c r="E945" s="16" t="str">
        <f>IF($A945="", "", IFERROR(VLOOKUP($A945, Stock_New!$A:$M, 4, FALSE), ""))</f>
        <v/>
      </c>
      <c r="F945" s="5">
        <f t="shared" si="1"/>
        <v>0</v>
      </c>
      <c r="G945" s="16" t="str">
        <f>IF($A945="", "", IFERROR(VLOOKUP($A945, Stock_New!$A:$M, 5, FALSE), ""))</f>
        <v/>
      </c>
    </row>
    <row r="946" ht="22.5" customHeight="1">
      <c r="A946" s="11"/>
      <c r="B946" s="16" t="str">
        <f>IF(A946="","",IFERROR(VLOOKUP(A946, Stock_New!A:M, 2, FALSE),""))</f>
        <v/>
      </c>
      <c r="C946" s="16" t="str">
        <f>IF(A946="","",IFERROR(VLOOKUP(A946, Stock_New!A:M, 3, FALSE),""))</f>
        <v/>
      </c>
      <c r="D946" s="16"/>
      <c r="E946" s="16" t="str">
        <f>IF($A946="", "", IFERROR(VLOOKUP($A946, Stock_New!$A:$M, 4, FALSE), ""))</f>
        <v/>
      </c>
      <c r="F946" s="5">
        <f t="shared" si="1"/>
        <v>0</v>
      </c>
      <c r="G946" s="16" t="str">
        <f>IF($A946="", "", IFERROR(VLOOKUP($A946, Stock_New!$A:$M, 5, FALSE), ""))</f>
        <v/>
      </c>
    </row>
    <row r="947" ht="22.5" customHeight="1">
      <c r="A947" s="11"/>
      <c r="B947" s="16" t="str">
        <f>IF(A947="","",IFERROR(VLOOKUP(A947, Stock_New!A:M, 2, FALSE),""))</f>
        <v/>
      </c>
      <c r="C947" s="16" t="str">
        <f>IF(A947="","",IFERROR(VLOOKUP(A947, Stock_New!A:M, 3, FALSE),""))</f>
        <v/>
      </c>
      <c r="D947" s="16"/>
      <c r="E947" s="16" t="str">
        <f>IF($A947="", "", IFERROR(VLOOKUP($A947, Stock_New!$A:$M, 4, FALSE), ""))</f>
        <v/>
      </c>
      <c r="F947" s="5">
        <f t="shared" si="1"/>
        <v>0</v>
      </c>
      <c r="G947" s="16" t="str">
        <f>IF($A947="", "", IFERROR(VLOOKUP($A947, Stock_New!$A:$M, 5, FALSE), ""))</f>
        <v/>
      </c>
    </row>
    <row r="948" ht="22.5" customHeight="1">
      <c r="A948" s="11"/>
      <c r="B948" s="16" t="str">
        <f>IF(A948="","",IFERROR(VLOOKUP(A948, Stock_New!A:M, 2, FALSE),""))</f>
        <v/>
      </c>
      <c r="C948" s="16" t="str">
        <f>IF(A948="","",IFERROR(VLOOKUP(A948, Stock_New!A:M, 3, FALSE),""))</f>
        <v/>
      </c>
      <c r="D948" s="16"/>
      <c r="E948" s="16" t="str">
        <f>IF($A948="", "", IFERROR(VLOOKUP($A948, Stock_New!$A:$M, 4, FALSE), ""))</f>
        <v/>
      </c>
      <c r="F948" s="5">
        <f t="shared" si="1"/>
        <v>0</v>
      </c>
      <c r="G948" s="16" t="str">
        <f>IF($A948="", "", IFERROR(VLOOKUP($A948, Stock_New!$A:$M, 5, FALSE), ""))</f>
        <v/>
      </c>
    </row>
    <row r="949" ht="22.5" customHeight="1">
      <c r="A949" s="11"/>
      <c r="B949" s="16" t="str">
        <f>IF(A949="","",IFERROR(VLOOKUP(A949, Stock_New!A:M, 2, FALSE),""))</f>
        <v/>
      </c>
      <c r="C949" s="16" t="str">
        <f>IF(A949="","",IFERROR(VLOOKUP(A949, Stock_New!A:M, 3, FALSE),""))</f>
        <v/>
      </c>
      <c r="D949" s="16"/>
      <c r="E949" s="16" t="str">
        <f>IF($A949="", "", IFERROR(VLOOKUP($A949, Stock_New!$A:$M, 4, FALSE), ""))</f>
        <v/>
      </c>
      <c r="F949" s="5">
        <f t="shared" si="1"/>
        <v>0</v>
      </c>
      <c r="G949" s="16" t="str">
        <f>IF($A949="", "", IFERROR(VLOOKUP($A949, Stock_New!$A:$M, 5, FALSE), ""))</f>
        <v/>
      </c>
    </row>
    <row r="950" ht="22.5" customHeight="1">
      <c r="A950" s="11"/>
      <c r="B950" s="16" t="str">
        <f>IF(A950="","",IFERROR(VLOOKUP(A950, Stock_New!A:M, 2, FALSE),""))</f>
        <v/>
      </c>
      <c r="C950" s="16" t="str">
        <f>IF(A950="","",IFERROR(VLOOKUP(A950, Stock_New!A:M, 3, FALSE),""))</f>
        <v/>
      </c>
      <c r="D950" s="16"/>
      <c r="E950" s="16" t="str">
        <f>IF($A950="", "", IFERROR(VLOOKUP($A950, Stock_New!$A:$M, 4, FALSE), ""))</f>
        <v/>
      </c>
      <c r="F950" s="5">
        <f t="shared" si="1"/>
        <v>0</v>
      </c>
      <c r="G950" s="16" t="str">
        <f>IF($A950="", "", IFERROR(VLOOKUP($A950, Stock_New!$A:$M, 5, FALSE), ""))</f>
        <v/>
      </c>
    </row>
    <row r="951" ht="22.5" customHeight="1">
      <c r="A951" s="11"/>
      <c r="B951" s="16" t="str">
        <f>IF(A951="","",IFERROR(VLOOKUP(A951, Stock_New!A:M, 2, FALSE),""))</f>
        <v/>
      </c>
      <c r="C951" s="16" t="str">
        <f>IF(A951="","",IFERROR(VLOOKUP(A951, Stock_New!A:M, 3, FALSE),""))</f>
        <v/>
      </c>
      <c r="D951" s="16"/>
      <c r="E951" s="16" t="str">
        <f>IF($A951="", "", IFERROR(VLOOKUP($A951, Stock_New!$A:$M, 4, FALSE), ""))</f>
        <v/>
      </c>
      <c r="F951" s="5">
        <f t="shared" si="1"/>
        <v>0</v>
      </c>
      <c r="G951" s="16" t="str">
        <f>IF($A951="", "", IFERROR(VLOOKUP($A951, Stock_New!$A:$M, 5, FALSE), ""))</f>
        <v/>
      </c>
    </row>
    <row r="952" ht="22.5" customHeight="1">
      <c r="A952" s="11"/>
      <c r="B952" s="16" t="str">
        <f>IF(A952="","",IFERROR(VLOOKUP(A952, Stock_New!A:M, 2, FALSE),""))</f>
        <v/>
      </c>
      <c r="C952" s="16" t="str">
        <f>IF(A952="","",IFERROR(VLOOKUP(A952, Stock_New!A:M, 3, FALSE),""))</f>
        <v/>
      </c>
      <c r="D952" s="16"/>
      <c r="E952" s="16" t="str">
        <f>IF($A952="", "", IFERROR(VLOOKUP($A952, Stock_New!$A:$M, 4, FALSE), ""))</f>
        <v/>
      </c>
      <c r="F952" s="5">
        <f t="shared" si="1"/>
        <v>0</v>
      </c>
      <c r="G952" s="16" t="str">
        <f>IF($A952="", "", IFERROR(VLOOKUP($A952, Stock_New!$A:$M, 5, FALSE), ""))</f>
        <v/>
      </c>
    </row>
    <row r="953" ht="22.5" customHeight="1">
      <c r="A953" s="11"/>
      <c r="B953" s="16" t="str">
        <f>IF(A953="","",IFERROR(VLOOKUP(A953, Stock_New!A:M, 2, FALSE),""))</f>
        <v/>
      </c>
      <c r="C953" s="16" t="str">
        <f>IF(A953="","",IFERROR(VLOOKUP(A953, Stock_New!A:M, 3, FALSE),""))</f>
        <v/>
      </c>
      <c r="D953" s="16"/>
      <c r="E953" s="16" t="str">
        <f>IF($A953="", "", IFERROR(VLOOKUP($A953, Stock_New!$A:$M, 4, FALSE), ""))</f>
        <v/>
      </c>
      <c r="F953" s="5">
        <f t="shared" si="1"/>
        <v>0</v>
      </c>
      <c r="G953" s="16" t="str">
        <f>IF($A953="", "", IFERROR(VLOOKUP($A953, Stock_New!$A:$M, 5, FALSE), ""))</f>
        <v/>
      </c>
    </row>
    <row r="954" ht="22.5" customHeight="1">
      <c r="A954" s="11"/>
      <c r="B954" s="16" t="str">
        <f>IF(A954="","",IFERROR(VLOOKUP(A954, Stock_New!A:M, 2, FALSE),""))</f>
        <v/>
      </c>
      <c r="C954" s="16" t="str">
        <f>IF(A954="","",IFERROR(VLOOKUP(A954, Stock_New!A:M, 3, FALSE),""))</f>
        <v/>
      </c>
      <c r="D954" s="16"/>
      <c r="E954" s="16" t="str">
        <f>IF($A954="", "", IFERROR(VLOOKUP($A954, Stock_New!$A:$M, 4, FALSE), ""))</f>
        <v/>
      </c>
      <c r="F954" s="5">
        <f t="shared" si="1"/>
        <v>0</v>
      </c>
      <c r="G954" s="16" t="str">
        <f>IF($A954="", "", IFERROR(VLOOKUP($A954, Stock_New!$A:$M, 5, FALSE), ""))</f>
        <v/>
      </c>
    </row>
    <row r="955" ht="22.5" customHeight="1">
      <c r="A955" s="11"/>
      <c r="B955" s="16" t="str">
        <f>IF(A955="","",IFERROR(VLOOKUP(A955, Stock_New!A:M, 2, FALSE),""))</f>
        <v/>
      </c>
      <c r="C955" s="16" t="str">
        <f>IF(A955="","",IFERROR(VLOOKUP(A955, Stock_New!A:M, 3, FALSE),""))</f>
        <v/>
      </c>
      <c r="D955" s="16"/>
      <c r="E955" s="16" t="str">
        <f>IF($A955="", "", IFERROR(VLOOKUP($A955, Stock_New!$A:$M, 4, FALSE), ""))</f>
        <v/>
      </c>
      <c r="F955" s="5">
        <f t="shared" si="1"/>
        <v>0</v>
      </c>
      <c r="G955" s="16" t="str">
        <f>IF($A955="", "", IFERROR(VLOOKUP($A955, Stock_New!$A:$M, 5, FALSE), ""))</f>
        <v/>
      </c>
    </row>
    <row r="956" ht="22.5" customHeight="1">
      <c r="A956" s="11"/>
      <c r="B956" s="16" t="str">
        <f>IF(A956="","",IFERROR(VLOOKUP(A956, Stock_New!A:M, 2, FALSE),""))</f>
        <v/>
      </c>
      <c r="C956" s="16" t="str">
        <f>IF(A956="","",IFERROR(VLOOKUP(A956, Stock_New!A:M, 3, FALSE),""))</f>
        <v/>
      </c>
      <c r="D956" s="16"/>
      <c r="E956" s="16" t="str">
        <f>IF($A956="", "", IFERROR(VLOOKUP($A956, Stock_New!$A:$M, 4, FALSE), ""))</f>
        <v/>
      </c>
      <c r="F956" s="5">
        <f t="shared" si="1"/>
        <v>0</v>
      </c>
      <c r="G956" s="16" t="str">
        <f>IF($A956="", "", IFERROR(VLOOKUP($A956, Stock_New!$A:$M, 5, FALSE), ""))</f>
        <v/>
      </c>
    </row>
    <row r="957" ht="22.5" customHeight="1">
      <c r="A957" s="11"/>
      <c r="B957" s="16" t="str">
        <f>IF(A957="","",IFERROR(VLOOKUP(A957, Stock_New!A:M, 2, FALSE),""))</f>
        <v/>
      </c>
      <c r="C957" s="16" t="str">
        <f>IF(A957="","",IFERROR(VLOOKUP(A957, Stock_New!A:M, 3, FALSE),""))</f>
        <v/>
      </c>
      <c r="D957" s="16"/>
      <c r="E957" s="16" t="str">
        <f>IF($A957="", "", IFERROR(VLOOKUP($A957, Stock_New!$A:$M, 4, FALSE), ""))</f>
        <v/>
      </c>
      <c r="F957" s="5">
        <f t="shared" si="1"/>
        <v>0</v>
      </c>
      <c r="G957" s="16" t="str">
        <f>IF($A957="", "", IFERROR(VLOOKUP($A957, Stock_New!$A:$M, 5, FALSE), ""))</f>
        <v/>
      </c>
    </row>
    <row r="958" ht="22.5" customHeight="1">
      <c r="A958" s="11"/>
      <c r="B958" s="16" t="str">
        <f>IF(A958="","",IFERROR(VLOOKUP(A958, Stock_New!A:M, 2, FALSE),""))</f>
        <v/>
      </c>
      <c r="C958" s="16" t="str">
        <f>IF(A958="","",IFERROR(VLOOKUP(A958, Stock_New!A:M, 3, FALSE),""))</f>
        <v/>
      </c>
      <c r="D958" s="16"/>
      <c r="E958" s="16" t="str">
        <f>IF($A958="", "", IFERROR(VLOOKUP($A958, Stock_New!$A:$M, 4, FALSE), ""))</f>
        <v/>
      </c>
      <c r="F958" s="5">
        <f t="shared" si="1"/>
        <v>0</v>
      </c>
      <c r="G958" s="16" t="str">
        <f>IF($A958="", "", IFERROR(VLOOKUP($A958, Stock_New!$A:$M, 5, FALSE), ""))</f>
        <v/>
      </c>
    </row>
    <row r="959" ht="22.5" customHeight="1">
      <c r="A959" s="11"/>
      <c r="B959" s="16" t="str">
        <f>IF(A959="","",IFERROR(VLOOKUP(A959, Stock_New!A:M, 2, FALSE),""))</f>
        <v/>
      </c>
      <c r="C959" s="16" t="str">
        <f>IF(A959="","",IFERROR(VLOOKUP(A959, Stock_New!A:M, 3, FALSE),""))</f>
        <v/>
      </c>
      <c r="D959" s="16"/>
      <c r="E959" s="16" t="str">
        <f>IF($A959="", "", IFERROR(VLOOKUP($A959, Stock_New!$A:$M, 4, FALSE), ""))</f>
        <v/>
      </c>
      <c r="F959" s="5">
        <f t="shared" si="1"/>
        <v>0</v>
      </c>
      <c r="G959" s="16" t="str">
        <f>IF($A959="", "", IFERROR(VLOOKUP($A959, Stock_New!$A:$M, 5, FALSE), ""))</f>
        <v/>
      </c>
    </row>
    <row r="960" ht="22.5" customHeight="1">
      <c r="A960" s="11"/>
      <c r="B960" s="16" t="str">
        <f>IF(A960="","",IFERROR(VLOOKUP(A960, Stock_New!A:M, 2, FALSE),""))</f>
        <v/>
      </c>
      <c r="C960" s="16" t="str">
        <f>IF(A960="","",IFERROR(VLOOKUP(A960, Stock_New!A:M, 3, FALSE),""))</f>
        <v/>
      </c>
      <c r="D960" s="16"/>
      <c r="E960" s="16" t="str">
        <f>IF($A960="", "", IFERROR(VLOOKUP($A960, Stock_New!$A:$M, 4, FALSE), ""))</f>
        <v/>
      </c>
      <c r="F960" s="5">
        <f t="shared" si="1"/>
        <v>0</v>
      </c>
      <c r="G960" s="16" t="str">
        <f>IF($A960="", "", IFERROR(VLOOKUP($A960, Stock_New!$A:$M, 5, FALSE), ""))</f>
        <v/>
      </c>
    </row>
    <row r="961" ht="22.5" customHeight="1">
      <c r="A961" s="11"/>
      <c r="B961" s="16" t="str">
        <f>IF(A961="","",IFERROR(VLOOKUP(A961, Stock_New!A:M, 2, FALSE),""))</f>
        <v/>
      </c>
      <c r="C961" s="16" t="str">
        <f>IF(A961="","",IFERROR(VLOOKUP(A961, Stock_New!A:M, 3, FALSE),""))</f>
        <v/>
      </c>
      <c r="D961" s="16"/>
      <c r="E961" s="16" t="str">
        <f>IF($A961="", "", IFERROR(VLOOKUP($A961, Stock_New!$A:$M, 4, FALSE), ""))</f>
        <v/>
      </c>
      <c r="F961" s="5">
        <f t="shared" si="1"/>
        <v>0</v>
      </c>
      <c r="G961" s="16" t="str">
        <f>IF($A961="", "", IFERROR(VLOOKUP($A961, Stock_New!$A:$M, 5, FALSE), ""))</f>
        <v/>
      </c>
    </row>
    <row r="962" ht="22.5" customHeight="1">
      <c r="A962" s="11"/>
      <c r="B962" s="16" t="str">
        <f>IF(A962="","",IFERROR(VLOOKUP(A962, Stock_New!A:M, 2, FALSE),""))</f>
        <v/>
      </c>
      <c r="C962" s="16" t="str">
        <f>IF(A962="","",IFERROR(VLOOKUP(A962, Stock_New!A:M, 3, FALSE),""))</f>
        <v/>
      </c>
      <c r="D962" s="16"/>
      <c r="E962" s="16" t="str">
        <f>IF($A962="", "", IFERROR(VLOOKUP($A962, Stock_New!$A:$M, 4, FALSE), ""))</f>
        <v/>
      </c>
      <c r="F962" s="5">
        <f t="shared" si="1"/>
        <v>0</v>
      </c>
      <c r="G962" s="16" t="str">
        <f>IF($A962="", "", IFERROR(VLOOKUP($A962, Stock_New!$A:$M, 5, FALSE), ""))</f>
        <v/>
      </c>
    </row>
    <row r="963" ht="22.5" customHeight="1">
      <c r="A963" s="11"/>
      <c r="B963" s="16" t="str">
        <f>IF(A963="","",IFERROR(VLOOKUP(A963, Stock_New!A:M, 2, FALSE),""))</f>
        <v/>
      </c>
      <c r="C963" s="16" t="str">
        <f>IF(A963="","",IFERROR(VLOOKUP(A963, Stock_New!A:M, 3, FALSE),""))</f>
        <v/>
      </c>
      <c r="D963" s="16"/>
      <c r="E963" s="16" t="str">
        <f>IF($A963="", "", IFERROR(VLOOKUP($A963, Stock_New!$A:$M, 4, FALSE), ""))</f>
        <v/>
      </c>
      <c r="F963" s="5">
        <f t="shared" si="1"/>
        <v>0</v>
      </c>
      <c r="G963" s="16" t="str">
        <f>IF($A963="", "", IFERROR(VLOOKUP($A963, Stock_New!$A:$M, 5, FALSE), ""))</f>
        <v/>
      </c>
    </row>
    <row r="964" ht="22.5" customHeight="1">
      <c r="A964" s="11"/>
      <c r="B964" s="16" t="str">
        <f>IF(A964="","",IFERROR(VLOOKUP(A964, Stock_New!A:M, 2, FALSE),""))</f>
        <v/>
      </c>
      <c r="C964" s="16" t="str">
        <f>IF(A964="","",IFERROR(VLOOKUP(A964, Stock_New!A:M, 3, FALSE),""))</f>
        <v/>
      </c>
      <c r="D964" s="16"/>
      <c r="E964" s="16" t="str">
        <f>IF($A964="", "", IFERROR(VLOOKUP($A964, Stock_New!$A:$M, 4, FALSE), ""))</f>
        <v/>
      </c>
      <c r="F964" s="5">
        <f t="shared" si="1"/>
        <v>0</v>
      </c>
      <c r="G964" s="16" t="str">
        <f>IF($A964="", "", IFERROR(VLOOKUP($A964, Stock_New!$A:$M, 5, FALSE), ""))</f>
        <v/>
      </c>
    </row>
    <row r="965" ht="22.5" customHeight="1">
      <c r="A965" s="11"/>
      <c r="B965" s="16" t="str">
        <f>IF(A965="","",IFERROR(VLOOKUP(A965, Stock_New!A:M, 2, FALSE),""))</f>
        <v/>
      </c>
      <c r="C965" s="16" t="str">
        <f>IF(A965="","",IFERROR(VLOOKUP(A965, Stock_New!A:M, 3, FALSE),""))</f>
        <v/>
      </c>
      <c r="D965" s="16"/>
      <c r="E965" s="16" t="str">
        <f>IF($A965="", "", IFERROR(VLOOKUP($A965, Stock_New!$A:$M, 4, FALSE), ""))</f>
        <v/>
      </c>
      <c r="F965" s="5">
        <f t="shared" si="1"/>
        <v>0</v>
      </c>
      <c r="G965" s="16" t="str">
        <f>IF($A965="", "", IFERROR(VLOOKUP($A965, Stock_New!$A:$M, 5, FALSE), ""))</f>
        <v/>
      </c>
    </row>
    <row r="966" ht="22.5" customHeight="1">
      <c r="A966" s="11"/>
      <c r="B966" s="16" t="str">
        <f>IF(A966="","",IFERROR(VLOOKUP(A966, Stock_New!A:M, 2, FALSE),""))</f>
        <v/>
      </c>
      <c r="C966" s="16" t="str">
        <f>IF(A966="","",IFERROR(VLOOKUP(A966, Stock_New!A:M, 3, FALSE),""))</f>
        <v/>
      </c>
      <c r="D966" s="16"/>
      <c r="E966" s="16" t="str">
        <f>IF($A966="", "", IFERROR(VLOOKUP($A966, Stock_New!$A:$M, 4, FALSE), ""))</f>
        <v/>
      </c>
      <c r="F966" s="5">
        <f t="shared" si="1"/>
        <v>0</v>
      </c>
      <c r="G966" s="16" t="str">
        <f>IF($A966="", "", IFERROR(VLOOKUP($A966, Stock_New!$A:$M, 5, FALSE), ""))</f>
        <v/>
      </c>
    </row>
    <row r="967" ht="22.5" customHeight="1">
      <c r="A967" s="11"/>
      <c r="B967" s="16" t="str">
        <f>IF(A967="","",IFERROR(VLOOKUP(A967, Stock_New!A:M, 2, FALSE),""))</f>
        <v/>
      </c>
      <c r="C967" s="16" t="str">
        <f>IF(A967="","",IFERROR(VLOOKUP(A967, Stock_New!A:M, 3, FALSE),""))</f>
        <v/>
      </c>
      <c r="D967" s="16"/>
      <c r="E967" s="16" t="str">
        <f>IF($A967="", "", IFERROR(VLOOKUP($A967, Stock_New!$A:$M, 4, FALSE), ""))</f>
        <v/>
      </c>
      <c r="F967" s="5">
        <f t="shared" si="1"/>
        <v>0</v>
      </c>
      <c r="G967" s="16" t="str">
        <f>IF($A967="", "", IFERROR(VLOOKUP($A967, Stock_New!$A:$M, 5, FALSE), ""))</f>
        <v/>
      </c>
    </row>
    <row r="968" ht="22.5" customHeight="1">
      <c r="A968" s="11"/>
      <c r="B968" s="16" t="str">
        <f>IF(A968="","",IFERROR(VLOOKUP(A968, Stock_New!A:M, 2, FALSE),""))</f>
        <v/>
      </c>
      <c r="C968" s="16" t="str">
        <f>IF(A968="","",IFERROR(VLOOKUP(A968, Stock_New!A:M, 3, FALSE),""))</f>
        <v/>
      </c>
      <c r="D968" s="16"/>
      <c r="E968" s="16" t="str">
        <f>IF($A968="", "", IFERROR(VLOOKUP($A968, Stock_New!$A:$M, 4, FALSE), ""))</f>
        <v/>
      </c>
      <c r="F968" s="5">
        <f t="shared" si="1"/>
        <v>0</v>
      </c>
      <c r="G968" s="16" t="str">
        <f>IF($A968="", "", IFERROR(VLOOKUP($A968, Stock_New!$A:$M, 5, FALSE), ""))</f>
        <v/>
      </c>
    </row>
    <row r="969" ht="22.5" customHeight="1">
      <c r="A969" s="11"/>
      <c r="B969" s="16" t="str">
        <f>IF(A969="","",IFERROR(VLOOKUP(A969, Stock_New!A:M, 2, FALSE),""))</f>
        <v/>
      </c>
      <c r="C969" s="16" t="str">
        <f>IF(A969="","",IFERROR(VLOOKUP(A969, Stock_New!A:M, 3, FALSE),""))</f>
        <v/>
      </c>
      <c r="D969" s="16"/>
      <c r="E969" s="16" t="str">
        <f>IF($A969="", "", IFERROR(VLOOKUP($A969, Stock_New!$A:$M, 4, FALSE), ""))</f>
        <v/>
      </c>
      <c r="F969" s="5">
        <f t="shared" si="1"/>
        <v>0</v>
      </c>
      <c r="G969" s="16" t="str">
        <f>IF($A969="", "", IFERROR(VLOOKUP($A969, Stock_New!$A:$M, 5, FALSE), ""))</f>
        <v/>
      </c>
    </row>
    <row r="970" ht="22.5" customHeight="1">
      <c r="A970" s="11"/>
      <c r="B970" s="16" t="str">
        <f>IF(A970="","",IFERROR(VLOOKUP(A970, Stock_New!A:M, 2, FALSE),""))</f>
        <v/>
      </c>
      <c r="C970" s="16" t="str">
        <f>IF(A970="","",IFERROR(VLOOKUP(A970, Stock_New!A:M, 3, FALSE),""))</f>
        <v/>
      </c>
      <c r="D970" s="16"/>
      <c r="E970" s="16" t="str">
        <f>IF($A970="", "", IFERROR(VLOOKUP($A970, Stock_New!$A:$M, 4, FALSE), ""))</f>
        <v/>
      </c>
      <c r="F970" s="5">
        <f t="shared" si="1"/>
        <v>0</v>
      </c>
      <c r="G970" s="16" t="str">
        <f>IF($A970="", "", IFERROR(VLOOKUP($A970, Stock_New!$A:$M, 5, FALSE), ""))</f>
        <v/>
      </c>
    </row>
    <row r="971" ht="22.5" customHeight="1">
      <c r="A971" s="11"/>
      <c r="B971" s="16" t="str">
        <f>IF(A971="","",IFERROR(VLOOKUP(A971, Stock_New!A:M, 2, FALSE),""))</f>
        <v/>
      </c>
      <c r="C971" s="16" t="str">
        <f>IF(A971="","",IFERROR(VLOOKUP(A971, Stock_New!A:M, 3, FALSE),""))</f>
        <v/>
      </c>
      <c r="D971" s="16"/>
      <c r="E971" s="16" t="str">
        <f>IF($A971="", "", IFERROR(VLOOKUP($A971, Stock_New!$A:$M, 4, FALSE), ""))</f>
        <v/>
      </c>
      <c r="F971" s="5">
        <f t="shared" si="1"/>
        <v>0</v>
      </c>
      <c r="G971" s="16" t="str">
        <f>IF($A971="", "", IFERROR(VLOOKUP($A971, Stock_New!$A:$M, 5, FALSE), ""))</f>
        <v/>
      </c>
    </row>
    <row r="972" ht="22.5" customHeight="1">
      <c r="A972" s="11"/>
      <c r="B972" s="16" t="str">
        <f>IF(A972="","",IFERROR(VLOOKUP(A972, Stock_New!A:M, 2, FALSE),""))</f>
        <v/>
      </c>
      <c r="C972" s="16" t="str">
        <f>IF(A972="","",IFERROR(VLOOKUP(A972, Stock_New!A:M, 3, FALSE),""))</f>
        <v/>
      </c>
      <c r="D972" s="16"/>
      <c r="E972" s="16" t="str">
        <f>IF($A972="", "", IFERROR(VLOOKUP($A972, Stock_New!$A:$M, 4, FALSE), ""))</f>
        <v/>
      </c>
      <c r="F972" s="5">
        <f t="shared" si="1"/>
        <v>0</v>
      </c>
      <c r="G972" s="16" t="str">
        <f>IF($A972="", "", IFERROR(VLOOKUP($A972, Stock_New!$A:$M, 5, FALSE), ""))</f>
        <v/>
      </c>
    </row>
    <row r="973" ht="22.5" customHeight="1">
      <c r="A973" s="11"/>
      <c r="B973" s="16" t="str">
        <f>IF(A973="","",IFERROR(VLOOKUP(A973, Stock_New!A:M, 2, FALSE),""))</f>
        <v/>
      </c>
      <c r="C973" s="16" t="str">
        <f>IF(A973="","",IFERROR(VLOOKUP(A973, Stock_New!A:M, 3, FALSE),""))</f>
        <v/>
      </c>
      <c r="D973" s="16"/>
      <c r="E973" s="16" t="str">
        <f>IF($A973="", "", IFERROR(VLOOKUP($A973, Stock_New!$A:$M, 4, FALSE), ""))</f>
        <v/>
      </c>
      <c r="F973" s="5">
        <f t="shared" si="1"/>
        <v>0</v>
      </c>
      <c r="G973" s="16" t="str">
        <f>IF($A973="", "", IFERROR(VLOOKUP($A973, Stock_New!$A:$M, 5, FALSE), ""))</f>
        <v/>
      </c>
    </row>
    <row r="974" ht="22.5" customHeight="1">
      <c r="A974" s="11"/>
      <c r="B974" s="16" t="str">
        <f>IF(A974="","",IFERROR(VLOOKUP(A974, Stock_New!A:M, 2, FALSE),""))</f>
        <v/>
      </c>
      <c r="C974" s="16" t="str">
        <f>IF(A974="","",IFERROR(VLOOKUP(A974, Stock_New!A:M, 3, FALSE),""))</f>
        <v/>
      </c>
      <c r="D974" s="16"/>
      <c r="E974" s="16" t="str">
        <f>IF($A974="", "", IFERROR(VLOOKUP($A974, Stock_New!$A:$M, 4, FALSE), ""))</f>
        <v/>
      </c>
      <c r="F974" s="5">
        <f t="shared" si="1"/>
        <v>0</v>
      </c>
      <c r="G974" s="16" t="str">
        <f>IF($A974="", "", IFERROR(VLOOKUP($A974, Stock_New!$A:$M, 5, FALSE), ""))</f>
        <v/>
      </c>
    </row>
    <row r="975" ht="22.5" customHeight="1">
      <c r="A975" s="11"/>
      <c r="B975" s="16" t="str">
        <f>IF(A975="","",IFERROR(VLOOKUP(A975, Stock_New!A:M, 2, FALSE),""))</f>
        <v/>
      </c>
      <c r="C975" s="16" t="str">
        <f>IF(A975="","",IFERROR(VLOOKUP(A975, Stock_New!A:M, 3, FALSE),""))</f>
        <v/>
      </c>
      <c r="D975" s="16"/>
      <c r="E975" s="16" t="str">
        <f>IF($A975="", "", IFERROR(VLOOKUP($A975, Stock_New!$A:$M, 4, FALSE), ""))</f>
        <v/>
      </c>
      <c r="F975" s="5">
        <f t="shared" si="1"/>
        <v>0</v>
      </c>
      <c r="G975" s="16" t="str">
        <f>IF($A975="", "", IFERROR(VLOOKUP($A975, Stock_New!$A:$M, 5, FALSE), ""))</f>
        <v/>
      </c>
    </row>
    <row r="976" ht="22.5" customHeight="1">
      <c r="A976" s="11"/>
      <c r="B976" s="16" t="str">
        <f>IF(A976="","",IFERROR(VLOOKUP(A976, Stock_New!A:M, 2, FALSE),""))</f>
        <v/>
      </c>
      <c r="C976" s="16" t="str">
        <f>IF(A976="","",IFERROR(VLOOKUP(A976, Stock_New!A:M, 3, FALSE),""))</f>
        <v/>
      </c>
      <c r="D976" s="16"/>
      <c r="E976" s="16" t="str">
        <f>IF($A976="", "", IFERROR(VLOOKUP($A976, Stock_New!$A:$M, 4, FALSE), ""))</f>
        <v/>
      </c>
      <c r="F976" s="5">
        <f t="shared" si="1"/>
        <v>0</v>
      </c>
      <c r="G976" s="16" t="str">
        <f>IF($A976="", "", IFERROR(VLOOKUP($A976, Stock_New!$A:$M, 5, FALSE), ""))</f>
        <v/>
      </c>
    </row>
    <row r="977" ht="22.5" customHeight="1">
      <c r="A977" s="11"/>
      <c r="B977" s="16" t="str">
        <f>IF(A977="","",IFERROR(VLOOKUP(A977, Stock_New!A:M, 2, FALSE),""))</f>
        <v/>
      </c>
      <c r="C977" s="16" t="str">
        <f>IF(A977="","",IFERROR(VLOOKUP(A977, Stock_New!A:M, 3, FALSE),""))</f>
        <v/>
      </c>
      <c r="D977" s="16"/>
      <c r="E977" s="16" t="str">
        <f>IF($A977="", "", IFERROR(VLOOKUP($A977, Stock_New!$A:$M, 4, FALSE), ""))</f>
        <v/>
      </c>
      <c r="F977" s="5">
        <f t="shared" si="1"/>
        <v>0</v>
      </c>
      <c r="G977" s="16" t="str">
        <f>IF($A977="", "", IFERROR(VLOOKUP($A977, Stock_New!$A:$M, 5, FALSE), ""))</f>
        <v/>
      </c>
    </row>
    <row r="978" ht="22.5" customHeight="1">
      <c r="A978" s="11"/>
      <c r="B978" s="16" t="str">
        <f>IF(A978="","",IFERROR(VLOOKUP(A978, Stock_New!A:M, 2, FALSE),""))</f>
        <v/>
      </c>
      <c r="C978" s="16" t="str">
        <f>IF(A978="","",IFERROR(VLOOKUP(A978, Stock_New!A:M, 3, FALSE),""))</f>
        <v/>
      </c>
      <c r="D978" s="16"/>
      <c r="E978" s="16" t="str">
        <f>IF($A978="", "", IFERROR(VLOOKUP($A978, Stock_New!$A:$M, 4, FALSE), ""))</f>
        <v/>
      </c>
      <c r="F978" s="5">
        <f t="shared" si="1"/>
        <v>0</v>
      </c>
      <c r="G978" s="16" t="str">
        <f>IF($A978="", "", IFERROR(VLOOKUP($A978, Stock_New!$A:$M, 5, FALSE), ""))</f>
        <v/>
      </c>
    </row>
    <row r="979" ht="22.5" customHeight="1">
      <c r="A979" s="11"/>
      <c r="B979" s="16" t="str">
        <f>IF(A979="","",IFERROR(VLOOKUP(A979, Stock_New!A:M, 2, FALSE),""))</f>
        <v/>
      </c>
      <c r="C979" s="16" t="str">
        <f>IF(A979="","",IFERROR(VLOOKUP(A979, Stock_New!A:M, 3, FALSE),""))</f>
        <v/>
      </c>
      <c r="D979" s="16"/>
      <c r="E979" s="16" t="str">
        <f>IF($A979="", "", IFERROR(VLOOKUP($A979, Stock_New!$A:$M, 4, FALSE), ""))</f>
        <v/>
      </c>
      <c r="F979" s="5">
        <f t="shared" si="1"/>
        <v>0</v>
      </c>
      <c r="G979" s="16" t="str">
        <f>IF($A979="", "", IFERROR(VLOOKUP($A979, Stock_New!$A:$M, 5, FALSE), ""))</f>
        <v/>
      </c>
    </row>
    <row r="980" ht="22.5" customHeight="1">
      <c r="A980" s="11"/>
      <c r="B980" s="16" t="str">
        <f>IF(A980="","",IFERROR(VLOOKUP(A980, Stock_New!A:M, 2, FALSE),""))</f>
        <v/>
      </c>
      <c r="C980" s="16" t="str">
        <f>IF(A980="","",IFERROR(VLOOKUP(A980, Stock_New!A:M, 3, FALSE),""))</f>
        <v/>
      </c>
      <c r="D980" s="16"/>
      <c r="E980" s="16" t="str">
        <f>IF($A980="", "", IFERROR(VLOOKUP($A980, Stock_New!$A:$M, 4, FALSE), ""))</f>
        <v/>
      </c>
      <c r="F980" s="5">
        <f t="shared" si="1"/>
        <v>0</v>
      </c>
      <c r="G980" s="16" t="str">
        <f>IF($A980="", "", IFERROR(VLOOKUP($A980, Stock_New!$A:$M, 5, FALSE), ""))</f>
        <v/>
      </c>
    </row>
    <row r="981" ht="22.5" customHeight="1">
      <c r="A981" s="11"/>
      <c r="B981" s="16" t="str">
        <f>IF(A981="","",IFERROR(VLOOKUP(A981, Stock_New!A:M, 2, FALSE),""))</f>
        <v/>
      </c>
      <c r="C981" s="16" t="str">
        <f>IF(A981="","",IFERROR(VLOOKUP(A981, Stock_New!A:M, 3, FALSE),""))</f>
        <v/>
      </c>
      <c r="D981" s="16"/>
      <c r="E981" s="16" t="str">
        <f>IF($A981="", "", IFERROR(VLOOKUP($A981, Stock_New!$A:$M, 4, FALSE), ""))</f>
        <v/>
      </c>
      <c r="F981" s="5">
        <f t="shared" si="1"/>
        <v>0</v>
      </c>
      <c r="G981" s="16" t="str">
        <f>IF($A981="", "", IFERROR(VLOOKUP($A981, Stock_New!$A:$M, 5, FALSE), ""))</f>
        <v/>
      </c>
    </row>
    <row r="982" ht="22.5" customHeight="1">
      <c r="A982" s="11"/>
      <c r="B982" s="16" t="str">
        <f>IF(A982="","",IFERROR(VLOOKUP(A982, Stock_New!A:M, 2, FALSE),""))</f>
        <v/>
      </c>
      <c r="C982" s="16" t="str">
        <f>IF(A982="","",IFERROR(VLOOKUP(A982, Stock_New!A:M, 3, FALSE),""))</f>
        <v/>
      </c>
      <c r="D982" s="16"/>
      <c r="E982" s="16" t="str">
        <f>IF($A982="", "", IFERROR(VLOOKUP($A982, Stock_New!$A:$M, 4, FALSE), ""))</f>
        <v/>
      </c>
      <c r="F982" s="5">
        <f t="shared" si="1"/>
        <v>0</v>
      </c>
      <c r="G982" s="16" t="str">
        <f>IF($A982="", "", IFERROR(VLOOKUP($A982, Stock_New!$A:$M, 5, FALSE), ""))</f>
        <v/>
      </c>
    </row>
    <row r="983" ht="22.5" customHeight="1">
      <c r="A983" s="11"/>
      <c r="B983" s="16" t="str">
        <f>IF(A983="","",IFERROR(VLOOKUP(A983, Stock_New!A:M, 2, FALSE),""))</f>
        <v/>
      </c>
      <c r="C983" s="16" t="str">
        <f>IF(A983="","",IFERROR(VLOOKUP(A983, Stock_New!A:M, 3, FALSE),""))</f>
        <v/>
      </c>
      <c r="D983" s="16"/>
      <c r="E983" s="16" t="str">
        <f>IF($A983="", "", IFERROR(VLOOKUP($A983, Stock_New!$A:$M, 4, FALSE), ""))</f>
        <v/>
      </c>
      <c r="F983" s="5">
        <f t="shared" si="1"/>
        <v>0</v>
      </c>
      <c r="G983" s="16" t="str">
        <f>IF($A983="", "", IFERROR(VLOOKUP($A983, Stock_New!$A:$M, 5, FALSE), ""))</f>
        <v/>
      </c>
    </row>
    <row r="984" ht="22.5" customHeight="1">
      <c r="A984" s="11"/>
      <c r="B984" s="16" t="str">
        <f>IF(A984="","",IFERROR(VLOOKUP(A984, Stock_New!A:M, 2, FALSE),""))</f>
        <v/>
      </c>
      <c r="C984" s="16" t="str">
        <f>IF(A984="","",IFERROR(VLOOKUP(A984, Stock_New!A:M, 3, FALSE),""))</f>
        <v/>
      </c>
      <c r="D984" s="16"/>
      <c r="E984" s="16" t="str">
        <f>IF($A984="", "", IFERROR(VLOOKUP($A984, Stock_New!$A:$M, 4, FALSE), ""))</f>
        <v/>
      </c>
      <c r="F984" s="5">
        <f t="shared" si="1"/>
        <v>0</v>
      </c>
      <c r="G984" s="16" t="str">
        <f>IF($A984="", "", IFERROR(VLOOKUP($A984, Stock_New!$A:$M, 5, FALSE), ""))</f>
        <v/>
      </c>
    </row>
    <row r="985" ht="22.5" customHeight="1">
      <c r="A985" s="11"/>
      <c r="B985" s="16" t="str">
        <f>IF(A985="","",IFERROR(VLOOKUP(A985, Stock_New!A:M, 2, FALSE),""))</f>
        <v/>
      </c>
      <c r="C985" s="16" t="str">
        <f>IF(A985="","",IFERROR(VLOOKUP(A985, Stock_New!A:M, 3, FALSE),""))</f>
        <v/>
      </c>
      <c r="D985" s="16"/>
      <c r="E985" s="16" t="str">
        <f>IF($A985="", "", IFERROR(VLOOKUP($A985, Stock_New!$A:$M, 4, FALSE), ""))</f>
        <v/>
      </c>
      <c r="F985" s="5">
        <f t="shared" si="1"/>
        <v>0</v>
      </c>
      <c r="G985" s="16" t="str">
        <f>IF($A985="", "", IFERROR(VLOOKUP($A985, Stock_New!$A:$M, 5, FALSE), ""))</f>
        <v/>
      </c>
    </row>
    <row r="986" ht="22.5" customHeight="1">
      <c r="A986" s="11"/>
      <c r="B986" s="16" t="str">
        <f>IF(A986="","",IFERROR(VLOOKUP(A986, Stock_New!A:M, 2, FALSE),""))</f>
        <v/>
      </c>
      <c r="C986" s="16" t="str">
        <f>IF(A986="","",IFERROR(VLOOKUP(A986, Stock_New!A:M, 3, FALSE),""))</f>
        <v/>
      </c>
      <c r="D986" s="16"/>
      <c r="E986" s="16" t="str">
        <f>IF($A986="", "", IFERROR(VLOOKUP($A986, Stock_New!$A:$M, 4, FALSE), ""))</f>
        <v/>
      </c>
      <c r="F986" s="5">
        <f t="shared" si="1"/>
        <v>0</v>
      </c>
      <c r="G986" s="16" t="str">
        <f>IF($A986="", "", IFERROR(VLOOKUP($A986, Stock_New!$A:$M, 5, FALSE), ""))</f>
        <v/>
      </c>
    </row>
    <row r="987" ht="22.5" customHeight="1">
      <c r="A987" s="11"/>
      <c r="B987" s="16" t="str">
        <f>IF(A987="","",IFERROR(VLOOKUP(A987, Stock_New!A:M, 2, FALSE),""))</f>
        <v/>
      </c>
      <c r="C987" s="16" t="str">
        <f>IF(A987="","",IFERROR(VLOOKUP(A987, Stock_New!A:M, 3, FALSE),""))</f>
        <v/>
      </c>
      <c r="D987" s="16"/>
      <c r="E987" s="16" t="str">
        <f>IF($A987="", "", IFERROR(VLOOKUP($A987, Stock_New!$A:$M, 4, FALSE), ""))</f>
        <v/>
      </c>
      <c r="F987" s="5">
        <f t="shared" si="1"/>
        <v>0</v>
      </c>
      <c r="G987" s="16" t="str">
        <f>IF($A987="", "", IFERROR(VLOOKUP($A987, Stock_New!$A:$M, 5, FALSE), ""))</f>
        <v/>
      </c>
    </row>
    <row r="988" ht="22.5" customHeight="1">
      <c r="A988" s="11"/>
      <c r="B988" s="16" t="str">
        <f>IF(A988="","",IFERROR(VLOOKUP(A988, Stock_New!A:M, 2, FALSE),""))</f>
        <v/>
      </c>
      <c r="C988" s="16" t="str">
        <f>IF(A988="","",IFERROR(VLOOKUP(A988, Stock_New!A:M, 3, FALSE),""))</f>
        <v/>
      </c>
      <c r="D988" s="16"/>
      <c r="E988" s="16" t="str">
        <f>IF($A988="", "", IFERROR(VLOOKUP($A988, Stock_New!$A:$M, 4, FALSE), ""))</f>
        <v/>
      </c>
      <c r="F988" s="5">
        <f t="shared" si="1"/>
        <v>0</v>
      </c>
      <c r="G988" s="16" t="str">
        <f>IF($A988="", "", IFERROR(VLOOKUP($A988, Stock_New!$A:$M, 5, FALSE), ""))</f>
        <v/>
      </c>
    </row>
    <row r="989" ht="22.5" customHeight="1">
      <c r="A989" s="11"/>
      <c r="B989" s="16" t="str">
        <f>IF(A989="","",IFERROR(VLOOKUP(A989, Stock_New!A:M, 2, FALSE),""))</f>
        <v/>
      </c>
      <c r="C989" s="16" t="str">
        <f>IF(A989="","",IFERROR(VLOOKUP(A989, Stock_New!A:M, 3, FALSE),""))</f>
        <v/>
      </c>
      <c r="D989" s="16"/>
      <c r="E989" s="16" t="str">
        <f>IF($A989="", "", IFERROR(VLOOKUP($A989, Stock_New!$A:$M, 4, FALSE), ""))</f>
        <v/>
      </c>
      <c r="F989" s="5">
        <f t="shared" si="1"/>
        <v>0</v>
      </c>
      <c r="G989" s="16" t="str">
        <f>IF($A989="", "", IFERROR(VLOOKUP($A989, Stock_New!$A:$M, 5, FALSE), ""))</f>
        <v/>
      </c>
    </row>
    <row r="990" ht="22.5" customHeight="1">
      <c r="A990" s="11"/>
      <c r="B990" s="16" t="str">
        <f>IF(A990="","",IFERROR(VLOOKUP(A990, Stock_New!A:M, 2, FALSE),""))</f>
        <v/>
      </c>
      <c r="C990" s="16" t="str">
        <f>IF(A990="","",IFERROR(VLOOKUP(A990, Stock_New!A:M, 3, FALSE),""))</f>
        <v/>
      </c>
      <c r="D990" s="16"/>
      <c r="E990" s="16" t="str">
        <f>IF($A990="", "", IFERROR(VLOOKUP($A990, Stock_New!$A:$M, 4, FALSE), ""))</f>
        <v/>
      </c>
      <c r="F990" s="5">
        <f t="shared" si="1"/>
        <v>0</v>
      </c>
      <c r="G990" s="16" t="str">
        <f>IF($A990="", "", IFERROR(VLOOKUP($A990, Stock_New!$A:$M, 5, FALSE), ""))</f>
        <v/>
      </c>
    </row>
    <row r="991" ht="22.5" customHeight="1">
      <c r="A991" s="11"/>
      <c r="B991" s="16" t="str">
        <f>IF(A991="","",IFERROR(VLOOKUP(A991, Stock_New!A:M, 2, FALSE),""))</f>
        <v/>
      </c>
      <c r="C991" s="16" t="str">
        <f>IF(A991="","",IFERROR(VLOOKUP(A991, Stock_New!A:M, 3, FALSE),""))</f>
        <v/>
      </c>
      <c r="D991" s="16"/>
      <c r="E991" s="16" t="str">
        <f>IF($A991="", "", IFERROR(VLOOKUP($A991, Stock_New!$A:$M, 4, FALSE), ""))</f>
        <v/>
      </c>
      <c r="F991" s="5">
        <f t="shared" si="1"/>
        <v>0</v>
      </c>
      <c r="G991" s="16" t="str">
        <f>IF($A991="", "", IFERROR(VLOOKUP($A991, Stock_New!$A:$M, 5, FALSE), ""))</f>
        <v/>
      </c>
    </row>
    <row r="992" ht="22.5" customHeight="1">
      <c r="A992" s="11"/>
      <c r="B992" s="16" t="str">
        <f>IF(A992="","",IFERROR(VLOOKUP(A992, Stock_New!A:M, 2, FALSE),""))</f>
        <v/>
      </c>
      <c r="C992" s="16" t="str">
        <f>IF(A992="","",IFERROR(VLOOKUP(A992, Stock_New!A:M, 3, FALSE),""))</f>
        <v/>
      </c>
      <c r="D992" s="16"/>
      <c r="E992" s="16" t="str">
        <f>IF($A992="", "", IFERROR(VLOOKUP($A992, Stock_New!$A:$M, 4, FALSE), ""))</f>
        <v/>
      </c>
      <c r="F992" s="5">
        <f t="shared" si="1"/>
        <v>0</v>
      </c>
      <c r="G992" s="16" t="str">
        <f>IF($A992="", "", IFERROR(VLOOKUP($A992, Stock_New!$A:$M, 5, FALSE), ""))</f>
        <v/>
      </c>
    </row>
  </sheetData>
  <conditionalFormatting sqref="D1">
    <cfRule type="colorScale" priority="1">
      <colorScale>
        <cfvo type="formula" val="0"/>
        <cfvo type="formula" val="5"/>
        <cfvo type="max"/>
        <color rgb="FFE67C73"/>
        <color rgb="FFFFFFFF"/>
        <color rgb="FF57BB8A"/>
      </colorScale>
    </cfRule>
  </conditionalFormatting>
  <dataValidations>
    <dataValidation type="list" allowBlank="1" showDropDown="1" sqref="A2:A253 J256 J258:J259 J261 A255:A992">
      <formula1>Stock_New!$A:$A</formula1>
    </dataValidation>
  </dataValidations>
  <drawing ns1:id="rId1"/>
  <tableParts count="1">
    <tablePart ns1:id="rId3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>
        <v>-350503.0</v>
      </c>
    </row>
    <row r="2">
      <c r="A2" s="1" t="s">
        <v>1</v>
      </c>
      <c r="B2" s="3">
        <f>24153</f>
        <v>24153</v>
      </c>
    </row>
    <row r="3">
      <c r="A3" s="1" t="s">
        <v>2</v>
      </c>
      <c r="B3" s="3">
        <f>37800</f>
        <v>37800</v>
      </c>
    </row>
    <row r="4">
      <c r="A4" s="1" t="s">
        <v>3</v>
      </c>
      <c r="B4" s="2">
        <v>64000.0</v>
      </c>
    </row>
    <row r="5">
      <c r="A5" s="1" t="s">
        <v>4</v>
      </c>
      <c r="B5" s="3">
        <f>sum('جرد 2026'!F:F)+12000+18240+8680+2000+16050</f>
        <v>236155.619</v>
      </c>
    </row>
    <row r="6">
      <c r="B6" s="3">
        <f>SUM(B1:B5)</f>
        <v>11605.61905</v>
      </c>
      <c r="C6" s="2">
        <f>16500+10000+1700+12000</f>
        <v>40200</v>
      </c>
      <c r="R6" s="2" t="s">
        <v>6</v>
      </c>
    </row>
    <row r="7">
      <c r="D7" s="3">
        <f>B5+C6</f>
        <v>276355.619</v>
      </c>
    </row>
    <row r="8">
      <c r="A8" s="1"/>
    </row>
    <row r="10">
      <c r="A10" s="1" t="s">
        <v>7</v>
      </c>
      <c r="C10" s="3">
        <f>B6-D7</f>
        <v>-264750</v>
      </c>
    </row>
  </sheetData>
  <drawing ns1:id="rId1"/>
</worksheet>
</file>

<file path=xl/worksheets/sheet5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4" max="4" width="19.5"/>
    <col customWidth="1" min="6" max="6" width="28.0"/>
    <col customWidth="1" min="7" max="7" width="14.75"/>
    <col customWidth="1" min="8" max="8" width="36.75"/>
    <col customWidth="1" min="9" max="9" width="13.0"/>
  </cols>
  <sheetData>
    <row r="1" ht="22.5" customHeight="1">
      <c r="A1" s="6" t="s">
        <v>53</v>
      </c>
      <c r="B1" s="6" t="s">
        <v>9</v>
      </c>
      <c r="C1" s="6" t="s">
        <v>57</v>
      </c>
      <c r="D1" s="6" t="s">
        <v>58</v>
      </c>
      <c r="E1" s="6" t="s">
        <v>11</v>
      </c>
      <c r="F1" s="20" t="s">
        <v>59</v>
      </c>
      <c r="G1" s="6" t="s">
        <v>61</v>
      </c>
      <c r="H1" s="6" t="s">
        <v>62</v>
      </c>
      <c r="I1" s="6" t="s">
        <v>63</v>
      </c>
      <c r="J1" s="6" t="s">
        <v>64</v>
      </c>
    </row>
    <row r="2" ht="22.5" customHeight="1">
      <c r="A2" s="21" t="s">
        <v>67</v>
      </c>
      <c r="B2" s="22" t="s">
        <v>68</v>
      </c>
      <c r="C2" s="23">
        <v>1.0</v>
      </c>
      <c r="D2" s="24">
        <v>725.0</v>
      </c>
      <c r="E2" s="23" t="s">
        <v>31</v>
      </c>
      <c r="F2" s="25">
        <v>45812.0</v>
      </c>
      <c r="G2" s="26" t="s">
        <v>72</v>
      </c>
      <c r="H2" s="27" t="s">
        <v>73</v>
      </c>
      <c r="I2" s="15"/>
      <c r="J2" s="15"/>
    </row>
    <row r="3" ht="22.5" customHeight="1">
      <c r="A3" s="28" t="s">
        <v>76</v>
      </c>
      <c r="B3" s="29" t="s">
        <v>68</v>
      </c>
      <c r="C3" s="29">
        <v>1.0</v>
      </c>
      <c r="D3" s="30">
        <v>415.0</v>
      </c>
      <c r="E3" s="29" t="s">
        <v>31</v>
      </c>
      <c r="F3" s="31">
        <v>45812.0</v>
      </c>
      <c r="G3" s="6" t="s">
        <v>72</v>
      </c>
      <c r="H3" s="6" t="s">
        <v>80</v>
      </c>
      <c r="I3" s="15"/>
      <c r="J3" s="15"/>
    </row>
    <row r="4" ht="22.5" customHeight="1">
      <c r="A4" s="32" t="s">
        <v>82</v>
      </c>
      <c r="B4" s="22" t="s">
        <v>68</v>
      </c>
      <c r="C4" s="22">
        <v>1.0</v>
      </c>
      <c r="D4" s="24">
        <v>325.0</v>
      </c>
      <c r="E4" s="22" t="s">
        <v>31</v>
      </c>
      <c r="F4" s="25">
        <v>45812.0</v>
      </c>
      <c r="G4" s="6" t="s">
        <v>72</v>
      </c>
      <c r="H4" s="6" t="s">
        <v>86</v>
      </c>
      <c r="I4" s="15"/>
      <c r="J4" s="15"/>
    </row>
    <row r="5" ht="22.5" customHeight="1">
      <c r="A5" s="28" t="s">
        <v>87</v>
      </c>
      <c r="B5" s="29" t="s">
        <v>68</v>
      </c>
      <c r="C5" s="29">
        <v>1.0</v>
      </c>
      <c r="D5" s="30">
        <v>300.0</v>
      </c>
      <c r="E5" s="29" t="s">
        <v>31</v>
      </c>
      <c r="F5" s="31">
        <v>45812.0</v>
      </c>
      <c r="G5" s="6" t="s">
        <v>72</v>
      </c>
      <c r="H5" s="6" t="s">
        <v>90</v>
      </c>
      <c r="I5" s="15"/>
      <c r="J5" s="15"/>
    </row>
    <row r="6" ht="22.5" customHeight="1">
      <c r="A6" s="32" t="s">
        <v>92</v>
      </c>
      <c r="B6" s="22" t="s">
        <v>93</v>
      </c>
      <c r="C6" s="22">
        <v>2.0</v>
      </c>
      <c r="D6" s="24">
        <v>295.0</v>
      </c>
      <c r="E6" s="22" t="s">
        <v>31</v>
      </c>
      <c r="F6" s="25">
        <v>45812.0</v>
      </c>
      <c r="G6" s="6" t="s">
        <v>72</v>
      </c>
      <c r="H6" s="6" t="s">
        <v>95</v>
      </c>
      <c r="I6" s="15"/>
      <c r="J6" s="15"/>
    </row>
    <row r="7" ht="22.5" customHeight="1">
      <c r="A7" s="28" t="s">
        <v>97</v>
      </c>
      <c r="B7" s="29" t="s">
        <v>93</v>
      </c>
      <c r="C7" s="29">
        <v>1.0</v>
      </c>
      <c r="D7" s="30">
        <v>200.0</v>
      </c>
      <c r="E7" s="29" t="s">
        <v>31</v>
      </c>
      <c r="F7" s="31">
        <v>45812.0</v>
      </c>
      <c r="G7" s="6" t="s">
        <v>72</v>
      </c>
      <c r="H7" s="6" t="s">
        <v>99</v>
      </c>
      <c r="I7" s="15"/>
      <c r="J7" s="15"/>
    </row>
    <row r="8" ht="22.5" customHeight="1">
      <c r="A8" s="32" t="s">
        <v>45</v>
      </c>
      <c r="B8" s="22" t="s">
        <v>68</v>
      </c>
      <c r="C8" s="22">
        <v>1.0</v>
      </c>
      <c r="D8" s="24">
        <v>185.0</v>
      </c>
      <c r="E8" s="22" t="s">
        <v>31</v>
      </c>
      <c r="F8" s="25">
        <v>45812.0</v>
      </c>
      <c r="G8" s="6" t="s">
        <v>72</v>
      </c>
      <c r="H8" s="6" t="s">
        <v>103</v>
      </c>
      <c r="I8" s="15"/>
      <c r="J8" s="15"/>
    </row>
    <row r="9" ht="22.5" customHeight="1">
      <c r="A9" s="28" t="s">
        <v>104</v>
      </c>
      <c r="B9" s="29" t="s">
        <v>68</v>
      </c>
      <c r="C9" s="29">
        <v>2.0</v>
      </c>
      <c r="D9" s="30">
        <v>180.0</v>
      </c>
      <c r="E9" s="29" t="s">
        <v>31</v>
      </c>
      <c r="F9" s="31">
        <v>45812.0</v>
      </c>
      <c r="G9" s="6" t="s">
        <v>72</v>
      </c>
      <c r="H9" s="6" t="s">
        <v>107</v>
      </c>
      <c r="I9" s="15"/>
      <c r="J9" s="15"/>
    </row>
    <row r="10" ht="22.5" customHeight="1">
      <c r="A10" s="32" t="s">
        <v>109</v>
      </c>
      <c r="B10" s="22" t="s">
        <v>68</v>
      </c>
      <c r="C10" s="22">
        <v>3.0</v>
      </c>
      <c r="D10" s="24">
        <v>180.0</v>
      </c>
      <c r="E10" s="22" t="s">
        <v>31</v>
      </c>
      <c r="F10" s="25">
        <v>45812.0</v>
      </c>
      <c r="G10" s="6" t="s">
        <v>72</v>
      </c>
      <c r="H10" s="6" t="s">
        <v>113</v>
      </c>
      <c r="I10" s="15"/>
      <c r="J10" s="15"/>
    </row>
    <row r="11" ht="22.5" customHeight="1">
      <c r="A11" s="28" t="s">
        <v>89</v>
      </c>
      <c r="B11" s="29" t="s">
        <v>68</v>
      </c>
      <c r="C11" s="29">
        <v>1.0</v>
      </c>
      <c r="D11" s="30">
        <v>175.0</v>
      </c>
      <c r="E11" s="29" t="s">
        <v>31</v>
      </c>
      <c r="F11" s="31">
        <v>45812.0</v>
      </c>
      <c r="G11" s="6" t="s">
        <v>72</v>
      </c>
      <c r="H11" s="6" t="s">
        <v>115</v>
      </c>
      <c r="I11" s="15"/>
      <c r="J11" s="15"/>
    </row>
    <row r="12" ht="22.5" customHeight="1">
      <c r="A12" s="32" t="s">
        <v>121</v>
      </c>
      <c r="B12" s="22" t="s">
        <v>68</v>
      </c>
      <c r="C12" s="22">
        <v>4.0</v>
      </c>
      <c r="D12" s="24">
        <v>175.0</v>
      </c>
      <c r="E12" s="22" t="s">
        <v>31</v>
      </c>
      <c r="F12" s="25">
        <v>45812.0</v>
      </c>
      <c r="G12" s="6" t="s">
        <v>72</v>
      </c>
      <c r="H12" s="6" t="s">
        <v>126</v>
      </c>
      <c r="I12" s="15"/>
      <c r="J12" s="15"/>
    </row>
    <row r="13" ht="22.5" customHeight="1">
      <c r="A13" s="28" t="s">
        <v>127</v>
      </c>
      <c r="B13" s="29" t="s">
        <v>68</v>
      </c>
      <c r="C13" s="29">
        <v>2.0</v>
      </c>
      <c r="D13" s="30">
        <v>160.0</v>
      </c>
      <c r="E13" s="29" t="s">
        <v>31</v>
      </c>
      <c r="F13" s="31">
        <v>45812.0</v>
      </c>
      <c r="G13" s="6" t="s">
        <v>72</v>
      </c>
      <c r="H13" s="6" t="s">
        <v>130</v>
      </c>
      <c r="I13" s="15"/>
      <c r="J13" s="15"/>
    </row>
    <row r="14" ht="22.5" customHeight="1">
      <c r="A14" s="32" t="s">
        <v>96</v>
      </c>
      <c r="B14" s="22" t="s">
        <v>68</v>
      </c>
      <c r="C14" s="22">
        <v>1.0</v>
      </c>
      <c r="D14" s="24">
        <v>160.0</v>
      </c>
      <c r="E14" s="22" t="s">
        <v>31</v>
      </c>
      <c r="F14" s="25">
        <v>45812.0</v>
      </c>
      <c r="G14" s="6" t="s">
        <v>72</v>
      </c>
      <c r="H14" s="6" t="s">
        <v>132</v>
      </c>
      <c r="I14" s="15"/>
      <c r="J14" s="15"/>
    </row>
    <row r="15" ht="22.5" customHeight="1">
      <c r="A15" s="28" t="s">
        <v>134</v>
      </c>
      <c r="B15" s="29" t="s">
        <v>68</v>
      </c>
      <c r="C15" s="29">
        <v>1.0</v>
      </c>
      <c r="D15" s="30">
        <v>155.0</v>
      </c>
      <c r="E15" s="29" t="s">
        <v>31</v>
      </c>
      <c r="F15" s="31">
        <v>45812.0</v>
      </c>
      <c r="G15" s="6" t="s">
        <v>72</v>
      </c>
      <c r="H15" s="6" t="s">
        <v>137</v>
      </c>
      <c r="I15" s="15"/>
      <c r="J15" s="15"/>
    </row>
    <row r="16" ht="22.5" customHeight="1">
      <c r="A16" s="32" t="s">
        <v>122</v>
      </c>
      <c r="B16" s="22" t="s">
        <v>138</v>
      </c>
      <c r="C16" s="22">
        <v>2.0</v>
      </c>
      <c r="D16" s="24">
        <v>300.0</v>
      </c>
      <c r="E16" s="22" t="s">
        <v>31</v>
      </c>
      <c r="F16" s="25">
        <v>45812.0</v>
      </c>
      <c r="G16" s="6" t="s">
        <v>72</v>
      </c>
      <c r="H16" s="6" t="s">
        <v>141</v>
      </c>
      <c r="I16" s="15"/>
      <c r="J16" s="15"/>
    </row>
    <row r="17" ht="22.5" customHeight="1">
      <c r="A17" s="28" t="s">
        <v>70</v>
      </c>
      <c r="B17" s="29" t="s">
        <v>138</v>
      </c>
      <c r="C17" s="29">
        <v>4.0</v>
      </c>
      <c r="D17" s="30">
        <v>75.0</v>
      </c>
      <c r="E17" s="29" t="s">
        <v>31</v>
      </c>
      <c r="F17" s="31">
        <v>45812.0</v>
      </c>
      <c r="G17" s="6" t="s">
        <v>72</v>
      </c>
      <c r="H17" s="6" t="s">
        <v>145</v>
      </c>
      <c r="I17" s="15"/>
      <c r="J17" s="15"/>
    </row>
    <row r="18" ht="22.5" customHeight="1">
      <c r="A18" s="32" t="s">
        <v>40</v>
      </c>
      <c r="B18" s="22" t="s">
        <v>68</v>
      </c>
      <c r="C18" s="22">
        <v>2.0</v>
      </c>
      <c r="D18" s="24">
        <v>140.0</v>
      </c>
      <c r="E18" s="22" t="s">
        <v>31</v>
      </c>
      <c r="F18" s="25">
        <v>45812.0</v>
      </c>
      <c r="G18" s="6" t="s">
        <v>72</v>
      </c>
      <c r="H18" s="6" t="s">
        <v>147</v>
      </c>
      <c r="I18" s="15"/>
      <c r="J18" s="15"/>
    </row>
    <row r="19" ht="22.5" customHeight="1">
      <c r="A19" s="28" t="s">
        <v>149</v>
      </c>
      <c r="B19" s="29" t="s">
        <v>68</v>
      </c>
      <c r="C19" s="29">
        <v>2.0</v>
      </c>
      <c r="D19" s="30">
        <v>135.0</v>
      </c>
      <c r="E19" s="29" t="s">
        <v>31</v>
      </c>
      <c r="F19" s="31">
        <v>45812.0</v>
      </c>
      <c r="G19" s="5" t="s">
        <v>72</v>
      </c>
      <c r="H19" s="5" t="s">
        <v>150</v>
      </c>
      <c r="I19" s="16"/>
      <c r="J19" s="16"/>
    </row>
    <row r="20" ht="22.5" customHeight="1">
      <c r="A20" s="32" t="s">
        <v>152</v>
      </c>
      <c r="B20" s="22" t="s">
        <v>68</v>
      </c>
      <c r="C20" s="22">
        <v>3.0</v>
      </c>
      <c r="D20" s="24">
        <v>125.0</v>
      </c>
      <c r="E20" s="22" t="s">
        <v>31</v>
      </c>
      <c r="F20" s="25">
        <v>45812.0</v>
      </c>
      <c r="G20" s="5" t="s">
        <v>72</v>
      </c>
      <c r="H20" s="5" t="s">
        <v>155</v>
      </c>
      <c r="I20" s="16"/>
      <c r="J20" s="16"/>
    </row>
    <row r="21" ht="22.5" customHeight="1">
      <c r="A21" s="28" t="s">
        <v>156</v>
      </c>
      <c r="B21" s="29" t="s">
        <v>68</v>
      </c>
      <c r="C21" s="29">
        <v>2.0</v>
      </c>
      <c r="D21" s="30">
        <f>225/2</f>
        <v>112.5</v>
      </c>
      <c r="E21" s="29" t="s">
        <v>31</v>
      </c>
      <c r="F21" s="31">
        <v>45812.0</v>
      </c>
      <c r="G21" s="5" t="s">
        <v>72</v>
      </c>
      <c r="H21" s="5" t="s">
        <v>160</v>
      </c>
      <c r="I21" s="16"/>
      <c r="J21" s="16"/>
    </row>
    <row r="22" ht="22.5" customHeight="1">
      <c r="A22" s="32" t="s">
        <v>162</v>
      </c>
      <c r="B22" s="22" t="s">
        <v>163</v>
      </c>
      <c r="C22" s="22">
        <v>1.0</v>
      </c>
      <c r="D22" s="24">
        <v>125.0</v>
      </c>
      <c r="E22" s="22" t="s">
        <v>31</v>
      </c>
      <c r="F22" s="25">
        <v>45812.0</v>
      </c>
      <c r="G22" s="5" t="s">
        <v>72</v>
      </c>
      <c r="H22" s="5" t="s">
        <v>164</v>
      </c>
      <c r="I22" s="16"/>
      <c r="J22" s="16"/>
    </row>
    <row r="23" ht="22.5" customHeight="1">
      <c r="A23" s="28" t="s">
        <v>168</v>
      </c>
      <c r="B23" s="29" t="s">
        <v>169</v>
      </c>
      <c r="C23" s="29">
        <v>3.0</v>
      </c>
      <c r="D23" s="30">
        <v>135.0</v>
      </c>
      <c r="E23" s="29" t="s">
        <v>31</v>
      </c>
      <c r="F23" s="31">
        <v>45812.0</v>
      </c>
      <c r="G23" s="5" t="s">
        <v>72</v>
      </c>
      <c r="H23" s="5" t="s">
        <v>170</v>
      </c>
      <c r="I23" s="16"/>
      <c r="J23" s="16"/>
    </row>
    <row r="24" ht="22.5" customHeight="1">
      <c r="A24" s="32" t="s">
        <v>173</v>
      </c>
      <c r="B24" s="22" t="s">
        <v>169</v>
      </c>
      <c r="C24" s="22">
        <v>2.0</v>
      </c>
      <c r="D24" s="24">
        <f>135/3</f>
        <v>45</v>
      </c>
      <c r="E24" s="22" t="s">
        <v>31</v>
      </c>
      <c r="F24" s="25">
        <v>45812.0</v>
      </c>
      <c r="G24" s="5" t="s">
        <v>72</v>
      </c>
      <c r="H24" s="5" t="s">
        <v>176</v>
      </c>
      <c r="I24" s="16"/>
      <c r="J24" s="16"/>
    </row>
    <row r="25" ht="22.5" customHeight="1">
      <c r="A25" s="28" t="s">
        <v>177</v>
      </c>
      <c r="B25" s="29" t="s">
        <v>68</v>
      </c>
      <c r="C25" s="29">
        <v>1.0</v>
      </c>
      <c r="D25" s="30">
        <v>55.0</v>
      </c>
      <c r="E25" s="29" t="s">
        <v>31</v>
      </c>
      <c r="F25" s="31">
        <v>45812.0</v>
      </c>
      <c r="G25" s="5" t="s">
        <v>72</v>
      </c>
      <c r="H25" s="5" t="s">
        <v>181</v>
      </c>
      <c r="I25" s="16"/>
      <c r="J25" s="16"/>
    </row>
    <row r="26" ht="22.5" customHeight="1">
      <c r="A26" s="32" t="s">
        <v>177</v>
      </c>
      <c r="B26" s="22" t="s">
        <v>68</v>
      </c>
      <c r="C26" s="22">
        <v>9.0</v>
      </c>
      <c r="D26" s="24">
        <v>35.0</v>
      </c>
      <c r="E26" s="22" t="s">
        <v>31</v>
      </c>
      <c r="F26" s="25">
        <v>45812.0</v>
      </c>
      <c r="G26" s="5" t="s">
        <v>72</v>
      </c>
      <c r="H26" s="5" t="s">
        <v>183</v>
      </c>
      <c r="I26" s="16"/>
      <c r="J26" s="16"/>
    </row>
    <row r="27" ht="22.5" customHeight="1">
      <c r="A27" s="28" t="s">
        <v>184</v>
      </c>
      <c r="B27" s="29" t="s">
        <v>185</v>
      </c>
      <c r="C27" s="29">
        <v>2.0</v>
      </c>
      <c r="D27" s="30">
        <v>175.0</v>
      </c>
      <c r="E27" s="29" t="s">
        <v>31</v>
      </c>
      <c r="F27" s="31">
        <v>45812.0</v>
      </c>
      <c r="G27" s="5" t="s">
        <v>72</v>
      </c>
      <c r="H27" s="5" t="s">
        <v>189</v>
      </c>
      <c r="I27" s="16"/>
      <c r="J27" s="16"/>
    </row>
    <row r="28" ht="22.5" customHeight="1">
      <c r="A28" s="32" t="s">
        <v>75</v>
      </c>
      <c r="B28" s="22" t="s">
        <v>30</v>
      </c>
      <c r="C28" s="22">
        <v>1.0</v>
      </c>
      <c r="D28" s="24">
        <v>755.0</v>
      </c>
      <c r="E28" s="22" t="s">
        <v>31</v>
      </c>
      <c r="F28" s="25">
        <v>45812.0</v>
      </c>
      <c r="G28" s="5" t="s">
        <v>72</v>
      </c>
      <c r="H28" s="5" t="s">
        <v>191</v>
      </c>
      <c r="I28" s="16"/>
      <c r="J28" s="16"/>
    </row>
    <row r="29" ht="22.5" customHeight="1">
      <c r="A29" s="28" t="s">
        <v>192</v>
      </c>
      <c r="B29" s="29" t="s">
        <v>30</v>
      </c>
      <c r="C29" s="29">
        <v>1.0</v>
      </c>
      <c r="D29" s="30">
        <v>625.0</v>
      </c>
      <c r="E29" s="29" t="s">
        <v>31</v>
      </c>
      <c r="F29" s="31">
        <v>45812.0</v>
      </c>
      <c r="G29" s="5" t="s">
        <v>72</v>
      </c>
      <c r="H29" s="5" t="s">
        <v>195</v>
      </c>
      <c r="I29" s="16"/>
      <c r="J29" s="16"/>
    </row>
    <row r="30" ht="22.5" customHeight="1">
      <c r="A30" s="32" t="s">
        <v>197</v>
      </c>
      <c r="B30" s="22" t="s">
        <v>30</v>
      </c>
      <c r="C30" s="22">
        <v>1.0</v>
      </c>
      <c r="D30" s="24">
        <v>595.0</v>
      </c>
      <c r="E30" s="22" t="s">
        <v>31</v>
      </c>
      <c r="F30" s="25">
        <v>45812.0</v>
      </c>
      <c r="G30" s="5" t="s">
        <v>72</v>
      </c>
      <c r="H30" s="5" t="s">
        <v>199</v>
      </c>
      <c r="I30" s="16"/>
      <c r="J30" s="16"/>
    </row>
    <row r="31" ht="22.5" customHeight="1">
      <c r="A31" s="28" t="s">
        <v>202</v>
      </c>
      <c r="B31" s="29" t="s">
        <v>30</v>
      </c>
      <c r="C31" s="29">
        <v>3.0</v>
      </c>
      <c r="D31" s="30">
        <v>220.0</v>
      </c>
      <c r="E31" s="29" t="s">
        <v>31</v>
      </c>
      <c r="F31" s="31">
        <v>45812.0</v>
      </c>
      <c r="G31" s="5" t="s">
        <v>72</v>
      </c>
      <c r="H31" s="5" t="s">
        <v>203</v>
      </c>
      <c r="I31" s="16"/>
      <c r="J31" s="16"/>
    </row>
    <row r="32" ht="22.5" customHeight="1">
      <c r="A32" s="32" t="s">
        <v>206</v>
      </c>
      <c r="B32" s="22" t="s">
        <v>30</v>
      </c>
      <c r="C32" s="22">
        <v>6.0</v>
      </c>
      <c r="D32" s="24">
        <v>155.0</v>
      </c>
      <c r="E32" s="22" t="s">
        <v>31</v>
      </c>
      <c r="F32" s="25">
        <v>45812.0</v>
      </c>
      <c r="G32" s="5" t="s">
        <v>72</v>
      </c>
      <c r="H32" s="5" t="s">
        <v>209</v>
      </c>
      <c r="I32" s="16"/>
      <c r="J32" s="16"/>
    </row>
    <row r="33" ht="22.5" customHeight="1">
      <c r="A33" s="28" t="s">
        <v>210</v>
      </c>
      <c r="B33" s="29" t="s">
        <v>30</v>
      </c>
      <c r="C33" s="29">
        <v>6.0</v>
      </c>
      <c r="D33" s="30">
        <v>130.0</v>
      </c>
      <c r="E33" s="29" t="s">
        <v>31</v>
      </c>
      <c r="F33" s="31">
        <v>45812.0</v>
      </c>
      <c r="G33" s="5" t="s">
        <v>72</v>
      </c>
      <c r="H33" s="5" t="s">
        <v>213</v>
      </c>
      <c r="I33" s="16"/>
      <c r="J33" s="16"/>
    </row>
    <row r="34" ht="22.5" customHeight="1">
      <c r="A34" s="32" t="s">
        <v>214</v>
      </c>
      <c r="B34" s="22" t="s">
        <v>30</v>
      </c>
      <c r="C34" s="22">
        <v>2.0</v>
      </c>
      <c r="D34" s="24">
        <v>205.0</v>
      </c>
      <c r="E34" s="22" t="s">
        <v>31</v>
      </c>
      <c r="F34" s="25">
        <v>45812.0</v>
      </c>
      <c r="G34" s="5" t="s">
        <v>72</v>
      </c>
      <c r="H34" s="5" t="s">
        <v>217</v>
      </c>
      <c r="I34" s="16"/>
      <c r="J34" s="16"/>
    </row>
    <row r="35" ht="22.5" customHeight="1">
      <c r="A35" s="28" t="s">
        <v>153</v>
      </c>
      <c r="B35" s="29" t="s">
        <v>30</v>
      </c>
      <c r="C35" s="29">
        <v>2.0</v>
      </c>
      <c r="D35" s="30">
        <v>215.0</v>
      </c>
      <c r="E35" s="29" t="s">
        <v>31</v>
      </c>
      <c r="F35" s="31">
        <v>45812.0</v>
      </c>
      <c r="G35" s="5" t="s">
        <v>72</v>
      </c>
      <c r="H35" s="5" t="s">
        <v>219</v>
      </c>
      <c r="I35" s="16"/>
      <c r="J35" s="16"/>
    </row>
    <row r="36" ht="22.5" customHeight="1">
      <c r="A36" s="32" t="s">
        <v>101</v>
      </c>
      <c r="B36" s="22" t="s">
        <v>30</v>
      </c>
      <c r="C36" s="22">
        <v>3.0</v>
      </c>
      <c r="D36" s="24">
        <v>175.0</v>
      </c>
      <c r="E36" s="22" t="s">
        <v>31</v>
      </c>
      <c r="F36" s="25">
        <v>45812.0</v>
      </c>
      <c r="G36" s="5" t="s">
        <v>72</v>
      </c>
      <c r="H36" s="5" t="s">
        <v>223</v>
      </c>
      <c r="I36" s="16"/>
      <c r="J36" s="16"/>
    </row>
    <row r="37" ht="22.5" customHeight="1">
      <c r="A37" s="35" t="s">
        <v>144</v>
      </c>
      <c r="B37" s="29" t="s">
        <v>224</v>
      </c>
      <c r="C37" s="29">
        <v>2.0</v>
      </c>
      <c r="D37" s="30">
        <v>165.0</v>
      </c>
      <c r="E37" s="29" t="s">
        <v>31</v>
      </c>
      <c r="F37" s="31">
        <v>45812.0</v>
      </c>
      <c r="G37" s="5" t="s">
        <v>72</v>
      </c>
      <c r="H37" s="5" t="s">
        <v>226</v>
      </c>
      <c r="I37" s="16"/>
      <c r="J37" s="16"/>
    </row>
    <row r="38" ht="22.5" customHeight="1">
      <c r="A38" s="32" t="s">
        <v>229</v>
      </c>
      <c r="B38" s="22" t="s">
        <v>30</v>
      </c>
      <c r="C38" s="22">
        <v>2.0</v>
      </c>
      <c r="D38" s="24">
        <v>155.0</v>
      </c>
      <c r="E38" s="22" t="s">
        <v>31</v>
      </c>
      <c r="F38" s="25">
        <v>45812.0</v>
      </c>
      <c r="G38" s="5" t="s">
        <v>72</v>
      </c>
      <c r="H38" s="5" t="s">
        <v>231</v>
      </c>
      <c r="I38" s="16"/>
      <c r="J38" s="16"/>
    </row>
    <row r="39" ht="22.5" customHeight="1">
      <c r="A39" s="28" t="s">
        <v>139</v>
      </c>
      <c r="B39" s="29" t="s">
        <v>30</v>
      </c>
      <c r="C39" s="29">
        <v>2.0</v>
      </c>
      <c r="D39" s="30">
        <v>110.0</v>
      </c>
      <c r="E39" s="29" t="s">
        <v>31</v>
      </c>
      <c r="F39" s="31">
        <v>45812.0</v>
      </c>
      <c r="G39" s="5" t="s">
        <v>72</v>
      </c>
      <c r="H39" s="5" t="s">
        <v>233</v>
      </c>
      <c r="I39" s="16"/>
      <c r="J39" s="16"/>
    </row>
    <row r="40" ht="22.5" customHeight="1">
      <c r="A40" s="32" t="s">
        <v>235</v>
      </c>
      <c r="B40" s="22" t="s">
        <v>169</v>
      </c>
      <c r="C40" s="22">
        <v>12.0</v>
      </c>
      <c r="D40" s="24">
        <v>75.0</v>
      </c>
      <c r="E40" s="22" t="s">
        <v>31</v>
      </c>
      <c r="F40" s="25">
        <v>45812.0</v>
      </c>
      <c r="G40" s="5" t="s">
        <v>72</v>
      </c>
      <c r="H40" s="5" t="s">
        <v>237</v>
      </c>
      <c r="I40" s="16"/>
      <c r="J40" s="16"/>
    </row>
    <row r="41" ht="22.5" customHeight="1">
      <c r="A41" s="28" t="s">
        <v>194</v>
      </c>
      <c r="B41" s="29" t="s">
        <v>238</v>
      </c>
      <c r="C41" s="29">
        <v>1.0</v>
      </c>
      <c r="D41" s="30">
        <v>175.0</v>
      </c>
      <c r="E41" s="29" t="s">
        <v>31</v>
      </c>
      <c r="F41" s="31">
        <v>45812.0</v>
      </c>
      <c r="G41" s="5" t="s">
        <v>72</v>
      </c>
      <c r="H41" s="5" t="s">
        <v>240</v>
      </c>
      <c r="I41" s="16"/>
      <c r="J41" s="16"/>
    </row>
    <row r="42" ht="22.5" customHeight="1">
      <c r="A42" s="32" t="s">
        <v>133</v>
      </c>
      <c r="B42" s="22" t="s">
        <v>238</v>
      </c>
      <c r="C42" s="22">
        <v>16.0</v>
      </c>
      <c r="D42" s="24">
        <v>135.0</v>
      </c>
      <c r="E42" s="22" t="s">
        <v>31</v>
      </c>
      <c r="F42" s="25">
        <v>45812.0</v>
      </c>
      <c r="G42" s="5" t="s">
        <v>72</v>
      </c>
      <c r="H42" s="5" t="s">
        <v>243</v>
      </c>
      <c r="I42" s="16"/>
      <c r="J42" s="16"/>
    </row>
    <row r="43" ht="22.5" customHeight="1">
      <c r="A43" s="28" t="s">
        <v>179</v>
      </c>
      <c r="B43" s="29" t="s">
        <v>238</v>
      </c>
      <c r="C43" s="29">
        <v>4.0</v>
      </c>
      <c r="D43" s="30">
        <v>105.0</v>
      </c>
      <c r="E43" s="29" t="s">
        <v>31</v>
      </c>
      <c r="F43" s="31">
        <v>45812.0</v>
      </c>
      <c r="G43" s="5" t="s">
        <v>72</v>
      </c>
      <c r="H43" s="5" t="s">
        <v>247</v>
      </c>
      <c r="I43" s="16"/>
      <c r="J43" s="16"/>
    </row>
    <row r="44" ht="22.5" customHeight="1">
      <c r="A44" s="32" t="s">
        <v>248</v>
      </c>
      <c r="B44" s="22" t="s">
        <v>238</v>
      </c>
      <c r="C44" s="22">
        <v>1.0</v>
      </c>
      <c r="D44" s="24">
        <v>110.0</v>
      </c>
      <c r="E44" s="22" t="s">
        <v>31</v>
      </c>
      <c r="F44" s="25">
        <v>45812.0</v>
      </c>
      <c r="G44" s="5" t="s">
        <v>72</v>
      </c>
      <c r="H44" s="5" t="s">
        <v>251</v>
      </c>
      <c r="I44" s="16"/>
      <c r="J44" s="16"/>
    </row>
    <row r="45" ht="22.5" customHeight="1">
      <c r="A45" s="28" t="s">
        <v>253</v>
      </c>
      <c r="B45" s="29" t="s">
        <v>238</v>
      </c>
      <c r="C45" s="29">
        <v>4.0</v>
      </c>
      <c r="D45" s="30">
        <v>95.0</v>
      </c>
      <c r="E45" s="29" t="s">
        <v>31</v>
      </c>
      <c r="F45" s="31">
        <v>45812.0</v>
      </c>
      <c r="G45" s="5" t="s">
        <v>72</v>
      </c>
      <c r="H45" s="5" t="s">
        <v>254</v>
      </c>
      <c r="I45" s="16"/>
      <c r="J45" s="16"/>
    </row>
    <row r="46" ht="22.5" customHeight="1">
      <c r="A46" s="32" t="s">
        <v>188</v>
      </c>
      <c r="B46" s="22" t="s">
        <v>256</v>
      </c>
      <c r="C46" s="22">
        <v>3.0</v>
      </c>
      <c r="D46" s="24">
        <v>40.0</v>
      </c>
      <c r="E46" s="22" t="s">
        <v>31</v>
      </c>
      <c r="F46" s="25">
        <v>45812.0</v>
      </c>
      <c r="G46" s="5" t="s">
        <v>72</v>
      </c>
      <c r="H46" s="5" t="s">
        <v>258</v>
      </c>
      <c r="I46" s="16"/>
      <c r="J46" s="16"/>
    </row>
    <row r="47" ht="22.5" customHeight="1">
      <c r="A47" s="28" t="s">
        <v>255</v>
      </c>
      <c r="B47" s="29" t="s">
        <v>238</v>
      </c>
      <c r="C47" s="29">
        <v>23.0</v>
      </c>
      <c r="D47" s="30">
        <v>35.0</v>
      </c>
      <c r="E47" s="29" t="s">
        <v>31</v>
      </c>
      <c r="F47" s="31">
        <v>45812.0</v>
      </c>
      <c r="G47" s="5" t="s">
        <v>72</v>
      </c>
      <c r="H47" s="5" t="s">
        <v>262</v>
      </c>
      <c r="I47" s="16"/>
      <c r="J47" s="16"/>
    </row>
    <row r="48" ht="22.5" customHeight="1">
      <c r="A48" s="32" t="s">
        <v>131</v>
      </c>
      <c r="B48" s="22" t="s">
        <v>50</v>
      </c>
      <c r="C48" s="22">
        <v>1.0</v>
      </c>
      <c r="D48" s="24">
        <v>475.0</v>
      </c>
      <c r="E48" s="22" t="s">
        <v>31</v>
      </c>
      <c r="F48" s="25">
        <v>45812.0</v>
      </c>
      <c r="G48" s="5" t="s">
        <v>72</v>
      </c>
      <c r="H48" s="5" t="s">
        <v>263</v>
      </c>
      <c r="I48" s="16"/>
      <c r="J48" s="16"/>
    </row>
    <row r="49" ht="22.5" customHeight="1">
      <c r="A49" s="28" t="s">
        <v>266</v>
      </c>
      <c r="B49" s="29" t="s">
        <v>50</v>
      </c>
      <c r="C49" s="29">
        <v>1.0</v>
      </c>
      <c r="D49" s="30">
        <v>400.0</v>
      </c>
      <c r="E49" s="29" t="s">
        <v>31</v>
      </c>
      <c r="F49" s="31">
        <v>45812.0</v>
      </c>
      <c r="G49" s="5" t="s">
        <v>72</v>
      </c>
      <c r="H49" s="5" t="s">
        <v>267</v>
      </c>
      <c r="I49" s="16"/>
      <c r="J49" s="16"/>
    </row>
    <row r="50" ht="22.5" customHeight="1">
      <c r="A50" s="32" t="s">
        <v>161</v>
      </c>
      <c r="B50" s="22" t="s">
        <v>50</v>
      </c>
      <c r="C50" s="22">
        <v>1.0</v>
      </c>
      <c r="D50" s="24">
        <v>400.0</v>
      </c>
      <c r="E50" s="22" t="s">
        <v>31</v>
      </c>
      <c r="F50" s="25">
        <v>45812.0</v>
      </c>
      <c r="G50" s="5" t="s">
        <v>72</v>
      </c>
      <c r="H50" s="5" t="s">
        <v>269</v>
      </c>
      <c r="I50" s="16"/>
      <c r="J50" s="16"/>
    </row>
    <row r="51" ht="22.5" customHeight="1">
      <c r="A51" s="28" t="s">
        <v>230</v>
      </c>
      <c r="B51" s="29" t="s">
        <v>50</v>
      </c>
      <c r="C51" s="29">
        <v>1.0</v>
      </c>
      <c r="D51" s="30">
        <v>310.0</v>
      </c>
      <c r="E51" s="29" t="s">
        <v>31</v>
      </c>
      <c r="F51" s="31">
        <v>45812.0</v>
      </c>
      <c r="G51" s="5" t="s">
        <v>72</v>
      </c>
      <c r="H51" s="5" t="s">
        <v>271</v>
      </c>
      <c r="I51" s="16"/>
      <c r="J51" s="16"/>
    </row>
    <row r="52" ht="22.5" customHeight="1">
      <c r="A52" s="32" t="s">
        <v>244</v>
      </c>
      <c r="B52" s="22" t="s">
        <v>50</v>
      </c>
      <c r="C52" s="22">
        <v>1.0</v>
      </c>
      <c r="D52" s="24">
        <v>210.0</v>
      </c>
      <c r="E52" s="22" t="s">
        <v>31</v>
      </c>
      <c r="F52" s="25">
        <v>45812.0</v>
      </c>
      <c r="G52" s="5" t="s">
        <v>72</v>
      </c>
      <c r="H52" s="5" t="s">
        <v>273</v>
      </c>
      <c r="I52" s="16"/>
      <c r="J52" s="16"/>
    </row>
    <row r="53" ht="22.5" customHeight="1">
      <c r="A53" s="28" t="s">
        <v>274</v>
      </c>
      <c r="B53" s="29" t="s">
        <v>50</v>
      </c>
      <c r="C53" s="29">
        <v>1.0</v>
      </c>
      <c r="D53" s="30">
        <v>250.0</v>
      </c>
      <c r="E53" s="29" t="s">
        <v>31</v>
      </c>
      <c r="F53" s="31">
        <v>45812.0</v>
      </c>
      <c r="G53" s="5" t="s">
        <v>72</v>
      </c>
      <c r="H53" s="5" t="s">
        <v>276</v>
      </c>
      <c r="I53" s="16"/>
      <c r="J53" s="16"/>
    </row>
    <row r="54" ht="22.5" customHeight="1">
      <c r="A54" s="32" t="s">
        <v>232</v>
      </c>
      <c r="B54" s="22" t="s">
        <v>50</v>
      </c>
      <c r="C54" s="22">
        <v>2.0</v>
      </c>
      <c r="D54" s="24">
        <v>325.0</v>
      </c>
      <c r="E54" s="22" t="s">
        <v>31</v>
      </c>
      <c r="F54" s="25">
        <v>45812.0</v>
      </c>
      <c r="G54" s="5" t="s">
        <v>72</v>
      </c>
      <c r="H54" s="5" t="s">
        <v>278</v>
      </c>
      <c r="I54" s="16"/>
      <c r="J54" s="16"/>
    </row>
    <row r="55" ht="22.5" customHeight="1">
      <c r="A55" s="28" t="s">
        <v>106</v>
      </c>
      <c r="B55" s="29" t="s">
        <v>50</v>
      </c>
      <c r="C55" s="29">
        <v>3.0</v>
      </c>
      <c r="D55" s="30">
        <v>195.0</v>
      </c>
      <c r="E55" s="29" t="s">
        <v>31</v>
      </c>
      <c r="F55" s="31">
        <v>45812.0</v>
      </c>
      <c r="G55" s="5" t="s">
        <v>72</v>
      </c>
      <c r="H55" s="5" t="s">
        <v>281</v>
      </c>
      <c r="I55" s="16"/>
      <c r="J55" s="16"/>
    </row>
    <row r="56" ht="22.5" customHeight="1">
      <c r="A56" s="32" t="s">
        <v>282</v>
      </c>
      <c r="B56" s="22" t="s">
        <v>50</v>
      </c>
      <c r="C56" s="22">
        <v>1.0</v>
      </c>
      <c r="D56" s="24">
        <v>195.0</v>
      </c>
      <c r="E56" s="22" t="s">
        <v>31</v>
      </c>
      <c r="F56" s="25">
        <v>45812.0</v>
      </c>
      <c r="G56" s="5" t="s">
        <v>72</v>
      </c>
      <c r="H56" s="5" t="s">
        <v>284</v>
      </c>
      <c r="I56" s="16"/>
      <c r="J56" s="16"/>
    </row>
    <row r="57" ht="22.5" customHeight="1">
      <c r="A57" s="28" t="s">
        <v>225</v>
      </c>
      <c r="B57" s="29" t="s">
        <v>50</v>
      </c>
      <c r="C57" s="29">
        <v>7.0</v>
      </c>
      <c r="D57" s="30">
        <v>160.0</v>
      </c>
      <c r="E57" s="29" t="s">
        <v>31</v>
      </c>
      <c r="F57" s="31">
        <v>45812.0</v>
      </c>
      <c r="G57" s="5" t="s">
        <v>72</v>
      </c>
      <c r="H57" s="5" t="s">
        <v>288</v>
      </c>
      <c r="I57" s="16"/>
      <c r="J57" s="16"/>
    </row>
    <row r="58" ht="22.5" customHeight="1">
      <c r="A58" s="32" t="s">
        <v>250</v>
      </c>
      <c r="B58" s="22" t="s">
        <v>50</v>
      </c>
      <c r="C58" s="22">
        <v>6.0</v>
      </c>
      <c r="D58" s="24">
        <v>145.0</v>
      </c>
      <c r="E58" s="22" t="s">
        <v>31</v>
      </c>
      <c r="F58" s="25">
        <v>45812.0</v>
      </c>
      <c r="G58" s="5" t="s">
        <v>72</v>
      </c>
      <c r="H58" s="5" t="s">
        <v>291</v>
      </c>
      <c r="I58" s="16"/>
      <c r="J58" s="16"/>
    </row>
    <row r="59" ht="22.5" customHeight="1">
      <c r="A59" s="28" t="s">
        <v>36</v>
      </c>
      <c r="B59" s="29" t="s">
        <v>50</v>
      </c>
      <c r="C59" s="29">
        <v>11.0</v>
      </c>
      <c r="D59" s="30">
        <v>95.0</v>
      </c>
      <c r="E59" s="29" t="s">
        <v>31</v>
      </c>
      <c r="F59" s="31">
        <v>45812.0</v>
      </c>
      <c r="G59" s="5" t="s">
        <v>72</v>
      </c>
      <c r="H59" s="5" t="s">
        <v>292</v>
      </c>
      <c r="I59" s="16"/>
      <c r="J59" s="16"/>
    </row>
    <row r="60" ht="22.5" customHeight="1">
      <c r="A60" s="32" t="s">
        <v>186</v>
      </c>
      <c r="B60" s="22" t="s">
        <v>50</v>
      </c>
      <c r="C60" s="22">
        <v>18.0</v>
      </c>
      <c r="D60" s="24">
        <v>85.0</v>
      </c>
      <c r="E60" s="22" t="s">
        <v>31</v>
      </c>
      <c r="F60" s="25">
        <v>45812.0</v>
      </c>
      <c r="G60" s="5" t="s">
        <v>72</v>
      </c>
      <c r="H60" s="5" t="s">
        <v>295</v>
      </c>
      <c r="I60" s="16"/>
      <c r="J60" s="16"/>
    </row>
    <row r="61" ht="22.5" customHeight="1">
      <c r="A61" s="28" t="s">
        <v>261</v>
      </c>
      <c r="B61" s="29" t="s">
        <v>50</v>
      </c>
      <c r="C61" s="29">
        <v>1.0</v>
      </c>
      <c r="D61" s="30">
        <v>310.0</v>
      </c>
      <c r="E61" s="29" t="s">
        <v>31</v>
      </c>
      <c r="F61" s="31">
        <v>45835.0</v>
      </c>
      <c r="G61" s="5" t="s">
        <v>72</v>
      </c>
      <c r="H61" s="5" t="s">
        <v>296</v>
      </c>
      <c r="I61" s="16"/>
      <c r="J61" s="16"/>
    </row>
    <row r="62" ht="22.5" customHeight="1">
      <c r="A62" s="32" t="s">
        <v>212</v>
      </c>
      <c r="B62" s="22" t="s">
        <v>50</v>
      </c>
      <c r="C62" s="22">
        <v>1.0</v>
      </c>
      <c r="D62" s="24">
        <v>325.0</v>
      </c>
      <c r="E62" s="22" t="s">
        <v>31</v>
      </c>
      <c r="F62" s="25">
        <v>45835.0</v>
      </c>
      <c r="G62" s="5" t="s">
        <v>72</v>
      </c>
      <c r="H62" s="5" t="s">
        <v>299</v>
      </c>
      <c r="I62" s="16"/>
      <c r="J62" s="16"/>
    </row>
    <row r="63" ht="22.5" customHeight="1">
      <c r="A63" s="28" t="s">
        <v>128</v>
      </c>
      <c r="B63" s="29" t="s">
        <v>50</v>
      </c>
      <c r="C63" s="29">
        <v>5.0</v>
      </c>
      <c r="D63" s="30">
        <v>275.0</v>
      </c>
      <c r="E63" s="29" t="s">
        <v>31</v>
      </c>
      <c r="F63" s="31">
        <v>45835.0</v>
      </c>
      <c r="G63" s="5" t="s">
        <v>72</v>
      </c>
      <c r="H63" s="5" t="s">
        <v>301</v>
      </c>
      <c r="I63" s="16"/>
      <c r="J63" s="16"/>
    </row>
    <row r="64" ht="22.5" customHeight="1">
      <c r="A64" s="32" t="s">
        <v>304</v>
      </c>
      <c r="B64" s="22" t="s">
        <v>50</v>
      </c>
      <c r="C64" s="22">
        <v>1.0</v>
      </c>
      <c r="D64" s="24">
        <v>225.0</v>
      </c>
      <c r="E64" s="22" t="s">
        <v>31</v>
      </c>
      <c r="F64" s="25">
        <v>45835.0</v>
      </c>
      <c r="G64" s="5" t="s">
        <v>72</v>
      </c>
      <c r="H64" s="5" t="s">
        <v>305</v>
      </c>
      <c r="I64" s="16"/>
      <c r="J64" s="16"/>
    </row>
    <row r="65" ht="22.5" customHeight="1">
      <c r="A65" s="28" t="s">
        <v>83</v>
      </c>
      <c r="B65" s="29" t="s">
        <v>50</v>
      </c>
      <c r="C65" s="29">
        <v>6.0</v>
      </c>
      <c r="D65" s="30">
        <v>175.0</v>
      </c>
      <c r="E65" s="29" t="s">
        <v>31</v>
      </c>
      <c r="F65" s="31">
        <v>45835.0</v>
      </c>
      <c r="G65" s="5" t="s">
        <v>72</v>
      </c>
      <c r="H65" s="5" t="s">
        <v>308</v>
      </c>
      <c r="I65" s="16"/>
      <c r="J65" s="16"/>
    </row>
    <row r="66" ht="22.5" customHeight="1">
      <c r="A66" s="32" t="s">
        <v>244</v>
      </c>
      <c r="B66" s="22" t="s">
        <v>50</v>
      </c>
      <c r="C66" s="22">
        <v>3.0</v>
      </c>
      <c r="D66" s="24">
        <v>210.0</v>
      </c>
      <c r="E66" s="22" t="s">
        <v>31</v>
      </c>
      <c r="F66" s="25">
        <v>45835.0</v>
      </c>
      <c r="G66" s="5" t="s">
        <v>72</v>
      </c>
      <c r="H66" s="5" t="s">
        <v>310</v>
      </c>
      <c r="I66" s="16"/>
      <c r="J66" s="16"/>
    </row>
    <row r="67" ht="22.5" customHeight="1">
      <c r="A67" s="28" t="s">
        <v>313</v>
      </c>
      <c r="B67" s="29" t="s">
        <v>169</v>
      </c>
      <c r="C67" s="29">
        <v>2.0</v>
      </c>
      <c r="D67" s="30">
        <v>135.0</v>
      </c>
      <c r="E67" s="29" t="s">
        <v>31</v>
      </c>
      <c r="F67" s="31">
        <v>45835.0</v>
      </c>
      <c r="G67" s="5" t="s">
        <v>72</v>
      </c>
      <c r="H67" s="5" t="s">
        <v>315</v>
      </c>
      <c r="I67" s="16"/>
      <c r="J67" s="16"/>
    </row>
    <row r="68" ht="22.5" customHeight="1">
      <c r="A68" s="32" t="s">
        <v>234</v>
      </c>
      <c r="B68" s="22" t="s">
        <v>169</v>
      </c>
      <c r="C68" s="22">
        <v>1.0</v>
      </c>
      <c r="D68" s="24">
        <v>165.0</v>
      </c>
      <c r="E68" s="22" t="s">
        <v>31</v>
      </c>
      <c r="F68" s="25">
        <v>45835.0</v>
      </c>
      <c r="G68" s="5" t="s">
        <v>72</v>
      </c>
      <c r="H68" s="5" t="s">
        <v>320</v>
      </c>
      <c r="I68" s="16"/>
      <c r="J68" s="16"/>
    </row>
    <row r="69" ht="22.5" customHeight="1">
      <c r="A69" s="28" t="s">
        <v>322</v>
      </c>
      <c r="B69" s="29" t="s">
        <v>169</v>
      </c>
      <c r="C69" s="29">
        <v>11.0</v>
      </c>
      <c r="D69" s="30">
        <v>75.0</v>
      </c>
      <c r="E69" s="29" t="s">
        <v>31</v>
      </c>
      <c r="F69" s="31">
        <v>45835.0</v>
      </c>
      <c r="G69" s="5" t="s">
        <v>72</v>
      </c>
      <c r="H69" s="5" t="s">
        <v>324</v>
      </c>
      <c r="I69" s="16"/>
      <c r="J69" s="16"/>
    </row>
    <row r="70" ht="22.5" customHeight="1">
      <c r="A70" s="32" t="s">
        <v>325</v>
      </c>
      <c r="B70" s="22" t="s">
        <v>169</v>
      </c>
      <c r="C70" s="22">
        <v>2.0</v>
      </c>
      <c r="D70" s="24">
        <v>95.0</v>
      </c>
      <c r="E70" s="22" t="s">
        <v>31</v>
      </c>
      <c r="F70" s="25">
        <v>45835.0</v>
      </c>
      <c r="G70" s="5" t="s">
        <v>72</v>
      </c>
      <c r="H70" s="5" t="s">
        <v>328</v>
      </c>
      <c r="I70" s="16"/>
      <c r="J70" s="16"/>
    </row>
    <row r="71" ht="22.5" customHeight="1">
      <c r="A71" s="28" t="s">
        <v>148</v>
      </c>
      <c r="B71" s="29" t="s">
        <v>180</v>
      </c>
      <c r="C71" s="29">
        <v>1.0</v>
      </c>
      <c r="D71" s="30">
        <v>365.0</v>
      </c>
      <c r="E71" s="29" t="s">
        <v>31</v>
      </c>
      <c r="F71" s="31">
        <v>45835.0</v>
      </c>
      <c r="G71" s="5" t="s">
        <v>72</v>
      </c>
      <c r="H71" s="5" t="s">
        <v>332</v>
      </c>
      <c r="I71" s="16"/>
      <c r="J71" s="16"/>
    </row>
    <row r="72" ht="22.5" customHeight="1">
      <c r="A72" s="32" t="s">
        <v>333</v>
      </c>
      <c r="B72" s="22" t="s">
        <v>30</v>
      </c>
      <c r="C72" s="22">
        <v>2.0</v>
      </c>
      <c r="D72" s="24">
        <v>210.0</v>
      </c>
      <c r="E72" s="22" t="s">
        <v>31</v>
      </c>
      <c r="F72" s="25">
        <v>45835.0</v>
      </c>
      <c r="G72" s="5" t="s">
        <v>72</v>
      </c>
      <c r="H72" s="5" t="s">
        <v>335</v>
      </c>
      <c r="I72" s="16"/>
      <c r="J72" s="16"/>
    </row>
    <row r="73" ht="22.5" customHeight="1">
      <c r="A73" s="28" t="s">
        <v>182</v>
      </c>
      <c r="B73" s="29" t="s">
        <v>30</v>
      </c>
      <c r="C73" s="29">
        <v>2.0</v>
      </c>
      <c r="D73" s="30">
        <v>355.0</v>
      </c>
      <c r="E73" s="29" t="s">
        <v>31</v>
      </c>
      <c r="F73" s="31">
        <v>45835.0</v>
      </c>
      <c r="G73" s="5" t="s">
        <v>72</v>
      </c>
      <c r="H73" s="5" t="s">
        <v>337</v>
      </c>
      <c r="I73" s="16"/>
      <c r="J73" s="16"/>
    </row>
    <row r="74" ht="22.5" customHeight="1">
      <c r="A74" s="32" t="s">
        <v>197</v>
      </c>
      <c r="B74" s="22" t="s">
        <v>30</v>
      </c>
      <c r="C74" s="22">
        <v>2.0</v>
      </c>
      <c r="D74" s="24">
        <v>600.0</v>
      </c>
      <c r="E74" s="22" t="s">
        <v>31</v>
      </c>
      <c r="F74" s="25">
        <v>45835.0</v>
      </c>
      <c r="G74" s="5" t="s">
        <v>72</v>
      </c>
      <c r="H74" s="5" t="s">
        <v>341</v>
      </c>
      <c r="I74" s="16"/>
      <c r="J74" s="16"/>
    </row>
    <row r="75" ht="22.5" customHeight="1">
      <c r="A75" s="28" t="s">
        <v>105</v>
      </c>
      <c r="B75" s="29" t="s">
        <v>30</v>
      </c>
      <c r="C75" s="29">
        <v>1.0</v>
      </c>
      <c r="D75" s="30">
        <v>525.0</v>
      </c>
      <c r="E75" s="29" t="s">
        <v>31</v>
      </c>
      <c r="F75" s="31">
        <v>45835.0</v>
      </c>
      <c r="G75" s="5" t="s">
        <v>72</v>
      </c>
      <c r="H75" s="5" t="s">
        <v>343</v>
      </c>
      <c r="I75" s="16"/>
      <c r="J75" s="16"/>
    </row>
    <row r="76" ht="22.5" customHeight="1">
      <c r="A76" s="32" t="s">
        <v>88</v>
      </c>
      <c r="B76" s="22" t="s">
        <v>30</v>
      </c>
      <c r="C76" s="22">
        <v>1.0</v>
      </c>
      <c r="D76" s="24">
        <v>575.0</v>
      </c>
      <c r="E76" s="22" t="s">
        <v>31</v>
      </c>
      <c r="F76" s="25">
        <v>45835.0</v>
      </c>
      <c r="G76" s="5" t="s">
        <v>72</v>
      </c>
      <c r="H76" s="5" t="s">
        <v>346</v>
      </c>
      <c r="I76" s="16"/>
      <c r="J76" s="16"/>
    </row>
    <row r="77" ht="22.5" customHeight="1">
      <c r="A77" s="28" t="s">
        <v>348</v>
      </c>
      <c r="B77" s="29" t="s">
        <v>30</v>
      </c>
      <c r="C77" s="29">
        <v>1.0</v>
      </c>
      <c r="D77" s="30">
        <v>750.0</v>
      </c>
      <c r="E77" s="29" t="s">
        <v>31</v>
      </c>
      <c r="F77" s="31">
        <v>45835.0</v>
      </c>
      <c r="G77" s="5" t="s">
        <v>72</v>
      </c>
      <c r="H77" s="5" t="s">
        <v>350</v>
      </c>
      <c r="I77" s="16"/>
      <c r="J77" s="16"/>
    </row>
    <row r="78" ht="22.5" customHeight="1">
      <c r="A78" s="32" t="s">
        <v>352</v>
      </c>
      <c r="B78" s="22" t="s">
        <v>169</v>
      </c>
      <c r="C78" s="22">
        <v>18.0</v>
      </c>
      <c r="D78" s="24">
        <v>32.0</v>
      </c>
      <c r="E78" s="22" t="s">
        <v>31</v>
      </c>
      <c r="F78" s="25">
        <v>45835.0</v>
      </c>
      <c r="G78" s="5" t="s">
        <v>72</v>
      </c>
      <c r="H78" s="5" t="s">
        <v>355</v>
      </c>
      <c r="I78" s="16"/>
      <c r="J78" s="16"/>
    </row>
    <row r="79" ht="22.5" customHeight="1">
      <c r="A79" s="28" t="s">
        <v>146</v>
      </c>
      <c r="B79" s="29" t="s">
        <v>68</v>
      </c>
      <c r="C79" s="29">
        <v>1.0</v>
      </c>
      <c r="D79" s="30">
        <v>510.0</v>
      </c>
      <c r="E79" s="29" t="s">
        <v>31</v>
      </c>
      <c r="F79" s="31">
        <v>45835.0</v>
      </c>
      <c r="G79" s="5" t="s">
        <v>72</v>
      </c>
      <c r="H79" s="5" t="s">
        <v>359</v>
      </c>
      <c r="I79" s="16"/>
      <c r="J79" s="16"/>
    </row>
    <row r="80" ht="22.5" customHeight="1">
      <c r="A80" s="32" t="s">
        <v>165</v>
      </c>
      <c r="B80" s="22" t="s">
        <v>238</v>
      </c>
      <c r="C80" s="22">
        <v>7.0</v>
      </c>
      <c r="D80" s="24">
        <v>95.0</v>
      </c>
      <c r="E80" s="22" t="s">
        <v>31</v>
      </c>
      <c r="F80" s="25">
        <v>45835.0</v>
      </c>
      <c r="G80" s="5" t="s">
        <v>72</v>
      </c>
      <c r="H80" s="5" t="s">
        <v>361</v>
      </c>
      <c r="I80" s="16"/>
      <c r="J80" s="16"/>
    </row>
    <row r="81" ht="22.5" customHeight="1">
      <c r="A81" s="28" t="s">
        <v>364</v>
      </c>
      <c r="B81" s="29" t="s">
        <v>185</v>
      </c>
      <c r="C81" s="29">
        <v>2.0</v>
      </c>
      <c r="D81" s="30">
        <v>115.0</v>
      </c>
      <c r="E81" s="29" t="s">
        <v>31</v>
      </c>
      <c r="F81" s="31">
        <v>45835.0</v>
      </c>
      <c r="G81" s="5" t="s">
        <v>72</v>
      </c>
      <c r="H81" s="5" t="s">
        <v>365</v>
      </c>
      <c r="I81" s="16"/>
      <c r="J81" s="16"/>
    </row>
    <row r="82" ht="22.5" customHeight="1">
      <c r="A82" s="32" t="s">
        <v>259</v>
      </c>
      <c r="B82" s="22" t="s">
        <v>185</v>
      </c>
      <c r="C82" s="22">
        <v>2.0</v>
      </c>
      <c r="D82" s="24">
        <v>145.0</v>
      </c>
      <c r="E82" s="22" t="s">
        <v>31</v>
      </c>
      <c r="F82" s="25">
        <v>45835.0</v>
      </c>
      <c r="G82" s="5" t="s">
        <v>72</v>
      </c>
      <c r="H82" s="5" t="s">
        <v>368</v>
      </c>
      <c r="I82" s="16"/>
      <c r="J82" s="16"/>
    </row>
    <row r="83" ht="22.5" customHeight="1">
      <c r="A83" s="28" t="s">
        <v>178</v>
      </c>
      <c r="B83" s="29" t="s">
        <v>185</v>
      </c>
      <c r="C83" s="29">
        <v>2.0</v>
      </c>
      <c r="D83" s="30">
        <v>195.0</v>
      </c>
      <c r="E83" s="29" t="s">
        <v>31</v>
      </c>
      <c r="F83" s="31">
        <v>45835.0</v>
      </c>
      <c r="G83" s="5" t="s">
        <v>72</v>
      </c>
      <c r="H83" s="5" t="s">
        <v>371</v>
      </c>
      <c r="I83" s="16"/>
      <c r="J83" s="16"/>
    </row>
    <row r="84" ht="22.5" customHeight="1">
      <c r="A84" s="32" t="s">
        <v>373</v>
      </c>
      <c r="B84" s="22" t="s">
        <v>185</v>
      </c>
      <c r="C84" s="22">
        <v>3.0</v>
      </c>
      <c r="D84" s="24">
        <v>175.0</v>
      </c>
      <c r="E84" s="22" t="s">
        <v>31</v>
      </c>
      <c r="F84" s="25">
        <v>45835.0</v>
      </c>
      <c r="G84" s="5" t="s">
        <v>72</v>
      </c>
      <c r="H84" s="5" t="s">
        <v>375</v>
      </c>
      <c r="I84" s="16"/>
      <c r="J84" s="16"/>
    </row>
    <row r="85" ht="22.5" customHeight="1">
      <c r="A85" s="28" t="s">
        <v>376</v>
      </c>
      <c r="B85" s="29" t="s">
        <v>185</v>
      </c>
      <c r="C85" s="29">
        <v>2.0</v>
      </c>
      <c r="D85" s="30">
        <v>110.0</v>
      </c>
      <c r="E85" s="29" t="s">
        <v>31</v>
      </c>
      <c r="F85" s="31">
        <v>45835.0</v>
      </c>
      <c r="G85" s="5" t="s">
        <v>72</v>
      </c>
      <c r="H85" s="5" t="s">
        <v>378</v>
      </c>
      <c r="I85" s="16"/>
      <c r="J85" s="16"/>
    </row>
    <row r="86" ht="22.5" customHeight="1">
      <c r="A86" s="32" t="s">
        <v>227</v>
      </c>
      <c r="B86" s="22" t="s">
        <v>185</v>
      </c>
      <c r="C86" s="22">
        <v>20.0</v>
      </c>
      <c r="D86" s="24">
        <v>75.0</v>
      </c>
      <c r="E86" s="22" t="s">
        <v>31</v>
      </c>
      <c r="F86" s="25">
        <v>45835.0</v>
      </c>
      <c r="G86" s="5" t="s">
        <v>72</v>
      </c>
      <c r="H86" s="5" t="s">
        <v>380</v>
      </c>
      <c r="I86" s="16"/>
      <c r="J86" s="16"/>
    </row>
    <row r="87" ht="22.5" customHeight="1">
      <c r="A87" s="28" t="s">
        <v>381</v>
      </c>
      <c r="B87" s="29" t="s">
        <v>185</v>
      </c>
      <c r="C87" s="29">
        <v>5.0</v>
      </c>
      <c r="D87" s="30">
        <v>50.0</v>
      </c>
      <c r="E87" s="29" t="s">
        <v>31</v>
      </c>
      <c r="F87" s="31">
        <v>45835.0</v>
      </c>
      <c r="G87" s="5" t="s">
        <v>72</v>
      </c>
      <c r="H87" s="5" t="s">
        <v>382</v>
      </c>
      <c r="I87" s="16"/>
      <c r="J87" s="16"/>
    </row>
    <row r="88" ht="22.5" customHeight="1">
      <c r="A88" s="32" t="s">
        <v>171</v>
      </c>
      <c r="B88" s="22" t="s">
        <v>68</v>
      </c>
      <c r="C88" s="22">
        <v>1.0</v>
      </c>
      <c r="D88" s="24">
        <v>385.0</v>
      </c>
      <c r="E88" s="22" t="s">
        <v>31</v>
      </c>
      <c r="F88" s="25">
        <v>45835.0</v>
      </c>
      <c r="G88" s="5" t="s">
        <v>72</v>
      </c>
      <c r="H88" s="5" t="s">
        <v>384</v>
      </c>
      <c r="I88" s="16"/>
      <c r="J88" s="16"/>
    </row>
    <row r="89" ht="22.5" customHeight="1">
      <c r="A89" s="28" t="s">
        <v>264</v>
      </c>
      <c r="B89" s="29" t="s">
        <v>68</v>
      </c>
      <c r="C89" s="29">
        <v>1.0</v>
      </c>
      <c r="D89" s="30">
        <v>310.0</v>
      </c>
      <c r="E89" s="29" t="s">
        <v>31</v>
      </c>
      <c r="F89" s="31">
        <v>45835.0</v>
      </c>
      <c r="G89" s="5" t="s">
        <v>72</v>
      </c>
      <c r="H89" s="5" t="s">
        <v>386</v>
      </c>
      <c r="I89" s="16"/>
      <c r="J89" s="16"/>
    </row>
    <row r="90" ht="22.5" customHeight="1">
      <c r="A90" s="32" t="s">
        <v>389</v>
      </c>
      <c r="B90" s="22" t="s">
        <v>68</v>
      </c>
      <c r="C90" s="22">
        <v>3.0</v>
      </c>
      <c r="D90" s="24">
        <v>280.0</v>
      </c>
      <c r="E90" s="22" t="s">
        <v>31</v>
      </c>
      <c r="F90" s="25">
        <v>45835.0</v>
      </c>
      <c r="G90" s="5" t="s">
        <v>72</v>
      </c>
      <c r="H90" s="5" t="s">
        <v>390</v>
      </c>
      <c r="I90" s="16"/>
      <c r="J90" s="16"/>
    </row>
    <row r="91" ht="22.5" customHeight="1">
      <c r="A91" s="28" t="s">
        <v>307</v>
      </c>
      <c r="B91" s="29" t="s">
        <v>68</v>
      </c>
      <c r="C91" s="29">
        <v>1.0</v>
      </c>
      <c r="D91" s="30">
        <v>275.0</v>
      </c>
      <c r="E91" s="29" t="s">
        <v>31</v>
      </c>
      <c r="F91" s="31">
        <v>45835.0</v>
      </c>
      <c r="G91" s="5" t="s">
        <v>72</v>
      </c>
      <c r="H91" s="5" t="s">
        <v>393</v>
      </c>
      <c r="I91" s="16"/>
      <c r="J91" s="16"/>
    </row>
    <row r="92" ht="22.5" customHeight="1">
      <c r="A92" s="32" t="s">
        <v>241</v>
      </c>
      <c r="B92" s="22" t="s">
        <v>394</v>
      </c>
      <c r="C92" s="22">
        <v>1.0</v>
      </c>
      <c r="D92" s="24">
        <v>225.0</v>
      </c>
      <c r="E92" s="22" t="s">
        <v>31</v>
      </c>
      <c r="F92" s="25">
        <v>45835.0</v>
      </c>
      <c r="G92" s="5" t="s">
        <v>72</v>
      </c>
      <c r="H92" s="5" t="s">
        <v>396</v>
      </c>
      <c r="I92" s="16"/>
      <c r="J92" s="16"/>
    </row>
    <row r="93" ht="22.5" customHeight="1">
      <c r="A93" s="28" t="s">
        <v>397</v>
      </c>
      <c r="B93" s="29" t="s">
        <v>68</v>
      </c>
      <c r="C93" s="29">
        <v>1.0</v>
      </c>
      <c r="D93" s="30">
        <v>215.0</v>
      </c>
      <c r="E93" s="29" t="s">
        <v>31</v>
      </c>
      <c r="F93" s="31">
        <v>45835.0</v>
      </c>
      <c r="G93" s="5" t="s">
        <v>72</v>
      </c>
      <c r="H93" s="5" t="s">
        <v>398</v>
      </c>
      <c r="I93" s="16"/>
      <c r="J93" s="16"/>
    </row>
    <row r="94" ht="22.5" customHeight="1">
      <c r="A94" s="32" t="s">
        <v>399</v>
      </c>
      <c r="B94" s="22" t="s">
        <v>68</v>
      </c>
      <c r="C94" s="22">
        <v>3.0</v>
      </c>
      <c r="D94" s="24">
        <v>210.0</v>
      </c>
      <c r="E94" s="22" t="s">
        <v>31</v>
      </c>
      <c r="F94" s="25">
        <v>45835.0</v>
      </c>
      <c r="G94" s="5" t="s">
        <v>72</v>
      </c>
      <c r="H94" s="5" t="s">
        <v>400</v>
      </c>
      <c r="I94" s="16"/>
      <c r="J94" s="16"/>
    </row>
    <row r="95" ht="22.5" customHeight="1">
      <c r="A95" s="28" t="s">
        <v>401</v>
      </c>
      <c r="B95" s="29" t="s">
        <v>68</v>
      </c>
      <c r="C95" s="29">
        <v>1.0</v>
      </c>
      <c r="D95" s="30">
        <v>195.0</v>
      </c>
      <c r="E95" s="29" t="s">
        <v>31</v>
      </c>
      <c r="F95" s="31">
        <v>45835.0</v>
      </c>
      <c r="G95" s="5" t="s">
        <v>72</v>
      </c>
      <c r="H95" s="5" t="s">
        <v>403</v>
      </c>
      <c r="I95" s="16"/>
      <c r="J95" s="16"/>
    </row>
    <row r="96" ht="22.5" customHeight="1">
      <c r="A96" s="32" t="s">
        <v>407</v>
      </c>
      <c r="B96" s="22" t="s">
        <v>68</v>
      </c>
      <c r="C96" s="22">
        <v>1.0</v>
      </c>
      <c r="D96" s="24">
        <v>195.0</v>
      </c>
      <c r="E96" s="22" t="s">
        <v>31</v>
      </c>
      <c r="F96" s="25">
        <v>45835.0</v>
      </c>
      <c r="G96" s="5" t="s">
        <v>72</v>
      </c>
      <c r="H96" s="5" t="s">
        <v>408</v>
      </c>
      <c r="I96" s="16"/>
      <c r="J96" s="16"/>
    </row>
    <row r="97" ht="22.5" customHeight="1">
      <c r="A97" s="28" t="s">
        <v>407</v>
      </c>
      <c r="B97" s="29" t="s">
        <v>68</v>
      </c>
      <c r="C97" s="29">
        <v>1.0</v>
      </c>
      <c r="D97" s="30">
        <v>190.0</v>
      </c>
      <c r="E97" s="29" t="s">
        <v>31</v>
      </c>
      <c r="F97" s="31">
        <v>45835.0</v>
      </c>
      <c r="G97" s="5" t="s">
        <v>72</v>
      </c>
      <c r="H97" s="5" t="s">
        <v>413</v>
      </c>
      <c r="I97" s="16"/>
      <c r="J97" s="16"/>
    </row>
    <row r="98" ht="22.5" customHeight="1">
      <c r="A98" s="32" t="s">
        <v>414</v>
      </c>
      <c r="B98" s="22" t="s">
        <v>68</v>
      </c>
      <c r="C98" s="22">
        <v>1.0</v>
      </c>
      <c r="D98" s="24">
        <v>180.0</v>
      </c>
      <c r="E98" s="22" t="s">
        <v>31</v>
      </c>
      <c r="F98" s="25">
        <v>45835.0</v>
      </c>
      <c r="G98" s="5" t="s">
        <v>72</v>
      </c>
      <c r="H98" s="5" t="s">
        <v>417</v>
      </c>
      <c r="I98" s="16"/>
      <c r="J98" s="16"/>
    </row>
    <row r="99" ht="22.5" customHeight="1">
      <c r="A99" s="28" t="s">
        <v>420</v>
      </c>
      <c r="B99" s="29" t="s">
        <v>394</v>
      </c>
      <c r="C99" s="29">
        <v>1.0</v>
      </c>
      <c r="D99" s="30">
        <v>175.0</v>
      </c>
      <c r="E99" s="29" t="s">
        <v>31</v>
      </c>
      <c r="F99" s="31">
        <v>45835.0</v>
      </c>
      <c r="G99" s="5" t="s">
        <v>72</v>
      </c>
      <c r="H99" s="5" t="s">
        <v>422</v>
      </c>
      <c r="I99" s="16"/>
      <c r="J99" s="16"/>
    </row>
    <row r="100" ht="22.5" customHeight="1">
      <c r="A100" s="32" t="s">
        <v>66</v>
      </c>
      <c r="B100" s="22" t="s">
        <v>68</v>
      </c>
      <c r="C100" s="22">
        <v>1.0</v>
      </c>
      <c r="D100" s="24">
        <v>170.0</v>
      </c>
      <c r="E100" s="22" t="s">
        <v>31</v>
      </c>
      <c r="F100" s="25">
        <v>45835.0</v>
      </c>
      <c r="G100" s="5" t="s">
        <v>72</v>
      </c>
      <c r="H100" s="5" t="s">
        <v>425</v>
      </c>
      <c r="I100" s="16"/>
      <c r="J100" s="16"/>
    </row>
    <row r="101" ht="22.5" customHeight="1">
      <c r="A101" s="28" t="s">
        <v>283</v>
      </c>
      <c r="B101" s="29" t="s">
        <v>68</v>
      </c>
      <c r="C101" s="29">
        <v>2.0</v>
      </c>
      <c r="D101" s="30">
        <v>140.0</v>
      </c>
      <c r="E101" s="29" t="s">
        <v>31</v>
      </c>
      <c r="F101" s="31">
        <v>45835.0</v>
      </c>
      <c r="G101" s="5" t="s">
        <v>72</v>
      </c>
      <c r="H101" s="5" t="s">
        <v>427</v>
      </c>
      <c r="I101" s="16"/>
      <c r="J101" s="16"/>
    </row>
    <row r="102" ht="22.5" customHeight="1">
      <c r="A102" s="32" t="s">
        <v>277</v>
      </c>
      <c r="B102" s="22" t="s">
        <v>68</v>
      </c>
      <c r="C102" s="22">
        <v>2.0</v>
      </c>
      <c r="D102" s="24">
        <v>135.0</v>
      </c>
      <c r="E102" s="22" t="s">
        <v>31</v>
      </c>
      <c r="F102" s="25">
        <v>45835.0</v>
      </c>
      <c r="G102" s="5" t="s">
        <v>72</v>
      </c>
      <c r="H102" s="5" t="s">
        <v>430</v>
      </c>
      <c r="I102" s="16"/>
      <c r="J102" s="16"/>
    </row>
    <row r="103" ht="22.5" customHeight="1">
      <c r="A103" s="28" t="s">
        <v>432</v>
      </c>
      <c r="B103" s="29" t="s">
        <v>68</v>
      </c>
      <c r="C103" s="29">
        <v>2.0</v>
      </c>
      <c r="D103" s="30">
        <v>135.0</v>
      </c>
      <c r="E103" s="29" t="s">
        <v>31</v>
      </c>
      <c r="F103" s="31">
        <v>45835.0</v>
      </c>
      <c r="G103" s="5" t="s">
        <v>72</v>
      </c>
      <c r="H103" s="5" t="s">
        <v>434</v>
      </c>
      <c r="I103" s="16"/>
      <c r="J103" s="16"/>
    </row>
    <row r="104" ht="22.5" customHeight="1">
      <c r="A104" s="32" t="s">
        <v>112</v>
      </c>
      <c r="B104" s="22" t="s">
        <v>68</v>
      </c>
      <c r="C104" s="22">
        <v>1.0</v>
      </c>
      <c r="D104" s="24">
        <v>135.0</v>
      </c>
      <c r="E104" s="22" t="s">
        <v>31</v>
      </c>
      <c r="F104" s="25">
        <v>45835.0</v>
      </c>
      <c r="G104" s="5" t="s">
        <v>72</v>
      </c>
      <c r="H104" s="5" t="s">
        <v>437</v>
      </c>
      <c r="I104" s="16"/>
      <c r="J104" s="16"/>
    </row>
    <row r="105" ht="22.5" customHeight="1">
      <c r="A105" s="28" t="s">
        <v>440</v>
      </c>
      <c r="B105" s="29" t="s">
        <v>68</v>
      </c>
      <c r="C105" s="29">
        <v>2.0</v>
      </c>
      <c r="D105" s="30">
        <v>130.0</v>
      </c>
      <c r="E105" s="29" t="s">
        <v>31</v>
      </c>
      <c r="F105" s="31">
        <v>45835.0</v>
      </c>
      <c r="G105" s="5" t="s">
        <v>72</v>
      </c>
      <c r="H105" s="5" t="s">
        <v>442</v>
      </c>
      <c r="I105" s="16"/>
      <c r="J105" s="16"/>
    </row>
    <row r="106" ht="22.5" customHeight="1">
      <c r="A106" s="32" t="s">
        <v>443</v>
      </c>
      <c r="B106" s="22" t="s">
        <v>68</v>
      </c>
      <c r="C106" s="22">
        <v>1.0</v>
      </c>
      <c r="D106" s="24">
        <v>130.0</v>
      </c>
      <c r="E106" s="22" t="s">
        <v>31</v>
      </c>
      <c r="F106" s="25">
        <v>45835.0</v>
      </c>
      <c r="G106" s="5" t="s">
        <v>72</v>
      </c>
      <c r="H106" s="5" t="s">
        <v>444</v>
      </c>
      <c r="I106" s="16"/>
      <c r="J106" s="16"/>
    </row>
    <row r="107" ht="22.5" customHeight="1">
      <c r="A107" s="28" t="s">
        <v>317</v>
      </c>
      <c r="B107" s="29" t="s">
        <v>68</v>
      </c>
      <c r="C107" s="29">
        <v>2.0</v>
      </c>
      <c r="D107" s="30">
        <v>125.0</v>
      </c>
      <c r="E107" s="29" t="s">
        <v>31</v>
      </c>
      <c r="F107" s="31">
        <v>45835.0</v>
      </c>
      <c r="G107" s="5" t="s">
        <v>72</v>
      </c>
      <c r="H107" s="5" t="s">
        <v>447</v>
      </c>
      <c r="I107" s="16"/>
      <c r="J107" s="16"/>
    </row>
    <row r="108" ht="22.5" customHeight="1">
      <c r="A108" s="32" t="s">
        <v>448</v>
      </c>
      <c r="B108" s="22" t="s">
        <v>68</v>
      </c>
      <c r="C108" s="22">
        <v>1.0</v>
      </c>
      <c r="D108" s="24">
        <v>125.0</v>
      </c>
      <c r="E108" s="22" t="s">
        <v>31</v>
      </c>
      <c r="F108" s="25">
        <v>45835.0</v>
      </c>
      <c r="G108" s="5" t="s">
        <v>72</v>
      </c>
      <c r="H108" s="5" t="s">
        <v>450</v>
      </c>
      <c r="I108" s="16"/>
      <c r="J108" s="16"/>
    </row>
    <row r="109" ht="22.5" customHeight="1">
      <c r="A109" s="28" t="s">
        <v>270</v>
      </c>
      <c r="B109" s="29" t="s">
        <v>68</v>
      </c>
      <c r="C109" s="29">
        <v>2.0</v>
      </c>
      <c r="D109" s="30">
        <f>225/2</f>
        <v>112.5</v>
      </c>
      <c r="E109" s="29" t="s">
        <v>31</v>
      </c>
      <c r="F109" s="31">
        <v>45835.0</v>
      </c>
      <c r="G109" s="5" t="s">
        <v>72</v>
      </c>
      <c r="H109" s="5" t="s">
        <v>453</v>
      </c>
      <c r="I109" s="16"/>
      <c r="J109" s="16"/>
    </row>
    <row r="110" ht="22.5" customHeight="1">
      <c r="A110" s="32" t="s">
        <v>204</v>
      </c>
      <c r="B110" s="22" t="s">
        <v>68</v>
      </c>
      <c r="C110" s="22">
        <v>1.0</v>
      </c>
      <c r="D110" s="24">
        <v>110.0</v>
      </c>
      <c r="E110" s="22" t="s">
        <v>31</v>
      </c>
      <c r="F110" s="25">
        <v>45835.0</v>
      </c>
      <c r="G110" s="5" t="s">
        <v>72</v>
      </c>
      <c r="H110" s="5" t="s">
        <v>455</v>
      </c>
      <c r="I110" s="16"/>
      <c r="J110" s="16"/>
    </row>
    <row r="111" ht="22.5" customHeight="1">
      <c r="A111" s="28" t="s">
        <v>329</v>
      </c>
      <c r="B111" s="29" t="s">
        <v>68</v>
      </c>
      <c r="C111" s="29">
        <v>1.0</v>
      </c>
      <c r="D111" s="30">
        <v>110.0</v>
      </c>
      <c r="E111" s="29" t="s">
        <v>31</v>
      </c>
      <c r="F111" s="31">
        <v>45835.0</v>
      </c>
      <c r="G111" s="5" t="s">
        <v>72</v>
      </c>
      <c r="H111" s="5" t="s">
        <v>458</v>
      </c>
      <c r="I111" s="16"/>
      <c r="J111" s="16"/>
    </row>
    <row r="112" ht="22.5" customHeight="1">
      <c r="A112" s="32" t="s">
        <v>459</v>
      </c>
      <c r="B112" s="22" t="s">
        <v>68</v>
      </c>
      <c r="C112" s="22">
        <v>1.0</v>
      </c>
      <c r="D112" s="24">
        <v>110.0</v>
      </c>
      <c r="E112" s="22" t="s">
        <v>31</v>
      </c>
      <c r="F112" s="25">
        <v>45835.0</v>
      </c>
      <c r="G112" s="5" t="s">
        <v>72</v>
      </c>
      <c r="H112" s="5" t="s">
        <v>460</v>
      </c>
      <c r="I112" s="16"/>
      <c r="J112" s="16"/>
    </row>
    <row r="113" ht="22.5" customHeight="1">
      <c r="A113" s="28" t="s">
        <v>463</v>
      </c>
      <c r="B113" s="29" t="s">
        <v>68</v>
      </c>
      <c r="C113" s="29">
        <v>2.0</v>
      </c>
      <c r="D113" s="30">
        <v>110.0</v>
      </c>
      <c r="E113" s="29" t="s">
        <v>31</v>
      </c>
      <c r="F113" s="31">
        <v>45835.0</v>
      </c>
      <c r="G113" s="5" t="s">
        <v>72</v>
      </c>
      <c r="H113" s="5" t="s">
        <v>465</v>
      </c>
      <c r="I113" s="16"/>
      <c r="J113" s="16"/>
    </row>
    <row r="114" ht="22.5" customHeight="1">
      <c r="A114" s="32" t="s">
        <v>466</v>
      </c>
      <c r="B114" s="22" t="s">
        <v>68</v>
      </c>
      <c r="C114" s="22">
        <v>32.0</v>
      </c>
      <c r="D114" s="24">
        <v>35.0</v>
      </c>
      <c r="E114" s="22" t="s">
        <v>31</v>
      </c>
      <c r="F114" s="25">
        <v>45835.0</v>
      </c>
      <c r="G114" s="5" t="s">
        <v>72</v>
      </c>
      <c r="H114" s="5" t="s">
        <v>468</v>
      </c>
      <c r="I114" s="16"/>
      <c r="J114" s="16"/>
    </row>
    <row r="115" ht="22.5" customHeight="1">
      <c r="A115" s="28" t="s">
        <v>172</v>
      </c>
      <c r="B115" s="29" t="s">
        <v>68</v>
      </c>
      <c r="C115" s="29">
        <v>16.0</v>
      </c>
      <c r="D115" s="30">
        <v>30.0</v>
      </c>
      <c r="E115" s="29" t="s">
        <v>31</v>
      </c>
      <c r="F115" s="31">
        <v>45835.0</v>
      </c>
      <c r="G115" s="5" t="s">
        <v>72</v>
      </c>
      <c r="H115" s="5" t="s">
        <v>469</v>
      </c>
      <c r="I115" s="16"/>
      <c r="J115" s="16"/>
    </row>
    <row r="116" ht="22.5" customHeight="1">
      <c r="A116" s="32" t="s">
        <v>74</v>
      </c>
      <c r="B116" s="22" t="s">
        <v>30</v>
      </c>
      <c r="C116" s="22">
        <v>13.0</v>
      </c>
      <c r="D116" s="24">
        <v>120.0</v>
      </c>
      <c r="E116" s="22" t="s">
        <v>31</v>
      </c>
      <c r="F116" s="25">
        <v>45845.0</v>
      </c>
      <c r="G116" s="5" t="s">
        <v>72</v>
      </c>
      <c r="H116" s="5" t="s">
        <v>471</v>
      </c>
      <c r="I116" s="16"/>
      <c r="J116" s="16"/>
    </row>
    <row r="117" ht="22.5" customHeight="1">
      <c r="A117" s="28" t="s">
        <v>473</v>
      </c>
      <c r="B117" s="29" t="s">
        <v>30</v>
      </c>
      <c r="C117" s="29">
        <v>2.0</v>
      </c>
      <c r="D117" s="30">
        <v>95.0</v>
      </c>
      <c r="E117" s="29" t="s">
        <v>31</v>
      </c>
      <c r="F117" s="31">
        <v>45845.0</v>
      </c>
      <c r="G117" s="5" t="s">
        <v>72</v>
      </c>
      <c r="H117" s="5" t="s">
        <v>475</v>
      </c>
      <c r="I117" s="16"/>
      <c r="J117" s="16"/>
    </row>
    <row r="118" ht="22.5" customHeight="1">
      <c r="A118" s="32" t="s">
        <v>116</v>
      </c>
      <c r="B118" s="22" t="s">
        <v>476</v>
      </c>
      <c r="C118" s="22">
        <v>12.0</v>
      </c>
      <c r="D118" s="24">
        <v>17.0</v>
      </c>
      <c r="E118" s="22" t="s">
        <v>31</v>
      </c>
      <c r="F118" s="25">
        <v>45845.0</v>
      </c>
      <c r="G118" s="5" t="s">
        <v>72</v>
      </c>
      <c r="H118" s="5" t="s">
        <v>477</v>
      </c>
      <c r="I118" s="16"/>
      <c r="J118" s="16"/>
    </row>
    <row r="119" ht="22.5" customHeight="1">
      <c r="A119" s="35" t="s">
        <v>144</v>
      </c>
      <c r="B119" s="29" t="s">
        <v>224</v>
      </c>
      <c r="C119" s="29">
        <v>6.0</v>
      </c>
      <c r="D119" s="30">
        <v>165.0</v>
      </c>
      <c r="E119" s="29" t="s">
        <v>31</v>
      </c>
      <c r="F119" s="31">
        <v>45845.0</v>
      </c>
      <c r="G119" s="5" t="s">
        <v>72</v>
      </c>
      <c r="H119" s="5" t="s">
        <v>481</v>
      </c>
      <c r="I119" s="16"/>
      <c r="J119" s="16"/>
    </row>
    <row r="120" ht="22.5" customHeight="1">
      <c r="A120" s="32" t="s">
        <v>239</v>
      </c>
      <c r="B120" s="22" t="s">
        <v>224</v>
      </c>
      <c r="C120" s="22">
        <v>2.0</v>
      </c>
      <c r="D120" s="24">
        <v>325.0</v>
      </c>
      <c r="E120" s="22" t="s">
        <v>31</v>
      </c>
      <c r="F120" s="25">
        <v>45845.0</v>
      </c>
      <c r="G120" s="5" t="s">
        <v>72</v>
      </c>
      <c r="H120" s="5" t="s">
        <v>485</v>
      </c>
      <c r="I120" s="16"/>
      <c r="J120" s="16"/>
    </row>
    <row r="121" ht="22.5" customHeight="1">
      <c r="A121" s="28" t="s">
        <v>79</v>
      </c>
      <c r="B121" s="29" t="s">
        <v>169</v>
      </c>
      <c r="C121" s="29">
        <v>12.0</v>
      </c>
      <c r="D121" s="30">
        <v>60.0</v>
      </c>
      <c r="E121" s="29" t="s">
        <v>31</v>
      </c>
      <c r="F121" s="31">
        <v>45845.0</v>
      </c>
      <c r="G121" s="5" t="s">
        <v>72</v>
      </c>
      <c r="H121" s="5" t="s">
        <v>488</v>
      </c>
      <c r="I121" s="16"/>
      <c r="J121" s="16"/>
    </row>
    <row r="122" ht="22.5" customHeight="1">
      <c r="A122" s="32" t="s">
        <v>314</v>
      </c>
      <c r="B122" s="22" t="s">
        <v>50</v>
      </c>
      <c r="C122" s="22">
        <v>3.0</v>
      </c>
      <c r="D122" s="24">
        <v>275.0</v>
      </c>
      <c r="E122" s="22" t="s">
        <v>31</v>
      </c>
      <c r="F122" s="25">
        <v>45845.0</v>
      </c>
      <c r="G122" s="5" t="s">
        <v>72</v>
      </c>
      <c r="H122" s="5" t="s">
        <v>490</v>
      </c>
      <c r="I122" s="16"/>
      <c r="J122" s="16"/>
    </row>
    <row r="123" ht="22.5" customHeight="1">
      <c r="A123" s="28" t="s">
        <v>212</v>
      </c>
      <c r="B123" s="29" t="s">
        <v>50</v>
      </c>
      <c r="C123" s="29">
        <v>1.0</v>
      </c>
      <c r="D123" s="30">
        <v>325.0</v>
      </c>
      <c r="E123" s="29" t="s">
        <v>31</v>
      </c>
      <c r="F123" s="31">
        <v>45845.0</v>
      </c>
      <c r="G123" s="5" t="s">
        <v>72</v>
      </c>
      <c r="H123" s="5" t="s">
        <v>491</v>
      </c>
      <c r="I123" s="16"/>
      <c r="J123" s="16"/>
    </row>
    <row r="124" ht="22.5" customHeight="1">
      <c r="A124" s="32" t="s">
        <v>179</v>
      </c>
      <c r="B124" s="22" t="s">
        <v>238</v>
      </c>
      <c r="C124" s="22">
        <v>4.0</v>
      </c>
      <c r="D124" s="24">
        <v>105.0</v>
      </c>
      <c r="E124" s="22" t="s">
        <v>31</v>
      </c>
      <c r="F124" s="25">
        <v>45845.0</v>
      </c>
      <c r="G124" s="5" t="s">
        <v>72</v>
      </c>
      <c r="H124" s="5" t="s">
        <v>493</v>
      </c>
      <c r="I124" s="16"/>
      <c r="J124" s="16"/>
    </row>
    <row r="125" ht="22.5" customHeight="1">
      <c r="A125" s="28" t="s">
        <v>302</v>
      </c>
      <c r="B125" s="29" t="s">
        <v>494</v>
      </c>
      <c r="C125" s="29">
        <v>24.0</v>
      </c>
      <c r="D125" s="30">
        <v>18.0</v>
      </c>
      <c r="E125" s="29" t="s">
        <v>31</v>
      </c>
      <c r="F125" s="31">
        <v>45845.0</v>
      </c>
      <c r="G125" s="5" t="s">
        <v>72</v>
      </c>
      <c r="H125" s="5" t="s">
        <v>495</v>
      </c>
      <c r="I125" s="16"/>
      <c r="J125" s="16"/>
    </row>
    <row r="126" ht="22.5" customHeight="1">
      <c r="A126" s="32" t="s">
        <v>374</v>
      </c>
      <c r="B126" s="22" t="s">
        <v>50</v>
      </c>
      <c r="C126" s="22">
        <v>1.0</v>
      </c>
      <c r="D126" s="24">
        <v>235.0</v>
      </c>
      <c r="E126" s="22" t="s">
        <v>31</v>
      </c>
      <c r="F126" s="25">
        <v>45856.0</v>
      </c>
      <c r="G126" s="5" t="s">
        <v>72</v>
      </c>
      <c r="H126" s="5" t="s">
        <v>499</v>
      </c>
      <c r="I126" s="16"/>
      <c r="J126" s="16"/>
    </row>
    <row r="127" ht="22.5" customHeight="1">
      <c r="A127" s="28" t="s">
        <v>55</v>
      </c>
      <c r="B127" s="29" t="s">
        <v>50</v>
      </c>
      <c r="C127" s="29">
        <v>4.0</v>
      </c>
      <c r="D127" s="30">
        <v>195.0</v>
      </c>
      <c r="E127" s="29" t="s">
        <v>31</v>
      </c>
      <c r="F127" s="31">
        <v>45856.0</v>
      </c>
      <c r="G127" s="5" t="s">
        <v>72</v>
      </c>
      <c r="H127" s="5" t="s">
        <v>501</v>
      </c>
      <c r="I127" s="16"/>
      <c r="J127" s="16"/>
    </row>
    <row r="128" ht="22.5" customHeight="1">
      <c r="A128" s="32" t="s">
        <v>140</v>
      </c>
      <c r="B128" s="22" t="s">
        <v>50</v>
      </c>
      <c r="C128" s="22">
        <v>1.0</v>
      </c>
      <c r="D128" s="24">
        <v>425.0</v>
      </c>
      <c r="E128" s="22" t="s">
        <v>31</v>
      </c>
      <c r="F128" s="25">
        <v>45856.0</v>
      </c>
      <c r="G128" s="5" t="s">
        <v>72</v>
      </c>
      <c r="H128" s="5" t="s">
        <v>502</v>
      </c>
      <c r="I128" s="16"/>
      <c r="J128" s="16"/>
    </row>
    <row r="129" ht="22.5" customHeight="1">
      <c r="A129" s="28" t="s">
        <v>102</v>
      </c>
      <c r="B129" s="29" t="s">
        <v>50</v>
      </c>
      <c r="C129" s="29">
        <v>1.0</v>
      </c>
      <c r="D129" s="30">
        <v>550.0</v>
      </c>
      <c r="E129" s="29" t="s">
        <v>31</v>
      </c>
      <c r="F129" s="31">
        <v>45856.0</v>
      </c>
      <c r="G129" s="5" t="s">
        <v>72</v>
      </c>
      <c r="H129" s="5" t="s">
        <v>504</v>
      </c>
      <c r="I129" s="16"/>
      <c r="J129" s="16"/>
    </row>
    <row r="130" ht="22.5" customHeight="1">
      <c r="A130" s="32" t="s">
        <v>294</v>
      </c>
      <c r="B130" s="22" t="s">
        <v>68</v>
      </c>
      <c r="C130" s="22">
        <v>6.0</v>
      </c>
      <c r="D130" s="24">
        <v>80.0</v>
      </c>
      <c r="E130" s="22" t="s">
        <v>31</v>
      </c>
      <c r="F130" s="25">
        <v>45856.0</v>
      </c>
      <c r="G130" s="5" t="s">
        <v>72</v>
      </c>
      <c r="H130" s="5" t="s">
        <v>506</v>
      </c>
      <c r="I130" s="16"/>
      <c r="J130" s="16"/>
    </row>
    <row r="131" ht="22.5" customHeight="1">
      <c r="A131" s="28" t="s">
        <v>507</v>
      </c>
      <c r="B131" s="29" t="s">
        <v>68</v>
      </c>
      <c r="C131" s="29">
        <v>3.0</v>
      </c>
      <c r="D131" s="30">
        <f>85+150</f>
        <v>235</v>
      </c>
      <c r="E131" s="29" t="s">
        <v>31</v>
      </c>
      <c r="F131" s="31">
        <v>45856.0</v>
      </c>
      <c r="G131" s="5" t="s">
        <v>72</v>
      </c>
      <c r="H131" s="5" t="s">
        <v>509</v>
      </c>
      <c r="I131" s="16"/>
      <c r="J131" s="16"/>
    </row>
    <row r="132" ht="22.5" customHeight="1">
      <c r="A132" s="32" t="s">
        <v>510</v>
      </c>
      <c r="B132" s="22" t="s">
        <v>238</v>
      </c>
      <c r="C132" s="22">
        <v>1.0</v>
      </c>
      <c r="D132" s="24">
        <f>275</f>
        <v>275</v>
      </c>
      <c r="E132" s="22" t="s">
        <v>31</v>
      </c>
      <c r="F132" s="25">
        <v>45856.0</v>
      </c>
      <c r="G132" s="5" t="s">
        <v>72</v>
      </c>
      <c r="H132" s="5" t="s">
        <v>512</v>
      </c>
      <c r="I132" s="16"/>
      <c r="J132" s="16"/>
    </row>
    <row r="133" ht="22.5" customHeight="1">
      <c r="A133" s="28" t="s">
        <v>143</v>
      </c>
      <c r="B133" s="29" t="s">
        <v>68</v>
      </c>
      <c r="C133" s="29">
        <v>2.0</v>
      </c>
      <c r="D133" s="30">
        <v>425.0</v>
      </c>
      <c r="E133" s="29" t="s">
        <v>31</v>
      </c>
      <c r="F133" s="31">
        <v>45856.0</v>
      </c>
      <c r="G133" s="5" t="s">
        <v>72</v>
      </c>
      <c r="H133" s="5" t="s">
        <v>514</v>
      </c>
      <c r="I133" s="16"/>
      <c r="J133" s="16"/>
    </row>
    <row r="134" ht="22.5" customHeight="1">
      <c r="A134" s="32" t="s">
        <v>194</v>
      </c>
      <c r="B134" s="22" t="s">
        <v>238</v>
      </c>
      <c r="C134" s="22">
        <v>10.0</v>
      </c>
      <c r="D134" s="24">
        <v>175.0</v>
      </c>
      <c r="E134" s="22" t="s">
        <v>31</v>
      </c>
      <c r="F134" s="25">
        <v>45856.0</v>
      </c>
      <c r="G134" s="5" t="s">
        <v>72</v>
      </c>
      <c r="H134" s="5" t="s">
        <v>516</v>
      </c>
      <c r="I134" s="16"/>
      <c r="J134" s="16"/>
    </row>
    <row r="135" ht="22.5" customHeight="1">
      <c r="A135" s="28" t="s">
        <v>311</v>
      </c>
      <c r="B135" s="29" t="s">
        <v>185</v>
      </c>
      <c r="C135" s="29">
        <v>2.0</v>
      </c>
      <c r="D135" s="30">
        <v>150.0</v>
      </c>
      <c r="E135" s="29" t="s">
        <v>31</v>
      </c>
      <c r="F135" s="31">
        <v>45856.0</v>
      </c>
      <c r="G135" s="5" t="s">
        <v>72</v>
      </c>
      <c r="H135" s="5" t="s">
        <v>520</v>
      </c>
      <c r="I135" s="16"/>
      <c r="J135" s="16"/>
    </row>
    <row r="136" ht="22.5" customHeight="1">
      <c r="A136" s="32" t="s">
        <v>521</v>
      </c>
      <c r="B136" s="22" t="s">
        <v>185</v>
      </c>
      <c r="C136" s="22">
        <v>1.0</v>
      </c>
      <c r="D136" s="24">
        <v>175.0</v>
      </c>
      <c r="E136" s="22" t="s">
        <v>31</v>
      </c>
      <c r="F136" s="25">
        <v>45856.0</v>
      </c>
      <c r="G136" s="5" t="s">
        <v>72</v>
      </c>
      <c r="H136" s="5" t="s">
        <v>523</v>
      </c>
      <c r="I136" s="16"/>
      <c r="J136" s="16"/>
    </row>
    <row r="137" ht="22.5" customHeight="1">
      <c r="A137" s="28" t="s">
        <v>526</v>
      </c>
      <c r="B137" s="29" t="s">
        <v>185</v>
      </c>
      <c r="C137" s="29">
        <v>1.0</v>
      </c>
      <c r="D137" s="30">
        <v>145.0</v>
      </c>
      <c r="E137" s="29" t="s">
        <v>31</v>
      </c>
      <c r="F137" s="31">
        <v>45856.0</v>
      </c>
      <c r="G137" s="5" t="s">
        <v>72</v>
      </c>
      <c r="H137" s="5" t="s">
        <v>527</v>
      </c>
      <c r="I137" s="16"/>
      <c r="J137" s="16"/>
    </row>
    <row r="138" ht="22.5" customHeight="1">
      <c r="A138" s="32" t="s">
        <v>139</v>
      </c>
      <c r="B138" s="22" t="s">
        <v>30</v>
      </c>
      <c r="C138" s="22">
        <v>2.0</v>
      </c>
      <c r="D138" s="24">
        <v>110.0</v>
      </c>
      <c r="E138" s="22" t="s">
        <v>31</v>
      </c>
      <c r="F138" s="25">
        <v>45856.0</v>
      </c>
      <c r="G138" s="5" t="s">
        <v>72</v>
      </c>
      <c r="H138" s="5" t="s">
        <v>532</v>
      </c>
      <c r="I138" s="16"/>
      <c r="J138" s="16"/>
    </row>
    <row r="139" ht="22.5" customHeight="1">
      <c r="A139" s="28" t="s">
        <v>351</v>
      </c>
      <c r="B139" s="29" t="s">
        <v>30</v>
      </c>
      <c r="C139" s="29">
        <v>4.0</v>
      </c>
      <c r="D139" s="30">
        <v>120.0</v>
      </c>
      <c r="E139" s="29" t="s">
        <v>31</v>
      </c>
      <c r="F139" s="31">
        <v>45856.0</v>
      </c>
      <c r="G139" s="5" t="s">
        <v>72</v>
      </c>
      <c r="H139" s="5" t="s">
        <v>537</v>
      </c>
      <c r="I139" s="16"/>
      <c r="J139" s="16"/>
    </row>
    <row r="140" ht="22.5" customHeight="1">
      <c r="A140" s="32" t="s">
        <v>538</v>
      </c>
      <c r="B140" s="22" t="s">
        <v>30</v>
      </c>
      <c r="C140" s="22">
        <v>2.0</v>
      </c>
      <c r="D140" s="24">
        <v>140.0</v>
      </c>
      <c r="E140" s="22" t="s">
        <v>31</v>
      </c>
      <c r="F140" s="25">
        <v>45856.0</v>
      </c>
      <c r="G140" s="5" t="s">
        <v>72</v>
      </c>
      <c r="H140" s="5" t="s">
        <v>539</v>
      </c>
      <c r="I140" s="16"/>
      <c r="J140" s="16"/>
    </row>
    <row r="141" ht="22.5" customHeight="1">
      <c r="A141" s="28" t="s">
        <v>75</v>
      </c>
      <c r="B141" s="29" t="s">
        <v>30</v>
      </c>
      <c r="C141" s="29">
        <v>1.0</v>
      </c>
      <c r="D141" s="30">
        <v>695.0</v>
      </c>
      <c r="E141" s="29" t="s">
        <v>31</v>
      </c>
      <c r="F141" s="31">
        <v>45856.0</v>
      </c>
      <c r="G141" s="5" t="s">
        <v>72</v>
      </c>
      <c r="H141" s="5" t="s">
        <v>542</v>
      </c>
      <c r="I141" s="16"/>
      <c r="J141" s="16"/>
    </row>
    <row r="142" ht="22.5" customHeight="1">
      <c r="A142" s="32" t="s">
        <v>39</v>
      </c>
      <c r="B142" s="22" t="s">
        <v>30</v>
      </c>
      <c r="C142" s="22">
        <v>1.0</v>
      </c>
      <c r="D142" s="24">
        <v>1299.0</v>
      </c>
      <c r="E142" s="22" t="s">
        <v>31</v>
      </c>
      <c r="F142" s="25">
        <v>45856.0</v>
      </c>
      <c r="G142" s="5" t="s">
        <v>72</v>
      </c>
      <c r="H142" s="5" t="s">
        <v>543</v>
      </c>
      <c r="I142" s="16"/>
      <c r="J142" s="16"/>
    </row>
    <row r="143" ht="22.5" customHeight="1">
      <c r="A143" s="28" t="s">
        <v>42</v>
      </c>
      <c r="B143" s="29" t="s">
        <v>30</v>
      </c>
      <c r="C143" s="29">
        <v>1.0</v>
      </c>
      <c r="D143" s="30">
        <v>1299.0</v>
      </c>
      <c r="E143" s="29" t="s">
        <v>31</v>
      </c>
      <c r="F143" s="31">
        <v>45856.0</v>
      </c>
      <c r="G143" s="5" t="s">
        <v>72</v>
      </c>
      <c r="H143" s="5" t="s">
        <v>544</v>
      </c>
      <c r="I143" s="16"/>
      <c r="J143" s="16"/>
    </row>
    <row r="144" ht="22.5" customHeight="1">
      <c r="A144" s="32" t="s">
        <v>37</v>
      </c>
      <c r="B144" s="22" t="s">
        <v>30</v>
      </c>
      <c r="C144" s="22">
        <v>2.0</v>
      </c>
      <c r="D144" s="24">
        <v>1399.0</v>
      </c>
      <c r="E144" s="22" t="s">
        <v>31</v>
      </c>
      <c r="F144" s="25">
        <v>45856.0</v>
      </c>
      <c r="G144" s="5" t="s">
        <v>72</v>
      </c>
      <c r="H144" s="5" t="s">
        <v>546</v>
      </c>
      <c r="I144" s="16"/>
      <c r="J144" s="16"/>
    </row>
    <row r="145" ht="22.5" customHeight="1">
      <c r="A145" s="28" t="s">
        <v>44</v>
      </c>
      <c r="B145" s="29" t="s">
        <v>30</v>
      </c>
      <c r="C145" s="29">
        <v>1.0</v>
      </c>
      <c r="D145" s="30">
        <v>1250.0</v>
      </c>
      <c r="E145" s="29" t="s">
        <v>31</v>
      </c>
      <c r="F145" s="31">
        <v>45856.0</v>
      </c>
      <c r="G145" s="5" t="s">
        <v>72</v>
      </c>
      <c r="H145" s="5" t="s">
        <v>548</v>
      </c>
      <c r="I145" s="16"/>
      <c r="J145" s="16"/>
    </row>
    <row r="146" ht="22.5" customHeight="1">
      <c r="A146" s="32" t="s">
        <v>47</v>
      </c>
      <c r="B146" s="22" t="s">
        <v>30</v>
      </c>
      <c r="C146" s="22">
        <v>2.0</v>
      </c>
      <c r="D146" s="24">
        <v>1100.0</v>
      </c>
      <c r="E146" s="22" t="s">
        <v>31</v>
      </c>
      <c r="F146" s="25">
        <v>45856.0</v>
      </c>
      <c r="G146" s="5" t="s">
        <v>72</v>
      </c>
      <c r="H146" s="5" t="s">
        <v>550</v>
      </c>
      <c r="I146" s="16"/>
      <c r="J146" s="16"/>
    </row>
    <row r="147" ht="22.5" customHeight="1">
      <c r="A147" s="28" t="s">
        <v>33</v>
      </c>
      <c r="B147" s="29" t="s">
        <v>30</v>
      </c>
      <c r="C147" s="29">
        <v>1.0</v>
      </c>
      <c r="D147" s="30">
        <v>1499.0</v>
      </c>
      <c r="E147" s="29" t="s">
        <v>31</v>
      </c>
      <c r="F147" s="31">
        <v>45856.0</v>
      </c>
      <c r="G147" s="5" t="s">
        <v>72</v>
      </c>
      <c r="H147" s="5" t="s">
        <v>551</v>
      </c>
      <c r="I147" s="16"/>
      <c r="J147" s="16"/>
    </row>
    <row r="148" ht="22.5" customHeight="1">
      <c r="A148" s="32" t="s">
        <v>35</v>
      </c>
      <c r="B148" s="22" t="s">
        <v>30</v>
      </c>
      <c r="C148" s="22">
        <v>1.0</v>
      </c>
      <c r="D148" s="24">
        <v>1499.0</v>
      </c>
      <c r="E148" s="22" t="s">
        <v>31</v>
      </c>
      <c r="F148" s="25">
        <v>45856.0</v>
      </c>
      <c r="G148" s="5" t="s">
        <v>72</v>
      </c>
      <c r="H148" s="5" t="s">
        <v>553</v>
      </c>
      <c r="I148" s="16"/>
      <c r="J148" s="16"/>
    </row>
    <row r="149" ht="22.5" customHeight="1">
      <c r="A149" s="28" t="s">
        <v>56</v>
      </c>
      <c r="B149" s="29" t="s">
        <v>30</v>
      </c>
      <c r="C149" s="29">
        <v>1.0</v>
      </c>
      <c r="D149" s="30">
        <v>999.0</v>
      </c>
      <c r="E149" s="29" t="s">
        <v>31</v>
      </c>
      <c r="F149" s="31">
        <v>45856.0</v>
      </c>
      <c r="G149" s="5" t="s">
        <v>72</v>
      </c>
      <c r="H149" s="5" t="s">
        <v>556</v>
      </c>
      <c r="I149" s="16"/>
      <c r="J149" s="16"/>
    </row>
    <row r="150" ht="22.5" customHeight="1">
      <c r="A150" s="32" t="s">
        <v>65</v>
      </c>
      <c r="B150" s="22" t="s">
        <v>30</v>
      </c>
      <c r="C150" s="22">
        <v>1.0</v>
      </c>
      <c r="D150" s="24">
        <v>999.0</v>
      </c>
      <c r="E150" s="22" t="s">
        <v>31</v>
      </c>
      <c r="F150" s="25">
        <v>45856.0</v>
      </c>
      <c r="G150" s="5" t="s">
        <v>72</v>
      </c>
      <c r="H150" s="5" t="s">
        <v>557</v>
      </c>
      <c r="I150" s="16"/>
      <c r="J150" s="16"/>
    </row>
    <row r="151" ht="22.5" customHeight="1">
      <c r="A151" s="28" t="s">
        <v>28</v>
      </c>
      <c r="B151" s="29" t="s">
        <v>30</v>
      </c>
      <c r="C151" s="29">
        <v>1.0</v>
      </c>
      <c r="D151" s="30">
        <v>1599.0</v>
      </c>
      <c r="E151" s="29" t="s">
        <v>31</v>
      </c>
      <c r="F151" s="31">
        <v>45856.0</v>
      </c>
      <c r="G151" s="5" t="s">
        <v>72</v>
      </c>
      <c r="H151" s="5" t="s">
        <v>560</v>
      </c>
      <c r="I151" s="16"/>
      <c r="J151" s="16"/>
    </row>
    <row r="152" ht="22.5" customHeight="1">
      <c r="A152" s="32" t="s">
        <v>32</v>
      </c>
      <c r="B152" s="22" t="s">
        <v>30</v>
      </c>
      <c r="C152" s="22">
        <v>1.0</v>
      </c>
      <c r="D152" s="24">
        <v>1599.0</v>
      </c>
      <c r="E152" s="22" t="s">
        <v>31</v>
      </c>
      <c r="F152" s="25">
        <v>45856.0</v>
      </c>
      <c r="G152" s="5" t="s">
        <v>72</v>
      </c>
      <c r="H152" s="5" t="s">
        <v>561</v>
      </c>
      <c r="I152" s="16"/>
      <c r="J152" s="16"/>
    </row>
    <row r="153" ht="22.5" customHeight="1">
      <c r="A153" s="28" t="s">
        <v>242</v>
      </c>
      <c r="B153" s="29" t="s">
        <v>30</v>
      </c>
      <c r="C153" s="29">
        <v>1.0</v>
      </c>
      <c r="D153" s="30">
        <v>325.0</v>
      </c>
      <c r="E153" s="29" t="s">
        <v>31</v>
      </c>
      <c r="F153" s="31">
        <v>45856.0</v>
      </c>
      <c r="G153" s="5" t="s">
        <v>72</v>
      </c>
      <c r="H153" s="5" t="s">
        <v>564</v>
      </c>
      <c r="I153" s="16"/>
      <c r="J153" s="16"/>
    </row>
    <row r="154" ht="22.5" customHeight="1">
      <c r="A154" s="32" t="s">
        <v>565</v>
      </c>
      <c r="B154" s="22" t="s">
        <v>138</v>
      </c>
      <c r="C154" s="22">
        <v>6.0</v>
      </c>
      <c r="D154" s="24">
        <v>40.0</v>
      </c>
      <c r="E154" s="22" t="s">
        <v>31</v>
      </c>
      <c r="F154" s="25">
        <v>45856.0</v>
      </c>
      <c r="G154" s="5" t="s">
        <v>72</v>
      </c>
      <c r="H154" s="5" t="s">
        <v>569</v>
      </c>
      <c r="I154" s="16"/>
      <c r="J154" s="16"/>
    </row>
    <row r="155" ht="22.5" customHeight="1">
      <c r="A155" s="28" t="s">
        <v>570</v>
      </c>
      <c r="B155" s="29" t="s">
        <v>138</v>
      </c>
      <c r="C155" s="29">
        <v>5.0</v>
      </c>
      <c r="D155" s="30">
        <v>50.0</v>
      </c>
      <c r="E155" s="29" t="s">
        <v>31</v>
      </c>
      <c r="F155" s="31">
        <v>45856.0</v>
      </c>
      <c r="G155" s="5" t="s">
        <v>72</v>
      </c>
      <c r="H155" s="5" t="s">
        <v>573</v>
      </c>
      <c r="I155" s="16"/>
      <c r="J155" s="16"/>
    </row>
    <row r="156" ht="22.5" customHeight="1">
      <c r="A156" s="32" t="s">
        <v>272</v>
      </c>
      <c r="B156" s="22" t="s">
        <v>30</v>
      </c>
      <c r="C156" s="22">
        <v>2.0</v>
      </c>
      <c r="D156" s="24">
        <v>300.0</v>
      </c>
      <c r="E156" s="22" t="s">
        <v>31</v>
      </c>
      <c r="F156" s="25">
        <v>45856.0</v>
      </c>
      <c r="G156" s="5" t="s">
        <v>72</v>
      </c>
      <c r="H156" s="5" t="s">
        <v>574</v>
      </c>
      <c r="I156" s="16"/>
      <c r="J156" s="16"/>
    </row>
    <row r="157" ht="22.5" customHeight="1">
      <c r="A157" s="28" t="s">
        <v>505</v>
      </c>
      <c r="B157" s="29" t="s">
        <v>138</v>
      </c>
      <c r="C157" s="29">
        <v>12.0</v>
      </c>
      <c r="D157" s="30">
        <v>165.0</v>
      </c>
      <c r="E157" s="29" t="s">
        <v>576</v>
      </c>
      <c r="F157" s="31">
        <v>45865.0</v>
      </c>
      <c r="G157" s="5" t="s">
        <v>72</v>
      </c>
      <c r="H157" s="5" t="s">
        <v>578</v>
      </c>
      <c r="I157" s="16"/>
      <c r="J157" s="16"/>
    </row>
    <row r="158" ht="22.5" customHeight="1">
      <c r="A158" s="32" t="s">
        <v>268</v>
      </c>
      <c r="B158" s="22" t="s">
        <v>30</v>
      </c>
      <c r="C158" s="22">
        <v>12.0</v>
      </c>
      <c r="D158" s="24">
        <v>170.0</v>
      </c>
      <c r="E158" s="22" t="s">
        <v>581</v>
      </c>
      <c r="F158" s="25">
        <v>45876.0</v>
      </c>
      <c r="G158" s="5" t="s">
        <v>72</v>
      </c>
      <c r="H158" s="5" t="s">
        <v>582</v>
      </c>
      <c r="I158" s="16"/>
      <c r="J158" s="16"/>
    </row>
    <row r="159" ht="22.5" customHeight="1">
      <c r="A159" s="28" t="s">
        <v>487</v>
      </c>
      <c r="B159" s="29" t="s">
        <v>30</v>
      </c>
      <c r="C159" s="29">
        <v>12.0</v>
      </c>
      <c r="D159" s="30">
        <v>95.0</v>
      </c>
      <c r="E159" s="29" t="s">
        <v>581</v>
      </c>
      <c r="F159" s="31">
        <v>45876.0</v>
      </c>
      <c r="G159" s="5" t="s">
        <v>72</v>
      </c>
      <c r="H159" s="5" t="s">
        <v>585</v>
      </c>
      <c r="I159" s="16"/>
      <c r="J159" s="16"/>
    </row>
    <row r="160" ht="22.5" customHeight="1">
      <c r="A160" s="32" t="s">
        <v>586</v>
      </c>
      <c r="B160" s="22" t="s">
        <v>138</v>
      </c>
      <c r="C160" s="22">
        <v>12.0</v>
      </c>
      <c r="D160" s="24">
        <v>34.0</v>
      </c>
      <c r="E160" s="22" t="s">
        <v>581</v>
      </c>
      <c r="F160" s="25">
        <v>45876.0</v>
      </c>
      <c r="G160" s="5" t="s">
        <v>72</v>
      </c>
      <c r="H160" s="5" t="s">
        <v>587</v>
      </c>
      <c r="I160" s="16"/>
      <c r="J160" s="16"/>
    </row>
    <row r="161" ht="22.5" customHeight="1">
      <c r="A161" s="28" t="s">
        <v>157</v>
      </c>
      <c r="B161" s="29" t="s">
        <v>68</v>
      </c>
      <c r="C161" s="29">
        <v>2.0</v>
      </c>
      <c r="D161" s="30">
        <v>120.0</v>
      </c>
      <c r="E161" s="29" t="s">
        <v>31</v>
      </c>
      <c r="F161" s="31">
        <v>45812.0</v>
      </c>
      <c r="G161" s="5" t="s">
        <v>72</v>
      </c>
      <c r="H161" s="5" t="s">
        <v>591</v>
      </c>
      <c r="I161" s="16"/>
      <c r="J161" s="16"/>
    </row>
    <row r="162" ht="22.5" customHeight="1">
      <c r="A162" s="32" t="s">
        <v>198</v>
      </c>
      <c r="B162" s="22" t="s">
        <v>68</v>
      </c>
      <c r="C162" s="22">
        <v>4.0</v>
      </c>
      <c r="D162" s="24">
        <v>55.0</v>
      </c>
      <c r="E162" s="22" t="s">
        <v>31</v>
      </c>
      <c r="F162" s="25">
        <v>45812.0</v>
      </c>
      <c r="G162" s="5" t="s">
        <v>72</v>
      </c>
      <c r="H162" s="5" t="s">
        <v>592</v>
      </c>
      <c r="I162" s="16"/>
      <c r="J162" s="16"/>
    </row>
    <row r="163" ht="22.5" customHeight="1">
      <c r="A163" s="28" t="s">
        <v>84</v>
      </c>
      <c r="B163" s="29" t="s">
        <v>68</v>
      </c>
      <c r="C163" s="29">
        <v>1.0</v>
      </c>
      <c r="D163" s="30">
        <v>220.0</v>
      </c>
      <c r="E163" s="29" t="s">
        <v>31</v>
      </c>
      <c r="F163" s="39"/>
      <c r="G163" s="5" t="s">
        <v>72</v>
      </c>
      <c r="H163" s="5" t="s">
        <v>597</v>
      </c>
      <c r="I163" s="16"/>
      <c r="J163" s="16"/>
    </row>
    <row r="164" ht="22.5" customHeight="1">
      <c r="A164" s="32" t="s">
        <v>260</v>
      </c>
      <c r="B164" s="22" t="s">
        <v>30</v>
      </c>
      <c r="C164" s="22">
        <v>3.0</v>
      </c>
      <c r="D164" s="24">
        <v>170.0</v>
      </c>
      <c r="E164" s="22" t="s">
        <v>31</v>
      </c>
      <c r="F164" s="25">
        <v>45896.0</v>
      </c>
      <c r="G164" s="5" t="s">
        <v>72</v>
      </c>
      <c r="H164" s="5" t="s">
        <v>603</v>
      </c>
      <c r="I164" s="16"/>
      <c r="J164" s="16"/>
    </row>
    <row r="165" ht="22.5" customHeight="1">
      <c r="A165" s="28" t="s">
        <v>293</v>
      </c>
      <c r="B165" s="29" t="s">
        <v>185</v>
      </c>
      <c r="C165" s="29">
        <v>3.0</v>
      </c>
      <c r="D165" s="30">
        <v>175.0</v>
      </c>
      <c r="E165" s="29" t="s">
        <v>31</v>
      </c>
      <c r="F165" s="31">
        <v>45896.0</v>
      </c>
      <c r="G165" s="5" t="s">
        <v>72</v>
      </c>
      <c r="H165" s="5" t="s">
        <v>605</v>
      </c>
      <c r="I165" s="16"/>
      <c r="J165" s="16"/>
    </row>
    <row r="166" ht="22.5" customHeight="1">
      <c r="A166" s="40" t="s">
        <v>470</v>
      </c>
      <c r="B166" s="22" t="s">
        <v>185</v>
      </c>
      <c r="C166" s="22">
        <v>14.0</v>
      </c>
      <c r="D166" s="24">
        <v>75.0</v>
      </c>
      <c r="E166" s="22" t="s">
        <v>31</v>
      </c>
      <c r="F166" s="25">
        <v>45896.0</v>
      </c>
      <c r="G166" s="5" t="s">
        <v>72</v>
      </c>
      <c r="H166" s="5" t="s">
        <v>606</v>
      </c>
      <c r="I166" s="16"/>
      <c r="J166" s="16"/>
    </row>
    <row r="167" ht="22.5" customHeight="1">
      <c r="A167" s="28" t="s">
        <v>608</v>
      </c>
      <c r="B167" s="29" t="s">
        <v>185</v>
      </c>
      <c r="C167" s="29">
        <v>4.0</v>
      </c>
      <c r="D167" s="30">
        <v>90.0</v>
      </c>
      <c r="E167" s="29" t="s">
        <v>31</v>
      </c>
      <c r="F167" s="31">
        <v>45896.0</v>
      </c>
      <c r="G167" s="5" t="s">
        <v>72</v>
      </c>
      <c r="H167" s="5" t="s">
        <v>610</v>
      </c>
      <c r="I167" s="16"/>
      <c r="J167" s="16"/>
    </row>
    <row r="168" ht="22.5" customHeight="1">
      <c r="A168" s="32" t="s">
        <v>405</v>
      </c>
      <c r="B168" s="22" t="s">
        <v>185</v>
      </c>
      <c r="C168" s="22">
        <v>1.0</v>
      </c>
      <c r="D168" s="24">
        <v>105.0</v>
      </c>
      <c r="E168" s="22" t="s">
        <v>31</v>
      </c>
      <c r="F168" s="25">
        <v>45896.0</v>
      </c>
      <c r="G168" s="5" t="s">
        <v>72</v>
      </c>
      <c r="H168" s="5" t="s">
        <v>612</v>
      </c>
      <c r="I168" s="16"/>
      <c r="J168" s="16"/>
    </row>
    <row r="169" ht="22.5" customHeight="1">
      <c r="A169" s="28" t="s">
        <v>78</v>
      </c>
      <c r="B169" s="29" t="s">
        <v>50</v>
      </c>
      <c r="C169" s="29">
        <v>1.0</v>
      </c>
      <c r="D169" s="30">
        <v>725.0</v>
      </c>
      <c r="E169" s="29" t="s">
        <v>31</v>
      </c>
      <c r="F169" s="31">
        <v>45812.0</v>
      </c>
      <c r="G169" s="5" t="s">
        <v>72</v>
      </c>
      <c r="H169" s="5" t="s">
        <v>615</v>
      </c>
      <c r="I169" s="16"/>
      <c r="J169" s="16"/>
    </row>
    <row r="170" ht="22.5" customHeight="1">
      <c r="A170" s="32" t="s">
        <v>287</v>
      </c>
      <c r="B170" s="22" t="s">
        <v>68</v>
      </c>
      <c r="C170" s="22">
        <v>43.0</v>
      </c>
      <c r="D170" s="24">
        <v>45.0</v>
      </c>
      <c r="E170" s="22" t="s">
        <v>31</v>
      </c>
      <c r="F170" s="25">
        <v>45812.0</v>
      </c>
      <c r="G170" s="5" t="s">
        <v>72</v>
      </c>
      <c r="H170" s="5" t="s">
        <v>617</v>
      </c>
      <c r="I170" s="16"/>
      <c r="J170" s="16"/>
    </row>
    <row r="171" ht="22.5" customHeight="1">
      <c r="A171" s="35" t="s">
        <v>144</v>
      </c>
      <c r="B171" s="29" t="s">
        <v>224</v>
      </c>
      <c r="C171" s="29">
        <v>40.0</v>
      </c>
      <c r="D171" s="30">
        <v>140.0</v>
      </c>
      <c r="E171" s="29" t="s">
        <v>620</v>
      </c>
      <c r="F171" s="39"/>
      <c r="G171" s="5" t="s">
        <v>72</v>
      </c>
      <c r="H171" s="5" t="s">
        <v>621</v>
      </c>
      <c r="I171" s="16"/>
      <c r="J171" s="16"/>
    </row>
    <row r="172" ht="22.5" customHeight="1">
      <c r="A172" s="32" t="s">
        <v>624</v>
      </c>
      <c r="B172" s="22" t="s">
        <v>185</v>
      </c>
      <c r="C172" s="22">
        <v>2.0</v>
      </c>
      <c r="D172" s="24">
        <v>85.0</v>
      </c>
      <c r="E172" s="22" t="s">
        <v>31</v>
      </c>
      <c r="F172" s="25">
        <v>45904.0</v>
      </c>
      <c r="G172" s="5" t="s">
        <v>72</v>
      </c>
      <c r="H172" s="5" t="s">
        <v>626</v>
      </c>
      <c r="I172" s="16"/>
      <c r="J172" s="16"/>
    </row>
    <row r="173" ht="22.5" customHeight="1">
      <c r="A173" s="28" t="s">
        <v>489</v>
      </c>
      <c r="B173" s="29" t="s">
        <v>185</v>
      </c>
      <c r="C173" s="29">
        <v>1.0</v>
      </c>
      <c r="D173" s="30">
        <v>175.0</v>
      </c>
      <c r="E173" s="29" t="s">
        <v>31</v>
      </c>
      <c r="F173" s="31">
        <v>45904.0</v>
      </c>
      <c r="G173" s="5" t="s">
        <v>72</v>
      </c>
      <c r="H173" s="5" t="s">
        <v>628</v>
      </c>
      <c r="I173" s="16"/>
      <c r="J173" s="16"/>
    </row>
    <row r="174" ht="22.5" customHeight="1">
      <c r="A174" s="32" t="s">
        <v>297</v>
      </c>
      <c r="B174" s="22" t="s">
        <v>185</v>
      </c>
      <c r="C174" s="22">
        <v>7.0</v>
      </c>
      <c r="D174" s="24">
        <v>30.0</v>
      </c>
      <c r="E174" s="22" t="s">
        <v>31</v>
      </c>
      <c r="F174" s="25">
        <v>45904.0</v>
      </c>
      <c r="G174" s="5" t="s">
        <v>72</v>
      </c>
      <c r="H174" s="5" t="s">
        <v>632</v>
      </c>
      <c r="I174" s="16"/>
      <c r="J174" s="16"/>
    </row>
    <row r="175" ht="22.5" customHeight="1">
      <c r="A175" s="28" t="s">
        <v>323</v>
      </c>
      <c r="B175" s="29" t="s">
        <v>185</v>
      </c>
      <c r="C175" s="29">
        <v>1.0</v>
      </c>
      <c r="D175" s="30">
        <v>275.0</v>
      </c>
      <c r="E175" s="29" t="s">
        <v>31</v>
      </c>
      <c r="F175" s="31">
        <v>45904.0</v>
      </c>
      <c r="G175" s="5" t="s">
        <v>72</v>
      </c>
      <c r="H175" s="5" t="s">
        <v>636</v>
      </c>
      <c r="I175" s="16"/>
      <c r="J175" s="16"/>
    </row>
    <row r="176" ht="22.5" customHeight="1">
      <c r="A176" s="32" t="s">
        <v>357</v>
      </c>
      <c r="B176" s="22" t="s">
        <v>185</v>
      </c>
      <c r="C176" s="22">
        <v>5.0</v>
      </c>
      <c r="D176" s="24">
        <v>225.0</v>
      </c>
      <c r="E176" s="22" t="s">
        <v>31</v>
      </c>
      <c r="F176" s="25">
        <v>45904.0</v>
      </c>
      <c r="G176" s="5" t="s">
        <v>72</v>
      </c>
      <c r="H176" s="5" t="s">
        <v>639</v>
      </c>
      <c r="I176" s="16"/>
      <c r="J176" s="16"/>
    </row>
    <row r="177" ht="22.5" customHeight="1">
      <c r="A177" s="28" t="s">
        <v>48</v>
      </c>
      <c r="B177" s="29" t="s">
        <v>68</v>
      </c>
      <c r="C177" s="29">
        <v>32.0</v>
      </c>
      <c r="D177" s="41">
        <v>28.0</v>
      </c>
      <c r="E177" s="29" t="s">
        <v>31</v>
      </c>
      <c r="F177" s="31">
        <v>45904.0</v>
      </c>
      <c r="G177" s="5" t="s">
        <v>72</v>
      </c>
      <c r="H177" s="5" t="s">
        <v>641</v>
      </c>
      <c r="I177" s="16"/>
      <c r="J177" s="16"/>
    </row>
    <row r="178" ht="22.5" customHeight="1">
      <c r="A178" s="32" t="s">
        <v>642</v>
      </c>
      <c r="B178" s="22" t="s">
        <v>30</v>
      </c>
      <c r="C178" s="22">
        <v>4.0</v>
      </c>
      <c r="D178" s="24">
        <v>105.0</v>
      </c>
      <c r="E178" s="22" t="s">
        <v>31</v>
      </c>
      <c r="F178" s="25">
        <v>45904.0</v>
      </c>
      <c r="G178" s="5" t="s">
        <v>72</v>
      </c>
      <c r="H178" s="5" t="s">
        <v>644</v>
      </c>
      <c r="I178" s="16"/>
      <c r="J178" s="16"/>
    </row>
    <row r="179" ht="22.5" customHeight="1">
      <c r="A179" s="28" t="s">
        <v>246</v>
      </c>
      <c r="B179" s="29" t="s">
        <v>30</v>
      </c>
      <c r="C179" s="29">
        <v>2.0</v>
      </c>
      <c r="D179" s="30">
        <v>325.0</v>
      </c>
      <c r="E179" s="29" t="s">
        <v>31</v>
      </c>
      <c r="F179" s="31">
        <v>45904.0</v>
      </c>
      <c r="G179" s="5" t="s">
        <v>72</v>
      </c>
      <c r="H179" s="5" t="s">
        <v>647</v>
      </c>
      <c r="I179" s="16"/>
      <c r="J179" s="16"/>
    </row>
    <row r="180" ht="22.5" customHeight="1">
      <c r="A180" s="32" t="s">
        <v>412</v>
      </c>
      <c r="B180" s="22" t="s">
        <v>30</v>
      </c>
      <c r="C180" s="22">
        <v>9.0</v>
      </c>
      <c r="D180" s="24">
        <v>195.0</v>
      </c>
      <c r="E180" s="22" t="s">
        <v>31</v>
      </c>
      <c r="F180" s="25">
        <v>45904.0</v>
      </c>
      <c r="G180" s="5" t="s">
        <v>72</v>
      </c>
      <c r="H180" s="5" t="s">
        <v>651</v>
      </c>
      <c r="I180" s="16"/>
      <c r="J180" s="16"/>
    </row>
    <row r="181" ht="22.5" customHeight="1">
      <c r="A181" s="35" t="s">
        <v>652</v>
      </c>
      <c r="B181" s="29" t="s">
        <v>30</v>
      </c>
      <c r="C181" s="29">
        <v>2.0</v>
      </c>
      <c r="D181" s="30">
        <v>70.0</v>
      </c>
      <c r="E181" s="29" t="s">
        <v>31</v>
      </c>
      <c r="F181" s="31">
        <v>45904.0</v>
      </c>
      <c r="G181" s="5" t="s">
        <v>72</v>
      </c>
      <c r="H181" s="5" t="s">
        <v>654</v>
      </c>
      <c r="I181" s="16"/>
      <c r="J181" s="16"/>
    </row>
    <row r="182" ht="22.5" customHeight="1">
      <c r="A182" s="32" t="s">
        <v>274</v>
      </c>
      <c r="B182" s="22" t="s">
        <v>224</v>
      </c>
      <c r="C182" s="22">
        <v>3.0</v>
      </c>
      <c r="D182" s="24">
        <v>225.0</v>
      </c>
      <c r="E182" s="22" t="s">
        <v>31</v>
      </c>
      <c r="F182" s="25">
        <v>45904.0</v>
      </c>
      <c r="G182" s="5" t="s">
        <v>72</v>
      </c>
      <c r="H182" s="5" t="s">
        <v>657</v>
      </c>
      <c r="I182" s="16"/>
      <c r="J182" s="16"/>
    </row>
    <row r="183" ht="22.5" customHeight="1">
      <c r="A183" s="28" t="s">
        <v>102</v>
      </c>
      <c r="B183" s="29" t="s">
        <v>50</v>
      </c>
      <c r="C183" s="29">
        <v>1.0</v>
      </c>
      <c r="D183" s="30">
        <v>575.0</v>
      </c>
      <c r="E183" s="29" t="s">
        <v>31</v>
      </c>
      <c r="F183" s="31">
        <v>45904.0</v>
      </c>
      <c r="G183" s="5" t="s">
        <v>72</v>
      </c>
      <c r="H183" s="5" t="s">
        <v>659</v>
      </c>
      <c r="I183" s="16"/>
      <c r="J183" s="16"/>
    </row>
    <row r="184" ht="22.5" customHeight="1">
      <c r="A184" s="32" t="s">
        <v>140</v>
      </c>
      <c r="B184" s="22" t="s">
        <v>50</v>
      </c>
      <c r="C184" s="22">
        <v>1.0</v>
      </c>
      <c r="D184" s="24">
        <v>455.0</v>
      </c>
      <c r="E184" s="22" t="s">
        <v>31</v>
      </c>
      <c r="F184" s="25">
        <v>45904.0</v>
      </c>
      <c r="G184" s="5" t="s">
        <v>72</v>
      </c>
      <c r="H184" s="5" t="s">
        <v>661</v>
      </c>
      <c r="I184" s="16"/>
      <c r="J184" s="16"/>
    </row>
    <row r="185" ht="22.5" customHeight="1">
      <c r="A185" s="28" t="s">
        <v>106</v>
      </c>
      <c r="B185" s="29" t="s">
        <v>50</v>
      </c>
      <c r="C185" s="29">
        <v>4.0</v>
      </c>
      <c r="D185" s="30">
        <v>185.0</v>
      </c>
      <c r="E185" s="29" t="s">
        <v>31</v>
      </c>
      <c r="F185" s="31">
        <v>45904.0</v>
      </c>
      <c r="G185" s="5" t="s">
        <v>72</v>
      </c>
      <c r="H185" s="5" t="s">
        <v>663</v>
      </c>
      <c r="I185" s="16"/>
      <c r="J185" s="16"/>
    </row>
    <row r="186" ht="22.5" customHeight="1">
      <c r="A186" s="32" t="s">
        <v>194</v>
      </c>
      <c r="B186" s="22" t="s">
        <v>238</v>
      </c>
      <c r="C186" s="22">
        <v>10.0</v>
      </c>
      <c r="D186" s="24">
        <v>155.0</v>
      </c>
      <c r="E186" s="22" t="s">
        <v>31</v>
      </c>
      <c r="F186" s="25">
        <v>45904.0</v>
      </c>
      <c r="G186" s="5" t="s">
        <v>72</v>
      </c>
      <c r="H186" s="5" t="s">
        <v>665</v>
      </c>
      <c r="I186" s="16"/>
      <c r="J186" s="16"/>
    </row>
    <row r="187" ht="22.5" customHeight="1">
      <c r="A187" s="28" t="s">
        <v>306</v>
      </c>
      <c r="B187" s="29" t="s">
        <v>185</v>
      </c>
      <c r="C187" s="29">
        <v>24.0</v>
      </c>
      <c r="D187" s="30">
        <v>12.0</v>
      </c>
      <c r="E187" s="29" t="s">
        <v>31</v>
      </c>
      <c r="F187" s="31">
        <v>45904.0</v>
      </c>
      <c r="G187" s="5" t="s">
        <v>72</v>
      </c>
      <c r="H187" s="5" t="s">
        <v>669</v>
      </c>
      <c r="I187" s="16"/>
      <c r="J187" s="16"/>
    </row>
    <row r="188" ht="22.5" customHeight="1">
      <c r="A188" s="42" t="s">
        <v>174</v>
      </c>
      <c r="B188" s="43" t="s">
        <v>238</v>
      </c>
      <c r="C188" s="43">
        <v>3.0</v>
      </c>
      <c r="D188" s="44">
        <v>85.0</v>
      </c>
      <c r="E188" s="43" t="s">
        <v>31</v>
      </c>
      <c r="F188" s="45">
        <v>45929.0</v>
      </c>
      <c r="G188" s="5" t="s">
        <v>72</v>
      </c>
      <c r="H188" s="5" t="s">
        <v>672</v>
      </c>
      <c r="I188" s="16"/>
      <c r="J188" s="16"/>
    </row>
    <row r="189" ht="22.5" customHeight="1">
      <c r="A189" s="46" t="s">
        <v>165</v>
      </c>
      <c r="B189" s="47" t="s">
        <v>238</v>
      </c>
      <c r="C189" s="47">
        <v>6.0</v>
      </c>
      <c r="D189" s="48">
        <v>85.0</v>
      </c>
      <c r="E189" s="47" t="s">
        <v>31</v>
      </c>
      <c r="F189" s="49">
        <v>45929.0</v>
      </c>
      <c r="G189" s="5" t="s">
        <v>72</v>
      </c>
      <c r="H189" s="5" t="s">
        <v>676</v>
      </c>
      <c r="I189" s="16"/>
      <c r="J189" s="16"/>
    </row>
    <row r="190" ht="22.5" customHeight="1">
      <c r="A190" s="42" t="s">
        <v>478</v>
      </c>
      <c r="B190" s="43" t="s">
        <v>327</v>
      </c>
      <c r="C190" s="43">
        <v>12.0</v>
      </c>
      <c r="D190" s="44">
        <v>90.0</v>
      </c>
      <c r="E190" s="43" t="s">
        <v>31</v>
      </c>
      <c r="F190" s="45">
        <v>45929.0</v>
      </c>
      <c r="G190" s="5" t="s">
        <v>72</v>
      </c>
      <c r="H190" s="5" t="s">
        <v>678</v>
      </c>
      <c r="I190" s="16"/>
      <c r="J190" s="16"/>
    </row>
    <row r="191" ht="22.5" customHeight="1">
      <c r="A191" s="46" t="s">
        <v>613</v>
      </c>
      <c r="B191" s="47" t="s">
        <v>327</v>
      </c>
      <c r="C191" s="47">
        <v>2.0</v>
      </c>
      <c r="D191" s="48">
        <v>170.0</v>
      </c>
      <c r="E191" s="47" t="s">
        <v>31</v>
      </c>
      <c r="F191" s="49">
        <v>45929.0</v>
      </c>
      <c r="G191" s="5" t="s">
        <v>72</v>
      </c>
      <c r="H191" s="5" t="s">
        <v>682</v>
      </c>
      <c r="I191" s="16"/>
      <c r="J191" s="16"/>
    </row>
    <row r="192" ht="22.5" customHeight="1">
      <c r="A192" s="42" t="s">
        <v>677</v>
      </c>
      <c r="B192" s="43" t="s">
        <v>238</v>
      </c>
      <c r="C192" s="43">
        <v>2.0</v>
      </c>
      <c r="D192" s="50">
        <f>85+75</f>
        <v>160</v>
      </c>
      <c r="E192" s="43" t="s">
        <v>31</v>
      </c>
      <c r="F192" s="45">
        <v>45929.0</v>
      </c>
      <c r="G192" s="5" t="s">
        <v>72</v>
      </c>
      <c r="H192" s="5" t="s">
        <v>686</v>
      </c>
      <c r="I192" s="16"/>
      <c r="J192" s="16"/>
    </row>
    <row r="193" ht="22.5" customHeight="1">
      <c r="A193" s="46" t="s">
        <v>94</v>
      </c>
      <c r="B193" s="47" t="s">
        <v>50</v>
      </c>
      <c r="C193" s="47">
        <v>1.0</v>
      </c>
      <c r="D193" s="48">
        <v>575.0</v>
      </c>
      <c r="E193" s="47" t="s">
        <v>31</v>
      </c>
      <c r="F193" s="49">
        <v>45929.0</v>
      </c>
      <c r="G193" s="5" t="s">
        <v>72</v>
      </c>
      <c r="H193" s="5" t="s">
        <v>690</v>
      </c>
      <c r="I193" s="16"/>
      <c r="J193" s="16"/>
    </row>
    <row r="194" ht="22.5" customHeight="1">
      <c r="A194" s="42" t="s">
        <v>98</v>
      </c>
      <c r="B194" s="43" t="s">
        <v>50</v>
      </c>
      <c r="C194" s="43">
        <v>1.0</v>
      </c>
      <c r="D194" s="44">
        <v>575.0</v>
      </c>
      <c r="E194" s="43" t="s">
        <v>31</v>
      </c>
      <c r="F194" s="45">
        <v>45929.0</v>
      </c>
      <c r="G194" s="5" t="s">
        <v>72</v>
      </c>
      <c r="H194" s="5" t="s">
        <v>692</v>
      </c>
      <c r="I194" s="16"/>
      <c r="J194" s="16"/>
    </row>
    <row r="195" ht="22.5" customHeight="1">
      <c r="A195" s="46" t="s">
        <v>175</v>
      </c>
      <c r="B195" s="47" t="s">
        <v>50</v>
      </c>
      <c r="C195" s="47">
        <v>1.0</v>
      </c>
      <c r="D195" s="48">
        <v>375.0</v>
      </c>
      <c r="E195" s="47" t="s">
        <v>31</v>
      </c>
      <c r="F195" s="49">
        <v>45929.0</v>
      </c>
      <c r="G195" s="5" t="s">
        <v>72</v>
      </c>
      <c r="H195" s="5" t="s">
        <v>695</v>
      </c>
      <c r="I195" s="16"/>
      <c r="J195" s="16"/>
    </row>
    <row r="196" ht="22.5" customHeight="1">
      <c r="A196" s="42" t="s">
        <v>449</v>
      </c>
      <c r="B196" s="43" t="s">
        <v>169</v>
      </c>
      <c r="C196" s="43">
        <v>2.0</v>
      </c>
      <c r="D196" s="44">
        <v>135.0</v>
      </c>
      <c r="E196" s="43" t="s">
        <v>31</v>
      </c>
      <c r="F196" s="45">
        <v>45929.0</v>
      </c>
      <c r="G196" s="5" t="s">
        <v>72</v>
      </c>
      <c r="H196" s="5" t="s">
        <v>698</v>
      </c>
      <c r="I196" s="16"/>
      <c r="J196" s="16"/>
    </row>
    <row r="197" ht="22.5" customHeight="1">
      <c r="A197" s="46" t="s">
        <v>392</v>
      </c>
      <c r="B197" s="47" t="s">
        <v>50</v>
      </c>
      <c r="C197" s="47">
        <v>20.0</v>
      </c>
      <c r="D197" s="48">
        <v>65.0</v>
      </c>
      <c r="E197" s="47" t="s">
        <v>31</v>
      </c>
      <c r="F197" s="49">
        <v>45929.0</v>
      </c>
      <c r="G197" s="5" t="s">
        <v>72</v>
      </c>
      <c r="H197" s="5" t="s">
        <v>701</v>
      </c>
      <c r="I197" s="16"/>
      <c r="J197" s="16"/>
    </row>
    <row r="198" ht="22.5" customHeight="1">
      <c r="A198" s="42" t="s">
        <v>703</v>
      </c>
      <c r="B198" s="43" t="s">
        <v>110</v>
      </c>
      <c r="C198" s="43">
        <v>1.0</v>
      </c>
      <c r="D198" s="44">
        <v>525.0</v>
      </c>
      <c r="E198" s="43" t="s">
        <v>31</v>
      </c>
      <c r="F198" s="45">
        <v>45929.0</v>
      </c>
      <c r="G198" s="5" t="s">
        <v>72</v>
      </c>
      <c r="H198" s="5" t="s">
        <v>705</v>
      </c>
      <c r="I198" s="16"/>
      <c r="J198" s="16"/>
    </row>
    <row r="199" ht="22.5" customHeight="1">
      <c r="A199" s="46" t="s">
        <v>101</v>
      </c>
      <c r="B199" s="47" t="s">
        <v>110</v>
      </c>
      <c r="C199" s="47">
        <v>2.0</v>
      </c>
      <c r="D199" s="48">
        <v>135.0</v>
      </c>
      <c r="E199" s="47" t="s">
        <v>31</v>
      </c>
      <c r="F199" s="49">
        <v>45929.0</v>
      </c>
      <c r="G199" s="5" t="s">
        <v>72</v>
      </c>
      <c r="H199" s="5" t="s">
        <v>706</v>
      </c>
      <c r="I199" s="16"/>
      <c r="J199" s="16"/>
    </row>
    <row r="200" ht="22.5" customHeight="1">
      <c r="A200" s="42" t="s">
        <v>326</v>
      </c>
      <c r="B200" s="43" t="s">
        <v>327</v>
      </c>
      <c r="C200" s="43">
        <v>1.0</v>
      </c>
      <c r="D200" s="44">
        <v>275.0</v>
      </c>
      <c r="E200" s="43" t="s">
        <v>31</v>
      </c>
      <c r="F200" s="45">
        <v>45929.0</v>
      </c>
      <c r="G200" s="5" t="s">
        <v>72</v>
      </c>
      <c r="H200" s="5" t="s">
        <v>708</v>
      </c>
      <c r="I200" s="16"/>
      <c r="J200" s="16"/>
    </row>
    <row r="201" ht="22.5" customHeight="1">
      <c r="A201" s="46" t="s">
        <v>404</v>
      </c>
      <c r="B201" s="47" t="s">
        <v>238</v>
      </c>
      <c r="C201" s="47">
        <v>5.0</v>
      </c>
      <c r="D201" s="48">
        <v>75.0</v>
      </c>
      <c r="E201" s="47" t="s">
        <v>31</v>
      </c>
      <c r="F201" s="49">
        <v>45929.0</v>
      </c>
      <c r="G201" s="5" t="s">
        <v>72</v>
      </c>
      <c r="H201" s="5" t="s">
        <v>710</v>
      </c>
      <c r="I201" s="16"/>
      <c r="J201" s="16"/>
    </row>
    <row r="202" ht="22.5" customHeight="1">
      <c r="A202" s="42" t="s">
        <v>562</v>
      </c>
      <c r="B202" s="43" t="s">
        <v>238</v>
      </c>
      <c r="C202" s="43">
        <v>2.0</v>
      </c>
      <c r="D202" s="44">
        <v>175.0</v>
      </c>
      <c r="E202" s="43" t="s">
        <v>31</v>
      </c>
      <c r="F202" s="45">
        <v>45929.0</v>
      </c>
      <c r="G202" s="5" t="s">
        <v>72</v>
      </c>
      <c r="H202" s="5" t="s">
        <v>713</v>
      </c>
      <c r="I202" s="16"/>
      <c r="J202" s="16"/>
    </row>
    <row r="203" ht="22.5" customHeight="1">
      <c r="A203" s="46" t="s">
        <v>186</v>
      </c>
      <c r="B203" s="47" t="s">
        <v>50</v>
      </c>
      <c r="C203" s="47">
        <v>2.0</v>
      </c>
      <c r="D203" s="48">
        <v>75.0</v>
      </c>
      <c r="E203" s="47" t="s">
        <v>31</v>
      </c>
      <c r="F203" s="49">
        <v>45929.0</v>
      </c>
      <c r="G203" s="5" t="s">
        <v>72</v>
      </c>
      <c r="H203" s="5" t="s">
        <v>716</v>
      </c>
      <c r="I203" s="16"/>
      <c r="J203" s="16"/>
    </row>
    <row r="204" ht="22.5" customHeight="1">
      <c r="A204" s="42" t="s">
        <v>416</v>
      </c>
      <c r="B204" s="43" t="s">
        <v>185</v>
      </c>
      <c r="C204" s="43">
        <v>14.0</v>
      </c>
      <c r="D204" s="44">
        <v>30.0</v>
      </c>
      <c r="E204" s="43" t="s">
        <v>31</v>
      </c>
      <c r="F204" s="45">
        <v>45929.0</v>
      </c>
      <c r="G204" s="5" t="s">
        <v>72</v>
      </c>
      <c r="H204" s="5" t="s">
        <v>720</v>
      </c>
      <c r="I204" s="16"/>
      <c r="J204" s="16"/>
    </row>
    <row r="205" ht="22.5" customHeight="1">
      <c r="A205" s="46" t="s">
        <v>409</v>
      </c>
      <c r="B205" s="47" t="s">
        <v>185</v>
      </c>
      <c r="C205" s="47">
        <v>11.0</v>
      </c>
      <c r="D205" s="48">
        <v>95.0</v>
      </c>
      <c r="E205" s="47" t="s">
        <v>31</v>
      </c>
      <c r="F205" s="49">
        <v>45929.0</v>
      </c>
      <c r="G205" s="5" t="s">
        <v>72</v>
      </c>
      <c r="H205" s="5" t="s">
        <v>721</v>
      </c>
      <c r="I205" s="16"/>
      <c r="J205" s="16"/>
    </row>
    <row r="206" ht="22.5" customHeight="1">
      <c r="A206" s="42" t="s">
        <v>379</v>
      </c>
      <c r="B206" s="43" t="s">
        <v>185</v>
      </c>
      <c r="C206" s="43">
        <v>2.0</v>
      </c>
      <c r="D206" s="44">
        <v>155.0</v>
      </c>
      <c r="E206" s="43" t="s">
        <v>31</v>
      </c>
      <c r="F206" s="45">
        <v>45929.0</v>
      </c>
      <c r="G206" s="5" t="s">
        <v>72</v>
      </c>
      <c r="H206" s="5" t="s">
        <v>725</v>
      </c>
      <c r="I206" s="16"/>
      <c r="J206" s="16"/>
    </row>
    <row r="207" ht="22.5" customHeight="1">
      <c r="A207" s="46" t="s">
        <v>726</v>
      </c>
      <c r="B207" s="47" t="s">
        <v>185</v>
      </c>
      <c r="C207" s="47">
        <v>12.0</v>
      </c>
      <c r="D207" s="48">
        <v>30.0</v>
      </c>
      <c r="E207" s="47" t="s">
        <v>31</v>
      </c>
      <c r="F207" s="49">
        <v>45929.0</v>
      </c>
      <c r="G207" s="5" t="s">
        <v>72</v>
      </c>
      <c r="H207" s="5" t="s">
        <v>727</v>
      </c>
      <c r="I207" s="16"/>
      <c r="J207" s="16"/>
    </row>
    <row r="208" ht="22.5" customHeight="1">
      <c r="A208" s="42" t="s">
        <v>728</v>
      </c>
      <c r="B208" s="43" t="s">
        <v>185</v>
      </c>
      <c r="C208" s="43">
        <v>1.0</v>
      </c>
      <c r="D208" s="44">
        <v>105.0</v>
      </c>
      <c r="E208" s="43" t="s">
        <v>31</v>
      </c>
      <c r="F208" s="45">
        <v>45929.0</v>
      </c>
      <c r="G208" s="5" t="s">
        <v>72</v>
      </c>
      <c r="H208" s="5" t="s">
        <v>731</v>
      </c>
      <c r="I208" s="16"/>
      <c r="J208" s="16"/>
    </row>
    <row r="209" ht="22.5" customHeight="1">
      <c r="A209" s="46" t="s">
        <v>732</v>
      </c>
      <c r="B209" s="47" t="s">
        <v>185</v>
      </c>
      <c r="C209" s="47">
        <v>1.0</v>
      </c>
      <c r="D209" s="48">
        <v>125.0</v>
      </c>
      <c r="E209" s="47" t="s">
        <v>31</v>
      </c>
      <c r="F209" s="49">
        <v>45929.0</v>
      </c>
      <c r="G209" s="5" t="s">
        <v>72</v>
      </c>
      <c r="H209" s="5" t="s">
        <v>734</v>
      </c>
      <c r="I209" s="16"/>
      <c r="J209" s="16"/>
    </row>
    <row r="210" ht="22.5" customHeight="1">
      <c r="A210" s="42" t="s">
        <v>227</v>
      </c>
      <c r="B210" s="43" t="s">
        <v>185</v>
      </c>
      <c r="C210" s="43">
        <v>9.0</v>
      </c>
      <c r="D210" s="44">
        <v>75.0</v>
      </c>
      <c r="E210" s="43" t="s">
        <v>31</v>
      </c>
      <c r="F210" s="45">
        <v>45929.0</v>
      </c>
      <c r="G210" s="5" t="s">
        <v>72</v>
      </c>
      <c r="H210" s="5" t="s">
        <v>736</v>
      </c>
      <c r="I210" s="16"/>
      <c r="J210" s="16"/>
    </row>
    <row r="211" ht="22.5" customHeight="1">
      <c r="A211" s="46" t="s">
        <v>515</v>
      </c>
      <c r="B211" s="47" t="s">
        <v>185</v>
      </c>
      <c r="C211" s="47">
        <v>1.0</v>
      </c>
      <c r="D211" s="48">
        <v>50.0</v>
      </c>
      <c r="E211" s="47" t="s">
        <v>31</v>
      </c>
      <c r="F211" s="49">
        <v>45929.0</v>
      </c>
      <c r="G211" s="5" t="s">
        <v>72</v>
      </c>
      <c r="H211" s="5" t="s">
        <v>738</v>
      </c>
      <c r="I211" s="16"/>
      <c r="J211" s="16"/>
    </row>
    <row r="212" ht="22.5" customHeight="1">
      <c r="A212" s="53" t="s">
        <v>153</v>
      </c>
      <c r="B212" s="54" t="s">
        <v>30</v>
      </c>
      <c r="C212" s="54">
        <v>4.0</v>
      </c>
      <c r="D212" s="55">
        <v>210.0</v>
      </c>
      <c r="E212" s="54" t="s">
        <v>31</v>
      </c>
      <c r="F212" s="56">
        <v>45945.0</v>
      </c>
      <c r="G212" s="5" t="s">
        <v>72</v>
      </c>
      <c r="H212" s="5" t="s">
        <v>742</v>
      </c>
      <c r="I212" s="16"/>
      <c r="J212" s="16"/>
    </row>
    <row r="213" ht="22.5" customHeight="1">
      <c r="A213" s="35" t="s">
        <v>250</v>
      </c>
      <c r="B213" s="58" t="s">
        <v>50</v>
      </c>
      <c r="C213" s="58">
        <v>6.0</v>
      </c>
      <c r="D213" s="41">
        <v>145.0</v>
      </c>
      <c r="E213" s="58" t="s">
        <v>31</v>
      </c>
      <c r="F213" s="49">
        <v>45945.0</v>
      </c>
      <c r="G213" s="5" t="s">
        <v>72</v>
      </c>
      <c r="H213" s="5" t="s">
        <v>744</v>
      </c>
      <c r="I213" s="16"/>
      <c r="J213" s="16"/>
    </row>
    <row r="214" ht="22.5" customHeight="1">
      <c r="A214" s="53" t="s">
        <v>249</v>
      </c>
      <c r="B214" s="54" t="s">
        <v>30</v>
      </c>
      <c r="C214" s="54">
        <v>2.0</v>
      </c>
      <c r="D214" s="55">
        <v>325.0</v>
      </c>
      <c r="E214" s="54" t="s">
        <v>31</v>
      </c>
      <c r="F214" s="56">
        <v>45945.0</v>
      </c>
      <c r="G214" s="5" t="s">
        <v>72</v>
      </c>
      <c r="H214" s="5" t="s">
        <v>747</v>
      </c>
      <c r="I214" s="16"/>
      <c r="J214" s="16"/>
    </row>
    <row r="215" ht="22.5" customHeight="1">
      <c r="A215" s="35" t="s">
        <v>748</v>
      </c>
      <c r="B215" s="58" t="s">
        <v>138</v>
      </c>
      <c r="C215" s="58">
        <v>12.0</v>
      </c>
      <c r="D215" s="41">
        <v>75.0</v>
      </c>
      <c r="E215" s="58" t="s">
        <v>751</v>
      </c>
      <c r="F215" s="49">
        <v>45945.0</v>
      </c>
      <c r="G215" s="5" t="s">
        <v>72</v>
      </c>
      <c r="H215" s="5" t="s">
        <v>752</v>
      </c>
      <c r="I215" s="16"/>
      <c r="J215" s="16"/>
    </row>
    <row r="216" ht="22.5" customHeight="1">
      <c r="A216" s="53" t="s">
        <v>255</v>
      </c>
      <c r="B216" s="54" t="s">
        <v>238</v>
      </c>
      <c r="C216" s="54">
        <v>25.0</v>
      </c>
      <c r="D216" s="55">
        <v>35.0</v>
      </c>
      <c r="E216" s="54" t="s">
        <v>31</v>
      </c>
      <c r="F216" s="56">
        <v>45961.0</v>
      </c>
      <c r="G216" s="5" t="s">
        <v>72</v>
      </c>
      <c r="H216" s="5" t="s">
        <v>755</v>
      </c>
      <c r="I216" s="16"/>
      <c r="J216" s="16"/>
    </row>
    <row r="217" ht="22.5" customHeight="1">
      <c r="A217" s="35" t="s">
        <v>133</v>
      </c>
      <c r="B217" s="58" t="s">
        <v>238</v>
      </c>
      <c r="C217" s="58">
        <v>10.0</v>
      </c>
      <c r="D217" s="41">
        <v>135.0</v>
      </c>
      <c r="E217" s="58" t="s">
        <v>31</v>
      </c>
      <c r="F217" s="49">
        <v>45961.0</v>
      </c>
      <c r="G217" s="5" t="s">
        <v>72</v>
      </c>
      <c r="H217" s="5" t="s">
        <v>757</v>
      </c>
      <c r="I217" s="16"/>
      <c r="J217" s="16"/>
    </row>
    <row r="218" ht="22.5" customHeight="1">
      <c r="A218" s="53" t="s">
        <v>464</v>
      </c>
      <c r="B218" s="59" t="s">
        <v>68</v>
      </c>
      <c r="C218" s="54">
        <v>12.0</v>
      </c>
      <c r="D218" s="55">
        <v>135.0</v>
      </c>
      <c r="E218" s="54" t="s">
        <v>31</v>
      </c>
      <c r="F218" s="56">
        <v>45961.0</v>
      </c>
      <c r="G218" s="5" t="s">
        <v>72</v>
      </c>
      <c r="H218" s="5" t="s">
        <v>759</v>
      </c>
      <c r="I218" s="16"/>
      <c r="J218" s="16"/>
    </row>
    <row r="219" ht="22.5" customHeight="1">
      <c r="A219" s="35" t="s">
        <v>454</v>
      </c>
      <c r="B219" s="58" t="s">
        <v>185</v>
      </c>
      <c r="C219" s="58">
        <v>9.0</v>
      </c>
      <c r="D219" s="41">
        <v>210.0</v>
      </c>
      <c r="E219" s="58" t="s">
        <v>31</v>
      </c>
      <c r="F219" s="49">
        <v>45961.0</v>
      </c>
      <c r="G219" s="5" t="s">
        <v>72</v>
      </c>
      <c r="H219" s="5" t="s">
        <v>760</v>
      </c>
      <c r="I219" s="16"/>
      <c r="J219" s="16"/>
    </row>
    <row r="220" ht="22.5" customHeight="1">
      <c r="A220" s="53" t="s">
        <v>467</v>
      </c>
      <c r="B220" s="54" t="s">
        <v>185</v>
      </c>
      <c r="C220" s="54">
        <v>4.0</v>
      </c>
      <c r="D220" s="55">
        <v>105.0</v>
      </c>
      <c r="E220" s="54" t="s">
        <v>31</v>
      </c>
      <c r="F220" s="56">
        <v>45961.0</v>
      </c>
      <c r="G220" s="5" t="s">
        <v>72</v>
      </c>
      <c r="H220" s="5" t="s">
        <v>762</v>
      </c>
      <c r="I220" s="16"/>
      <c r="J220" s="16"/>
    </row>
    <row r="221" ht="22.5" customHeight="1">
      <c r="A221" s="35" t="s">
        <v>391</v>
      </c>
      <c r="B221" s="58" t="s">
        <v>185</v>
      </c>
      <c r="C221" s="58">
        <v>5.0</v>
      </c>
      <c r="D221" s="41">
        <v>85.0</v>
      </c>
      <c r="E221" s="58" t="s">
        <v>31</v>
      </c>
      <c r="F221" s="49">
        <v>45961.0</v>
      </c>
      <c r="G221" s="5" t="s">
        <v>72</v>
      </c>
      <c r="H221" s="5" t="s">
        <v>765</v>
      </c>
      <c r="I221" s="16"/>
      <c r="J221" s="16"/>
    </row>
    <row r="222" ht="22.5" customHeight="1">
      <c r="A222" s="53" t="s">
        <v>402</v>
      </c>
      <c r="B222" s="54" t="s">
        <v>185</v>
      </c>
      <c r="C222" s="54">
        <v>6.0</v>
      </c>
      <c r="D222" s="55">
        <v>225.0</v>
      </c>
      <c r="E222" s="54" t="s">
        <v>31</v>
      </c>
      <c r="F222" s="56">
        <v>45961.0</v>
      </c>
      <c r="G222" s="5" t="s">
        <v>72</v>
      </c>
      <c r="H222" s="5" t="s">
        <v>767</v>
      </c>
      <c r="I222" s="16"/>
      <c r="J222" s="16"/>
    </row>
    <row r="223" ht="22.5" customHeight="1">
      <c r="A223" s="35" t="s">
        <v>768</v>
      </c>
      <c r="B223" s="58" t="s">
        <v>169</v>
      </c>
      <c r="C223" s="58">
        <v>8.0</v>
      </c>
      <c r="D223" s="41">
        <v>30.0</v>
      </c>
      <c r="E223" s="58" t="s">
        <v>31</v>
      </c>
      <c r="F223" s="49">
        <v>45961.0</v>
      </c>
      <c r="G223" s="5" t="s">
        <v>72</v>
      </c>
      <c r="H223" s="5" t="s">
        <v>771</v>
      </c>
      <c r="I223" s="16"/>
      <c r="J223" s="16"/>
    </row>
    <row r="224" ht="22.5" customHeight="1">
      <c r="A224" s="53" t="s">
        <v>511</v>
      </c>
      <c r="B224" s="54" t="s">
        <v>169</v>
      </c>
      <c r="C224" s="54">
        <v>10.0</v>
      </c>
      <c r="D224" s="55">
        <v>40.0</v>
      </c>
      <c r="E224" s="54" t="s">
        <v>31</v>
      </c>
      <c r="F224" s="56">
        <v>45961.0</v>
      </c>
      <c r="G224" s="5" t="s">
        <v>72</v>
      </c>
      <c r="H224" s="5" t="s">
        <v>773</v>
      </c>
      <c r="I224" s="16"/>
      <c r="J224" s="16"/>
    </row>
    <row r="225" ht="22.5" customHeight="1">
      <c r="A225" s="35" t="s">
        <v>165</v>
      </c>
      <c r="B225" s="58" t="s">
        <v>238</v>
      </c>
      <c r="C225" s="58">
        <v>10.0</v>
      </c>
      <c r="D225" s="41">
        <v>85.0</v>
      </c>
      <c r="E225" s="58" t="s">
        <v>31</v>
      </c>
      <c r="F225" s="49">
        <v>45961.0</v>
      </c>
      <c r="G225" s="5" t="s">
        <v>72</v>
      </c>
      <c r="H225" s="5" t="s">
        <v>774</v>
      </c>
      <c r="I225" s="16"/>
      <c r="J225" s="16"/>
    </row>
    <row r="226" ht="22.5" customHeight="1">
      <c r="A226" s="53" t="s">
        <v>194</v>
      </c>
      <c r="B226" s="54" t="s">
        <v>238</v>
      </c>
      <c r="C226" s="54">
        <v>3.0</v>
      </c>
      <c r="D226" s="55">
        <v>155.0</v>
      </c>
      <c r="E226" s="54" t="s">
        <v>31</v>
      </c>
      <c r="F226" s="56">
        <v>45961.0</v>
      </c>
      <c r="G226" s="5" t="s">
        <v>72</v>
      </c>
      <c r="H226" s="5" t="s">
        <v>777</v>
      </c>
      <c r="I226" s="16"/>
      <c r="J226" s="16"/>
    </row>
    <row r="227" ht="22.5" customHeight="1">
      <c r="A227" s="35" t="s">
        <v>172</v>
      </c>
      <c r="B227" s="58" t="s">
        <v>68</v>
      </c>
      <c r="C227" s="58">
        <v>24.0</v>
      </c>
      <c r="D227" s="41">
        <v>27.0</v>
      </c>
      <c r="E227" s="58" t="s">
        <v>31</v>
      </c>
      <c r="F227" s="49">
        <v>45961.0</v>
      </c>
      <c r="G227" s="5" t="s">
        <v>72</v>
      </c>
      <c r="H227" s="5" t="s">
        <v>780</v>
      </c>
      <c r="I227" s="16"/>
      <c r="J227" s="16"/>
    </row>
    <row r="228" ht="22.5" customHeight="1">
      <c r="A228" s="60"/>
      <c r="B228" s="61"/>
      <c r="C228" s="61"/>
      <c r="D228" s="62"/>
      <c r="E228" s="61"/>
      <c r="F228" s="56">
        <v>45961.0</v>
      </c>
      <c r="G228" s="5" t="s">
        <v>782</v>
      </c>
      <c r="H228" s="16"/>
      <c r="I228" s="16"/>
      <c r="J228" s="16"/>
    </row>
    <row r="229" ht="22.5" customHeight="1">
      <c r="A229" s="35" t="s">
        <v>783</v>
      </c>
      <c r="B229" s="58" t="s">
        <v>185</v>
      </c>
      <c r="C229" s="58">
        <v>2.0</v>
      </c>
      <c r="D229" s="41">
        <v>145.0</v>
      </c>
      <c r="E229" s="58" t="s">
        <v>31</v>
      </c>
      <c r="F229" s="49">
        <v>45961.0</v>
      </c>
      <c r="G229" s="5" t="s">
        <v>72</v>
      </c>
      <c r="H229" s="5" t="s">
        <v>786</v>
      </c>
      <c r="I229" s="16"/>
      <c r="J229" s="16"/>
    </row>
    <row r="230" ht="22.5" customHeight="1">
      <c r="A230" s="53" t="s">
        <v>452</v>
      </c>
      <c r="B230" s="54" t="s">
        <v>68</v>
      </c>
      <c r="C230" s="54">
        <v>36.0</v>
      </c>
      <c r="D230" s="55">
        <v>16.0</v>
      </c>
      <c r="E230" s="54" t="s">
        <v>31</v>
      </c>
      <c r="F230" s="56">
        <v>45961.0</v>
      </c>
      <c r="G230" s="5" t="s">
        <v>72</v>
      </c>
      <c r="H230" s="5" t="s">
        <v>789</v>
      </c>
      <c r="I230" s="16"/>
      <c r="J230" s="16"/>
    </row>
    <row r="231" ht="22.5" customHeight="1">
      <c r="A231" s="35" t="s">
        <v>457</v>
      </c>
      <c r="B231" s="58" t="s">
        <v>579</v>
      </c>
      <c r="C231" s="58">
        <v>2.0</v>
      </c>
      <c r="D231" s="41">
        <f>275/2</f>
        <v>137.5</v>
      </c>
      <c r="E231" s="58" t="s">
        <v>31</v>
      </c>
      <c r="F231" s="63">
        <v>45945.0</v>
      </c>
      <c r="G231" s="5" t="s">
        <v>72</v>
      </c>
      <c r="H231" s="5" t="s">
        <v>791</v>
      </c>
      <c r="I231" s="16"/>
      <c r="J231" s="16"/>
    </row>
    <row r="232" ht="22.5" customHeight="1">
      <c r="A232" s="60"/>
      <c r="B232" s="61"/>
      <c r="C232" s="61"/>
      <c r="D232" s="62"/>
      <c r="E232" s="61"/>
      <c r="F232" s="64"/>
      <c r="G232" s="5" t="s">
        <v>782</v>
      </c>
      <c r="H232" s="16"/>
      <c r="I232" s="16"/>
      <c r="J232" s="16"/>
    </row>
    <row r="233" ht="22.5" customHeight="1">
      <c r="A233" s="35" t="s">
        <v>187</v>
      </c>
      <c r="B233" s="58" t="s">
        <v>30</v>
      </c>
      <c r="C233" s="58">
        <v>12.0</v>
      </c>
      <c r="D233" s="41">
        <v>350.0</v>
      </c>
      <c r="E233" s="58" t="s">
        <v>136</v>
      </c>
      <c r="F233" s="63">
        <v>45979.0</v>
      </c>
      <c r="G233" s="5" t="s">
        <v>72</v>
      </c>
      <c r="H233" s="5" t="s">
        <v>796</v>
      </c>
      <c r="I233" s="16"/>
      <c r="J233" s="16"/>
    </row>
    <row r="234" ht="22.5" customHeight="1">
      <c r="A234" s="53" t="s">
        <v>135</v>
      </c>
      <c r="B234" s="54" t="s">
        <v>30</v>
      </c>
      <c r="C234" s="54">
        <v>12.0</v>
      </c>
      <c r="D234" s="55">
        <v>450.0</v>
      </c>
      <c r="E234" s="54" t="s">
        <v>136</v>
      </c>
      <c r="F234" s="65">
        <v>45979.0</v>
      </c>
      <c r="G234" s="5" t="s">
        <v>72</v>
      </c>
      <c r="H234" s="5" t="s">
        <v>798</v>
      </c>
      <c r="I234" s="16"/>
      <c r="J234" s="16"/>
    </row>
    <row r="235" ht="22.5" customHeight="1">
      <c r="A235" s="66"/>
      <c r="B235" s="67"/>
      <c r="C235" s="67"/>
      <c r="D235" s="68"/>
      <c r="E235" s="67"/>
      <c r="F235" s="39"/>
      <c r="G235" s="5" t="s">
        <v>782</v>
      </c>
      <c r="H235" s="16"/>
      <c r="I235" s="16"/>
      <c r="J235" s="16"/>
    </row>
    <row r="236" ht="22.5" customHeight="1">
      <c r="A236" s="53" t="s">
        <v>741</v>
      </c>
      <c r="B236" s="54" t="s">
        <v>472</v>
      </c>
      <c r="C236" s="54">
        <v>12.0</v>
      </c>
      <c r="D236" s="55">
        <v>150.0</v>
      </c>
      <c r="E236" s="54" t="s">
        <v>51</v>
      </c>
      <c r="F236" s="65">
        <v>45987.0</v>
      </c>
      <c r="G236" s="5" t="s">
        <v>72</v>
      </c>
      <c r="H236" s="5" t="s">
        <v>804</v>
      </c>
      <c r="I236" s="16"/>
      <c r="J236" s="16"/>
    </row>
    <row r="237" ht="22.5" customHeight="1">
      <c r="A237" s="35" t="s">
        <v>806</v>
      </c>
      <c r="B237" s="58" t="s">
        <v>472</v>
      </c>
      <c r="C237" s="58">
        <v>12.0</v>
      </c>
      <c r="D237" s="41">
        <v>140.0</v>
      </c>
      <c r="E237" s="58" t="s">
        <v>51</v>
      </c>
      <c r="F237" s="63">
        <v>45987.0</v>
      </c>
      <c r="G237" s="5" t="s">
        <v>72</v>
      </c>
      <c r="H237" s="5" t="s">
        <v>809</v>
      </c>
      <c r="I237" s="16"/>
      <c r="J237" s="16"/>
    </row>
    <row r="238" ht="22.5" customHeight="1">
      <c r="A238" s="53" t="s">
        <v>500</v>
      </c>
      <c r="B238" s="54" t="s">
        <v>472</v>
      </c>
      <c r="C238" s="54">
        <v>12.0</v>
      </c>
      <c r="D238" s="55">
        <v>125.0</v>
      </c>
      <c r="E238" s="54" t="s">
        <v>51</v>
      </c>
      <c r="F238" s="65">
        <v>45987.0</v>
      </c>
      <c r="G238" s="5" t="s">
        <v>72</v>
      </c>
      <c r="H238" s="5" t="s">
        <v>810</v>
      </c>
      <c r="I238" s="16"/>
      <c r="J238" s="16"/>
    </row>
    <row r="239" ht="22.5" customHeight="1">
      <c r="A239" s="35" t="s">
        <v>518</v>
      </c>
      <c r="B239" s="58" t="s">
        <v>472</v>
      </c>
      <c r="C239" s="58">
        <v>24.0</v>
      </c>
      <c r="D239" s="41">
        <v>75.0</v>
      </c>
      <c r="E239" s="58" t="s">
        <v>51</v>
      </c>
      <c r="F239" s="63">
        <v>45987.0</v>
      </c>
      <c r="G239" s="5" t="s">
        <v>72</v>
      </c>
      <c r="H239" s="5" t="s">
        <v>811</v>
      </c>
      <c r="I239" s="16"/>
      <c r="J239" s="16"/>
    </row>
    <row r="240" ht="22.5" customHeight="1">
      <c r="A240" s="53" t="s">
        <v>49</v>
      </c>
      <c r="B240" s="54" t="s">
        <v>50</v>
      </c>
      <c r="C240" s="54">
        <v>1.0</v>
      </c>
      <c r="D240" s="55">
        <v>1100.0</v>
      </c>
      <c r="E240" s="54" t="s">
        <v>51</v>
      </c>
      <c r="F240" s="65">
        <v>45987.0</v>
      </c>
      <c r="G240" s="5" t="s">
        <v>72</v>
      </c>
      <c r="H240" s="5" t="s">
        <v>814</v>
      </c>
      <c r="I240" s="16"/>
      <c r="J240" s="16"/>
    </row>
    <row r="241" ht="22.5" customHeight="1">
      <c r="A241" s="35" t="s">
        <v>114</v>
      </c>
      <c r="B241" s="58" t="s">
        <v>50</v>
      </c>
      <c r="C241" s="58">
        <v>1.0</v>
      </c>
      <c r="D241" s="41">
        <v>500.0</v>
      </c>
      <c r="E241" s="58" t="s">
        <v>51</v>
      </c>
      <c r="F241" s="63">
        <v>45987.0</v>
      </c>
      <c r="G241" s="5" t="s">
        <v>72</v>
      </c>
      <c r="H241" s="5" t="s">
        <v>818</v>
      </c>
      <c r="I241" s="16"/>
      <c r="J241" s="16"/>
    </row>
    <row r="242" ht="22.5" customHeight="1">
      <c r="A242" s="53" t="s">
        <v>338</v>
      </c>
      <c r="B242" s="54" t="s">
        <v>339</v>
      </c>
      <c r="C242" s="54">
        <v>1.0</v>
      </c>
      <c r="D242" s="55">
        <v>250.0</v>
      </c>
      <c r="E242" s="54" t="s">
        <v>51</v>
      </c>
      <c r="F242" s="65">
        <v>45987.0</v>
      </c>
      <c r="G242" s="5" t="s">
        <v>72</v>
      </c>
      <c r="H242" s="5" t="s">
        <v>819</v>
      </c>
      <c r="I242" s="16"/>
      <c r="J242" s="16"/>
    </row>
    <row r="243" ht="22.5" customHeight="1">
      <c r="A243" s="35" t="s">
        <v>342</v>
      </c>
      <c r="B243" s="58" t="s">
        <v>339</v>
      </c>
      <c r="C243" s="58">
        <v>1.0</v>
      </c>
      <c r="D243" s="41">
        <v>250.0</v>
      </c>
      <c r="E243" s="58" t="s">
        <v>51</v>
      </c>
      <c r="F243" s="63">
        <v>45987.0</v>
      </c>
      <c r="G243" s="5" t="s">
        <v>72</v>
      </c>
      <c r="H243" s="5" t="s">
        <v>821</v>
      </c>
      <c r="I243" s="16"/>
      <c r="J243" s="16"/>
    </row>
    <row r="244" ht="22.5" customHeight="1">
      <c r="A244" s="53" t="s">
        <v>406</v>
      </c>
      <c r="B244" s="54" t="s">
        <v>339</v>
      </c>
      <c r="C244" s="54">
        <v>1.0</v>
      </c>
      <c r="D244" s="55">
        <v>225.0</v>
      </c>
      <c r="E244" s="54" t="s">
        <v>51</v>
      </c>
      <c r="F244" s="65">
        <v>45987.0</v>
      </c>
      <c r="G244" s="5" t="s">
        <v>72</v>
      </c>
      <c r="H244" s="5" t="s">
        <v>822</v>
      </c>
      <c r="I244" s="16"/>
      <c r="J244" s="16"/>
    </row>
    <row r="245" ht="22.5" customHeight="1">
      <c r="A245" s="35" t="s">
        <v>823</v>
      </c>
      <c r="B245" s="58" t="s">
        <v>339</v>
      </c>
      <c r="C245" s="58">
        <v>2.0</v>
      </c>
      <c r="D245" s="41">
        <v>65.0</v>
      </c>
      <c r="E245" s="58" t="s">
        <v>51</v>
      </c>
      <c r="F245" s="63">
        <v>45987.0</v>
      </c>
      <c r="G245" s="5" t="s">
        <v>72</v>
      </c>
      <c r="H245" s="5" t="s">
        <v>824</v>
      </c>
      <c r="I245" s="16"/>
      <c r="J245" s="16"/>
    </row>
    <row r="246" ht="22.5" customHeight="1">
      <c r="A246" s="53" t="s">
        <v>347</v>
      </c>
      <c r="B246" s="54" t="s">
        <v>238</v>
      </c>
      <c r="C246" s="54">
        <v>10.0</v>
      </c>
      <c r="D246" s="55">
        <v>20.0</v>
      </c>
      <c r="E246" s="54" t="s">
        <v>51</v>
      </c>
      <c r="F246" s="65">
        <v>45987.0</v>
      </c>
      <c r="G246" s="5" t="s">
        <v>72</v>
      </c>
      <c r="H246" s="5" t="s">
        <v>829</v>
      </c>
      <c r="I246" s="16"/>
      <c r="J246" s="16"/>
    </row>
    <row r="247" ht="22.5" customHeight="1">
      <c r="A247" s="35" t="s">
        <v>830</v>
      </c>
      <c r="B247" s="58" t="s">
        <v>238</v>
      </c>
      <c r="C247" s="58">
        <v>10.0</v>
      </c>
      <c r="D247" s="41">
        <v>10.0</v>
      </c>
      <c r="E247" s="58" t="s">
        <v>51</v>
      </c>
      <c r="F247" s="63">
        <v>45987.0</v>
      </c>
      <c r="G247" s="5" t="s">
        <v>72</v>
      </c>
      <c r="H247" s="5" t="s">
        <v>831</v>
      </c>
      <c r="I247" s="16"/>
      <c r="J247" s="16"/>
    </row>
    <row r="248" ht="22.5" customHeight="1">
      <c r="A248" s="69" t="s">
        <v>558</v>
      </c>
      <c r="B248" s="70" t="s">
        <v>224</v>
      </c>
      <c r="C248" s="71">
        <v>14.0</v>
      </c>
      <c r="D248" s="72">
        <v>125.0</v>
      </c>
      <c r="E248" s="73" t="s">
        <v>119</v>
      </c>
      <c r="F248" s="74">
        <v>46004.0</v>
      </c>
      <c r="G248" s="5" t="s">
        <v>72</v>
      </c>
      <c r="H248" s="5" t="s">
        <v>833</v>
      </c>
      <c r="I248" s="16"/>
      <c r="J248" s="16"/>
    </row>
    <row r="249" ht="22.5" customHeight="1">
      <c r="A249" s="69" t="s">
        <v>547</v>
      </c>
      <c r="B249" s="70" t="s">
        <v>224</v>
      </c>
      <c r="C249" s="71">
        <v>2.0</v>
      </c>
      <c r="D249" s="72">
        <v>135.0</v>
      </c>
      <c r="E249" s="73" t="s">
        <v>119</v>
      </c>
      <c r="F249" s="74">
        <v>46004.0</v>
      </c>
      <c r="G249" s="5" t="s">
        <v>72</v>
      </c>
      <c r="H249" s="5" t="s">
        <v>835</v>
      </c>
      <c r="I249" s="16"/>
      <c r="J249" s="16"/>
    </row>
    <row r="250" ht="22.5" customHeight="1">
      <c r="A250" s="69" t="s">
        <v>549</v>
      </c>
      <c r="B250" s="70" t="s">
        <v>836</v>
      </c>
      <c r="C250" s="71">
        <v>3.0</v>
      </c>
      <c r="D250" s="72">
        <f>17+1/2</f>
        <v>17.5</v>
      </c>
      <c r="E250" s="73" t="s">
        <v>119</v>
      </c>
      <c r="F250" s="74">
        <v>46004.0</v>
      </c>
      <c r="G250" s="5" t="s">
        <v>72</v>
      </c>
      <c r="H250" s="5" t="s">
        <v>838</v>
      </c>
      <c r="I250" s="16"/>
      <c r="J250" s="16"/>
    </row>
    <row r="251" ht="22.5" customHeight="1">
      <c r="A251" s="69" t="s">
        <v>536</v>
      </c>
      <c r="B251" s="70" t="s">
        <v>836</v>
      </c>
      <c r="C251" s="71">
        <v>6.0</v>
      </c>
      <c r="D251" s="72">
        <f>11+1/4</f>
        <v>11.25</v>
      </c>
      <c r="E251" s="73" t="s">
        <v>119</v>
      </c>
      <c r="F251" s="74">
        <v>46004.0</v>
      </c>
      <c r="G251" s="5" t="s">
        <v>72</v>
      </c>
      <c r="H251" s="5" t="s">
        <v>842</v>
      </c>
      <c r="I251" s="16"/>
      <c r="J251" s="16"/>
    </row>
    <row r="252" ht="22.5" customHeight="1">
      <c r="A252" s="69" t="s">
        <v>680</v>
      </c>
      <c r="B252" s="70" t="s">
        <v>681</v>
      </c>
      <c r="C252" s="71">
        <v>1.0</v>
      </c>
      <c r="D252" s="72">
        <v>160.0</v>
      </c>
      <c r="E252" s="73" t="s">
        <v>119</v>
      </c>
      <c r="F252" s="74">
        <v>46004.0</v>
      </c>
      <c r="G252" s="5" t="s">
        <v>72</v>
      </c>
      <c r="H252" s="5" t="s">
        <v>843</v>
      </c>
      <c r="I252" s="16"/>
      <c r="J252" s="16"/>
    </row>
    <row r="253" ht="22.5" customHeight="1">
      <c r="A253" s="69" t="s">
        <v>540</v>
      </c>
      <c r="B253" s="70" t="s">
        <v>579</v>
      </c>
      <c r="C253" s="75">
        <v>18.0</v>
      </c>
      <c r="D253" s="72">
        <f>(66+3/4)/6</f>
        <v>11.125</v>
      </c>
      <c r="E253" s="73" t="s">
        <v>119</v>
      </c>
      <c r="F253" s="74">
        <v>46004.0</v>
      </c>
      <c r="G253" s="5" t="s">
        <v>72</v>
      </c>
      <c r="H253" s="5" t="s">
        <v>844</v>
      </c>
      <c r="I253" s="16"/>
      <c r="J253" s="16"/>
    </row>
    <row r="254" ht="22.5" customHeight="1">
      <c r="A254" s="69" t="s">
        <v>764</v>
      </c>
      <c r="B254" s="70" t="s">
        <v>224</v>
      </c>
      <c r="C254" s="71">
        <v>1.0</v>
      </c>
      <c r="D254" s="76">
        <f>136+1/2</f>
        <v>136.5</v>
      </c>
      <c r="E254" s="73" t="s">
        <v>119</v>
      </c>
      <c r="F254" s="74">
        <v>46004.0</v>
      </c>
      <c r="G254" s="5" t="s">
        <v>72</v>
      </c>
      <c r="H254" s="5" t="s">
        <v>847</v>
      </c>
      <c r="I254" s="16"/>
      <c r="J254" s="16"/>
    </row>
    <row r="255" ht="22.5" customHeight="1">
      <c r="A255" s="69" t="s">
        <v>849</v>
      </c>
      <c r="B255" s="70" t="s">
        <v>224</v>
      </c>
      <c r="C255" s="71">
        <v>1.0</v>
      </c>
      <c r="D255" s="72">
        <v>135.0</v>
      </c>
      <c r="E255" s="73" t="s">
        <v>119</v>
      </c>
      <c r="F255" s="74">
        <v>46004.0</v>
      </c>
      <c r="G255" s="5" t="s">
        <v>72</v>
      </c>
      <c r="H255" s="5" t="s">
        <v>850</v>
      </c>
      <c r="I255" s="16"/>
      <c r="J255" s="16"/>
    </row>
    <row r="256" ht="22.5" customHeight="1">
      <c r="A256" s="69" t="s">
        <v>519</v>
      </c>
      <c r="B256" s="70" t="s">
        <v>224</v>
      </c>
      <c r="C256" s="71">
        <v>1.0</v>
      </c>
      <c r="D256" s="72">
        <v>180.0</v>
      </c>
      <c r="E256" s="73" t="s">
        <v>119</v>
      </c>
      <c r="F256" s="74">
        <v>46004.0</v>
      </c>
      <c r="G256" s="5" t="s">
        <v>72</v>
      </c>
      <c r="H256" s="5" t="s">
        <v>853</v>
      </c>
      <c r="I256" s="16"/>
      <c r="J256" s="16"/>
    </row>
    <row r="257" ht="22.5" customHeight="1">
      <c r="A257" s="69" t="s">
        <v>854</v>
      </c>
      <c r="B257" s="70" t="s">
        <v>224</v>
      </c>
      <c r="C257" s="71">
        <v>1.0</v>
      </c>
      <c r="D257" s="72">
        <v>120.0</v>
      </c>
      <c r="E257" s="73" t="s">
        <v>119</v>
      </c>
      <c r="F257" s="74">
        <v>46004.0</v>
      </c>
      <c r="G257" s="5" t="s">
        <v>72</v>
      </c>
      <c r="H257" s="5" t="s">
        <v>855</v>
      </c>
      <c r="I257" s="16"/>
      <c r="J257" s="16"/>
    </row>
    <row r="258" ht="22.5" customHeight="1">
      <c r="A258" s="69" t="s">
        <v>541</v>
      </c>
      <c r="B258" s="70" t="s">
        <v>224</v>
      </c>
      <c r="C258" s="71">
        <v>1.0</v>
      </c>
      <c r="D258" s="72">
        <v>178.0</v>
      </c>
      <c r="E258" s="73" t="s">
        <v>119</v>
      </c>
      <c r="F258" s="74">
        <v>46004.0</v>
      </c>
      <c r="G258" s="5" t="s">
        <v>72</v>
      </c>
      <c r="H258" s="5" t="s">
        <v>857</v>
      </c>
      <c r="I258" s="16"/>
      <c r="J258" s="16"/>
    </row>
    <row r="259" ht="22.5" customHeight="1">
      <c r="A259" s="69" t="s">
        <v>602</v>
      </c>
      <c r="B259" s="70" t="s">
        <v>224</v>
      </c>
      <c r="C259" s="71">
        <v>1.0</v>
      </c>
      <c r="D259" s="72">
        <v>174.0</v>
      </c>
      <c r="E259" s="73" t="s">
        <v>119</v>
      </c>
      <c r="F259" s="74">
        <v>46004.0</v>
      </c>
      <c r="G259" s="5" t="s">
        <v>72</v>
      </c>
      <c r="H259" s="5" t="s">
        <v>859</v>
      </c>
      <c r="I259" s="16"/>
      <c r="J259" s="16"/>
    </row>
    <row r="260" ht="22.5" customHeight="1">
      <c r="A260" s="69" t="s">
        <v>797</v>
      </c>
      <c r="B260" s="70" t="s">
        <v>224</v>
      </c>
      <c r="C260" s="71">
        <v>1.0</v>
      </c>
      <c r="D260" s="72">
        <v>145.0</v>
      </c>
      <c r="E260" s="73" t="s">
        <v>119</v>
      </c>
      <c r="F260" s="74">
        <v>46004.0</v>
      </c>
      <c r="G260" s="5" t="s">
        <v>72</v>
      </c>
      <c r="H260" s="5" t="s">
        <v>860</v>
      </c>
      <c r="I260" s="16"/>
      <c r="J260" s="16"/>
    </row>
    <row r="261" ht="22.5" customHeight="1">
      <c r="A261" s="69" t="s">
        <v>851</v>
      </c>
      <c r="B261" s="70" t="s">
        <v>224</v>
      </c>
      <c r="C261" s="71">
        <v>1.0</v>
      </c>
      <c r="D261" s="72">
        <v>137.0</v>
      </c>
      <c r="E261" s="73" t="s">
        <v>119</v>
      </c>
      <c r="F261" s="74">
        <v>46004.0</v>
      </c>
      <c r="G261" s="5" t="s">
        <v>72</v>
      </c>
      <c r="H261" s="5" t="s">
        <v>862</v>
      </c>
      <c r="I261" s="16"/>
      <c r="J261" s="16"/>
    </row>
    <row r="262" ht="22.5" customHeight="1">
      <c r="A262" s="69" t="s">
        <v>563</v>
      </c>
      <c r="B262" s="70" t="s">
        <v>224</v>
      </c>
      <c r="C262" s="71">
        <v>1.0</v>
      </c>
      <c r="D262" s="72">
        <v>175.0</v>
      </c>
      <c r="E262" s="73" t="s">
        <v>119</v>
      </c>
      <c r="F262" s="74">
        <v>46004.0</v>
      </c>
      <c r="G262" s="5" t="s">
        <v>72</v>
      </c>
      <c r="H262" s="5" t="s">
        <v>864</v>
      </c>
      <c r="I262" s="16"/>
      <c r="J262" s="16"/>
    </row>
    <row r="263" ht="22.5" customHeight="1">
      <c r="A263" s="69" t="s">
        <v>704</v>
      </c>
      <c r="B263" s="70" t="s">
        <v>224</v>
      </c>
      <c r="C263" s="71">
        <v>1.0</v>
      </c>
      <c r="D263" s="72">
        <v>150.0</v>
      </c>
      <c r="E263" s="73" t="s">
        <v>119</v>
      </c>
      <c r="F263" s="74">
        <v>46004.0</v>
      </c>
      <c r="G263" s="5" t="s">
        <v>72</v>
      </c>
      <c r="H263" s="5" t="s">
        <v>866</v>
      </c>
      <c r="I263" s="16"/>
      <c r="J263" s="16"/>
    </row>
    <row r="264" ht="22.5" customHeight="1">
      <c r="A264" s="69" t="s">
        <v>683</v>
      </c>
      <c r="B264" s="70" t="s">
        <v>224</v>
      </c>
      <c r="C264" s="71">
        <v>1.0</v>
      </c>
      <c r="D264" s="72">
        <v>160.0</v>
      </c>
      <c r="E264" s="73" t="s">
        <v>119</v>
      </c>
      <c r="F264" s="74">
        <v>46004.0</v>
      </c>
      <c r="G264" s="5" t="s">
        <v>72</v>
      </c>
      <c r="H264" s="5" t="s">
        <v>867</v>
      </c>
      <c r="I264" s="16"/>
      <c r="J264" s="16"/>
    </row>
    <row r="265" ht="22.5" customHeight="1">
      <c r="A265" s="69" t="s">
        <v>868</v>
      </c>
      <c r="B265" s="70" t="s">
        <v>224</v>
      </c>
      <c r="C265" s="71">
        <v>1.0</v>
      </c>
      <c r="D265" s="72">
        <v>125.0</v>
      </c>
      <c r="E265" s="73" t="s">
        <v>119</v>
      </c>
      <c r="F265" s="74">
        <v>46004.0</v>
      </c>
      <c r="G265" s="5" t="s">
        <v>72</v>
      </c>
      <c r="H265" s="5" t="s">
        <v>869</v>
      </c>
      <c r="I265" s="16"/>
      <c r="J265" s="16"/>
    </row>
    <row r="266" ht="22.5" customHeight="1">
      <c r="A266" s="69" t="s">
        <v>746</v>
      </c>
      <c r="B266" s="70" t="s">
        <v>224</v>
      </c>
      <c r="C266" s="71">
        <v>1.0</v>
      </c>
      <c r="D266" s="72">
        <v>150.0</v>
      </c>
      <c r="E266" s="73" t="s">
        <v>119</v>
      </c>
      <c r="F266" s="74">
        <v>46004.0</v>
      </c>
      <c r="G266" s="5" t="s">
        <v>72</v>
      </c>
      <c r="H266" s="5" t="s">
        <v>870</v>
      </c>
      <c r="I266" s="16"/>
      <c r="J266" s="16"/>
    </row>
    <row r="267" ht="22.5" customHeight="1">
      <c r="A267" s="69" t="s">
        <v>872</v>
      </c>
      <c r="B267" s="70" t="s">
        <v>224</v>
      </c>
      <c r="C267" s="71">
        <v>1.0</v>
      </c>
      <c r="D267" s="72">
        <v>95.0</v>
      </c>
      <c r="E267" s="73" t="s">
        <v>119</v>
      </c>
      <c r="F267" s="74">
        <v>46004.0</v>
      </c>
      <c r="G267" s="5" t="s">
        <v>72</v>
      </c>
      <c r="H267" s="5" t="s">
        <v>873</v>
      </c>
      <c r="I267" s="16"/>
      <c r="J267" s="16"/>
    </row>
    <row r="268" ht="22.5" customHeight="1">
      <c r="A268" s="69" t="s">
        <v>874</v>
      </c>
      <c r="B268" s="70" t="s">
        <v>224</v>
      </c>
      <c r="C268" s="71">
        <v>1.0</v>
      </c>
      <c r="D268" s="72">
        <v>135.0</v>
      </c>
      <c r="E268" s="73" t="s">
        <v>119</v>
      </c>
      <c r="F268" s="74">
        <v>46004.0</v>
      </c>
      <c r="G268" s="5" t="s">
        <v>72</v>
      </c>
      <c r="H268" s="5" t="s">
        <v>875</v>
      </c>
      <c r="I268" s="16"/>
      <c r="J268" s="16"/>
    </row>
    <row r="269" ht="22.5" customHeight="1">
      <c r="A269" s="69" t="s">
        <v>685</v>
      </c>
      <c r="B269" s="70" t="s">
        <v>224</v>
      </c>
      <c r="C269" s="71">
        <v>1.0</v>
      </c>
      <c r="D269" s="72">
        <v>160.0</v>
      </c>
      <c r="E269" s="73" t="s">
        <v>119</v>
      </c>
      <c r="F269" s="74">
        <v>46004.0</v>
      </c>
      <c r="G269" s="5" t="s">
        <v>72</v>
      </c>
      <c r="H269" s="5" t="s">
        <v>877</v>
      </c>
      <c r="I269" s="16"/>
      <c r="J269" s="16"/>
    </row>
    <row r="270" ht="22.5" customHeight="1">
      <c r="A270" s="69" t="s">
        <v>790</v>
      </c>
      <c r="B270" s="70" t="s">
        <v>224</v>
      </c>
      <c r="C270" s="71">
        <v>1.0</v>
      </c>
      <c r="D270" s="72">
        <v>135.0</v>
      </c>
      <c r="E270" s="73" t="s">
        <v>119</v>
      </c>
      <c r="F270" s="74">
        <v>46004.0</v>
      </c>
      <c r="G270" s="5" t="s">
        <v>72</v>
      </c>
      <c r="H270" s="5" t="s">
        <v>878</v>
      </c>
      <c r="I270" s="16"/>
      <c r="J270" s="16"/>
    </row>
    <row r="271" ht="22.5" customHeight="1">
      <c r="A271" s="69" t="s">
        <v>735</v>
      </c>
      <c r="B271" s="70" t="s">
        <v>224</v>
      </c>
      <c r="C271" s="71">
        <v>1.0</v>
      </c>
      <c r="D271" s="72">
        <v>125.0</v>
      </c>
      <c r="E271" s="73" t="s">
        <v>119</v>
      </c>
      <c r="F271" s="74">
        <v>46004.0</v>
      </c>
      <c r="G271" s="5" t="s">
        <v>72</v>
      </c>
      <c r="H271" s="5" t="s">
        <v>880</v>
      </c>
      <c r="I271" s="16"/>
      <c r="J271" s="16"/>
    </row>
    <row r="272" ht="22.5" customHeight="1">
      <c r="A272" s="69" t="s">
        <v>664</v>
      </c>
      <c r="B272" s="70" t="s">
        <v>224</v>
      </c>
      <c r="C272" s="71">
        <v>1.0</v>
      </c>
      <c r="D272" s="72">
        <v>165.0</v>
      </c>
      <c r="E272" s="73" t="s">
        <v>119</v>
      </c>
      <c r="F272" s="74">
        <v>46004.0</v>
      </c>
      <c r="G272" s="5" t="s">
        <v>72</v>
      </c>
      <c r="H272" s="5" t="s">
        <v>881</v>
      </c>
      <c r="I272" s="16"/>
      <c r="J272" s="16"/>
    </row>
    <row r="273" ht="22.5" customHeight="1">
      <c r="A273" s="69" t="s">
        <v>883</v>
      </c>
      <c r="B273" s="70" t="s">
        <v>224</v>
      </c>
      <c r="C273" s="71">
        <v>1.0</v>
      </c>
      <c r="D273" s="72">
        <v>115.0</v>
      </c>
      <c r="E273" s="73" t="s">
        <v>119</v>
      </c>
      <c r="F273" s="74">
        <v>46004.0</v>
      </c>
      <c r="G273" s="5" t="s">
        <v>72</v>
      </c>
      <c r="H273" s="5" t="s">
        <v>884</v>
      </c>
      <c r="I273" s="16"/>
      <c r="J273" s="16"/>
    </row>
    <row r="274" ht="22.5" customHeight="1">
      <c r="A274" s="69" t="s">
        <v>660</v>
      </c>
      <c r="B274" s="70" t="s">
        <v>224</v>
      </c>
      <c r="C274" s="71">
        <v>1.0</v>
      </c>
      <c r="D274" s="72">
        <v>130.0</v>
      </c>
      <c r="E274" s="73" t="s">
        <v>119</v>
      </c>
      <c r="F274" s="74">
        <v>46004.0</v>
      </c>
      <c r="G274" s="5" t="s">
        <v>72</v>
      </c>
      <c r="H274" s="5" t="s">
        <v>886</v>
      </c>
      <c r="I274" s="16"/>
      <c r="J274" s="16"/>
    </row>
    <row r="275" ht="22.5" customHeight="1">
      <c r="A275" s="69" t="s">
        <v>739</v>
      </c>
      <c r="B275" s="70" t="s">
        <v>224</v>
      </c>
      <c r="C275" s="71">
        <v>1.0</v>
      </c>
      <c r="D275" s="72">
        <v>125.0</v>
      </c>
      <c r="E275" s="73" t="s">
        <v>119</v>
      </c>
      <c r="F275" s="74">
        <v>46004.0</v>
      </c>
      <c r="G275" s="5" t="s">
        <v>72</v>
      </c>
      <c r="H275" s="5" t="s">
        <v>887</v>
      </c>
      <c r="I275" s="16"/>
      <c r="J275" s="16"/>
    </row>
    <row r="276" ht="22.5" customHeight="1">
      <c r="A276" s="69" t="s">
        <v>530</v>
      </c>
      <c r="B276" s="70" t="s">
        <v>224</v>
      </c>
      <c r="C276" s="71">
        <v>1.0</v>
      </c>
      <c r="D276" s="76">
        <f>167+1/2</f>
        <v>167.5</v>
      </c>
      <c r="E276" s="73" t="s">
        <v>119</v>
      </c>
      <c r="F276" s="74">
        <v>46004.0</v>
      </c>
      <c r="G276" s="5" t="s">
        <v>72</v>
      </c>
      <c r="H276" s="5" t="s">
        <v>889</v>
      </c>
      <c r="I276" s="16"/>
      <c r="J276" s="16"/>
    </row>
    <row r="277" ht="22.5" customHeight="1">
      <c r="A277" s="69" t="s">
        <v>688</v>
      </c>
      <c r="B277" s="70" t="s">
        <v>224</v>
      </c>
      <c r="C277" s="71">
        <v>2.0</v>
      </c>
      <c r="D277" s="72">
        <v>160.0</v>
      </c>
      <c r="E277" s="73" t="s">
        <v>119</v>
      </c>
      <c r="F277" s="74">
        <v>46004.0</v>
      </c>
      <c r="G277" s="5" t="s">
        <v>72</v>
      </c>
      <c r="H277" s="5" t="s">
        <v>891</v>
      </c>
      <c r="I277" s="16"/>
      <c r="J277" s="16"/>
    </row>
    <row r="278" ht="22.5" customHeight="1">
      <c r="A278" s="69" t="s">
        <v>892</v>
      </c>
      <c r="B278" s="70" t="s">
        <v>224</v>
      </c>
      <c r="C278" s="71">
        <v>1.0</v>
      </c>
      <c r="D278" s="72">
        <v>130.0</v>
      </c>
      <c r="E278" s="73" t="s">
        <v>119</v>
      </c>
      <c r="F278" s="74">
        <v>46004.0</v>
      </c>
      <c r="G278" s="5" t="s">
        <v>72</v>
      </c>
      <c r="H278" s="5" t="s">
        <v>894</v>
      </c>
      <c r="I278" s="16"/>
      <c r="J278" s="16"/>
    </row>
    <row r="279" ht="22.5" customHeight="1">
      <c r="A279" s="69" t="s">
        <v>555</v>
      </c>
      <c r="B279" s="70" t="s">
        <v>224</v>
      </c>
      <c r="C279" s="71">
        <v>1.0</v>
      </c>
      <c r="D279" s="72">
        <v>151.0</v>
      </c>
      <c r="E279" s="73" t="s">
        <v>119</v>
      </c>
      <c r="F279" s="74">
        <v>46004.0</v>
      </c>
      <c r="G279" s="5" t="s">
        <v>72</v>
      </c>
      <c r="H279" s="5" t="s">
        <v>895</v>
      </c>
      <c r="I279" s="16"/>
      <c r="J279" s="16"/>
    </row>
    <row r="280" ht="22.5" customHeight="1">
      <c r="A280" s="69" t="s">
        <v>834</v>
      </c>
      <c r="B280" s="70" t="s">
        <v>224</v>
      </c>
      <c r="C280" s="71">
        <v>1.0</v>
      </c>
      <c r="D280" s="72">
        <v>139.0</v>
      </c>
      <c r="E280" s="73" t="s">
        <v>119</v>
      </c>
      <c r="F280" s="74">
        <v>46004.0</v>
      </c>
      <c r="G280" s="5" t="s">
        <v>72</v>
      </c>
      <c r="H280" s="5" t="s">
        <v>897</v>
      </c>
      <c r="I280" s="16"/>
      <c r="J280" s="16"/>
    </row>
    <row r="281" ht="22.5" customHeight="1">
      <c r="A281" s="69" t="s">
        <v>723</v>
      </c>
      <c r="B281" s="70" t="s">
        <v>224</v>
      </c>
      <c r="C281" s="71">
        <v>1.0</v>
      </c>
      <c r="D281" s="72">
        <v>139.0</v>
      </c>
      <c r="E281" s="73" t="s">
        <v>119</v>
      </c>
      <c r="F281" s="74">
        <v>46004.0</v>
      </c>
      <c r="G281" s="5" t="s">
        <v>72</v>
      </c>
      <c r="H281" s="5" t="s">
        <v>899</v>
      </c>
      <c r="I281" s="16"/>
      <c r="J281" s="16"/>
    </row>
    <row r="282" ht="22.5" customHeight="1">
      <c r="A282" s="69" t="s">
        <v>700</v>
      </c>
      <c r="B282" s="70" t="s">
        <v>224</v>
      </c>
      <c r="C282" s="71">
        <v>1.0</v>
      </c>
      <c r="D282" s="72">
        <v>159.0</v>
      </c>
      <c r="E282" s="73" t="s">
        <v>119</v>
      </c>
      <c r="F282" s="74">
        <v>46004.0</v>
      </c>
      <c r="G282" s="5" t="s">
        <v>72</v>
      </c>
      <c r="H282" s="5" t="s">
        <v>901</v>
      </c>
      <c r="I282" s="16"/>
      <c r="J282" s="16"/>
    </row>
    <row r="283" ht="22.5" customHeight="1">
      <c r="A283" s="69" t="s">
        <v>650</v>
      </c>
      <c r="B283" s="70" t="s">
        <v>224</v>
      </c>
      <c r="C283" s="71">
        <v>1.0</v>
      </c>
      <c r="D283" s="72">
        <v>124.0</v>
      </c>
      <c r="E283" s="73" t="s">
        <v>119</v>
      </c>
      <c r="F283" s="74">
        <v>46004.0</v>
      </c>
      <c r="G283" s="5" t="s">
        <v>72</v>
      </c>
      <c r="H283" s="5" t="s">
        <v>905</v>
      </c>
      <c r="I283" s="16"/>
      <c r="J283" s="16"/>
    </row>
    <row r="284" ht="22.5" customHeight="1">
      <c r="A284" s="69" t="s">
        <v>552</v>
      </c>
      <c r="B284" s="70" t="s">
        <v>224</v>
      </c>
      <c r="C284" s="71">
        <v>1.0</v>
      </c>
      <c r="D284" s="72">
        <v>134.0</v>
      </c>
      <c r="E284" s="73" t="s">
        <v>119</v>
      </c>
      <c r="F284" s="74">
        <v>46004.0</v>
      </c>
      <c r="G284" s="5" t="s">
        <v>72</v>
      </c>
      <c r="H284" s="5" t="s">
        <v>907</v>
      </c>
      <c r="I284" s="16"/>
      <c r="J284" s="16"/>
    </row>
    <row r="285" ht="22.5" customHeight="1">
      <c r="A285" s="69" t="s">
        <v>714</v>
      </c>
      <c r="B285" s="70" t="s">
        <v>224</v>
      </c>
      <c r="C285" s="71">
        <v>1.0</v>
      </c>
      <c r="D285" s="72">
        <v>154.0</v>
      </c>
      <c r="E285" s="73" t="s">
        <v>119</v>
      </c>
      <c r="F285" s="74">
        <v>46004.0</v>
      </c>
      <c r="G285" s="5" t="s">
        <v>72</v>
      </c>
      <c r="H285" s="5" t="s">
        <v>909</v>
      </c>
      <c r="I285" s="16"/>
      <c r="J285" s="16"/>
    </row>
    <row r="286" ht="22.5" customHeight="1">
      <c r="A286" s="69" t="s">
        <v>709</v>
      </c>
      <c r="B286" s="70" t="s">
        <v>224</v>
      </c>
      <c r="C286" s="71">
        <v>1.0</v>
      </c>
      <c r="D286" s="72">
        <v>143.0</v>
      </c>
      <c r="E286" s="73" t="s">
        <v>119</v>
      </c>
      <c r="F286" s="74">
        <v>46004.0</v>
      </c>
      <c r="G286" s="5" t="s">
        <v>72</v>
      </c>
      <c r="H286" s="5" t="s">
        <v>910</v>
      </c>
      <c r="I286" s="16"/>
      <c r="J286" s="16"/>
    </row>
    <row r="287" ht="22.5" customHeight="1">
      <c r="A287" s="69" t="s">
        <v>584</v>
      </c>
      <c r="B287" s="73" t="s">
        <v>681</v>
      </c>
      <c r="C287" s="75">
        <v>36.0</v>
      </c>
      <c r="D287" s="76">
        <v>5.0</v>
      </c>
      <c r="E287" s="73" t="s">
        <v>119</v>
      </c>
      <c r="F287" s="74">
        <v>46004.0</v>
      </c>
      <c r="G287" s="5" t="s">
        <v>72</v>
      </c>
      <c r="H287" s="5" t="s">
        <v>911</v>
      </c>
      <c r="I287" s="16"/>
      <c r="J287" s="16"/>
    </row>
    <row r="288" ht="22.5" customHeight="1">
      <c r="A288" s="69" t="s">
        <v>625</v>
      </c>
      <c r="B288" s="77"/>
      <c r="C288" s="71">
        <v>1.0</v>
      </c>
      <c r="D288" s="72">
        <v>39.0</v>
      </c>
      <c r="E288" s="73" t="s">
        <v>119</v>
      </c>
      <c r="F288" s="74">
        <v>46004.0</v>
      </c>
      <c r="G288" s="5" t="s">
        <v>72</v>
      </c>
      <c r="H288" s="5" t="s">
        <v>912</v>
      </c>
      <c r="I288" s="16"/>
      <c r="J288" s="16"/>
    </row>
    <row r="289" ht="22.5" customHeight="1">
      <c r="A289" s="78" t="s">
        <v>545</v>
      </c>
      <c r="B289" s="11" t="s">
        <v>681</v>
      </c>
      <c r="C289" s="79">
        <v>4.0</v>
      </c>
      <c r="D289" s="80">
        <v>85.0</v>
      </c>
      <c r="E289" s="11" t="s">
        <v>914</v>
      </c>
      <c r="F289" s="81"/>
      <c r="G289" s="5" t="s">
        <v>72</v>
      </c>
      <c r="H289" s="5" t="s">
        <v>916</v>
      </c>
      <c r="I289" s="16"/>
      <c r="J289" s="16"/>
    </row>
    <row r="290" ht="22.5" customHeight="1">
      <c r="A290" s="69" t="s">
        <v>800</v>
      </c>
      <c r="B290" s="10" t="s">
        <v>836</v>
      </c>
      <c r="C290" s="6">
        <v>48.0</v>
      </c>
      <c r="D290" s="82">
        <f>11+1/4</f>
        <v>11.25</v>
      </c>
      <c r="E290" s="10" t="s">
        <v>119</v>
      </c>
      <c r="F290" s="20">
        <v>46007.0</v>
      </c>
      <c r="G290" s="5" t="s">
        <v>72</v>
      </c>
      <c r="H290" s="5" t="s">
        <v>917</v>
      </c>
      <c r="I290" s="16"/>
      <c r="J290" s="16"/>
    </row>
    <row r="291" ht="22.5" customHeight="1">
      <c r="A291" s="83" t="s">
        <v>823</v>
      </c>
      <c r="B291" s="84" t="s">
        <v>339</v>
      </c>
      <c r="C291" s="75">
        <v>6.0</v>
      </c>
      <c r="D291" s="76">
        <v>65.0</v>
      </c>
      <c r="E291" s="84" t="s">
        <v>436</v>
      </c>
      <c r="F291" s="20">
        <v>46007.0</v>
      </c>
      <c r="G291" s="5" t="s">
        <v>72</v>
      </c>
      <c r="H291" s="5" t="s">
        <v>919</v>
      </c>
      <c r="I291" s="16"/>
      <c r="J291" s="16"/>
    </row>
    <row r="292" ht="22.5" customHeight="1">
      <c r="A292" s="85" t="s">
        <v>250</v>
      </c>
      <c r="B292" s="84" t="s">
        <v>50</v>
      </c>
      <c r="C292" s="75">
        <v>4.0</v>
      </c>
      <c r="D292" s="76">
        <v>90.0</v>
      </c>
      <c r="E292" s="84" t="s">
        <v>436</v>
      </c>
      <c r="F292" s="20">
        <v>46007.0</v>
      </c>
      <c r="G292" s="5" t="s">
        <v>72</v>
      </c>
      <c r="H292" s="5" t="s">
        <v>921</v>
      </c>
      <c r="I292" s="16"/>
      <c r="J292" s="16"/>
    </row>
    <row r="293" ht="22.5" customHeight="1">
      <c r="A293" s="69" t="s">
        <v>749</v>
      </c>
      <c r="B293" s="84" t="s">
        <v>50</v>
      </c>
      <c r="C293" s="75">
        <v>2.0</v>
      </c>
      <c r="D293" s="76">
        <v>150.0</v>
      </c>
      <c r="E293" s="84" t="s">
        <v>436</v>
      </c>
      <c r="F293" s="20">
        <v>46007.0</v>
      </c>
      <c r="G293" s="5" t="s">
        <v>72</v>
      </c>
      <c r="H293" s="5" t="s">
        <v>922</v>
      </c>
      <c r="I293" s="16"/>
      <c r="J293" s="16"/>
    </row>
    <row r="294" ht="22.5" customHeight="1">
      <c r="A294" s="69" t="s">
        <v>91</v>
      </c>
      <c r="B294" s="84" t="s">
        <v>238</v>
      </c>
      <c r="C294" s="75">
        <v>100.0</v>
      </c>
      <c r="D294" s="76">
        <v>35.0</v>
      </c>
      <c r="E294" s="84" t="s">
        <v>436</v>
      </c>
      <c r="F294" s="20">
        <v>46007.0</v>
      </c>
      <c r="G294" s="5" t="s">
        <v>72</v>
      </c>
      <c r="H294" s="5" t="s">
        <v>924</v>
      </c>
      <c r="I294" s="16"/>
      <c r="J294" s="16"/>
    </row>
    <row r="295" ht="22.5" customHeight="1">
      <c r="A295" s="69" t="s">
        <v>926</v>
      </c>
      <c r="B295" s="84" t="s">
        <v>927</v>
      </c>
      <c r="C295" s="75">
        <v>50.0</v>
      </c>
      <c r="D295" s="76">
        <v>20.0</v>
      </c>
      <c r="E295" s="84" t="s">
        <v>436</v>
      </c>
      <c r="F295" s="20">
        <v>46007.0</v>
      </c>
      <c r="G295" s="5" t="s">
        <v>72</v>
      </c>
      <c r="H295" s="5" t="s">
        <v>928</v>
      </c>
      <c r="I295" s="16"/>
      <c r="J295" s="16"/>
    </row>
    <row r="296" ht="22.5" customHeight="1">
      <c r="A296" s="69" t="s">
        <v>929</v>
      </c>
      <c r="B296" s="84" t="s">
        <v>927</v>
      </c>
      <c r="C296" s="75">
        <v>50.0</v>
      </c>
      <c r="D296" s="76">
        <v>20.0</v>
      </c>
      <c r="E296" s="84" t="s">
        <v>436</v>
      </c>
      <c r="F296" s="20">
        <v>46007.0</v>
      </c>
      <c r="G296" s="5" t="s">
        <v>72</v>
      </c>
      <c r="H296" s="5" t="s">
        <v>931</v>
      </c>
      <c r="I296" s="16"/>
      <c r="J296" s="16"/>
    </row>
    <row r="297" ht="22.5" customHeight="1">
      <c r="A297" s="69" t="s">
        <v>932</v>
      </c>
      <c r="B297" s="84" t="s">
        <v>927</v>
      </c>
      <c r="C297" s="75">
        <v>50.0</v>
      </c>
      <c r="D297" s="76">
        <v>30.0</v>
      </c>
      <c r="E297" s="84" t="s">
        <v>436</v>
      </c>
      <c r="F297" s="20">
        <v>46007.0</v>
      </c>
      <c r="G297" s="5" t="s">
        <v>72</v>
      </c>
      <c r="H297" s="5" t="s">
        <v>934</v>
      </c>
      <c r="I297" s="16"/>
      <c r="J297" s="16"/>
    </row>
    <row r="298" ht="22.5" customHeight="1">
      <c r="A298" s="69" t="s">
        <v>935</v>
      </c>
      <c r="B298" s="84" t="s">
        <v>238</v>
      </c>
      <c r="C298" s="75">
        <v>50.0</v>
      </c>
      <c r="D298" s="76">
        <v>5.0</v>
      </c>
      <c r="E298" s="84" t="s">
        <v>436</v>
      </c>
      <c r="F298" s="20">
        <v>46007.0</v>
      </c>
      <c r="G298" s="5" t="s">
        <v>72</v>
      </c>
      <c r="H298" s="5" t="s">
        <v>937</v>
      </c>
      <c r="I298" s="16"/>
      <c r="J298" s="16"/>
    </row>
    <row r="299" ht="22.5" customHeight="1">
      <c r="A299" s="69" t="s">
        <v>933</v>
      </c>
      <c r="B299" s="84" t="s">
        <v>238</v>
      </c>
      <c r="C299" s="75">
        <v>50.0</v>
      </c>
      <c r="D299" s="76">
        <v>10.0</v>
      </c>
      <c r="E299" s="84" t="s">
        <v>436</v>
      </c>
      <c r="F299" s="20">
        <v>46007.0</v>
      </c>
      <c r="G299" s="5" t="s">
        <v>72</v>
      </c>
      <c r="H299" s="5" t="s">
        <v>938</v>
      </c>
      <c r="I299" s="16"/>
      <c r="J299" s="16"/>
    </row>
    <row r="300" ht="22.5" customHeight="1">
      <c r="A300" s="86" t="s">
        <v>435</v>
      </c>
      <c r="B300" s="10" t="s">
        <v>339</v>
      </c>
      <c r="C300" s="75">
        <v>6.0</v>
      </c>
      <c r="D300" s="76">
        <v>220.0</v>
      </c>
      <c r="E300" s="84" t="s">
        <v>436</v>
      </c>
      <c r="F300" s="20">
        <v>46007.0</v>
      </c>
      <c r="G300" s="5" t="s">
        <v>72</v>
      </c>
      <c r="H300" s="5" t="s">
        <v>940</v>
      </c>
      <c r="I300" s="16"/>
      <c r="J300" s="16"/>
    </row>
    <row r="301" ht="22.5" customHeight="1">
      <c r="A301" s="69" t="s">
        <v>614</v>
      </c>
      <c r="B301" s="10" t="s">
        <v>224</v>
      </c>
      <c r="C301" s="6">
        <v>4.0</v>
      </c>
      <c r="D301" s="8">
        <v>78.0</v>
      </c>
      <c r="E301" s="10" t="s">
        <v>119</v>
      </c>
      <c r="F301" s="87">
        <v>46011.0</v>
      </c>
      <c r="G301" s="5" t="s">
        <v>72</v>
      </c>
      <c r="H301" s="5" t="s">
        <v>943</v>
      </c>
      <c r="I301" s="16"/>
      <c r="J301" s="16"/>
    </row>
    <row r="302" ht="22.5" customHeight="1">
      <c r="A302" s="69" t="s">
        <v>611</v>
      </c>
      <c r="B302" s="10" t="s">
        <v>944</v>
      </c>
      <c r="C302" s="6">
        <v>6.0</v>
      </c>
      <c r="D302" s="8">
        <v>29.0</v>
      </c>
      <c r="E302" s="10" t="s">
        <v>119</v>
      </c>
      <c r="F302" s="87">
        <v>46011.0</v>
      </c>
      <c r="G302" s="5" t="s">
        <v>72</v>
      </c>
      <c r="H302" s="5" t="s">
        <v>945</v>
      </c>
      <c r="I302" s="16"/>
      <c r="J302" s="16"/>
    </row>
    <row r="303" ht="22.5" customHeight="1">
      <c r="A303" s="69" t="s">
        <v>633</v>
      </c>
      <c r="B303" s="10" t="s">
        <v>224</v>
      </c>
      <c r="C303" s="6">
        <v>3.0</v>
      </c>
      <c r="D303" s="8">
        <v>128.0</v>
      </c>
      <c r="E303" s="10" t="s">
        <v>119</v>
      </c>
      <c r="F303" s="87">
        <v>46011.0</v>
      </c>
      <c r="G303" s="5" t="s">
        <v>72</v>
      </c>
      <c r="H303" s="5" t="s">
        <v>947</v>
      </c>
      <c r="I303" s="16"/>
      <c r="J303" s="16"/>
    </row>
    <row r="304" ht="22.5" customHeight="1">
      <c r="A304" s="69" t="s">
        <v>815</v>
      </c>
      <c r="B304" s="10" t="s">
        <v>224</v>
      </c>
      <c r="C304" s="6">
        <v>3.0</v>
      </c>
      <c r="D304" s="8">
        <v>137.0</v>
      </c>
      <c r="E304" s="10" t="s">
        <v>119</v>
      </c>
      <c r="F304" s="87">
        <v>46011.0</v>
      </c>
      <c r="G304" s="5" t="s">
        <v>72</v>
      </c>
      <c r="H304" s="5" t="s">
        <v>948</v>
      </c>
      <c r="I304" s="16"/>
      <c r="J304" s="16"/>
    </row>
    <row r="305" ht="22.5" customHeight="1">
      <c r="A305" s="69" t="s">
        <v>793</v>
      </c>
      <c r="B305" s="10" t="s">
        <v>224</v>
      </c>
      <c r="C305" s="6">
        <v>3.0</v>
      </c>
      <c r="D305" s="8">
        <v>126.0</v>
      </c>
      <c r="E305" s="10" t="s">
        <v>119</v>
      </c>
      <c r="F305" s="87">
        <v>46011.0</v>
      </c>
      <c r="G305" s="5" t="s">
        <v>72</v>
      </c>
      <c r="H305" s="5" t="s">
        <v>949</v>
      </c>
      <c r="I305" s="16"/>
      <c r="J305" s="16"/>
    </row>
    <row r="306" ht="22.5" customHeight="1">
      <c r="A306" s="69" t="s">
        <v>684</v>
      </c>
      <c r="B306" s="10" t="s">
        <v>224</v>
      </c>
      <c r="C306" s="6">
        <v>2.0</v>
      </c>
      <c r="D306" s="8">
        <v>120.0</v>
      </c>
      <c r="E306" s="10" t="s">
        <v>119</v>
      </c>
      <c r="F306" s="87">
        <v>46011.0</v>
      </c>
      <c r="G306" s="5" t="s">
        <v>72</v>
      </c>
      <c r="H306" s="5" t="s">
        <v>951</v>
      </c>
      <c r="I306" s="16"/>
      <c r="J306" s="16"/>
    </row>
    <row r="307" ht="22.5" customHeight="1">
      <c r="A307" s="69" t="s">
        <v>707</v>
      </c>
      <c r="B307" s="10" t="s">
        <v>224</v>
      </c>
      <c r="C307" s="6">
        <v>3.0</v>
      </c>
      <c r="D307" s="8">
        <v>59.0</v>
      </c>
      <c r="E307" s="10" t="s">
        <v>119</v>
      </c>
      <c r="F307" s="87">
        <v>46011.0</v>
      </c>
      <c r="G307" s="5" t="s">
        <v>72</v>
      </c>
      <c r="H307" s="5" t="s">
        <v>952</v>
      </c>
      <c r="I307" s="16"/>
      <c r="J307" s="16"/>
    </row>
    <row r="308" ht="22.5" customHeight="1">
      <c r="A308" s="69" t="s">
        <v>687</v>
      </c>
      <c r="B308" s="10" t="s">
        <v>224</v>
      </c>
      <c r="C308" s="6">
        <v>2.0</v>
      </c>
      <c r="D308" s="8">
        <v>106.0</v>
      </c>
      <c r="E308" s="10" t="s">
        <v>119</v>
      </c>
      <c r="F308" s="87">
        <v>46011.0</v>
      </c>
      <c r="G308" s="5" t="s">
        <v>72</v>
      </c>
      <c r="H308" s="5" t="s">
        <v>954</v>
      </c>
      <c r="I308" s="16"/>
      <c r="J308" s="16"/>
    </row>
    <row r="309" ht="22.5" customHeight="1">
      <c r="A309" s="69" t="s">
        <v>694</v>
      </c>
      <c r="B309" s="10" t="s">
        <v>224</v>
      </c>
      <c r="C309" s="6">
        <v>1.0</v>
      </c>
      <c r="D309" s="8">
        <v>106.0</v>
      </c>
      <c r="E309" s="10" t="s">
        <v>119</v>
      </c>
      <c r="F309" s="87">
        <v>46011.0</v>
      </c>
      <c r="G309" s="5" t="s">
        <v>72</v>
      </c>
      <c r="H309" s="5" t="s">
        <v>956</v>
      </c>
      <c r="I309" s="16"/>
      <c r="J309" s="16"/>
    </row>
    <row r="310" ht="22.5" customHeight="1">
      <c r="A310" s="69" t="s">
        <v>957</v>
      </c>
      <c r="B310" s="10" t="s">
        <v>224</v>
      </c>
      <c r="C310" s="6">
        <v>2.0</v>
      </c>
      <c r="D310" s="8">
        <v>55.0</v>
      </c>
      <c r="E310" s="10" t="s">
        <v>119</v>
      </c>
      <c r="F310" s="87">
        <v>46011.0</v>
      </c>
      <c r="G310" s="5" t="s">
        <v>72</v>
      </c>
      <c r="H310" s="5" t="s">
        <v>958</v>
      </c>
      <c r="I310" s="16"/>
      <c r="J310" s="16"/>
    </row>
    <row r="311" ht="22.5" customHeight="1">
      <c r="A311" s="69" t="s">
        <v>675</v>
      </c>
      <c r="B311" s="10" t="s">
        <v>224</v>
      </c>
      <c r="C311" s="6">
        <v>6.0</v>
      </c>
      <c r="D311" s="8">
        <f>27.5</f>
        <v>27.5</v>
      </c>
      <c r="E311" s="10" t="s">
        <v>119</v>
      </c>
      <c r="F311" s="87">
        <v>46011.0</v>
      </c>
      <c r="G311" s="5" t="s">
        <v>72</v>
      </c>
      <c r="H311" s="5" t="s">
        <v>959</v>
      </c>
      <c r="I311" s="16"/>
      <c r="J311" s="16"/>
    </row>
    <row r="312" ht="22.5" customHeight="1">
      <c r="A312" s="69" t="s">
        <v>679</v>
      </c>
      <c r="B312" s="10" t="s">
        <v>224</v>
      </c>
      <c r="C312" s="6">
        <v>2.0</v>
      </c>
      <c r="D312" s="8">
        <v>63.0</v>
      </c>
      <c r="E312" s="10" t="s">
        <v>119</v>
      </c>
      <c r="F312" s="87">
        <v>46011.0</v>
      </c>
      <c r="G312" s="5" t="s">
        <v>72</v>
      </c>
      <c r="H312" s="5" t="s">
        <v>961</v>
      </c>
      <c r="I312" s="16"/>
      <c r="J312" s="16"/>
    </row>
    <row r="313" ht="22.5" customHeight="1">
      <c r="A313" s="69" t="s">
        <v>808</v>
      </c>
      <c r="B313" s="10" t="s">
        <v>224</v>
      </c>
      <c r="C313" s="6">
        <v>3.0</v>
      </c>
      <c r="D313" s="8">
        <v>63.0</v>
      </c>
      <c r="E313" s="10" t="s">
        <v>119</v>
      </c>
      <c r="F313" s="87">
        <v>46011.0</v>
      </c>
      <c r="G313" s="5" t="s">
        <v>72</v>
      </c>
      <c r="H313" s="5" t="s">
        <v>964</v>
      </c>
      <c r="I313" s="16"/>
      <c r="J313" s="16"/>
    </row>
    <row r="314" ht="22.5" customHeight="1">
      <c r="A314" s="69" t="s">
        <v>784</v>
      </c>
      <c r="B314" s="10" t="s">
        <v>224</v>
      </c>
      <c r="C314" s="6">
        <v>1.0</v>
      </c>
      <c r="D314" s="8">
        <v>63.0</v>
      </c>
      <c r="E314" s="10" t="s">
        <v>119</v>
      </c>
      <c r="F314" s="87">
        <v>46011.0</v>
      </c>
      <c r="G314" s="5" t="s">
        <v>72</v>
      </c>
      <c r="H314" s="5" t="s">
        <v>966</v>
      </c>
      <c r="I314" s="16"/>
      <c r="J314" s="16"/>
    </row>
    <row r="315" ht="22.5" customHeight="1">
      <c r="A315" s="69" t="s">
        <v>967</v>
      </c>
      <c r="B315" s="10" t="s">
        <v>224</v>
      </c>
      <c r="C315" s="6">
        <v>3.0</v>
      </c>
      <c r="D315" s="8">
        <v>60.0</v>
      </c>
      <c r="E315" s="10" t="s">
        <v>119</v>
      </c>
      <c r="F315" s="87">
        <v>46011.0</v>
      </c>
      <c r="G315" s="5" t="s">
        <v>72</v>
      </c>
      <c r="H315" s="5" t="s">
        <v>968</v>
      </c>
      <c r="I315" s="16"/>
      <c r="J315" s="16"/>
    </row>
    <row r="316" ht="22.5" customHeight="1">
      <c r="A316" s="69" t="s">
        <v>691</v>
      </c>
      <c r="B316" s="10" t="s">
        <v>224</v>
      </c>
      <c r="C316" s="6">
        <v>2.0</v>
      </c>
      <c r="D316" s="8">
        <v>81.0</v>
      </c>
      <c r="E316" s="10" t="s">
        <v>119</v>
      </c>
      <c r="F316" s="87">
        <v>46011.0</v>
      </c>
      <c r="G316" s="5" t="s">
        <v>72</v>
      </c>
      <c r="H316" s="5" t="s">
        <v>969</v>
      </c>
      <c r="I316" s="16"/>
      <c r="J316" s="16"/>
    </row>
    <row r="317" ht="22.5" customHeight="1">
      <c r="A317" s="69" t="s">
        <v>970</v>
      </c>
      <c r="B317" s="10" t="s">
        <v>224</v>
      </c>
      <c r="C317" s="6">
        <v>1.0</v>
      </c>
      <c r="D317" s="8">
        <v>75.0</v>
      </c>
      <c r="E317" s="10" t="s">
        <v>119</v>
      </c>
      <c r="F317" s="87">
        <v>46011.0</v>
      </c>
      <c r="G317" s="5" t="s">
        <v>72</v>
      </c>
      <c r="H317" s="5" t="s">
        <v>972</v>
      </c>
      <c r="I317" s="16"/>
      <c r="J317" s="16"/>
    </row>
    <row r="318" ht="22.5" customHeight="1">
      <c r="A318" s="69" t="s">
        <v>758</v>
      </c>
      <c r="B318" s="10" t="s">
        <v>579</v>
      </c>
      <c r="C318" s="6">
        <v>12.0</v>
      </c>
      <c r="D318" s="8">
        <f>31.25</f>
        <v>31.25</v>
      </c>
      <c r="E318" s="10" t="s">
        <v>119</v>
      </c>
      <c r="F318" s="87">
        <v>46011.0</v>
      </c>
      <c r="G318" s="5" t="s">
        <v>72</v>
      </c>
      <c r="H318" s="5" t="s">
        <v>976</v>
      </c>
      <c r="I318" s="16"/>
      <c r="J318" s="16"/>
    </row>
    <row r="319" ht="22.5" customHeight="1">
      <c r="A319" s="69" t="s">
        <v>572</v>
      </c>
      <c r="B319" s="10" t="s">
        <v>579</v>
      </c>
      <c r="C319" s="6">
        <f>2*12</f>
        <v>24</v>
      </c>
      <c r="D319" s="8">
        <f>525/10 /12</f>
        <v>4.375</v>
      </c>
      <c r="E319" s="10" t="s">
        <v>119</v>
      </c>
      <c r="F319" s="87">
        <v>46011.0</v>
      </c>
      <c r="G319" s="5" t="s">
        <v>72</v>
      </c>
      <c r="H319" s="5" t="s">
        <v>979</v>
      </c>
      <c r="I319" s="16"/>
      <c r="J319" s="16"/>
    </row>
    <row r="320" ht="22.5" customHeight="1">
      <c r="A320" s="69" t="s">
        <v>575</v>
      </c>
      <c r="B320" s="10" t="s">
        <v>579</v>
      </c>
      <c r="C320" s="6">
        <f>2*8</f>
        <v>16</v>
      </c>
      <c r="D320" s="8">
        <f>36/8</f>
        <v>4.5</v>
      </c>
      <c r="E320" s="10" t="s">
        <v>119</v>
      </c>
      <c r="F320" s="87">
        <v>46011.0</v>
      </c>
      <c r="G320" s="5" t="s">
        <v>72</v>
      </c>
      <c r="H320" s="5" t="s">
        <v>981</v>
      </c>
      <c r="I320" s="16"/>
      <c r="J320" s="16"/>
    </row>
    <row r="321" ht="22.5" customHeight="1">
      <c r="A321" s="69" t="s">
        <v>540</v>
      </c>
      <c r="B321" s="10" t="s">
        <v>579</v>
      </c>
      <c r="C321" s="6">
        <f>6*6</f>
        <v>36</v>
      </c>
      <c r="D321" s="8">
        <f>11.125</f>
        <v>11.125</v>
      </c>
      <c r="E321" s="10" t="s">
        <v>119</v>
      </c>
      <c r="F321" s="87">
        <v>46011.0</v>
      </c>
      <c r="G321" s="88" t="s">
        <v>72</v>
      </c>
      <c r="H321" s="5" t="s">
        <v>984</v>
      </c>
      <c r="I321" s="16"/>
      <c r="J321" s="16"/>
    </row>
    <row r="322" ht="22.5" customHeight="1">
      <c r="A322" s="69" t="s">
        <v>549</v>
      </c>
      <c r="B322" s="10" t="s">
        <v>836</v>
      </c>
      <c r="C322" s="6">
        <v>8.0</v>
      </c>
      <c r="D322" s="8">
        <f>17.5</f>
        <v>17.5</v>
      </c>
      <c r="E322" s="10" t="s">
        <v>119</v>
      </c>
      <c r="F322" s="87">
        <v>46011.0</v>
      </c>
      <c r="G322" s="5" t="s">
        <v>72</v>
      </c>
      <c r="H322" s="5" t="s">
        <v>986</v>
      </c>
      <c r="I322" s="16"/>
      <c r="J322" s="16"/>
    </row>
    <row r="323" ht="22.5" customHeight="1">
      <c r="A323" s="69" t="s">
        <v>567</v>
      </c>
      <c r="B323" s="10" t="s">
        <v>579</v>
      </c>
      <c r="C323" s="6">
        <v>3.0</v>
      </c>
      <c r="D323" s="8">
        <v>51.0</v>
      </c>
      <c r="E323" s="10" t="s">
        <v>119</v>
      </c>
      <c r="F323" s="87">
        <v>46011.0</v>
      </c>
      <c r="G323" s="5" t="s">
        <v>72</v>
      </c>
      <c r="H323" s="5" t="s">
        <v>990</v>
      </c>
      <c r="I323" s="16"/>
      <c r="J323" s="16"/>
    </row>
    <row r="324" ht="22.5" customHeight="1">
      <c r="A324" s="69" t="s">
        <v>580</v>
      </c>
      <c r="B324" s="10" t="s">
        <v>579</v>
      </c>
      <c r="C324" s="6">
        <v>2.0</v>
      </c>
      <c r="D324" s="8">
        <f>43.75</f>
        <v>43.75</v>
      </c>
      <c r="E324" s="10" t="s">
        <v>119</v>
      </c>
      <c r="F324" s="87">
        <v>46011.0</v>
      </c>
      <c r="G324" s="5" t="s">
        <v>72</v>
      </c>
      <c r="H324" s="5" t="s">
        <v>992</v>
      </c>
      <c r="I324" s="16"/>
      <c r="J324" s="16"/>
    </row>
    <row r="325" ht="22.5" customHeight="1">
      <c r="A325" s="69" t="s">
        <v>993</v>
      </c>
      <c r="B325" s="10" t="s">
        <v>994</v>
      </c>
      <c r="C325" s="6">
        <v>1.0</v>
      </c>
      <c r="D325" s="8">
        <v>234.0</v>
      </c>
      <c r="E325" s="10" t="s">
        <v>119</v>
      </c>
      <c r="F325" s="87">
        <v>46011.0</v>
      </c>
      <c r="G325" s="5" t="s">
        <v>72</v>
      </c>
      <c r="H325" s="5" t="s">
        <v>995</v>
      </c>
      <c r="I325" s="16"/>
      <c r="J325" s="16"/>
    </row>
    <row r="326" ht="22.5" customHeight="1">
      <c r="A326" s="69" t="s">
        <v>997</v>
      </c>
      <c r="B326" s="10" t="s">
        <v>827</v>
      </c>
      <c r="C326" s="6">
        <v>3.0</v>
      </c>
      <c r="D326" s="8">
        <v>112.0</v>
      </c>
      <c r="E326" s="10" t="s">
        <v>119</v>
      </c>
      <c r="F326" s="89">
        <v>46018.0</v>
      </c>
      <c r="G326" s="5" t="s">
        <v>72</v>
      </c>
      <c r="H326" s="5" t="s">
        <v>998</v>
      </c>
      <c r="I326" s="16"/>
      <c r="J326" s="16"/>
    </row>
    <row r="327" ht="22.5" customHeight="1">
      <c r="A327" s="69" t="s">
        <v>846</v>
      </c>
      <c r="B327" s="10" t="s">
        <v>827</v>
      </c>
      <c r="C327" s="6">
        <v>1.0</v>
      </c>
      <c r="D327" s="8">
        <f>137+1/2</f>
        <v>137.5</v>
      </c>
      <c r="E327" s="10" t="s">
        <v>119</v>
      </c>
      <c r="F327" s="89">
        <v>46018.0</v>
      </c>
      <c r="G327" s="5" t="s">
        <v>72</v>
      </c>
      <c r="H327" s="5" t="s">
        <v>999</v>
      </c>
      <c r="I327" s="16"/>
      <c r="J327" s="16"/>
    </row>
    <row r="328" ht="22.5" customHeight="1">
      <c r="A328" s="69" t="s">
        <v>826</v>
      </c>
      <c r="B328" s="10" t="s">
        <v>827</v>
      </c>
      <c r="C328" s="6">
        <v>1.0</v>
      </c>
      <c r="D328" s="8">
        <v>140.0</v>
      </c>
      <c r="E328" s="10" t="s">
        <v>119</v>
      </c>
      <c r="F328" s="89">
        <v>46018.0</v>
      </c>
      <c r="G328" s="5" t="s">
        <v>72</v>
      </c>
      <c r="H328" s="5" t="s">
        <v>1001</v>
      </c>
      <c r="I328" s="16"/>
      <c r="J328" s="16"/>
    </row>
    <row r="329" ht="22.5" customHeight="1">
      <c r="A329" s="69" t="s">
        <v>913</v>
      </c>
      <c r="B329" s="10" t="s">
        <v>827</v>
      </c>
      <c r="C329" s="6">
        <v>1.0</v>
      </c>
      <c r="D329" s="8">
        <v>130.0</v>
      </c>
      <c r="E329" s="10" t="s">
        <v>119</v>
      </c>
      <c r="F329" s="89">
        <v>46018.0</v>
      </c>
      <c r="G329" s="5" t="s">
        <v>72</v>
      </c>
      <c r="H329" s="5" t="s">
        <v>1002</v>
      </c>
      <c r="I329" s="16"/>
      <c r="J329" s="16"/>
    </row>
    <row r="330" ht="22.5" customHeight="1">
      <c r="A330" s="69" t="s">
        <v>950</v>
      </c>
      <c r="B330" s="10" t="s">
        <v>827</v>
      </c>
      <c r="C330" s="6">
        <v>2.0</v>
      </c>
      <c r="D330" s="8">
        <v>72.0</v>
      </c>
      <c r="E330" s="10" t="s">
        <v>119</v>
      </c>
      <c r="F330" s="89">
        <v>46018.0</v>
      </c>
      <c r="G330" s="5" t="s">
        <v>72</v>
      </c>
      <c r="H330" s="5" t="s">
        <v>1003</v>
      </c>
      <c r="I330" s="16"/>
      <c r="J330" s="16"/>
    </row>
    <row r="331" ht="22.5" customHeight="1">
      <c r="A331" s="69" t="s">
        <v>643</v>
      </c>
      <c r="B331" s="10" t="s">
        <v>30</v>
      </c>
      <c r="C331" s="6">
        <v>1.0</v>
      </c>
      <c r="D331" s="8">
        <v>166.0</v>
      </c>
      <c r="E331" s="10" t="s">
        <v>119</v>
      </c>
      <c r="F331" s="89">
        <v>46018.0</v>
      </c>
      <c r="G331" s="5" t="s">
        <v>72</v>
      </c>
      <c r="H331" s="5" t="s">
        <v>1005</v>
      </c>
      <c r="I331" s="16"/>
      <c r="J331" s="16"/>
    </row>
    <row r="332" ht="22.5" customHeight="1">
      <c r="A332" s="69" t="s">
        <v>740</v>
      </c>
      <c r="B332" s="10" t="s">
        <v>30</v>
      </c>
      <c r="C332" s="6">
        <v>1.0</v>
      </c>
      <c r="D332" s="8">
        <f>137+1/2</f>
        <v>137.5</v>
      </c>
      <c r="E332" s="10" t="s">
        <v>119</v>
      </c>
      <c r="F332" s="89">
        <v>46018.0</v>
      </c>
      <c r="G332" s="5" t="s">
        <v>72</v>
      </c>
      <c r="H332" s="5" t="s">
        <v>1007</v>
      </c>
      <c r="I332" s="16"/>
      <c r="J332" s="16"/>
    </row>
    <row r="333" ht="22.5" customHeight="1">
      <c r="A333" s="69" t="s">
        <v>646</v>
      </c>
      <c r="B333" s="10" t="s">
        <v>30</v>
      </c>
      <c r="C333" s="6">
        <v>1.0</v>
      </c>
      <c r="D333" s="8">
        <v>166.0</v>
      </c>
      <c r="E333" s="10" t="s">
        <v>119</v>
      </c>
      <c r="F333" s="89">
        <v>46018.0</v>
      </c>
      <c r="G333" s="5" t="s">
        <v>72</v>
      </c>
      <c r="H333" s="5" t="s">
        <v>1008</v>
      </c>
      <c r="I333" s="16"/>
      <c r="J333" s="16"/>
    </row>
    <row r="334" ht="22.5" customHeight="1">
      <c r="A334" s="69" t="s">
        <v>567</v>
      </c>
      <c r="B334" s="10" t="s">
        <v>579</v>
      </c>
      <c r="C334" s="6">
        <v>3.0</v>
      </c>
      <c r="D334" s="8">
        <v>51.0</v>
      </c>
      <c r="E334" s="10" t="s">
        <v>119</v>
      </c>
      <c r="F334" s="89">
        <v>46018.0</v>
      </c>
      <c r="G334" s="5" t="s">
        <v>72</v>
      </c>
      <c r="H334" s="5" t="s">
        <v>1009</v>
      </c>
      <c r="I334" s="16"/>
      <c r="J334" s="16"/>
    </row>
    <row r="335" ht="22.5" customHeight="1">
      <c r="A335" s="69" t="s">
        <v>618</v>
      </c>
      <c r="B335" s="10" t="s">
        <v>30</v>
      </c>
      <c r="C335" s="6">
        <v>1.0</v>
      </c>
      <c r="D335" s="8">
        <v>141.0</v>
      </c>
      <c r="E335" s="10" t="s">
        <v>119</v>
      </c>
      <c r="F335" s="89">
        <v>46018.0</v>
      </c>
      <c r="G335" s="5" t="s">
        <v>72</v>
      </c>
      <c r="H335" s="5" t="s">
        <v>1012</v>
      </c>
      <c r="I335" s="16"/>
      <c r="J335" s="16"/>
    </row>
    <row r="336" ht="22.5" customHeight="1">
      <c r="A336" s="69" t="s">
        <v>496</v>
      </c>
      <c r="B336" s="10" t="s">
        <v>579</v>
      </c>
      <c r="C336" s="6">
        <v>3.0</v>
      </c>
      <c r="D336" s="8">
        <f>44.25</f>
        <v>44.25</v>
      </c>
      <c r="E336" s="10" t="s">
        <v>119</v>
      </c>
      <c r="F336" s="89">
        <v>46018.0</v>
      </c>
      <c r="G336" s="5" t="s">
        <v>72</v>
      </c>
      <c r="H336" s="5" t="s">
        <v>1013</v>
      </c>
      <c r="I336" s="16"/>
      <c r="J336" s="16"/>
    </row>
    <row r="337" ht="22.5" customHeight="1">
      <c r="A337" s="69" t="s">
        <v>522</v>
      </c>
      <c r="B337" s="10" t="s">
        <v>30</v>
      </c>
      <c r="C337" s="6">
        <v>1.0</v>
      </c>
      <c r="D337" s="8">
        <v>180.0</v>
      </c>
      <c r="E337" s="10" t="s">
        <v>119</v>
      </c>
      <c r="F337" s="89">
        <v>46018.0</v>
      </c>
      <c r="G337" s="5" t="s">
        <v>72</v>
      </c>
      <c r="H337" s="5" t="s">
        <v>1015</v>
      </c>
      <c r="I337" s="16"/>
      <c r="J337" s="16"/>
    </row>
    <row r="338" ht="22.5" customHeight="1">
      <c r="A338" s="69" t="s">
        <v>630</v>
      </c>
      <c r="B338" s="10" t="s">
        <v>30</v>
      </c>
      <c r="C338" s="6">
        <v>2.0</v>
      </c>
      <c r="D338" s="8">
        <v>160.0</v>
      </c>
      <c r="E338" s="10" t="s">
        <v>119</v>
      </c>
      <c r="F338" s="89">
        <v>46018.0</v>
      </c>
      <c r="G338" s="5" t="s">
        <v>72</v>
      </c>
      <c r="H338" s="5" t="s">
        <v>1016</v>
      </c>
      <c r="I338" s="16"/>
      <c r="J338" s="16"/>
    </row>
    <row r="339" ht="22.5" customHeight="1">
      <c r="A339" s="69" t="s">
        <v>754</v>
      </c>
      <c r="B339" s="10" t="s">
        <v>30</v>
      </c>
      <c r="C339" s="6">
        <v>1.0</v>
      </c>
      <c r="D339" s="8">
        <v>150.0</v>
      </c>
      <c r="E339" s="10" t="s">
        <v>119</v>
      </c>
      <c r="F339" s="89">
        <v>46018.0</v>
      </c>
      <c r="G339" s="5" t="s">
        <v>72</v>
      </c>
      <c r="H339" s="5" t="s">
        <v>1017</v>
      </c>
      <c r="I339" s="16"/>
      <c r="J339" s="16"/>
    </row>
    <row r="340" ht="22.5" customHeight="1">
      <c r="A340" s="69" t="s">
        <v>668</v>
      </c>
      <c r="B340" s="10" t="s">
        <v>30</v>
      </c>
      <c r="C340" s="6">
        <v>1.0</v>
      </c>
      <c r="D340" s="8">
        <v>126.0</v>
      </c>
      <c r="E340" s="10" t="s">
        <v>119</v>
      </c>
      <c r="F340" s="89">
        <v>46018.0</v>
      </c>
      <c r="G340" s="5" t="s">
        <v>72</v>
      </c>
      <c r="H340" s="5" t="s">
        <v>1018</v>
      </c>
      <c r="I340" s="16"/>
      <c r="J340" s="16"/>
    </row>
    <row r="341" ht="22.5" customHeight="1">
      <c r="A341" s="69" t="s">
        <v>1019</v>
      </c>
      <c r="B341" s="10" t="s">
        <v>994</v>
      </c>
      <c r="C341" s="6">
        <v>12.0</v>
      </c>
      <c r="D341" s="8">
        <f>120/12</f>
        <v>10</v>
      </c>
      <c r="E341" s="10" t="s">
        <v>119</v>
      </c>
      <c r="F341" s="89">
        <v>46018.0</v>
      </c>
      <c r="G341" s="5" t="s">
        <v>72</v>
      </c>
      <c r="H341" s="5" t="s">
        <v>1020</v>
      </c>
      <c r="I341" s="16"/>
      <c r="J341" s="16"/>
    </row>
    <row r="342" ht="22.5" customHeight="1">
      <c r="A342" s="69" t="s">
        <v>588</v>
      </c>
      <c r="B342" s="10" t="s">
        <v>498</v>
      </c>
      <c r="C342" s="6">
        <v>2.0</v>
      </c>
      <c r="D342" s="8">
        <v>115.0</v>
      </c>
      <c r="E342" s="10" t="s">
        <v>119</v>
      </c>
      <c r="F342" s="89">
        <v>46018.0</v>
      </c>
      <c r="G342" s="5" t="s">
        <v>72</v>
      </c>
      <c r="H342" s="5" t="s">
        <v>1022</v>
      </c>
      <c r="I342" s="16"/>
      <c r="J342" s="16"/>
    </row>
    <row r="343" ht="22.5" customHeight="1">
      <c r="A343" s="69" t="s">
        <v>497</v>
      </c>
      <c r="B343" s="10" t="s">
        <v>498</v>
      </c>
      <c r="C343" s="6">
        <v>2.0</v>
      </c>
      <c r="D343" s="8">
        <v>195.0</v>
      </c>
      <c r="E343" s="10" t="s">
        <v>119</v>
      </c>
      <c r="F343" s="89">
        <v>46018.0</v>
      </c>
      <c r="G343" s="5" t="s">
        <v>72</v>
      </c>
      <c r="H343" s="5" t="s">
        <v>1024</v>
      </c>
      <c r="I343" s="16"/>
      <c r="J343" s="16"/>
    </row>
    <row r="344" ht="22.5" customHeight="1">
      <c r="A344" s="69" t="s">
        <v>633</v>
      </c>
      <c r="B344" s="10" t="s">
        <v>30</v>
      </c>
      <c r="C344" s="6">
        <v>3.0</v>
      </c>
      <c r="D344" s="8">
        <v>128.0</v>
      </c>
      <c r="E344" s="10" t="s">
        <v>119</v>
      </c>
      <c r="F344" s="89">
        <v>46018.0</v>
      </c>
      <c r="G344" s="5" t="s">
        <v>72</v>
      </c>
      <c r="H344" s="5" t="s">
        <v>1026</v>
      </c>
      <c r="I344" s="16"/>
      <c r="J344" s="16"/>
    </row>
    <row r="345" ht="22.5" customHeight="1">
      <c r="A345" s="69" t="s">
        <v>673</v>
      </c>
      <c r="B345" s="10" t="s">
        <v>994</v>
      </c>
      <c r="C345" s="6">
        <v>12.0</v>
      </c>
      <c r="D345" s="8">
        <f>81/12</f>
        <v>6.75</v>
      </c>
      <c r="E345" s="10" t="s">
        <v>119</v>
      </c>
      <c r="F345" s="89">
        <v>46018.0</v>
      </c>
      <c r="G345" s="5" t="s">
        <v>72</v>
      </c>
      <c r="H345" s="5" t="s">
        <v>1028</v>
      </c>
      <c r="I345" s="16"/>
      <c r="J345" s="16"/>
    </row>
    <row r="346" ht="22.5" customHeight="1">
      <c r="A346" s="69" t="s">
        <v>1030</v>
      </c>
      <c r="B346" s="10" t="s">
        <v>994</v>
      </c>
      <c r="C346" s="6">
        <v>12.0</v>
      </c>
      <c r="D346" s="8">
        <f>100/12</f>
        <v>8.333333333</v>
      </c>
      <c r="E346" s="10" t="s">
        <v>119</v>
      </c>
      <c r="F346" s="89">
        <v>46018.0</v>
      </c>
      <c r="G346" s="5" t="s">
        <v>72</v>
      </c>
      <c r="H346" s="5" t="s">
        <v>1031</v>
      </c>
      <c r="I346" s="16"/>
      <c r="J346" s="16"/>
    </row>
    <row r="347" ht="22.5" customHeight="1">
      <c r="A347" s="69" t="s">
        <v>596</v>
      </c>
      <c r="B347" s="10" t="s">
        <v>1032</v>
      </c>
      <c r="C347" s="6">
        <v>12.0</v>
      </c>
      <c r="D347" s="8">
        <f t="shared" ref="D347:D348" si="1">215/12</f>
        <v>17.91666667</v>
      </c>
      <c r="E347" s="10" t="s">
        <v>119</v>
      </c>
      <c r="F347" s="89">
        <v>46018.0</v>
      </c>
      <c r="G347" s="5" t="s">
        <v>72</v>
      </c>
      <c r="H347" s="5" t="s">
        <v>1033</v>
      </c>
      <c r="I347" s="16"/>
      <c r="J347" s="16"/>
    </row>
    <row r="348" ht="22.5" customHeight="1">
      <c r="A348" s="69" t="s">
        <v>601</v>
      </c>
      <c r="B348" s="10" t="s">
        <v>1032</v>
      </c>
      <c r="C348" s="6">
        <v>12.0</v>
      </c>
      <c r="D348" s="8">
        <f t="shared" si="1"/>
        <v>17.91666667</v>
      </c>
      <c r="E348" s="10" t="s">
        <v>119</v>
      </c>
      <c r="F348" s="89">
        <v>46018.0</v>
      </c>
      <c r="G348" s="5" t="s">
        <v>72</v>
      </c>
      <c r="H348" s="5" t="s">
        <v>1034</v>
      </c>
      <c r="I348" s="16"/>
      <c r="J348" s="16"/>
    </row>
    <row r="349" ht="22.5" customHeight="1">
      <c r="A349" s="69" t="s">
        <v>1035</v>
      </c>
      <c r="B349" s="10" t="s">
        <v>1036</v>
      </c>
      <c r="C349" s="6">
        <v>2.0</v>
      </c>
      <c r="D349" s="8">
        <f>89.75</f>
        <v>89.75</v>
      </c>
      <c r="E349" s="10" t="s">
        <v>119</v>
      </c>
      <c r="F349" s="89">
        <v>46018.0</v>
      </c>
      <c r="G349" s="5" t="s">
        <v>72</v>
      </c>
      <c r="H349" s="5" t="s">
        <v>1037</v>
      </c>
      <c r="I349" s="16"/>
      <c r="J349" s="16"/>
    </row>
    <row r="350" ht="22.5" customHeight="1">
      <c r="A350" s="69" t="s">
        <v>356</v>
      </c>
      <c r="B350" s="10" t="s">
        <v>472</v>
      </c>
      <c r="C350" s="6">
        <v>12.0</v>
      </c>
      <c r="D350" s="8">
        <f>85</f>
        <v>85</v>
      </c>
      <c r="E350" s="73" t="s">
        <v>51</v>
      </c>
      <c r="F350" s="20">
        <v>46025.0</v>
      </c>
      <c r="G350" s="5" t="s">
        <v>72</v>
      </c>
      <c r="H350" s="5" t="s">
        <v>1039</v>
      </c>
      <c r="I350" s="16"/>
      <c r="J350" s="16"/>
    </row>
    <row r="351" ht="22.5" customHeight="1">
      <c r="A351" s="69" t="s">
        <v>638</v>
      </c>
      <c r="B351" s="10" t="s">
        <v>472</v>
      </c>
      <c r="C351" s="6">
        <v>4.0</v>
      </c>
      <c r="D351" s="8">
        <v>100.0</v>
      </c>
      <c r="E351" s="73" t="s">
        <v>51</v>
      </c>
      <c r="F351" s="20">
        <v>46025.0</v>
      </c>
      <c r="G351" s="5" t="s">
        <v>72</v>
      </c>
      <c r="H351" s="5" t="s">
        <v>1040</v>
      </c>
      <c r="I351" s="16"/>
      <c r="J351" s="16"/>
    </row>
    <row r="352" ht="22.5" customHeight="1">
      <c r="A352" s="69" t="s">
        <v>1041</v>
      </c>
      <c r="B352" s="19" t="s">
        <v>1041</v>
      </c>
      <c r="C352" s="6">
        <v>2.0</v>
      </c>
      <c r="D352" s="8">
        <v>35.0</v>
      </c>
      <c r="E352" s="73" t="s">
        <v>51</v>
      </c>
      <c r="F352" s="20">
        <v>46025.0</v>
      </c>
      <c r="G352" s="5" t="s">
        <v>72</v>
      </c>
      <c r="H352" s="5" t="s">
        <v>1042</v>
      </c>
      <c r="I352" s="16"/>
      <c r="J352" s="16"/>
    </row>
    <row r="353" ht="22.5" customHeight="1">
      <c r="A353" s="69" t="s">
        <v>1043</v>
      </c>
      <c r="B353" s="10" t="s">
        <v>472</v>
      </c>
      <c r="C353" s="6">
        <v>6.0</v>
      </c>
      <c r="D353" s="8">
        <v>80.0</v>
      </c>
      <c r="E353" s="73" t="s">
        <v>51</v>
      </c>
      <c r="F353" s="20">
        <v>46025.0</v>
      </c>
      <c r="G353" s="5" t="s">
        <v>72</v>
      </c>
      <c r="H353" s="5" t="s">
        <v>1044</v>
      </c>
      <c r="I353" s="16"/>
      <c r="J353" s="16"/>
    </row>
    <row r="354" ht="22.5" customHeight="1">
      <c r="A354" s="69" t="s">
        <v>1010</v>
      </c>
      <c r="B354" s="10"/>
      <c r="C354" s="6">
        <v>10.0</v>
      </c>
      <c r="D354" s="8">
        <v>15.0</v>
      </c>
      <c r="E354" s="73" t="s">
        <v>51</v>
      </c>
      <c r="F354" s="20">
        <v>46025.0</v>
      </c>
      <c r="G354" s="5" t="s">
        <v>72</v>
      </c>
      <c r="H354" s="5" t="s">
        <v>1045</v>
      </c>
      <c r="I354" s="16"/>
      <c r="J354" s="16"/>
    </row>
    <row r="355" ht="22.5" customHeight="1">
      <c r="A355" s="69" t="s">
        <v>1046</v>
      </c>
      <c r="B355" s="10" t="s">
        <v>472</v>
      </c>
      <c r="C355" s="6">
        <v>12.0</v>
      </c>
      <c r="D355" s="8">
        <v>35.0</v>
      </c>
      <c r="E355" s="73" t="s">
        <v>51</v>
      </c>
      <c r="F355" s="20">
        <v>46025.0</v>
      </c>
      <c r="G355" s="5" t="s">
        <v>72</v>
      </c>
      <c r="H355" s="5" t="s">
        <v>1048</v>
      </c>
      <c r="I355" s="16"/>
      <c r="J355" s="16"/>
    </row>
    <row r="356" ht="22.5" customHeight="1">
      <c r="A356" s="69" t="s">
        <v>216</v>
      </c>
      <c r="B356" s="10" t="s">
        <v>472</v>
      </c>
      <c r="C356" s="6">
        <v>5.0</v>
      </c>
      <c r="D356" s="8">
        <v>50.0</v>
      </c>
      <c r="E356" s="73" t="s">
        <v>51</v>
      </c>
      <c r="F356" s="20">
        <v>46025.0</v>
      </c>
      <c r="G356" s="5" t="s">
        <v>72</v>
      </c>
      <c r="H356" s="5" t="s">
        <v>1051</v>
      </c>
      <c r="I356" s="16"/>
      <c r="J356" s="16"/>
    </row>
    <row r="357" ht="22.5" customHeight="1">
      <c r="A357" s="90" t="s">
        <v>645</v>
      </c>
      <c r="B357" s="19" t="s">
        <v>68</v>
      </c>
      <c r="C357" s="5">
        <v>50.0</v>
      </c>
      <c r="D357" s="33">
        <v>17.0</v>
      </c>
      <c r="E357" s="73" t="s">
        <v>1052</v>
      </c>
      <c r="F357" s="20">
        <v>46025.0</v>
      </c>
      <c r="G357" s="5" t="s">
        <v>72</v>
      </c>
      <c r="H357" s="5" t="s">
        <v>1053</v>
      </c>
      <c r="I357" s="16"/>
      <c r="J357" s="16"/>
    </row>
    <row r="358" ht="22.5" customHeight="1">
      <c r="A358" s="90" t="s">
        <v>662</v>
      </c>
      <c r="B358" s="19" t="s">
        <v>68</v>
      </c>
      <c r="C358" s="5">
        <v>3.0</v>
      </c>
      <c r="D358" s="33">
        <v>50.0</v>
      </c>
      <c r="E358" s="91" t="s">
        <v>1052</v>
      </c>
      <c r="F358" s="92">
        <v>46025.0</v>
      </c>
      <c r="G358" s="5" t="s">
        <v>72</v>
      </c>
      <c r="H358" s="5" t="s">
        <v>1056</v>
      </c>
      <c r="I358" s="16"/>
      <c r="J358" s="16"/>
    </row>
    <row r="359" ht="22.5" customHeight="1">
      <c r="A359" s="90" t="s">
        <v>667</v>
      </c>
      <c r="B359" s="19" t="s">
        <v>68</v>
      </c>
      <c r="C359" s="5">
        <v>2.0</v>
      </c>
      <c r="D359" s="33">
        <v>55.0</v>
      </c>
      <c r="E359" s="91" t="s">
        <v>1052</v>
      </c>
      <c r="F359" s="92">
        <v>46025.0</v>
      </c>
      <c r="G359" s="5" t="s">
        <v>72</v>
      </c>
      <c r="H359" s="5" t="s">
        <v>1057</v>
      </c>
      <c r="I359" s="16"/>
      <c r="J359" s="16"/>
    </row>
    <row r="360" ht="22.5" customHeight="1">
      <c r="A360" s="90" t="s">
        <v>717</v>
      </c>
      <c r="B360" s="19" t="s">
        <v>68</v>
      </c>
      <c r="C360" s="5">
        <v>1.0</v>
      </c>
      <c r="D360" s="33">
        <v>80.0</v>
      </c>
      <c r="E360" s="91" t="s">
        <v>1052</v>
      </c>
      <c r="F360" s="92">
        <v>46025.0</v>
      </c>
      <c r="G360" s="5" t="s">
        <v>72</v>
      </c>
      <c r="H360" s="5" t="s">
        <v>1060</v>
      </c>
      <c r="I360" s="16"/>
      <c r="J360" s="16"/>
    </row>
    <row r="361" ht="22.5" customHeight="1">
      <c r="A361" s="86" t="s">
        <v>852</v>
      </c>
      <c r="B361" s="84" t="s">
        <v>238</v>
      </c>
      <c r="C361" s="75">
        <v>18.0</v>
      </c>
      <c r="D361" s="76">
        <v>10.0</v>
      </c>
      <c r="E361" s="84" t="s">
        <v>154</v>
      </c>
      <c r="F361" s="87">
        <v>46039.0</v>
      </c>
      <c r="G361" s="5" t="s">
        <v>72</v>
      </c>
      <c r="H361" s="5" t="s">
        <v>1062</v>
      </c>
      <c r="I361" s="16"/>
      <c r="J361" s="16"/>
    </row>
    <row r="362" ht="22.5" customHeight="1">
      <c r="A362" s="86" t="s">
        <v>1064</v>
      </c>
      <c r="B362" s="84" t="s">
        <v>238</v>
      </c>
      <c r="C362" s="75">
        <v>18.0</v>
      </c>
      <c r="D362" s="76">
        <v>20.0</v>
      </c>
      <c r="E362" s="84" t="s">
        <v>154</v>
      </c>
      <c r="F362" s="87">
        <v>46039.0</v>
      </c>
      <c r="G362" s="5" t="s">
        <v>72</v>
      </c>
      <c r="H362" s="5" t="s">
        <v>1066</v>
      </c>
      <c r="I362" s="16"/>
      <c r="J362" s="16"/>
    </row>
    <row r="363" ht="22.5" customHeight="1">
      <c r="A363" s="86" t="s">
        <v>1067</v>
      </c>
      <c r="B363" s="84" t="s">
        <v>68</v>
      </c>
      <c r="C363" s="75">
        <v>2.0</v>
      </c>
      <c r="D363" s="76">
        <v>65.0</v>
      </c>
      <c r="E363" s="84" t="s">
        <v>154</v>
      </c>
      <c r="F363" s="87">
        <v>46039.0</v>
      </c>
      <c r="G363" s="5" t="s">
        <v>72</v>
      </c>
      <c r="H363" s="5" t="s">
        <v>1069</v>
      </c>
      <c r="I363" s="16"/>
      <c r="J363" s="16"/>
    </row>
    <row r="364" ht="22.5" customHeight="1">
      <c r="A364" s="86" t="s">
        <v>756</v>
      </c>
      <c r="B364" s="84" t="s">
        <v>68</v>
      </c>
      <c r="C364" s="75">
        <v>12.0</v>
      </c>
      <c r="D364" s="76">
        <v>30.0</v>
      </c>
      <c r="E364" s="84" t="s">
        <v>154</v>
      </c>
      <c r="F364" s="87">
        <v>46039.0</v>
      </c>
      <c r="G364" s="5" t="s">
        <v>72</v>
      </c>
      <c r="H364" s="5" t="s">
        <v>1070</v>
      </c>
      <c r="I364" s="16"/>
      <c r="J364" s="16"/>
    </row>
    <row r="365" ht="22.5" customHeight="1">
      <c r="A365" s="90" t="s">
        <v>662</v>
      </c>
      <c r="B365" s="19" t="s">
        <v>68</v>
      </c>
      <c r="C365" s="5">
        <v>6.0</v>
      </c>
      <c r="D365" s="33">
        <v>50.0</v>
      </c>
      <c r="E365" s="91" t="s">
        <v>1052</v>
      </c>
      <c r="F365" s="87">
        <v>46032.0</v>
      </c>
      <c r="G365" s="5" t="s">
        <v>72</v>
      </c>
      <c r="H365" s="5" t="s">
        <v>1071</v>
      </c>
      <c r="I365" s="16"/>
      <c r="J365" s="16"/>
    </row>
    <row r="366" ht="22.5" customHeight="1">
      <c r="A366" s="90" t="s">
        <v>667</v>
      </c>
      <c r="B366" s="19" t="s">
        <v>68</v>
      </c>
      <c r="C366" s="5">
        <v>10.0</v>
      </c>
      <c r="D366" s="33">
        <v>55.0</v>
      </c>
      <c r="E366" s="91" t="s">
        <v>1052</v>
      </c>
      <c r="F366" s="87">
        <v>46032.0</v>
      </c>
      <c r="G366" s="5" t="s">
        <v>72</v>
      </c>
      <c r="H366" s="5" t="s">
        <v>1072</v>
      </c>
      <c r="I366" s="16"/>
      <c r="J366" s="16"/>
    </row>
    <row r="367" ht="22.5" customHeight="1">
      <c r="A367" s="86" t="s">
        <v>724</v>
      </c>
      <c r="B367" s="84" t="s">
        <v>68</v>
      </c>
      <c r="C367" s="75">
        <v>7.0</v>
      </c>
      <c r="D367" s="76">
        <v>35.0</v>
      </c>
      <c r="E367" s="84" t="s">
        <v>1052</v>
      </c>
      <c r="F367" s="87">
        <v>46032.0</v>
      </c>
      <c r="G367" s="5" t="s">
        <v>72</v>
      </c>
      <c r="H367" s="5" t="s">
        <v>1074</v>
      </c>
      <c r="I367" s="16"/>
      <c r="J367" s="16"/>
    </row>
    <row r="368" ht="22.5" customHeight="1">
      <c r="A368" s="86" t="s">
        <v>733</v>
      </c>
      <c r="B368" s="84" t="s">
        <v>68</v>
      </c>
      <c r="C368" s="75">
        <v>15.0</v>
      </c>
      <c r="D368" s="76">
        <v>26.0</v>
      </c>
      <c r="E368" s="84" t="s">
        <v>1052</v>
      </c>
      <c r="F368" s="87">
        <v>46032.0</v>
      </c>
      <c r="G368" s="5" t="s">
        <v>72</v>
      </c>
      <c r="H368" s="5" t="s">
        <v>1075</v>
      </c>
      <c r="I368" s="16"/>
      <c r="J368" s="16"/>
    </row>
    <row r="369" ht="22.5" customHeight="1">
      <c r="A369" s="86" t="s">
        <v>177</v>
      </c>
      <c r="B369" s="84" t="s">
        <v>68</v>
      </c>
      <c r="C369" s="75">
        <v>10.0</v>
      </c>
      <c r="D369" s="76">
        <v>75.0</v>
      </c>
      <c r="E369" s="84" t="s">
        <v>1052</v>
      </c>
      <c r="F369" s="87">
        <v>46032.0</v>
      </c>
      <c r="G369" s="5" t="s">
        <v>72</v>
      </c>
      <c r="H369" s="5" t="s">
        <v>1076</v>
      </c>
      <c r="I369" s="16"/>
      <c r="J369" s="16"/>
    </row>
    <row r="370" ht="22.5" customHeight="1">
      <c r="A370" s="86" t="s">
        <v>674</v>
      </c>
      <c r="B370" s="84" t="s">
        <v>68</v>
      </c>
      <c r="C370" s="75">
        <v>6.0</v>
      </c>
      <c r="D370" s="76">
        <v>45.0</v>
      </c>
      <c r="E370" s="84" t="s">
        <v>436</v>
      </c>
      <c r="F370" s="87">
        <v>46032.0</v>
      </c>
      <c r="G370" s="5" t="s">
        <v>72</v>
      </c>
      <c r="H370" s="5" t="s">
        <v>1077</v>
      </c>
      <c r="I370" s="16"/>
      <c r="J370" s="16"/>
    </row>
    <row r="371" ht="22.5" customHeight="1">
      <c r="A371" s="86" t="s">
        <v>1078</v>
      </c>
      <c r="B371" s="84" t="s">
        <v>68</v>
      </c>
      <c r="C371" s="75">
        <v>1.0</v>
      </c>
      <c r="D371" s="76">
        <v>55.0</v>
      </c>
      <c r="E371" s="84" t="s">
        <v>1052</v>
      </c>
      <c r="F371" s="87">
        <v>46032.0</v>
      </c>
      <c r="G371" s="5" t="s">
        <v>72</v>
      </c>
      <c r="H371" s="5" t="s">
        <v>1081</v>
      </c>
      <c r="I371" s="16"/>
      <c r="J371" s="16"/>
    </row>
    <row r="372" ht="22.5" customHeight="1">
      <c r="A372" s="69" t="s">
        <v>588</v>
      </c>
      <c r="B372" s="10" t="s">
        <v>498</v>
      </c>
      <c r="C372" s="6">
        <v>5.0</v>
      </c>
      <c r="D372" s="8">
        <v>115.0</v>
      </c>
      <c r="E372" s="10" t="s">
        <v>119</v>
      </c>
      <c r="F372" s="89"/>
      <c r="G372" s="5" t="s">
        <v>72</v>
      </c>
      <c r="H372" s="5" t="s">
        <v>1082</v>
      </c>
      <c r="I372" s="16"/>
      <c r="J372" s="16"/>
    </row>
    <row r="373" ht="22.5" customHeight="1">
      <c r="A373" s="69" t="s">
        <v>497</v>
      </c>
      <c r="B373" s="10" t="s">
        <v>498</v>
      </c>
      <c r="C373" s="6">
        <v>5.0</v>
      </c>
      <c r="D373" s="33">
        <v>195.0</v>
      </c>
      <c r="E373" s="10" t="s">
        <v>119</v>
      </c>
      <c r="F373" s="89"/>
      <c r="G373" s="5" t="s">
        <v>72</v>
      </c>
      <c r="H373" s="5" t="s">
        <v>1083</v>
      </c>
      <c r="I373" s="16"/>
      <c r="J373" s="16"/>
    </row>
    <row r="374" ht="22.5" customHeight="1">
      <c r="A374" s="85" t="s">
        <v>356</v>
      </c>
      <c r="B374" s="70" t="s">
        <v>472</v>
      </c>
      <c r="C374" s="93">
        <v>6.0</v>
      </c>
      <c r="D374" s="94">
        <v>85.0</v>
      </c>
      <c r="E374" s="73" t="s">
        <v>51</v>
      </c>
      <c r="F374" s="95">
        <v>46048.0</v>
      </c>
      <c r="G374" s="5" t="s">
        <v>72</v>
      </c>
      <c r="H374" s="5" t="s">
        <v>1086</v>
      </c>
      <c r="I374" s="16"/>
      <c r="J374" s="16"/>
    </row>
    <row r="375" ht="22.5" customHeight="1">
      <c r="A375" s="85" t="s">
        <v>306</v>
      </c>
      <c r="B375" s="70" t="s">
        <v>472</v>
      </c>
      <c r="C375" s="93">
        <v>12.0</v>
      </c>
      <c r="D375" s="94">
        <f>110/12</f>
        <v>9.166666667</v>
      </c>
      <c r="E375" s="73" t="s">
        <v>51</v>
      </c>
      <c r="F375" s="95">
        <v>46048.0</v>
      </c>
      <c r="G375" s="5" t="s">
        <v>72</v>
      </c>
      <c r="H375" s="5" t="s">
        <v>1088</v>
      </c>
      <c r="I375" s="16"/>
      <c r="J375" s="16"/>
    </row>
    <row r="376" ht="22.5" customHeight="1">
      <c r="A376" s="85" t="s">
        <v>1090</v>
      </c>
      <c r="B376" s="70" t="s">
        <v>472</v>
      </c>
      <c r="C376" s="93">
        <v>6.0</v>
      </c>
      <c r="D376" s="94">
        <v>65.0</v>
      </c>
      <c r="E376" s="73" t="s">
        <v>51</v>
      </c>
      <c r="F376" s="95">
        <v>46048.0</v>
      </c>
      <c r="G376" s="5" t="s">
        <v>72</v>
      </c>
      <c r="H376" s="5" t="s">
        <v>1091</v>
      </c>
      <c r="I376" s="16"/>
      <c r="J376" s="16"/>
    </row>
    <row r="377" ht="22.5" customHeight="1">
      <c r="A377" s="97" t="s">
        <v>415</v>
      </c>
      <c r="B377" s="70" t="s">
        <v>224</v>
      </c>
      <c r="C377" s="93">
        <v>3.0</v>
      </c>
      <c r="D377" s="94">
        <v>225.0</v>
      </c>
      <c r="E377" s="70" t="s">
        <v>119</v>
      </c>
      <c r="F377" s="95">
        <v>46058.0</v>
      </c>
      <c r="G377" s="5" t="s">
        <v>72</v>
      </c>
      <c r="H377" s="5" t="s">
        <v>1092</v>
      </c>
      <c r="I377" s="16"/>
      <c r="J377" s="16"/>
    </row>
    <row r="378" ht="22.5" customHeight="1">
      <c r="A378" s="85" t="s">
        <v>861</v>
      </c>
      <c r="B378" s="70" t="s">
        <v>836</v>
      </c>
      <c r="C378" s="93">
        <v>12.0</v>
      </c>
      <c r="D378" s="94">
        <f>280/12</f>
        <v>23.33333333</v>
      </c>
      <c r="E378" s="70"/>
      <c r="F378" s="95">
        <v>46058.0</v>
      </c>
      <c r="G378" s="5" t="s">
        <v>72</v>
      </c>
      <c r="H378" s="5" t="s">
        <v>1093</v>
      </c>
      <c r="I378" s="16"/>
      <c r="J378" s="16"/>
    </row>
    <row r="379" ht="22.5" customHeight="1">
      <c r="A379" s="85" t="s">
        <v>802</v>
      </c>
      <c r="B379" s="70" t="s">
        <v>836</v>
      </c>
      <c r="C379" s="93">
        <v>24.0</v>
      </c>
      <c r="D379" s="94">
        <f>1280/24</f>
        <v>53.33333333</v>
      </c>
      <c r="E379" s="70"/>
      <c r="F379" s="95">
        <v>46058.0</v>
      </c>
      <c r="G379" s="5" t="s">
        <v>72</v>
      </c>
      <c r="H379" s="5" t="s">
        <v>1095</v>
      </c>
      <c r="I379" s="16"/>
      <c r="J379" s="16"/>
    </row>
    <row r="380" ht="22.5" customHeight="1">
      <c r="A380" s="85" t="s">
        <v>1096</v>
      </c>
      <c r="B380" s="70" t="s">
        <v>836</v>
      </c>
      <c r="C380" s="93">
        <v>12.0</v>
      </c>
      <c r="D380" s="94">
        <f>410/12</f>
        <v>34.16666667</v>
      </c>
      <c r="E380" s="70"/>
      <c r="F380" s="95">
        <v>46058.0</v>
      </c>
      <c r="G380" s="5" t="s">
        <v>72</v>
      </c>
      <c r="H380" s="5" t="s">
        <v>1098</v>
      </c>
      <c r="I380" s="16"/>
      <c r="J380" s="16"/>
    </row>
    <row r="381" ht="22.5" customHeight="1">
      <c r="A381" s="85" t="s">
        <v>1100</v>
      </c>
      <c r="B381" s="70" t="s">
        <v>327</v>
      </c>
      <c r="C381" s="93">
        <v>5.0</v>
      </c>
      <c r="D381" s="94">
        <v>50.0</v>
      </c>
      <c r="E381" s="70" t="s">
        <v>119</v>
      </c>
      <c r="F381" s="95">
        <v>46060.0</v>
      </c>
      <c r="G381" s="5" t="s">
        <v>72</v>
      </c>
      <c r="H381" s="5" t="s">
        <v>1101</v>
      </c>
      <c r="I381" s="16"/>
      <c r="J381" s="16"/>
    </row>
    <row r="382" ht="22.5" customHeight="1">
      <c r="A382" s="97" t="s">
        <v>415</v>
      </c>
      <c r="B382" s="70" t="s">
        <v>224</v>
      </c>
      <c r="C382" s="93">
        <v>5.0</v>
      </c>
      <c r="D382" s="94">
        <v>225.0</v>
      </c>
      <c r="E382" s="70" t="s">
        <v>119</v>
      </c>
      <c r="F382" s="95">
        <v>46060.0</v>
      </c>
      <c r="G382" s="5" t="s">
        <v>72</v>
      </c>
      <c r="H382" s="5" t="s">
        <v>1102</v>
      </c>
      <c r="I382" s="16"/>
      <c r="J382" s="16"/>
    </row>
    <row r="383" ht="22.5" customHeight="1">
      <c r="A383" s="85" t="s">
        <v>787</v>
      </c>
      <c r="B383" s="70" t="s">
        <v>224</v>
      </c>
      <c r="C383" s="93">
        <v>4.0</v>
      </c>
      <c r="D383" s="94">
        <v>135.0</v>
      </c>
      <c r="E383" s="70" t="s">
        <v>119</v>
      </c>
      <c r="F383" s="95">
        <v>46060.0</v>
      </c>
      <c r="G383" s="5" t="s">
        <v>72</v>
      </c>
      <c r="H383" s="5" t="s">
        <v>1103</v>
      </c>
      <c r="I383" s="16"/>
      <c r="J383" s="16"/>
    </row>
    <row r="384" ht="22.5" customHeight="1">
      <c r="A384" s="85" t="s">
        <v>953</v>
      </c>
      <c r="B384" s="70" t="s">
        <v>1094</v>
      </c>
      <c r="C384" s="93">
        <v>3.0</v>
      </c>
      <c r="D384" s="94">
        <v>94.0</v>
      </c>
      <c r="E384" s="70" t="s">
        <v>119</v>
      </c>
      <c r="F384" s="95">
        <v>46060.0</v>
      </c>
      <c r="G384" s="5" t="s">
        <v>72</v>
      </c>
      <c r="H384" s="5" t="s">
        <v>1105</v>
      </c>
      <c r="I384" s="16"/>
      <c r="J384" s="16"/>
    </row>
    <row r="385" ht="22.5" customHeight="1">
      <c r="A385" s="85" t="s">
        <v>775</v>
      </c>
      <c r="B385" s="70" t="s">
        <v>1094</v>
      </c>
      <c r="C385" s="93">
        <v>3.0</v>
      </c>
      <c r="D385" s="94">
        <v>94.0</v>
      </c>
      <c r="E385" s="70" t="s">
        <v>119</v>
      </c>
      <c r="F385" s="95">
        <v>46060.0</v>
      </c>
      <c r="G385" s="5" t="s">
        <v>72</v>
      </c>
      <c r="H385" s="5" t="s">
        <v>1107</v>
      </c>
      <c r="I385" s="16"/>
      <c r="J385" s="16"/>
    </row>
    <row r="386" ht="22.5" customHeight="1">
      <c r="A386" s="85" t="s">
        <v>778</v>
      </c>
      <c r="B386" s="70" t="s">
        <v>1094</v>
      </c>
      <c r="C386" s="93">
        <v>1.0</v>
      </c>
      <c r="D386" s="94">
        <v>100.0</v>
      </c>
      <c r="E386" s="70" t="s">
        <v>119</v>
      </c>
      <c r="F386" s="95">
        <v>46060.0</v>
      </c>
      <c r="G386" s="5" t="s">
        <v>72</v>
      </c>
      <c r="H386" s="5" t="s">
        <v>1108</v>
      </c>
      <c r="I386" s="16"/>
      <c r="J386" s="16"/>
    </row>
    <row r="387" ht="22.5" customHeight="1">
      <c r="A387" s="85" t="s">
        <v>1050</v>
      </c>
      <c r="B387" s="70" t="s">
        <v>224</v>
      </c>
      <c r="C387" s="93">
        <v>3.0</v>
      </c>
      <c r="D387" s="94">
        <v>110.0</v>
      </c>
      <c r="E387" s="70" t="s">
        <v>119</v>
      </c>
      <c r="F387" s="95">
        <v>46060.0</v>
      </c>
      <c r="G387" s="5" t="s">
        <v>72</v>
      </c>
      <c r="H387" s="5" t="s">
        <v>1110</v>
      </c>
      <c r="I387" s="16"/>
      <c r="J387" s="16"/>
    </row>
    <row r="388" ht="22.5" customHeight="1">
      <c r="A388" s="85" t="s">
        <v>839</v>
      </c>
      <c r="B388" s="70" t="s">
        <v>840</v>
      </c>
      <c r="C388" s="93">
        <v>2.0</v>
      </c>
      <c r="D388" s="94">
        <v>139.0</v>
      </c>
      <c r="E388" s="70" t="s">
        <v>119</v>
      </c>
      <c r="F388" s="95">
        <v>46060.0</v>
      </c>
      <c r="G388" s="5" t="s">
        <v>72</v>
      </c>
      <c r="H388" s="5" t="s">
        <v>1111</v>
      </c>
      <c r="I388" s="16"/>
      <c r="J388" s="16"/>
    </row>
    <row r="389" ht="22.5" customHeight="1">
      <c r="A389" s="85" t="s">
        <v>445</v>
      </c>
      <c r="B389" s="70" t="s">
        <v>840</v>
      </c>
      <c r="C389" s="93">
        <v>2.0</v>
      </c>
      <c r="D389" s="94">
        <v>52.0</v>
      </c>
      <c r="E389" s="70" t="s">
        <v>119</v>
      </c>
      <c r="F389" s="95">
        <v>46060.0</v>
      </c>
      <c r="G389" s="5" t="s">
        <v>72</v>
      </c>
      <c r="H389" s="5" t="s">
        <v>1113</v>
      </c>
      <c r="I389" s="16"/>
      <c r="J389" s="16"/>
    </row>
    <row r="390" ht="22.5" customHeight="1">
      <c r="A390" s="85" t="s">
        <v>975</v>
      </c>
      <c r="B390" s="70" t="s">
        <v>840</v>
      </c>
      <c r="C390" s="93">
        <v>2.0</v>
      </c>
      <c r="D390" s="94">
        <v>49.0</v>
      </c>
      <c r="E390" s="70" t="s">
        <v>119</v>
      </c>
      <c r="F390" s="95">
        <v>46060.0</v>
      </c>
      <c r="G390" s="5" t="s">
        <v>72</v>
      </c>
      <c r="H390" s="5" t="s">
        <v>1115</v>
      </c>
      <c r="I390" s="16"/>
      <c r="J390" s="16"/>
    </row>
    <row r="391" ht="22.5" customHeight="1">
      <c r="A391" s="85" t="s">
        <v>693</v>
      </c>
      <c r="B391" s="70" t="s">
        <v>224</v>
      </c>
      <c r="C391" s="93">
        <v>6.0</v>
      </c>
      <c r="D391" s="94">
        <v>160.0</v>
      </c>
      <c r="E391" s="70" t="s">
        <v>119</v>
      </c>
      <c r="F391" s="95">
        <v>46060.0</v>
      </c>
      <c r="G391" s="5" t="s">
        <v>72</v>
      </c>
      <c r="H391" s="5" t="s">
        <v>1116</v>
      </c>
      <c r="I391" s="16"/>
      <c r="J391" s="16"/>
    </row>
    <row r="392" ht="22.5" customHeight="1">
      <c r="A392" s="69" t="s">
        <v>918</v>
      </c>
      <c r="B392" s="70" t="s">
        <v>472</v>
      </c>
      <c r="C392" s="96">
        <v>6.0</v>
      </c>
      <c r="D392" s="98">
        <v>135.0</v>
      </c>
      <c r="E392" s="73" t="s">
        <v>51</v>
      </c>
      <c r="F392" s="95">
        <v>46060.0</v>
      </c>
      <c r="G392" s="5" t="s">
        <v>72</v>
      </c>
      <c r="H392" s="5" t="s">
        <v>1117</v>
      </c>
      <c r="I392" s="16"/>
      <c r="J392" s="16"/>
    </row>
    <row r="393" ht="22.5" customHeight="1">
      <c r="A393" s="69" t="s">
        <v>1118</v>
      </c>
      <c r="B393" s="70" t="s">
        <v>472</v>
      </c>
      <c r="C393" s="96">
        <v>6.0</v>
      </c>
      <c r="D393" s="98">
        <v>55.0</v>
      </c>
      <c r="E393" s="73" t="s">
        <v>51</v>
      </c>
      <c r="F393" s="95">
        <v>46060.0</v>
      </c>
      <c r="G393" s="5" t="s">
        <v>72</v>
      </c>
      <c r="H393" s="5" t="s">
        <v>1119</v>
      </c>
      <c r="I393" s="16"/>
      <c r="J393" s="16"/>
    </row>
    <row r="394" ht="22.5" customHeight="1">
      <c r="A394" s="69" t="s">
        <v>865</v>
      </c>
      <c r="B394" s="70" t="s">
        <v>472</v>
      </c>
      <c r="C394" s="96">
        <v>6.0</v>
      </c>
      <c r="D394" s="98">
        <v>125.0</v>
      </c>
      <c r="E394" s="73" t="s">
        <v>51</v>
      </c>
      <c r="F394" s="95">
        <v>46060.0</v>
      </c>
      <c r="G394" s="5" t="s">
        <v>72</v>
      </c>
      <c r="H394" s="5" t="s">
        <v>1120</v>
      </c>
      <c r="I394" s="16"/>
      <c r="J394" s="16"/>
    </row>
    <row r="395" ht="22.5" customHeight="1">
      <c r="A395" s="69" t="s">
        <v>220</v>
      </c>
      <c r="B395" s="70" t="s">
        <v>472</v>
      </c>
      <c r="C395" s="96">
        <v>6.0</v>
      </c>
      <c r="D395" s="98">
        <v>85.0</v>
      </c>
      <c r="E395" s="73" t="s">
        <v>51</v>
      </c>
      <c r="F395" s="95">
        <v>46060.0</v>
      </c>
      <c r="G395" s="5" t="s">
        <v>72</v>
      </c>
      <c r="H395" s="5" t="s">
        <v>1122</v>
      </c>
      <c r="I395" s="16"/>
      <c r="J395" s="16"/>
    </row>
    <row r="396" ht="22.5" customHeight="1">
      <c r="A396" s="99" t="s">
        <v>1004</v>
      </c>
      <c r="B396" s="70" t="s">
        <v>472</v>
      </c>
      <c r="C396" s="100">
        <v>12.0</v>
      </c>
      <c r="D396" s="101">
        <v>65.0</v>
      </c>
      <c r="E396" s="73" t="s">
        <v>154</v>
      </c>
      <c r="F396" s="95">
        <v>46060.0</v>
      </c>
      <c r="G396" s="5" t="s">
        <v>72</v>
      </c>
      <c r="H396" s="5" t="s">
        <v>1125</v>
      </c>
      <c r="I396" s="16"/>
      <c r="J396" s="16"/>
    </row>
    <row r="397" ht="22.5" customHeight="1">
      <c r="A397" s="99" t="s">
        <v>848</v>
      </c>
      <c r="B397" s="70" t="s">
        <v>30</v>
      </c>
      <c r="C397" s="100">
        <v>4.0</v>
      </c>
      <c r="D397" s="101">
        <v>120.0</v>
      </c>
      <c r="E397" s="73" t="s">
        <v>154</v>
      </c>
      <c r="F397" s="95">
        <v>46060.0</v>
      </c>
      <c r="G397" s="5" t="s">
        <v>72</v>
      </c>
      <c r="H397" s="5" t="s">
        <v>1128</v>
      </c>
      <c r="I397" s="16"/>
      <c r="J397" s="16"/>
    </row>
    <row r="398" ht="22.5" customHeight="1">
      <c r="A398" s="99" t="s">
        <v>788</v>
      </c>
      <c r="B398" s="70" t="s">
        <v>30</v>
      </c>
      <c r="C398" s="100">
        <v>2.0</v>
      </c>
      <c r="D398" s="101">
        <v>85.0</v>
      </c>
      <c r="E398" s="73" t="s">
        <v>154</v>
      </c>
      <c r="F398" s="95">
        <v>46060.0</v>
      </c>
      <c r="G398" s="5" t="s">
        <v>72</v>
      </c>
      <c r="H398" s="5" t="s">
        <v>1131</v>
      </c>
      <c r="I398" s="16"/>
      <c r="J398" s="16"/>
    </row>
    <row r="399" ht="22.5" customHeight="1">
      <c r="A399" s="99" t="s">
        <v>902</v>
      </c>
      <c r="B399" s="70" t="s">
        <v>1036</v>
      </c>
      <c r="C399" s="100">
        <v>3.0</v>
      </c>
      <c r="D399" s="101">
        <v>75.0</v>
      </c>
      <c r="E399" s="73" t="s">
        <v>154</v>
      </c>
      <c r="F399" s="95">
        <v>46060.0</v>
      </c>
      <c r="G399" s="5" t="s">
        <v>72</v>
      </c>
      <c r="H399" s="5" t="s">
        <v>1132</v>
      </c>
      <c r="I399" s="16"/>
      <c r="J399" s="16"/>
    </row>
    <row r="400" ht="22.5" customHeight="1">
      <c r="A400" s="99" t="s">
        <v>438</v>
      </c>
      <c r="B400" s="70" t="s">
        <v>472</v>
      </c>
      <c r="C400" s="100">
        <v>6.0</v>
      </c>
      <c r="D400" s="101">
        <v>135.0</v>
      </c>
      <c r="E400" s="73" t="s">
        <v>154</v>
      </c>
      <c r="F400" s="95">
        <v>46060.0</v>
      </c>
      <c r="G400" s="5" t="s">
        <v>72</v>
      </c>
      <c r="H400" s="5" t="s">
        <v>1134</v>
      </c>
      <c r="I400" s="16"/>
      <c r="J400" s="16"/>
    </row>
    <row r="401" ht="22.5" customHeight="1">
      <c r="A401" s="99" t="s">
        <v>431</v>
      </c>
      <c r="B401" s="70" t="s">
        <v>472</v>
      </c>
      <c r="C401" s="100">
        <v>6.0</v>
      </c>
      <c r="D401" s="101">
        <v>135.0</v>
      </c>
      <c r="E401" s="73" t="s">
        <v>154</v>
      </c>
      <c r="F401" s="95">
        <v>46060.0</v>
      </c>
      <c r="G401" s="5" t="s">
        <v>72</v>
      </c>
      <c r="H401" s="5" t="s">
        <v>1136</v>
      </c>
      <c r="I401" s="16"/>
      <c r="J401" s="16"/>
    </row>
    <row r="402" ht="22.5" customHeight="1">
      <c r="A402" s="99" t="s">
        <v>885</v>
      </c>
      <c r="B402" s="70" t="s">
        <v>472</v>
      </c>
      <c r="C402" s="100">
        <v>6.0</v>
      </c>
      <c r="D402" s="101">
        <v>135.0</v>
      </c>
      <c r="E402" s="73" t="s">
        <v>154</v>
      </c>
      <c r="F402" s="95">
        <v>46060.0</v>
      </c>
      <c r="G402" s="5" t="s">
        <v>72</v>
      </c>
      <c r="H402" s="5" t="s">
        <v>1138</v>
      </c>
      <c r="I402" s="16"/>
      <c r="J402" s="16"/>
    </row>
    <row r="403" ht="22.5" customHeight="1">
      <c r="A403" s="99" t="s">
        <v>1139</v>
      </c>
      <c r="B403" s="70" t="s">
        <v>472</v>
      </c>
      <c r="C403" s="100">
        <v>6.0</v>
      </c>
      <c r="D403" s="101">
        <v>75.0</v>
      </c>
      <c r="E403" s="73" t="s">
        <v>154</v>
      </c>
      <c r="F403" s="95">
        <v>46060.0</v>
      </c>
      <c r="G403" s="5" t="s">
        <v>72</v>
      </c>
      <c r="H403" s="5" t="s">
        <v>1140</v>
      </c>
      <c r="I403" s="16"/>
      <c r="J403" s="16"/>
    </row>
    <row r="404" ht="22.5" customHeight="1">
      <c r="A404" s="99" t="s">
        <v>812</v>
      </c>
      <c r="B404" s="70" t="s">
        <v>472</v>
      </c>
      <c r="C404" s="100">
        <v>30.0</v>
      </c>
      <c r="D404" s="101">
        <v>15.0</v>
      </c>
      <c r="E404" s="73" t="s">
        <v>154</v>
      </c>
      <c r="F404" s="95">
        <v>46060.0</v>
      </c>
      <c r="G404" s="5" t="s">
        <v>72</v>
      </c>
      <c r="H404" s="5" t="s">
        <v>1141</v>
      </c>
      <c r="I404" s="16"/>
      <c r="J404" s="16"/>
    </row>
    <row r="405" ht="22.5" customHeight="1">
      <c r="A405" s="69" t="s">
        <v>799</v>
      </c>
      <c r="B405" s="70" t="s">
        <v>224</v>
      </c>
      <c r="C405" s="6">
        <v>2.0</v>
      </c>
      <c r="D405" s="8">
        <v>145.0</v>
      </c>
      <c r="E405" s="70" t="s">
        <v>119</v>
      </c>
      <c r="F405" s="95">
        <v>46067.0</v>
      </c>
      <c r="G405" s="5" t="s">
        <v>72</v>
      </c>
      <c r="H405" s="5" t="s">
        <v>1143</v>
      </c>
      <c r="I405" s="16"/>
      <c r="J405" s="16"/>
    </row>
    <row r="406" ht="22.5" customHeight="1">
      <c r="A406" s="69" t="s">
        <v>801</v>
      </c>
      <c r="B406" s="70" t="s">
        <v>224</v>
      </c>
      <c r="C406" s="6">
        <v>4.0</v>
      </c>
      <c r="D406" s="8">
        <v>145.0</v>
      </c>
      <c r="E406" s="70" t="s">
        <v>119</v>
      </c>
      <c r="F406" s="95">
        <v>46067.0</v>
      </c>
      <c r="G406" s="5" t="s">
        <v>72</v>
      </c>
      <c r="H406" s="5" t="s">
        <v>1144</v>
      </c>
      <c r="I406" s="16"/>
      <c r="J406" s="16"/>
    </row>
    <row r="407" ht="22.5" customHeight="1">
      <c r="A407" s="69" t="s">
        <v>730</v>
      </c>
      <c r="B407" s="70" t="s">
        <v>362</v>
      </c>
      <c r="C407" s="6">
        <v>1.0</v>
      </c>
      <c r="D407" s="8">
        <v>140.0</v>
      </c>
      <c r="E407" s="70" t="s">
        <v>119</v>
      </c>
      <c r="F407" s="95">
        <v>46067.0</v>
      </c>
      <c r="G407" s="5" t="s">
        <v>72</v>
      </c>
      <c r="H407" s="5" t="s">
        <v>1145</v>
      </c>
      <c r="I407" s="16"/>
      <c r="J407" s="16"/>
    </row>
    <row r="408" ht="22.5" customHeight="1">
      <c r="A408" s="69" t="s">
        <v>737</v>
      </c>
      <c r="B408" s="70" t="s">
        <v>362</v>
      </c>
      <c r="C408" s="6">
        <v>1.0</v>
      </c>
      <c r="D408" s="8">
        <v>151.0</v>
      </c>
      <c r="E408" s="70" t="s">
        <v>119</v>
      </c>
      <c r="F408" s="95">
        <v>46067.0</v>
      </c>
      <c r="G408" s="5" t="s">
        <v>72</v>
      </c>
      <c r="H408" s="5" t="s">
        <v>1148</v>
      </c>
      <c r="I408" s="16"/>
      <c r="J408" s="16"/>
    </row>
    <row r="409" ht="22.5" customHeight="1">
      <c r="A409" s="69" t="s">
        <v>1123</v>
      </c>
      <c r="B409" s="70" t="s">
        <v>362</v>
      </c>
      <c r="C409" s="6">
        <v>1.0</v>
      </c>
      <c r="D409" s="8">
        <v>95.0</v>
      </c>
      <c r="E409" s="70" t="s">
        <v>119</v>
      </c>
      <c r="F409" s="95">
        <v>46067.0</v>
      </c>
      <c r="G409" s="5" t="s">
        <v>72</v>
      </c>
      <c r="H409" s="5" t="s">
        <v>1149</v>
      </c>
      <c r="I409" s="16"/>
      <c r="J409" s="16"/>
    </row>
    <row r="410" ht="22.5" customHeight="1">
      <c r="A410" s="69" t="s">
        <v>729</v>
      </c>
      <c r="B410" s="70" t="s">
        <v>362</v>
      </c>
      <c r="C410" s="6">
        <v>2.0</v>
      </c>
      <c r="D410" s="8">
        <v>154.0</v>
      </c>
      <c r="E410" s="70" t="s">
        <v>119</v>
      </c>
      <c r="F410" s="95">
        <v>46067.0</v>
      </c>
      <c r="G410" s="5" t="s">
        <v>72</v>
      </c>
      <c r="H410" s="5" t="s">
        <v>1150</v>
      </c>
      <c r="I410" s="16"/>
      <c r="J410" s="16"/>
    </row>
    <row r="411" ht="22.5" customHeight="1">
      <c r="A411" s="69" t="s">
        <v>1126</v>
      </c>
      <c r="B411" s="70" t="s">
        <v>362</v>
      </c>
      <c r="C411" s="6">
        <v>1.0</v>
      </c>
      <c r="D411" s="8">
        <v>95.0</v>
      </c>
      <c r="E411" s="70" t="s">
        <v>119</v>
      </c>
      <c r="F411" s="95">
        <v>46067.0</v>
      </c>
      <c r="G411" s="5" t="s">
        <v>72</v>
      </c>
      <c r="H411" s="5" t="s">
        <v>1153</v>
      </c>
      <c r="I411" s="16"/>
      <c r="J411" s="16"/>
    </row>
    <row r="412" ht="22.5" customHeight="1">
      <c r="A412" s="69" t="s">
        <v>666</v>
      </c>
      <c r="B412" s="70" t="s">
        <v>362</v>
      </c>
      <c r="C412" s="6">
        <v>1.0</v>
      </c>
      <c r="D412" s="8">
        <v>165.0</v>
      </c>
      <c r="E412" s="70" t="s">
        <v>119</v>
      </c>
      <c r="F412" s="95">
        <v>46067.0</v>
      </c>
      <c r="G412" s="5" t="s">
        <v>72</v>
      </c>
      <c r="H412" s="5" t="s">
        <v>1154</v>
      </c>
      <c r="I412" s="16"/>
      <c r="J412" s="16"/>
    </row>
    <row r="413" ht="22.5" customHeight="1">
      <c r="A413" s="69" t="s">
        <v>360</v>
      </c>
      <c r="B413" s="70" t="s">
        <v>362</v>
      </c>
      <c r="C413" s="6">
        <v>1.0</v>
      </c>
      <c r="D413" s="8">
        <v>245.0</v>
      </c>
      <c r="E413" s="70" t="s">
        <v>119</v>
      </c>
      <c r="F413" s="95">
        <v>46067.0</v>
      </c>
      <c r="G413" s="5" t="s">
        <v>72</v>
      </c>
      <c r="H413" s="5" t="s">
        <v>1158</v>
      </c>
      <c r="I413" s="16"/>
      <c r="J413" s="16"/>
    </row>
    <row r="414" ht="22.5" customHeight="1">
      <c r="A414" s="69" t="s">
        <v>627</v>
      </c>
      <c r="B414" s="70" t="s">
        <v>362</v>
      </c>
      <c r="C414" s="6">
        <v>1.0</v>
      </c>
      <c r="D414" s="8">
        <f>167.5</f>
        <v>167.5</v>
      </c>
      <c r="E414" s="70" t="s">
        <v>119</v>
      </c>
      <c r="F414" s="95">
        <v>46067.0</v>
      </c>
      <c r="G414" s="5" t="s">
        <v>72</v>
      </c>
      <c r="H414" s="5" t="s">
        <v>1164</v>
      </c>
      <c r="I414" s="16"/>
      <c r="J414" s="16"/>
    </row>
    <row r="415" ht="22.5" customHeight="1">
      <c r="A415" s="69" t="s">
        <v>820</v>
      </c>
      <c r="B415" s="70" t="s">
        <v>110</v>
      </c>
      <c r="C415" s="6">
        <v>1.0</v>
      </c>
      <c r="D415" s="8">
        <v>126.0</v>
      </c>
      <c r="E415" s="70" t="s">
        <v>119</v>
      </c>
      <c r="F415" s="95">
        <v>46067.0</v>
      </c>
      <c r="G415" s="5" t="s">
        <v>72</v>
      </c>
      <c r="H415" s="5" t="s">
        <v>1169</v>
      </c>
      <c r="I415" s="16"/>
      <c r="J415" s="16"/>
    </row>
    <row r="416" ht="22.5" customHeight="1">
      <c r="A416" s="69" t="s">
        <v>888</v>
      </c>
      <c r="B416" s="70" t="s">
        <v>110</v>
      </c>
      <c r="C416" s="6">
        <v>2.0</v>
      </c>
      <c r="D416" s="8">
        <v>129.0</v>
      </c>
      <c r="E416" s="70" t="s">
        <v>119</v>
      </c>
      <c r="F416" s="95">
        <v>46067.0</v>
      </c>
      <c r="G416" s="5" t="s">
        <v>72</v>
      </c>
      <c r="H416" s="5" t="s">
        <v>1172</v>
      </c>
      <c r="I416" s="16"/>
      <c r="J416" s="16"/>
    </row>
    <row r="417" ht="22.5" customHeight="1">
      <c r="A417" s="69" t="s">
        <v>813</v>
      </c>
      <c r="B417" s="70" t="s">
        <v>110</v>
      </c>
      <c r="C417" s="6">
        <v>2.0</v>
      </c>
      <c r="D417" s="8">
        <v>141.0</v>
      </c>
      <c r="E417" s="70" t="s">
        <v>119</v>
      </c>
      <c r="F417" s="95">
        <v>46067.0</v>
      </c>
      <c r="G417" s="5" t="s">
        <v>72</v>
      </c>
      <c r="H417" s="5" t="s">
        <v>1177</v>
      </c>
      <c r="I417" s="16"/>
      <c r="J417" s="16"/>
    </row>
    <row r="418" ht="22.5" customHeight="1">
      <c r="A418" s="69" t="s">
        <v>816</v>
      </c>
      <c r="B418" s="70" t="s">
        <v>110</v>
      </c>
      <c r="C418" s="6">
        <v>2.0</v>
      </c>
      <c r="D418" s="8">
        <v>141.0</v>
      </c>
      <c r="E418" s="70" t="s">
        <v>119</v>
      </c>
      <c r="F418" s="95">
        <v>46067.0</v>
      </c>
      <c r="G418" s="5" t="s">
        <v>72</v>
      </c>
      <c r="H418" s="5" t="s">
        <v>1178</v>
      </c>
      <c r="I418" s="16"/>
      <c r="J418" s="16"/>
    </row>
    <row r="419" ht="22.5" customHeight="1">
      <c r="A419" s="69" t="s">
        <v>1179</v>
      </c>
      <c r="B419" s="70" t="s">
        <v>1180</v>
      </c>
      <c r="C419" s="6">
        <v>2.0</v>
      </c>
      <c r="D419" s="8">
        <v>46.0</v>
      </c>
      <c r="E419" s="70" t="s">
        <v>119</v>
      </c>
      <c r="F419" s="95">
        <v>46067.0</v>
      </c>
      <c r="G419" s="5" t="s">
        <v>72</v>
      </c>
      <c r="H419" s="5" t="s">
        <v>1181</v>
      </c>
      <c r="I419" s="16"/>
      <c r="J419" s="16"/>
    </row>
    <row r="420" ht="22.5" customHeight="1">
      <c r="A420" s="69" t="s">
        <v>653</v>
      </c>
      <c r="B420" s="70" t="s">
        <v>327</v>
      </c>
      <c r="C420" s="6">
        <v>3.0</v>
      </c>
      <c r="D420" s="8">
        <f>165.5</f>
        <v>165.5</v>
      </c>
      <c r="E420" s="70" t="s">
        <v>119</v>
      </c>
      <c r="F420" s="95">
        <v>46067.0</v>
      </c>
      <c r="G420" s="5" t="s">
        <v>72</v>
      </c>
      <c r="H420" s="5" t="s">
        <v>1182</v>
      </c>
      <c r="I420" s="16"/>
      <c r="J420" s="16"/>
    </row>
    <row r="421" ht="22.5" customHeight="1">
      <c r="A421" s="69" t="s">
        <v>1183</v>
      </c>
      <c r="B421" s="70" t="s">
        <v>1180</v>
      </c>
      <c r="C421" s="6">
        <v>2.0</v>
      </c>
      <c r="D421" s="8">
        <v>22.0</v>
      </c>
      <c r="E421" s="70" t="s">
        <v>119</v>
      </c>
      <c r="F421" s="95">
        <v>46067.0</v>
      </c>
      <c r="G421" s="5" t="s">
        <v>72</v>
      </c>
      <c r="H421" s="5" t="s">
        <v>1184</v>
      </c>
      <c r="I421" s="16"/>
      <c r="J421" s="16"/>
    </row>
    <row r="422" ht="22.5" customHeight="1">
      <c r="A422" s="69" t="s">
        <v>942</v>
      </c>
      <c r="B422" s="70" t="s">
        <v>110</v>
      </c>
      <c r="C422" s="6">
        <v>2.0</v>
      </c>
      <c r="D422" s="8">
        <v>126.0</v>
      </c>
      <c r="E422" s="70" t="s">
        <v>119</v>
      </c>
      <c r="F422" s="95">
        <v>46067.0</v>
      </c>
      <c r="G422" s="5" t="s">
        <v>72</v>
      </c>
      <c r="H422" s="5" t="s">
        <v>1185</v>
      </c>
      <c r="I422" s="16"/>
      <c r="J422" s="16"/>
    </row>
    <row r="423" ht="22.5" customHeight="1">
      <c r="A423" s="69" t="s">
        <v>300</v>
      </c>
      <c r="B423" s="70" t="s">
        <v>110</v>
      </c>
      <c r="C423" s="6">
        <v>1.0</v>
      </c>
      <c r="D423" s="8">
        <v>288.0</v>
      </c>
      <c r="E423" s="70" t="s">
        <v>119</v>
      </c>
      <c r="F423" s="95">
        <v>46067.0</v>
      </c>
      <c r="G423" s="5" t="s">
        <v>72</v>
      </c>
      <c r="H423" s="5" t="s">
        <v>1186</v>
      </c>
      <c r="I423" s="16"/>
      <c r="J423" s="16"/>
    </row>
    <row r="424" ht="22.5" customHeight="1">
      <c r="A424" s="69" t="s">
        <v>711</v>
      </c>
      <c r="B424" s="70" t="s">
        <v>224</v>
      </c>
      <c r="C424" s="6">
        <v>1.0</v>
      </c>
      <c r="D424" s="8">
        <v>155.0</v>
      </c>
      <c r="E424" s="70" t="s">
        <v>119</v>
      </c>
      <c r="F424" s="95">
        <v>46067.0</v>
      </c>
      <c r="G424" s="5" t="s">
        <v>72</v>
      </c>
      <c r="H424" s="5" t="s">
        <v>1187</v>
      </c>
      <c r="I424" s="16"/>
      <c r="J424" s="16"/>
    </row>
    <row r="425" ht="22.5" customHeight="1">
      <c r="A425" s="69" t="s">
        <v>965</v>
      </c>
      <c r="B425" s="70" t="s">
        <v>224</v>
      </c>
      <c r="C425" s="6">
        <v>3.0</v>
      </c>
      <c r="D425" s="8">
        <v>125.0</v>
      </c>
      <c r="E425" s="70" t="s">
        <v>119</v>
      </c>
      <c r="F425" s="95">
        <v>46067.0</v>
      </c>
      <c r="G425" s="5" t="s">
        <v>72</v>
      </c>
      <c r="H425" s="5" t="s">
        <v>1188</v>
      </c>
      <c r="I425" s="16"/>
      <c r="J425" s="16"/>
    </row>
    <row r="426" ht="22.5" customHeight="1">
      <c r="A426" s="69" t="s">
        <v>1189</v>
      </c>
      <c r="B426" s="70" t="s">
        <v>994</v>
      </c>
      <c r="C426" s="6">
        <v>12.0</v>
      </c>
      <c r="D426" s="8">
        <f>150/12</f>
        <v>12.5</v>
      </c>
      <c r="E426" s="70" t="s">
        <v>119</v>
      </c>
      <c r="F426" s="95">
        <v>46067.0</v>
      </c>
      <c r="G426" s="5" t="s">
        <v>72</v>
      </c>
      <c r="H426" s="5" t="s">
        <v>1190</v>
      </c>
      <c r="I426" s="16"/>
      <c r="J426" s="16"/>
    </row>
    <row r="427" ht="22.5" customHeight="1">
      <c r="A427" s="69" t="s">
        <v>856</v>
      </c>
      <c r="B427" s="70" t="s">
        <v>224</v>
      </c>
      <c r="C427" s="6">
        <v>24.0</v>
      </c>
      <c r="D427" s="8">
        <f>110/24</f>
        <v>4.583333333</v>
      </c>
      <c r="E427" s="70" t="s">
        <v>119</v>
      </c>
      <c r="F427" s="95">
        <v>46067.0</v>
      </c>
      <c r="G427" s="5" t="s">
        <v>72</v>
      </c>
      <c r="H427" s="5" t="s">
        <v>1192</v>
      </c>
      <c r="I427" s="16"/>
      <c r="J427" s="16"/>
    </row>
    <row r="428" ht="22.5" customHeight="1">
      <c r="A428" s="69" t="s">
        <v>331</v>
      </c>
      <c r="B428" s="70" t="s">
        <v>224</v>
      </c>
      <c r="C428" s="6">
        <v>5.0</v>
      </c>
      <c r="D428" s="8">
        <v>255.0</v>
      </c>
      <c r="E428" s="70" t="s">
        <v>119</v>
      </c>
      <c r="F428" s="95">
        <v>46067.0</v>
      </c>
      <c r="G428" s="5" t="s">
        <v>72</v>
      </c>
      <c r="H428" s="5" t="s">
        <v>1193</v>
      </c>
      <c r="I428" s="16"/>
      <c r="J428" s="16"/>
    </row>
    <row r="429" ht="22.5" customHeight="1">
      <c r="A429" s="69" t="s">
        <v>349</v>
      </c>
      <c r="B429" s="70" t="s">
        <v>224</v>
      </c>
      <c r="C429" s="6">
        <v>3.0</v>
      </c>
      <c r="D429" s="8">
        <v>250.0</v>
      </c>
      <c r="E429" s="70" t="s">
        <v>119</v>
      </c>
      <c r="F429" s="95">
        <v>46067.0</v>
      </c>
      <c r="G429" s="5" t="s">
        <v>72</v>
      </c>
      <c r="H429" s="5" t="s">
        <v>1195</v>
      </c>
      <c r="I429" s="16"/>
      <c r="J429" s="16"/>
    </row>
    <row r="430" ht="22.5" customHeight="1">
      <c r="A430" s="69" t="s">
        <v>367</v>
      </c>
      <c r="B430" s="70" t="s">
        <v>224</v>
      </c>
      <c r="C430" s="6">
        <v>5.0</v>
      </c>
      <c r="D430" s="8">
        <v>242.0</v>
      </c>
      <c r="E430" s="70" t="s">
        <v>119</v>
      </c>
      <c r="F430" s="95">
        <v>46067.0</v>
      </c>
      <c r="G430" s="5" t="s">
        <v>72</v>
      </c>
      <c r="H430" s="5" t="s">
        <v>1197</v>
      </c>
      <c r="I430" s="16"/>
      <c r="J430" s="16"/>
    </row>
    <row r="431" ht="22.5" customHeight="1">
      <c r="A431" s="69" t="s">
        <v>845</v>
      </c>
      <c r="B431" s="70" t="s">
        <v>224</v>
      </c>
      <c r="C431" s="6">
        <v>3.0</v>
      </c>
      <c r="D431" s="8">
        <v>115.0</v>
      </c>
      <c r="E431" s="70" t="s">
        <v>119</v>
      </c>
      <c r="F431" s="95">
        <v>46067.0</v>
      </c>
      <c r="G431" s="5" t="s">
        <v>72</v>
      </c>
      <c r="H431" s="5" t="s">
        <v>1198</v>
      </c>
      <c r="I431" s="16"/>
      <c r="J431" s="16"/>
    </row>
    <row r="432" ht="22.5" customHeight="1">
      <c r="A432" s="69" t="s">
        <v>631</v>
      </c>
      <c r="B432" s="70" t="s">
        <v>224</v>
      </c>
      <c r="C432" s="6">
        <v>2.0</v>
      </c>
      <c r="D432" s="8">
        <v>167.0</v>
      </c>
      <c r="E432" s="70" t="s">
        <v>119</v>
      </c>
      <c r="F432" s="95">
        <v>46067.0</v>
      </c>
      <c r="G432" s="5" t="s">
        <v>72</v>
      </c>
      <c r="H432" s="5" t="s">
        <v>1199</v>
      </c>
      <c r="I432" s="16"/>
      <c r="J432" s="16"/>
    </row>
    <row r="433" ht="22.5" customHeight="1">
      <c r="A433" s="69" t="s">
        <v>528</v>
      </c>
      <c r="B433" s="70" t="s">
        <v>110</v>
      </c>
      <c r="C433" s="6">
        <v>2.0</v>
      </c>
      <c r="D433" s="8">
        <v>180.0</v>
      </c>
      <c r="E433" s="70" t="s">
        <v>119</v>
      </c>
      <c r="F433" s="95">
        <v>46067.0</v>
      </c>
      <c r="G433" s="5" t="s">
        <v>72</v>
      </c>
      <c r="H433" s="5" t="s">
        <v>1200</v>
      </c>
      <c r="I433" s="16"/>
      <c r="J433" s="16"/>
    </row>
    <row r="434" ht="22.5" customHeight="1">
      <c r="A434" s="69" t="s">
        <v>1055</v>
      </c>
      <c r="B434" s="70" t="s">
        <v>1201</v>
      </c>
      <c r="C434" s="6">
        <v>40.0</v>
      </c>
      <c r="D434" s="8">
        <f>220/20</f>
        <v>11</v>
      </c>
      <c r="E434" s="70" t="s">
        <v>119</v>
      </c>
      <c r="F434" s="95">
        <v>46067.0</v>
      </c>
      <c r="G434" s="5" t="s">
        <v>72</v>
      </c>
      <c r="H434" s="5" t="s">
        <v>1202</v>
      </c>
      <c r="I434" s="16"/>
      <c r="J434" s="16"/>
    </row>
    <row r="435" ht="22.5" customHeight="1">
      <c r="A435" s="69" t="s">
        <v>893</v>
      </c>
      <c r="B435" s="70" t="s">
        <v>224</v>
      </c>
      <c r="C435" s="6">
        <v>2.0</v>
      </c>
      <c r="D435" s="8">
        <v>135.0</v>
      </c>
      <c r="E435" s="70" t="s">
        <v>119</v>
      </c>
      <c r="F435" s="95">
        <v>46067.0</v>
      </c>
      <c r="G435" s="5" t="s">
        <v>72</v>
      </c>
      <c r="H435" s="5" t="s">
        <v>1204</v>
      </c>
      <c r="I435" s="16"/>
      <c r="J435" s="16"/>
    </row>
    <row r="436" ht="22.5" customHeight="1">
      <c r="A436" s="69" t="s">
        <v>604</v>
      </c>
      <c r="B436" s="70" t="s">
        <v>224</v>
      </c>
      <c r="C436" s="6">
        <v>2.0</v>
      </c>
      <c r="D436" s="8">
        <v>171.0</v>
      </c>
      <c r="E436" s="70" t="s">
        <v>119</v>
      </c>
      <c r="F436" s="95">
        <v>46067.0</v>
      </c>
      <c r="G436" s="5" t="s">
        <v>72</v>
      </c>
      <c r="H436" s="5" t="s">
        <v>1205</v>
      </c>
      <c r="I436" s="16"/>
      <c r="J436" s="16"/>
    </row>
    <row r="437" ht="22.5" customHeight="1">
      <c r="A437" s="69" t="s">
        <v>828</v>
      </c>
      <c r="B437" s="70" t="s">
        <v>224</v>
      </c>
      <c r="C437" s="6">
        <v>1.0</v>
      </c>
      <c r="D437" s="8">
        <v>130.0</v>
      </c>
      <c r="E437" s="70" t="s">
        <v>119</v>
      </c>
      <c r="F437" s="95">
        <v>46067.0</v>
      </c>
      <c r="G437" s="5" t="s">
        <v>72</v>
      </c>
      <c r="H437" s="5" t="s">
        <v>1207</v>
      </c>
      <c r="I437" s="16"/>
      <c r="J437" s="16"/>
    </row>
    <row r="438" ht="22.5" customHeight="1">
      <c r="A438" s="107" t="s">
        <v>837</v>
      </c>
      <c r="B438" s="108" t="s">
        <v>472</v>
      </c>
      <c r="C438" s="109">
        <v>10.0</v>
      </c>
      <c r="D438" s="110">
        <v>17.0</v>
      </c>
      <c r="E438" s="108" t="s">
        <v>154</v>
      </c>
      <c r="F438" s="95">
        <v>46067.0</v>
      </c>
      <c r="G438" s="5" t="s">
        <v>72</v>
      </c>
      <c r="H438" s="5" t="s">
        <v>1210</v>
      </c>
      <c r="I438" s="16"/>
      <c r="J438" s="16"/>
    </row>
    <row r="439" ht="22.5" customHeight="1">
      <c r="A439" s="107" t="s">
        <v>1097</v>
      </c>
      <c r="B439" s="108" t="s">
        <v>472</v>
      </c>
      <c r="C439" s="75">
        <v>24.0</v>
      </c>
      <c r="D439" s="111">
        <v>30.0</v>
      </c>
      <c r="E439" s="108" t="s">
        <v>154</v>
      </c>
      <c r="F439" s="95">
        <v>46067.0</v>
      </c>
      <c r="G439" s="5" t="s">
        <v>72</v>
      </c>
      <c r="H439" s="5" t="s">
        <v>1211</v>
      </c>
      <c r="I439" s="16"/>
      <c r="J439" s="16"/>
    </row>
    <row r="440" ht="22.5" customHeight="1">
      <c r="A440" s="107" t="s">
        <v>435</v>
      </c>
      <c r="B440" s="108" t="s">
        <v>472</v>
      </c>
      <c r="C440" s="109">
        <v>7.0</v>
      </c>
      <c r="D440" s="110">
        <v>180.0</v>
      </c>
      <c r="E440" s="108" t="s">
        <v>534</v>
      </c>
      <c r="F440" s="95">
        <v>46067.0</v>
      </c>
      <c r="G440" s="5" t="s">
        <v>72</v>
      </c>
      <c r="H440" s="5" t="s">
        <v>1214</v>
      </c>
      <c r="I440" s="16"/>
      <c r="J440" s="16"/>
    </row>
    <row r="441" ht="22.5" customHeight="1">
      <c r="A441" s="85" t="s">
        <v>879</v>
      </c>
      <c r="B441" s="70" t="s">
        <v>1215</v>
      </c>
      <c r="C441" s="93">
        <v>40.0</v>
      </c>
      <c r="D441" s="112">
        <f>65/20</f>
        <v>3.25</v>
      </c>
      <c r="E441" s="77"/>
      <c r="F441" s="95">
        <v>46071.0</v>
      </c>
      <c r="G441" s="5" t="s">
        <v>72</v>
      </c>
      <c r="H441" s="5" t="s">
        <v>1216</v>
      </c>
      <c r="I441" s="16"/>
      <c r="J441" s="16"/>
    </row>
    <row r="442" ht="22.5" customHeight="1">
      <c r="A442" s="85" t="s">
        <v>1087</v>
      </c>
      <c r="B442" s="70" t="s">
        <v>1215</v>
      </c>
      <c r="C442" s="93">
        <v>40.0</v>
      </c>
      <c r="D442" s="112">
        <f>220/20</f>
        <v>11</v>
      </c>
      <c r="E442" s="77"/>
      <c r="F442" s="95">
        <v>46071.0</v>
      </c>
      <c r="G442" s="5" t="s">
        <v>72</v>
      </c>
      <c r="H442" s="5" t="s">
        <v>1219</v>
      </c>
      <c r="I442" s="16"/>
      <c r="J442" s="16"/>
    </row>
    <row r="443" ht="22.5" customHeight="1">
      <c r="A443" s="85" t="s">
        <v>852</v>
      </c>
      <c r="B443" s="70" t="s">
        <v>238</v>
      </c>
      <c r="C443" s="93">
        <v>24.0</v>
      </c>
      <c r="D443" s="94">
        <v>10.0</v>
      </c>
      <c r="E443" s="77"/>
      <c r="F443" s="95">
        <v>46071.0</v>
      </c>
      <c r="G443" s="5" t="s">
        <v>72</v>
      </c>
      <c r="H443" s="5" t="s">
        <v>1221</v>
      </c>
      <c r="I443" s="16"/>
      <c r="J443" s="16"/>
    </row>
    <row r="444" ht="22.5" customHeight="1">
      <c r="A444" s="85" t="s">
        <v>255</v>
      </c>
      <c r="B444" s="70" t="s">
        <v>238</v>
      </c>
      <c r="C444" s="93">
        <v>24.0</v>
      </c>
      <c r="D444" s="94">
        <v>20.0</v>
      </c>
      <c r="E444" s="77"/>
      <c r="F444" s="95">
        <v>46071.0</v>
      </c>
      <c r="G444" s="5" t="s">
        <v>72</v>
      </c>
      <c r="H444" s="5" t="s">
        <v>1222</v>
      </c>
      <c r="I444" s="16"/>
      <c r="J444" s="16"/>
    </row>
    <row r="445" ht="22.5" customHeight="1">
      <c r="A445" s="85" t="s">
        <v>841</v>
      </c>
      <c r="B445" s="70" t="s">
        <v>1224</v>
      </c>
      <c r="C445" s="93">
        <v>12.0</v>
      </c>
      <c r="D445" s="94">
        <v>15.0</v>
      </c>
      <c r="E445" s="77"/>
      <c r="F445" s="95">
        <v>46071.0</v>
      </c>
      <c r="G445" s="5" t="s">
        <v>72</v>
      </c>
      <c r="H445" s="5" t="s">
        <v>1225</v>
      </c>
      <c r="I445" s="16"/>
      <c r="J445" s="16"/>
    </row>
    <row r="446" ht="22.5" customHeight="1">
      <c r="A446" s="85" t="s">
        <v>1124</v>
      </c>
      <c r="B446" s="70" t="s">
        <v>1224</v>
      </c>
      <c r="C446" s="93">
        <v>12.0</v>
      </c>
      <c r="D446" s="94">
        <v>20.0</v>
      </c>
      <c r="E446" s="77"/>
      <c r="F446" s="95">
        <v>46071.0</v>
      </c>
      <c r="G446" s="5" t="s">
        <v>72</v>
      </c>
      <c r="H446" s="5" t="s">
        <v>1227</v>
      </c>
      <c r="I446" s="16"/>
      <c r="J446" s="16"/>
    </row>
    <row r="447" ht="22.5" customHeight="1">
      <c r="A447" s="85" t="s">
        <v>936</v>
      </c>
      <c r="B447" s="70" t="s">
        <v>1224</v>
      </c>
      <c r="C447" s="93">
        <v>12.0</v>
      </c>
      <c r="D447" s="94">
        <v>28.0</v>
      </c>
      <c r="E447" s="77"/>
      <c r="F447" s="95">
        <v>46071.0</v>
      </c>
      <c r="G447" s="5" t="s">
        <v>72</v>
      </c>
      <c r="H447" s="5" t="s">
        <v>1230</v>
      </c>
      <c r="I447" s="16"/>
      <c r="J447" s="16"/>
    </row>
    <row r="448" ht="22.5" customHeight="1">
      <c r="A448" s="40" t="s">
        <v>168</v>
      </c>
      <c r="B448" s="113" t="s">
        <v>169</v>
      </c>
      <c r="C448" s="114">
        <v>6.0</v>
      </c>
      <c r="D448" s="115">
        <v>110.0</v>
      </c>
      <c r="E448" s="116" t="s">
        <v>154</v>
      </c>
      <c r="F448" s="117">
        <v>46083.0</v>
      </c>
      <c r="G448" s="5" t="s">
        <v>72</v>
      </c>
      <c r="H448" s="5" t="s">
        <v>1231</v>
      </c>
      <c r="I448" s="16"/>
      <c r="J448" s="16"/>
    </row>
    <row r="449" ht="22.5" customHeight="1">
      <c r="A449" s="118" t="s">
        <v>159</v>
      </c>
      <c r="B449" s="119" t="s">
        <v>50</v>
      </c>
      <c r="C449" s="26">
        <v>4.0</v>
      </c>
      <c r="D449" s="120">
        <v>225.0</v>
      </c>
      <c r="E449" s="116" t="s">
        <v>154</v>
      </c>
      <c r="F449" s="117">
        <v>46083.0</v>
      </c>
      <c r="G449" s="5" t="s">
        <v>72</v>
      </c>
      <c r="H449" s="5" t="s">
        <v>1232</v>
      </c>
      <c r="I449" s="16"/>
      <c r="J449" s="16"/>
    </row>
    <row r="450" ht="22.5" customHeight="1">
      <c r="A450" s="40" t="s">
        <v>898</v>
      </c>
      <c r="B450" s="113" t="s">
        <v>753</v>
      </c>
      <c r="C450" s="114">
        <v>20.0</v>
      </c>
      <c r="D450" s="115">
        <v>15.0</v>
      </c>
      <c r="E450" s="116" t="s">
        <v>154</v>
      </c>
      <c r="F450" s="117">
        <v>46083.0</v>
      </c>
      <c r="G450" s="5" t="s">
        <v>72</v>
      </c>
      <c r="H450" s="5" t="s">
        <v>1233</v>
      </c>
      <c r="I450" s="16"/>
      <c r="J450" s="16"/>
    </row>
    <row r="451" ht="22.5" customHeight="1">
      <c r="A451" s="118" t="s">
        <v>908</v>
      </c>
      <c r="B451" s="119" t="s">
        <v>472</v>
      </c>
      <c r="C451" s="26">
        <v>12.0</v>
      </c>
      <c r="D451" s="120">
        <v>35.0</v>
      </c>
      <c r="E451" s="116" t="s">
        <v>154</v>
      </c>
      <c r="F451" s="117">
        <v>46083.0</v>
      </c>
      <c r="G451" s="5" t="s">
        <v>72</v>
      </c>
      <c r="H451" s="5" t="s">
        <v>1234</v>
      </c>
      <c r="I451" s="16"/>
      <c r="J451" s="16"/>
    </row>
    <row r="452" ht="22.5" customHeight="1">
      <c r="A452" s="40" t="s">
        <v>462</v>
      </c>
      <c r="B452" s="113" t="s">
        <v>50</v>
      </c>
      <c r="C452" s="114">
        <v>2.0</v>
      </c>
      <c r="D452" s="115">
        <v>210.0</v>
      </c>
      <c r="E452" s="116" t="s">
        <v>154</v>
      </c>
      <c r="F452" s="117">
        <v>46083.0</v>
      </c>
      <c r="G452" s="5" t="s">
        <v>72</v>
      </c>
      <c r="H452" s="5" t="s">
        <v>1235</v>
      </c>
      <c r="I452" s="16"/>
      <c r="J452" s="16"/>
    </row>
    <row r="453" ht="22.5" customHeight="1">
      <c r="A453" s="118" t="s">
        <v>236</v>
      </c>
      <c r="B453" s="119" t="s">
        <v>472</v>
      </c>
      <c r="C453" s="26">
        <v>4.0</v>
      </c>
      <c r="D453" s="120">
        <v>150.0</v>
      </c>
      <c r="E453" s="116" t="s">
        <v>154</v>
      </c>
      <c r="F453" s="117">
        <v>46083.0</v>
      </c>
      <c r="G453" s="5" t="s">
        <v>72</v>
      </c>
      <c r="H453" s="5" t="s">
        <v>1236</v>
      </c>
      <c r="I453" s="16"/>
      <c r="J453" s="16"/>
    </row>
    <row r="454" ht="22.5" customHeight="1">
      <c r="A454" s="40" t="s">
        <v>410</v>
      </c>
      <c r="B454" s="113" t="s">
        <v>411</v>
      </c>
      <c r="C454" s="114">
        <v>2.0</v>
      </c>
      <c r="D454" s="115">
        <v>225.0</v>
      </c>
      <c r="E454" s="116" t="s">
        <v>154</v>
      </c>
      <c r="F454" s="117">
        <v>46083.0</v>
      </c>
      <c r="G454" s="5" t="s">
        <v>72</v>
      </c>
      <c r="H454" s="5" t="s">
        <v>1238</v>
      </c>
      <c r="I454" s="16"/>
      <c r="J454" s="16"/>
    </row>
    <row r="455" ht="22.5" customHeight="1">
      <c r="A455" s="121" t="s">
        <v>268</v>
      </c>
      <c r="B455" s="122" t="s">
        <v>30</v>
      </c>
      <c r="C455" s="123">
        <v>2.0</v>
      </c>
      <c r="D455" s="124">
        <v>175.0</v>
      </c>
      <c r="E455" s="116" t="s">
        <v>154</v>
      </c>
      <c r="F455" s="117">
        <v>46083.0</v>
      </c>
      <c r="G455" s="5" t="s">
        <v>72</v>
      </c>
      <c r="H455" s="5" t="s">
        <v>1240</v>
      </c>
      <c r="I455" s="16"/>
      <c r="J455" s="16"/>
    </row>
    <row r="456" ht="22.5" customHeight="1">
      <c r="A456" s="125" t="s">
        <v>871</v>
      </c>
      <c r="B456" s="116" t="s">
        <v>30</v>
      </c>
      <c r="C456" s="126">
        <v>4.0</v>
      </c>
      <c r="D456" s="127">
        <v>90.0</v>
      </c>
      <c r="E456" s="116" t="s">
        <v>154</v>
      </c>
      <c r="F456" s="117">
        <v>46083.0</v>
      </c>
      <c r="G456" s="5" t="s">
        <v>72</v>
      </c>
      <c r="H456" s="5" t="s">
        <v>1241</v>
      </c>
      <c r="I456" s="16"/>
      <c r="J456" s="16"/>
    </row>
    <row r="457" ht="22.5" customHeight="1">
      <c r="A457" s="121" t="s">
        <v>1000</v>
      </c>
      <c r="B457" s="122" t="s">
        <v>238</v>
      </c>
      <c r="C457" s="123">
        <v>10.0</v>
      </c>
      <c r="D457" s="124">
        <v>10.0</v>
      </c>
      <c r="E457" s="122" t="s">
        <v>1052</v>
      </c>
      <c r="F457" s="117">
        <v>46083.0</v>
      </c>
      <c r="G457" s="5" t="s">
        <v>72</v>
      </c>
      <c r="H457" s="5" t="s">
        <v>1243</v>
      </c>
      <c r="I457" s="16"/>
      <c r="J457" s="16"/>
    </row>
    <row r="458" ht="22.5" customHeight="1">
      <c r="A458" s="125" t="s">
        <v>933</v>
      </c>
      <c r="B458" s="116" t="s">
        <v>238</v>
      </c>
      <c r="C458" s="126">
        <v>10.0</v>
      </c>
      <c r="D458" s="127">
        <v>8.0</v>
      </c>
      <c r="E458" s="116" t="s">
        <v>1052</v>
      </c>
      <c r="F458" s="117">
        <v>46083.0</v>
      </c>
      <c r="G458" s="5" t="s">
        <v>72</v>
      </c>
      <c r="H458" s="5" t="s">
        <v>1244</v>
      </c>
      <c r="I458" s="16"/>
      <c r="J458" s="16"/>
    </row>
    <row r="459" ht="22.5" customHeight="1">
      <c r="A459" s="121" t="s">
        <v>1155</v>
      </c>
      <c r="B459" s="122" t="s">
        <v>169</v>
      </c>
      <c r="C459" s="123">
        <v>19.0</v>
      </c>
      <c r="D459" s="124">
        <v>11.0</v>
      </c>
      <c r="E459" s="122" t="s">
        <v>1052</v>
      </c>
      <c r="F459" s="117">
        <v>46083.0</v>
      </c>
      <c r="G459" s="5" t="s">
        <v>72</v>
      </c>
      <c r="H459" s="5" t="s">
        <v>1246</v>
      </c>
      <c r="I459" s="16"/>
      <c r="J459" s="16"/>
    </row>
    <row r="460" ht="22.5" customHeight="1">
      <c r="A460" s="125" t="s">
        <v>1248</v>
      </c>
      <c r="B460" s="116" t="s">
        <v>169</v>
      </c>
      <c r="C460" s="126">
        <v>15.0</v>
      </c>
      <c r="D460" s="127">
        <v>14.0</v>
      </c>
      <c r="E460" s="116" t="s">
        <v>1052</v>
      </c>
      <c r="F460" s="117">
        <v>46083.0</v>
      </c>
      <c r="G460" s="5" t="s">
        <v>72</v>
      </c>
      <c r="H460" s="5" t="s">
        <v>1249</v>
      </c>
      <c r="I460" s="16"/>
      <c r="J460" s="16"/>
    </row>
    <row r="461" ht="22.5" customHeight="1">
      <c r="A461" s="69" t="s">
        <v>1250</v>
      </c>
      <c r="B461" s="122" t="s">
        <v>238</v>
      </c>
      <c r="C461" s="123">
        <v>24.0</v>
      </c>
      <c r="D461" s="128">
        <f>144/24</f>
        <v>6</v>
      </c>
      <c r="E461" s="122" t="s">
        <v>1052</v>
      </c>
      <c r="F461" s="117">
        <v>46083.0</v>
      </c>
      <c r="G461" s="5" t="s">
        <v>72</v>
      </c>
      <c r="H461" s="5" t="s">
        <v>1253</v>
      </c>
      <c r="I461" s="16"/>
      <c r="J461" s="16"/>
    </row>
    <row r="462" ht="22.5" customHeight="1">
      <c r="A462" s="121" t="s">
        <v>906</v>
      </c>
      <c r="B462" s="129" t="s">
        <v>238</v>
      </c>
      <c r="C462" s="130">
        <v>24.0</v>
      </c>
      <c r="D462" s="131">
        <f>120/24</f>
        <v>5</v>
      </c>
      <c r="E462" s="129" t="s">
        <v>1052</v>
      </c>
      <c r="F462" s="117">
        <v>46083.0</v>
      </c>
      <c r="G462" s="5" t="s">
        <v>72</v>
      </c>
      <c r="H462" s="5" t="s">
        <v>1254</v>
      </c>
      <c r="I462" s="16"/>
      <c r="J462" s="16"/>
    </row>
    <row r="463" ht="22.5" customHeight="1">
      <c r="A463" s="69" t="s">
        <v>896</v>
      </c>
      <c r="B463" s="132"/>
      <c r="C463" s="6">
        <v>6.0</v>
      </c>
      <c r="D463" s="8">
        <v>135.0</v>
      </c>
      <c r="E463" s="129" t="s">
        <v>119</v>
      </c>
      <c r="F463" s="117">
        <v>46083.0</v>
      </c>
      <c r="G463" s="5" t="s">
        <v>72</v>
      </c>
      <c r="H463" s="5" t="s">
        <v>1255</v>
      </c>
      <c r="I463" s="16"/>
      <c r="J463" s="16"/>
    </row>
    <row r="464" ht="22.5" customHeight="1">
      <c r="A464" s="69" t="s">
        <v>689</v>
      </c>
      <c r="B464" s="132"/>
      <c r="C464" s="6">
        <v>8.0</v>
      </c>
      <c r="D464" s="8">
        <v>130.0</v>
      </c>
      <c r="E464" s="129" t="s">
        <v>119</v>
      </c>
      <c r="F464" s="117">
        <v>46083.0</v>
      </c>
      <c r="G464" s="5" t="s">
        <v>72</v>
      </c>
      <c r="H464" s="5" t="s">
        <v>1258</v>
      </c>
      <c r="I464" s="16"/>
      <c r="J464" s="16"/>
    </row>
    <row r="465" ht="22.5" customHeight="1">
      <c r="A465" s="69" t="s">
        <v>383</v>
      </c>
      <c r="B465" s="132"/>
      <c r="C465" s="6">
        <v>2.0</v>
      </c>
      <c r="D465" s="8">
        <f t="shared" ref="D465:D466" si="2">229.5</f>
        <v>229.5</v>
      </c>
      <c r="E465" s="129" t="s">
        <v>119</v>
      </c>
      <c r="F465" s="117">
        <v>46083.0</v>
      </c>
      <c r="G465" s="5" t="s">
        <v>72</v>
      </c>
      <c r="H465" s="5" t="s">
        <v>1259</v>
      </c>
      <c r="I465" s="16"/>
      <c r="J465" s="16"/>
    </row>
    <row r="466" ht="22.5" customHeight="1">
      <c r="A466" s="69" t="s">
        <v>385</v>
      </c>
      <c r="B466" s="132"/>
      <c r="C466" s="6">
        <v>2.0</v>
      </c>
      <c r="D466" s="8">
        <f t="shared" si="2"/>
        <v>229.5</v>
      </c>
      <c r="E466" s="129" t="s">
        <v>119</v>
      </c>
      <c r="F466" s="117">
        <v>46083.0</v>
      </c>
      <c r="G466" s="5" t="s">
        <v>72</v>
      </c>
      <c r="H466" s="5" t="s">
        <v>1261</v>
      </c>
      <c r="I466" s="16"/>
      <c r="J466" s="16"/>
    </row>
    <row r="467" ht="22.5" customHeight="1">
      <c r="A467" s="69" t="s">
        <v>634</v>
      </c>
      <c r="B467" s="132"/>
      <c r="C467" s="6">
        <v>2.0</v>
      </c>
      <c r="D467" s="8">
        <v>167.0</v>
      </c>
      <c r="E467" s="129" t="s">
        <v>119</v>
      </c>
      <c r="F467" s="117">
        <v>46083.0</v>
      </c>
      <c r="G467" s="5" t="s">
        <v>72</v>
      </c>
      <c r="H467" s="5" t="s">
        <v>1262</v>
      </c>
      <c r="I467" s="16"/>
      <c r="J467" s="16"/>
    </row>
    <row r="468" ht="22.5" customHeight="1">
      <c r="A468" s="69" t="s">
        <v>761</v>
      </c>
      <c r="B468" s="132"/>
      <c r="C468" s="6">
        <v>2.0</v>
      </c>
      <c r="D468" s="8">
        <v>150.0</v>
      </c>
      <c r="E468" s="129" t="s">
        <v>119</v>
      </c>
      <c r="F468" s="117">
        <v>46083.0</v>
      </c>
      <c r="G468" s="5" t="s">
        <v>72</v>
      </c>
      <c r="H468" s="5" t="s">
        <v>1264</v>
      </c>
      <c r="I468" s="16"/>
      <c r="J468" s="16"/>
    </row>
    <row r="469" ht="22.5" customHeight="1">
      <c r="A469" s="69" t="s">
        <v>637</v>
      </c>
      <c r="B469" s="132"/>
      <c r="C469" s="6">
        <v>2.0</v>
      </c>
      <c r="D469" s="8">
        <v>167.0</v>
      </c>
      <c r="E469" s="129" t="s">
        <v>119</v>
      </c>
      <c r="F469" s="117">
        <v>46083.0</v>
      </c>
      <c r="G469" s="5" t="s">
        <v>72</v>
      </c>
      <c r="H469" s="5" t="s">
        <v>1266</v>
      </c>
      <c r="I469" s="16"/>
      <c r="J469" s="16"/>
    </row>
    <row r="470" ht="22.5" customHeight="1">
      <c r="A470" s="69" t="s">
        <v>763</v>
      </c>
      <c r="B470" s="132"/>
      <c r="C470" s="6">
        <v>2.0</v>
      </c>
      <c r="D470" s="8">
        <v>150.0</v>
      </c>
      <c r="E470" s="129" t="s">
        <v>119</v>
      </c>
      <c r="F470" s="117">
        <v>46083.0</v>
      </c>
      <c r="G470" s="5" t="s">
        <v>72</v>
      </c>
      <c r="H470" s="5" t="s">
        <v>1267</v>
      </c>
      <c r="I470" s="16"/>
      <c r="J470" s="16"/>
    </row>
    <row r="471" ht="22.5" customHeight="1">
      <c r="A471" s="69" t="s">
        <v>766</v>
      </c>
      <c r="B471" s="132"/>
      <c r="C471" s="6">
        <v>2.0</v>
      </c>
      <c r="D471" s="8">
        <v>150.0</v>
      </c>
      <c r="E471" s="129" t="s">
        <v>119</v>
      </c>
      <c r="F471" s="117">
        <v>46083.0</v>
      </c>
      <c r="G471" s="5" t="s">
        <v>72</v>
      </c>
      <c r="H471" s="5" t="s">
        <v>1268</v>
      </c>
      <c r="I471" s="16"/>
      <c r="J471" s="16"/>
    </row>
    <row r="472" ht="22.5" customHeight="1">
      <c r="A472" s="69" t="s">
        <v>640</v>
      </c>
      <c r="B472" s="132"/>
      <c r="C472" s="6">
        <v>2.0</v>
      </c>
      <c r="D472" s="8">
        <v>167.0</v>
      </c>
      <c r="E472" s="129" t="s">
        <v>119</v>
      </c>
      <c r="F472" s="117">
        <v>46083.0</v>
      </c>
      <c r="G472" s="5" t="s">
        <v>72</v>
      </c>
      <c r="H472" s="5" t="s">
        <v>1269</v>
      </c>
      <c r="I472" s="16"/>
      <c r="J472" s="16"/>
    </row>
    <row r="473" ht="22.5" customHeight="1">
      <c r="A473" s="69" t="s">
        <v>279</v>
      </c>
      <c r="B473" s="132"/>
      <c r="C473" s="6">
        <v>2.0</v>
      </c>
      <c r="D473" s="8">
        <v>300.0</v>
      </c>
      <c r="E473" s="129" t="s">
        <v>119</v>
      </c>
      <c r="F473" s="117">
        <v>46083.0</v>
      </c>
      <c r="G473" s="5" t="s">
        <v>72</v>
      </c>
      <c r="H473" s="5" t="s">
        <v>1270</v>
      </c>
      <c r="I473" s="16"/>
      <c r="J473" s="16"/>
    </row>
    <row r="474" ht="22.5" customHeight="1">
      <c r="A474" s="69" t="s">
        <v>334</v>
      </c>
      <c r="B474" s="132"/>
      <c r="C474" s="6">
        <v>2.0</v>
      </c>
      <c r="D474" s="8">
        <v>255.0</v>
      </c>
      <c r="E474" s="129" t="s">
        <v>119</v>
      </c>
      <c r="F474" s="117">
        <v>46083.0</v>
      </c>
      <c r="G474" s="5" t="s">
        <v>72</v>
      </c>
      <c r="H474" s="5" t="s">
        <v>1272</v>
      </c>
      <c r="I474" s="16"/>
      <c r="J474" s="16"/>
    </row>
    <row r="475" ht="22.5" customHeight="1">
      <c r="A475" s="133" t="s">
        <v>549</v>
      </c>
      <c r="B475" s="70" t="s">
        <v>836</v>
      </c>
      <c r="C475" s="130">
        <v>24.0</v>
      </c>
      <c r="D475" s="131">
        <f>17.5</f>
        <v>17.5</v>
      </c>
      <c r="E475" s="129" t="s">
        <v>119</v>
      </c>
      <c r="F475" s="117">
        <v>46083.0</v>
      </c>
      <c r="G475" s="5" t="s">
        <v>72</v>
      </c>
      <c r="H475" s="5" t="s">
        <v>1275</v>
      </c>
      <c r="I475" s="16"/>
      <c r="J475" s="16"/>
    </row>
    <row r="476" ht="22.5" customHeight="1">
      <c r="A476" s="69" t="s">
        <v>1276</v>
      </c>
      <c r="B476" s="132"/>
      <c r="C476" s="6">
        <v>4.0</v>
      </c>
      <c r="D476" s="8">
        <v>60.0</v>
      </c>
      <c r="E476" s="129" t="s">
        <v>119</v>
      </c>
      <c r="F476" s="117">
        <v>46083.0</v>
      </c>
      <c r="G476" s="5" t="s">
        <v>72</v>
      </c>
      <c r="H476" s="5" t="s">
        <v>1277</v>
      </c>
      <c r="I476" s="16"/>
      <c r="J476" s="16"/>
    </row>
    <row r="477" ht="22.5" customHeight="1">
      <c r="A477" s="69" t="s">
        <v>987</v>
      </c>
      <c r="B477" s="132"/>
      <c r="C477" s="6">
        <v>4.0</v>
      </c>
      <c r="D477" s="8">
        <v>19.0</v>
      </c>
      <c r="E477" s="129" t="s">
        <v>119</v>
      </c>
      <c r="F477" s="117">
        <v>46083.0</v>
      </c>
      <c r="G477" s="5" t="s">
        <v>72</v>
      </c>
      <c r="H477" s="5" t="s">
        <v>1279</v>
      </c>
      <c r="I477" s="16"/>
      <c r="J477" s="16"/>
    </row>
    <row r="478" ht="22.5" customHeight="1">
      <c r="A478" s="69" t="s">
        <v>1152</v>
      </c>
      <c r="B478" s="132"/>
      <c r="C478" s="6">
        <v>3.0</v>
      </c>
      <c r="D478" s="134">
        <v>46361.0</v>
      </c>
      <c r="E478" s="129" t="s">
        <v>119</v>
      </c>
      <c r="F478" s="117">
        <v>46083.0</v>
      </c>
      <c r="G478" s="5" t="s">
        <v>72</v>
      </c>
      <c r="H478" s="5" t="s">
        <v>1281</v>
      </c>
      <c r="I478" s="16"/>
      <c r="J478" s="16"/>
    </row>
    <row r="479" ht="22.5" customHeight="1">
      <c r="A479" s="69" t="s">
        <v>1014</v>
      </c>
      <c r="B479" s="132"/>
      <c r="C479" s="6">
        <v>3.0</v>
      </c>
      <c r="D479" s="8">
        <v>50.0</v>
      </c>
      <c r="E479" s="129" t="s">
        <v>119</v>
      </c>
      <c r="F479" s="117">
        <v>46083.0</v>
      </c>
      <c r="G479" s="5" t="s">
        <v>72</v>
      </c>
      <c r="H479" s="5" t="s">
        <v>1283</v>
      </c>
      <c r="I479" s="16"/>
      <c r="J479" s="16"/>
    </row>
    <row r="480" ht="22.5" customHeight="1">
      <c r="A480" s="69" t="s">
        <v>1284</v>
      </c>
      <c r="B480" s="132"/>
      <c r="C480" s="6">
        <v>1.0</v>
      </c>
      <c r="D480" s="8">
        <v>63.0</v>
      </c>
      <c r="E480" s="129" t="s">
        <v>119</v>
      </c>
      <c r="F480" s="117">
        <v>46083.0</v>
      </c>
      <c r="G480" s="5" t="s">
        <v>72</v>
      </c>
      <c r="H480" s="5" t="s">
        <v>1286</v>
      </c>
      <c r="I480" s="16"/>
      <c r="J480" s="16"/>
    </row>
    <row r="481" ht="22.5" customHeight="1">
      <c r="A481" s="69" t="s">
        <v>1271</v>
      </c>
      <c r="B481" s="132"/>
      <c r="C481" s="6">
        <v>1.0</v>
      </c>
      <c r="D481" s="8">
        <v>69.0</v>
      </c>
      <c r="E481" s="129" t="s">
        <v>119</v>
      </c>
      <c r="F481" s="117">
        <v>46083.0</v>
      </c>
      <c r="G481" s="5" t="s">
        <v>72</v>
      </c>
      <c r="H481" s="5" t="s">
        <v>1287</v>
      </c>
      <c r="I481" s="16"/>
      <c r="J481" s="16"/>
    </row>
    <row r="482" ht="22.5" customHeight="1">
      <c r="A482" s="69" t="s">
        <v>1206</v>
      </c>
      <c r="B482" s="132"/>
      <c r="C482" s="6">
        <v>1.0</v>
      </c>
      <c r="D482" s="8">
        <v>82.0</v>
      </c>
      <c r="E482" s="129" t="s">
        <v>119</v>
      </c>
      <c r="F482" s="117">
        <v>46083.0</v>
      </c>
      <c r="G482" s="5" t="s">
        <v>72</v>
      </c>
      <c r="H482" s="5" t="s">
        <v>1289</v>
      </c>
      <c r="I482" s="16"/>
      <c r="J482" s="16"/>
    </row>
    <row r="483" ht="22.5" customHeight="1">
      <c r="A483" s="133" t="s">
        <v>960</v>
      </c>
      <c r="B483" s="135"/>
      <c r="C483" s="96">
        <v>4.0</v>
      </c>
      <c r="D483" s="98">
        <v>80.0</v>
      </c>
      <c r="E483" s="136" t="s">
        <v>51</v>
      </c>
      <c r="F483" s="117">
        <v>46083.0</v>
      </c>
      <c r="G483" s="5" t="s">
        <v>72</v>
      </c>
      <c r="H483" s="5" t="s">
        <v>1292</v>
      </c>
      <c r="I483" s="16"/>
      <c r="J483" s="16"/>
    </row>
    <row r="484" ht="22.5" customHeight="1">
      <c r="A484" s="133" t="s">
        <v>142</v>
      </c>
      <c r="B484" s="135"/>
      <c r="C484" s="96">
        <v>1.0</v>
      </c>
      <c r="D484" s="98">
        <v>300.0</v>
      </c>
      <c r="E484" s="136" t="s">
        <v>51</v>
      </c>
      <c r="F484" s="117">
        <v>46083.0</v>
      </c>
      <c r="G484" s="5" t="s">
        <v>72</v>
      </c>
      <c r="H484" s="5" t="s">
        <v>1293</v>
      </c>
      <c r="I484" s="16"/>
      <c r="J484" s="16"/>
    </row>
    <row r="485" ht="22.5" customHeight="1">
      <c r="A485" s="133" t="s">
        <v>370</v>
      </c>
      <c r="B485" s="135"/>
      <c r="C485" s="96">
        <v>1.0</v>
      </c>
      <c r="D485" s="98">
        <v>240.0</v>
      </c>
      <c r="E485" s="136" t="s">
        <v>51</v>
      </c>
      <c r="F485" s="117">
        <v>46083.0</v>
      </c>
      <c r="G485" s="5" t="s">
        <v>72</v>
      </c>
      <c r="H485" s="5" t="s">
        <v>1295</v>
      </c>
      <c r="I485" s="16"/>
      <c r="J485" s="16"/>
    </row>
    <row r="486" ht="22.5" customHeight="1">
      <c r="A486" s="133" t="s">
        <v>363</v>
      </c>
      <c r="B486" s="135"/>
      <c r="C486" s="96">
        <v>2.0</v>
      </c>
      <c r="D486" s="98">
        <v>95.0</v>
      </c>
      <c r="E486" s="136" t="s">
        <v>51</v>
      </c>
      <c r="F486" s="117">
        <v>46083.0</v>
      </c>
      <c r="G486" s="5" t="s">
        <v>72</v>
      </c>
      <c r="H486" s="5" t="s">
        <v>1296</v>
      </c>
      <c r="I486" s="16"/>
      <c r="J486" s="16"/>
    </row>
    <row r="487" ht="22.5" customHeight="1">
      <c r="A487" s="133" t="s">
        <v>1285</v>
      </c>
      <c r="B487" s="135"/>
      <c r="C487" s="96">
        <v>4.0</v>
      </c>
      <c r="D487" s="98">
        <v>65.0</v>
      </c>
      <c r="E487" s="136" t="s">
        <v>51</v>
      </c>
      <c r="F487" s="117">
        <v>46083.0</v>
      </c>
      <c r="G487" s="5" t="s">
        <v>72</v>
      </c>
      <c r="H487" s="5" t="s">
        <v>1298</v>
      </c>
      <c r="I487" s="16"/>
      <c r="J487" s="16"/>
    </row>
    <row r="488" ht="22.5" customHeight="1">
      <c r="A488" s="133" t="s">
        <v>1288</v>
      </c>
      <c r="B488" s="135"/>
      <c r="C488" s="96">
        <v>2.0</v>
      </c>
      <c r="D488" s="98">
        <v>65.0</v>
      </c>
      <c r="E488" s="136" t="s">
        <v>51</v>
      </c>
      <c r="F488" s="117">
        <v>46083.0</v>
      </c>
      <c r="G488" s="5" t="s">
        <v>72</v>
      </c>
      <c r="H488" s="5" t="s">
        <v>1300</v>
      </c>
      <c r="I488" s="16"/>
      <c r="J488" s="16"/>
    </row>
    <row r="489" ht="22.5" customHeight="1">
      <c r="A489" s="133" t="s">
        <v>1290</v>
      </c>
      <c r="B489" s="135"/>
      <c r="C489" s="96">
        <v>2.0</v>
      </c>
      <c r="D489" s="98">
        <v>65.0</v>
      </c>
      <c r="E489" s="136" t="s">
        <v>51</v>
      </c>
      <c r="F489" s="117">
        <v>46083.0</v>
      </c>
      <c r="G489" s="5" t="s">
        <v>72</v>
      </c>
      <c r="H489" s="5" t="s">
        <v>1303</v>
      </c>
      <c r="I489" s="16"/>
      <c r="J489" s="16"/>
    </row>
    <row r="490" ht="22.5" customHeight="1">
      <c r="A490" s="133" t="s">
        <v>769</v>
      </c>
      <c r="B490" s="135"/>
      <c r="C490" s="96">
        <v>2.0</v>
      </c>
      <c r="D490" s="98">
        <v>150.0</v>
      </c>
      <c r="E490" s="136" t="s">
        <v>51</v>
      </c>
      <c r="F490" s="117">
        <v>46083.0</v>
      </c>
      <c r="G490" s="5" t="s">
        <v>72</v>
      </c>
      <c r="H490" s="5" t="s">
        <v>1304</v>
      </c>
      <c r="I490" s="16"/>
      <c r="J490" s="16"/>
    </row>
    <row r="491" ht="22.5" customHeight="1">
      <c r="A491" s="133" t="s">
        <v>946</v>
      </c>
      <c r="B491" s="135"/>
      <c r="C491" s="96">
        <v>48.0</v>
      </c>
      <c r="D491" s="98">
        <v>75.0</v>
      </c>
      <c r="E491" s="136" t="s">
        <v>51</v>
      </c>
      <c r="F491" s="117">
        <v>46083.0</v>
      </c>
      <c r="G491" s="5" t="s">
        <v>72</v>
      </c>
      <c r="H491" s="5" t="s">
        <v>1305</v>
      </c>
      <c r="I491" s="16"/>
      <c r="J491" s="16"/>
    </row>
    <row r="492" ht="22.5" customHeight="1">
      <c r="A492" s="133" t="s">
        <v>593</v>
      </c>
      <c r="B492" s="135"/>
      <c r="C492" s="96">
        <v>12.0</v>
      </c>
      <c r="D492" s="98">
        <v>50.0</v>
      </c>
      <c r="E492" s="136" t="s">
        <v>51</v>
      </c>
      <c r="F492" s="117">
        <v>46083.0</v>
      </c>
      <c r="G492" s="5" t="s">
        <v>72</v>
      </c>
      <c r="H492" s="5" t="s">
        <v>1307</v>
      </c>
      <c r="I492" s="16"/>
      <c r="J492" s="16"/>
    </row>
    <row r="493" ht="22.5" customHeight="1">
      <c r="A493" s="133" t="s">
        <v>599</v>
      </c>
      <c r="B493" s="135"/>
      <c r="C493" s="96">
        <v>4.0</v>
      </c>
      <c r="D493" s="98">
        <v>125.0</v>
      </c>
      <c r="E493" s="136" t="s">
        <v>51</v>
      </c>
      <c r="F493" s="117">
        <v>46083.0</v>
      </c>
      <c r="G493" s="5" t="s">
        <v>72</v>
      </c>
      <c r="H493" s="5" t="s">
        <v>1308</v>
      </c>
      <c r="I493" s="16"/>
      <c r="J493" s="16"/>
    </row>
    <row r="494" ht="22.5" customHeight="1">
      <c r="A494" s="133" t="s">
        <v>607</v>
      </c>
      <c r="B494" s="135"/>
      <c r="C494" s="96">
        <v>2.0</v>
      </c>
      <c r="D494" s="98">
        <v>125.0</v>
      </c>
      <c r="E494" s="136" t="s">
        <v>51</v>
      </c>
      <c r="F494" s="117">
        <v>46083.0</v>
      </c>
      <c r="G494" s="5" t="s">
        <v>72</v>
      </c>
      <c r="H494" s="5" t="s">
        <v>1309</v>
      </c>
      <c r="I494" s="16"/>
      <c r="J494" s="16"/>
    </row>
    <row r="495" ht="22.5" customHeight="1">
      <c r="A495" s="133" t="s">
        <v>571</v>
      </c>
      <c r="B495" s="137" t="s">
        <v>1310</v>
      </c>
      <c r="C495" s="96">
        <v>2.0</v>
      </c>
      <c r="D495" s="98">
        <v>175.0</v>
      </c>
      <c r="E495" s="136" t="s">
        <v>51</v>
      </c>
      <c r="F495" s="117">
        <v>46083.0</v>
      </c>
      <c r="G495" s="5" t="s">
        <v>72</v>
      </c>
      <c r="H495" s="5" t="s">
        <v>1311</v>
      </c>
      <c r="I495" s="16"/>
      <c r="J495" s="16"/>
    </row>
    <row r="496" ht="22.5" customHeight="1">
      <c r="A496" s="133" t="s">
        <v>419</v>
      </c>
      <c r="B496" s="135"/>
      <c r="C496" s="96">
        <v>2.0</v>
      </c>
      <c r="D496" s="98">
        <v>225.0</v>
      </c>
      <c r="E496" s="136" t="s">
        <v>51</v>
      </c>
      <c r="F496" s="117">
        <v>46083.0</v>
      </c>
      <c r="G496" s="5" t="s">
        <v>72</v>
      </c>
      <c r="H496" s="5" t="s">
        <v>1312</v>
      </c>
      <c r="I496" s="16"/>
      <c r="J496" s="16"/>
    </row>
    <row r="497" ht="22.5" customHeight="1">
      <c r="A497" s="133" t="s">
        <v>423</v>
      </c>
      <c r="B497" s="135"/>
      <c r="C497" s="96">
        <v>2.0</v>
      </c>
      <c r="D497" s="98">
        <v>225.0</v>
      </c>
      <c r="E497" s="136" t="s">
        <v>51</v>
      </c>
      <c r="F497" s="117">
        <v>46083.0</v>
      </c>
      <c r="G497" s="5" t="s">
        <v>72</v>
      </c>
      <c r="H497" s="5" t="s">
        <v>1313</v>
      </c>
      <c r="I497" s="16"/>
      <c r="J497" s="16"/>
    </row>
    <row r="498" ht="22.5" customHeight="1">
      <c r="A498" s="138" t="s">
        <v>166</v>
      </c>
      <c r="B498" s="70" t="s">
        <v>167</v>
      </c>
      <c r="C498" s="93">
        <v>3.0</v>
      </c>
      <c r="D498" s="94">
        <v>400.0</v>
      </c>
      <c r="E498" s="70" t="s">
        <v>154</v>
      </c>
      <c r="F498" s="139">
        <v>46095.0</v>
      </c>
      <c r="G498" s="5" t="s">
        <v>72</v>
      </c>
      <c r="H498" s="5" t="s">
        <v>1315</v>
      </c>
      <c r="I498" s="16"/>
      <c r="J498" s="16"/>
    </row>
    <row r="499" ht="22.5" customHeight="1">
      <c r="A499" s="138" t="s">
        <v>275</v>
      </c>
      <c r="B499" s="70" t="s">
        <v>167</v>
      </c>
      <c r="C499" s="93">
        <v>2.0</v>
      </c>
      <c r="D499" s="94">
        <v>300.0</v>
      </c>
      <c r="E499" s="70" t="s">
        <v>154</v>
      </c>
      <c r="F499" s="139">
        <v>46095.0</v>
      </c>
      <c r="G499" s="5" t="s">
        <v>72</v>
      </c>
      <c r="H499" s="5" t="s">
        <v>1317</v>
      </c>
      <c r="I499" s="16"/>
      <c r="J499" s="16"/>
    </row>
    <row r="500" ht="22.5" customHeight="1">
      <c r="A500" s="138" t="s">
        <v>345</v>
      </c>
      <c r="B500" s="70" t="s">
        <v>167</v>
      </c>
      <c r="C500" s="93">
        <v>2.0</v>
      </c>
      <c r="D500" s="94">
        <v>250.0</v>
      </c>
      <c r="E500" s="70" t="s">
        <v>154</v>
      </c>
      <c r="F500" s="139">
        <v>46095.0</v>
      </c>
      <c r="G500" s="5" t="s">
        <v>72</v>
      </c>
      <c r="H500" s="5" t="s">
        <v>1318</v>
      </c>
      <c r="I500" s="16"/>
      <c r="J500" s="16"/>
    </row>
    <row r="501" ht="22.5" customHeight="1">
      <c r="A501" s="138" t="s">
        <v>902</v>
      </c>
      <c r="B501" s="70" t="s">
        <v>1036</v>
      </c>
      <c r="C501" s="93">
        <v>6.0</v>
      </c>
      <c r="D501" s="94">
        <v>85.0</v>
      </c>
      <c r="E501" s="70" t="s">
        <v>154</v>
      </c>
      <c r="F501" s="139">
        <v>46095.0</v>
      </c>
      <c r="G501" s="5" t="s">
        <v>72</v>
      </c>
      <c r="H501" s="5" t="s">
        <v>1319</v>
      </c>
      <c r="I501" s="16"/>
      <c r="J501" s="16"/>
    </row>
    <row r="502" ht="22.5" customHeight="1">
      <c r="A502" s="138" t="s">
        <v>177</v>
      </c>
      <c r="B502" s="70" t="s">
        <v>167</v>
      </c>
      <c r="C502" s="93">
        <v>12.0</v>
      </c>
      <c r="D502" s="94">
        <v>75.0</v>
      </c>
      <c r="E502" s="70" t="s">
        <v>154</v>
      </c>
      <c r="F502" s="139">
        <v>46095.0</v>
      </c>
      <c r="G502" s="5" t="s">
        <v>72</v>
      </c>
      <c r="H502" s="5" t="s">
        <v>1321</v>
      </c>
      <c r="I502" s="16"/>
      <c r="J502" s="16"/>
    </row>
    <row r="503" ht="22.5" customHeight="1">
      <c r="A503" s="138" t="s">
        <v>1049</v>
      </c>
      <c r="B503" s="70" t="s">
        <v>167</v>
      </c>
      <c r="C503" s="93">
        <v>6.0</v>
      </c>
      <c r="D503" s="94">
        <v>95.0</v>
      </c>
      <c r="E503" s="70" t="s">
        <v>154</v>
      </c>
      <c r="F503" s="139">
        <v>46095.0</v>
      </c>
      <c r="G503" s="5" t="s">
        <v>72</v>
      </c>
      <c r="H503" s="5" t="s">
        <v>1323</v>
      </c>
      <c r="I503" s="16"/>
      <c r="J503" s="16"/>
    </row>
    <row r="504" ht="22.5" customHeight="1">
      <c r="A504" s="138" t="s">
        <v>268</v>
      </c>
      <c r="B504" s="70" t="s">
        <v>30</v>
      </c>
      <c r="C504" s="93">
        <v>6.0</v>
      </c>
      <c r="D504" s="94">
        <v>180.0</v>
      </c>
      <c r="E504" s="70" t="s">
        <v>154</v>
      </c>
      <c r="F504" s="139">
        <v>46095.0</v>
      </c>
      <c r="G504" s="5" t="s">
        <v>72</v>
      </c>
      <c r="H504" s="5" t="s">
        <v>1324</v>
      </c>
      <c r="I504" s="16"/>
      <c r="J504" s="16"/>
    </row>
    <row r="505" ht="22.5" customHeight="1">
      <c r="A505" s="138" t="s">
        <v>871</v>
      </c>
      <c r="B505" s="70" t="s">
        <v>30</v>
      </c>
      <c r="C505" s="93">
        <v>6.0</v>
      </c>
      <c r="D505" s="94">
        <v>95.0</v>
      </c>
      <c r="E505" s="70" t="s">
        <v>154</v>
      </c>
      <c r="F505" s="139">
        <v>46095.0</v>
      </c>
      <c r="G505" s="5" t="s">
        <v>72</v>
      </c>
      <c r="H505" s="5" t="s">
        <v>1325</v>
      </c>
      <c r="I505" s="16"/>
      <c r="J505" s="16"/>
    </row>
    <row r="506" ht="22.5" customHeight="1">
      <c r="A506" s="138" t="s">
        <v>915</v>
      </c>
      <c r="B506" s="70" t="s">
        <v>30</v>
      </c>
      <c r="C506" s="93">
        <v>4.0</v>
      </c>
      <c r="D506" s="94">
        <v>110.0</v>
      </c>
      <c r="E506" s="70" t="s">
        <v>154</v>
      </c>
      <c r="F506" s="139">
        <v>46095.0</v>
      </c>
      <c r="G506" s="5" t="s">
        <v>72</v>
      </c>
      <c r="H506" s="5" t="s">
        <v>1326</v>
      </c>
      <c r="I506" s="16"/>
      <c r="J506" s="16"/>
    </row>
    <row r="507" ht="22.5" customHeight="1">
      <c r="A507" s="138" t="s">
        <v>788</v>
      </c>
      <c r="B507" s="70" t="s">
        <v>30</v>
      </c>
      <c r="C507" s="93">
        <v>6.0</v>
      </c>
      <c r="D507" s="94">
        <v>90.0</v>
      </c>
      <c r="E507" s="70" t="s">
        <v>154</v>
      </c>
      <c r="F507" s="139">
        <v>46095.0</v>
      </c>
      <c r="G507" s="5" t="s">
        <v>72</v>
      </c>
      <c r="H507" s="5" t="s">
        <v>1327</v>
      </c>
      <c r="I507" s="16"/>
      <c r="J507" s="16"/>
    </row>
    <row r="508" ht="22.5" customHeight="1">
      <c r="A508" s="138" t="s">
        <v>236</v>
      </c>
      <c r="B508" s="70" t="s">
        <v>568</v>
      </c>
      <c r="C508" s="93">
        <v>6.0</v>
      </c>
      <c r="D508" s="94">
        <v>175.0</v>
      </c>
      <c r="E508" s="70" t="s">
        <v>154</v>
      </c>
      <c r="F508" s="139">
        <v>46095.0</v>
      </c>
      <c r="G508" s="5" t="s">
        <v>72</v>
      </c>
      <c r="H508" s="5" t="s">
        <v>1328</v>
      </c>
      <c r="I508" s="16"/>
      <c r="J508" s="16"/>
    </row>
    <row r="509" ht="22.5" customHeight="1">
      <c r="A509" s="138" t="s">
        <v>248</v>
      </c>
      <c r="B509" s="70" t="s">
        <v>238</v>
      </c>
      <c r="C509" s="93">
        <v>6.0</v>
      </c>
      <c r="D509" s="94">
        <v>100.0</v>
      </c>
      <c r="E509" s="70" t="s">
        <v>154</v>
      </c>
      <c r="F509" s="139">
        <v>46095.0</v>
      </c>
      <c r="G509" s="5" t="s">
        <v>72</v>
      </c>
      <c r="H509" s="5" t="s">
        <v>1329</v>
      </c>
      <c r="I509" s="16"/>
      <c r="J509" s="16"/>
    </row>
    <row r="510" ht="22.5" customHeight="1">
      <c r="A510" s="138" t="s">
        <v>852</v>
      </c>
      <c r="B510" s="70" t="s">
        <v>238</v>
      </c>
      <c r="C510" s="93">
        <v>48.0</v>
      </c>
      <c r="D510" s="112">
        <f>150/12</f>
        <v>12.5</v>
      </c>
      <c r="E510" s="70" t="s">
        <v>154</v>
      </c>
      <c r="F510" s="139">
        <v>46095.0</v>
      </c>
      <c r="G510" s="5" t="s">
        <v>72</v>
      </c>
      <c r="H510" s="5" t="s">
        <v>1331</v>
      </c>
      <c r="I510" s="16"/>
      <c r="J510" s="16"/>
    </row>
    <row r="511" ht="22.5" customHeight="1">
      <c r="A511" s="138" t="s">
        <v>159</v>
      </c>
      <c r="B511" s="70" t="s">
        <v>50</v>
      </c>
      <c r="C511" s="93">
        <v>2.0</v>
      </c>
      <c r="D511" s="94">
        <v>250.0</v>
      </c>
      <c r="E511" s="70" t="s">
        <v>154</v>
      </c>
      <c r="F511" s="139">
        <v>46095.0</v>
      </c>
      <c r="G511" s="5" t="s">
        <v>72</v>
      </c>
      <c r="H511" s="5" t="s">
        <v>1332</v>
      </c>
      <c r="I511" s="16"/>
      <c r="J511" s="16"/>
    </row>
    <row r="512" ht="22.5" customHeight="1">
      <c r="A512" s="138" t="s">
        <v>100</v>
      </c>
      <c r="B512" s="70" t="s">
        <v>50</v>
      </c>
      <c r="C512" s="93">
        <v>4.0</v>
      </c>
      <c r="D512" s="94">
        <v>400.0</v>
      </c>
      <c r="E512" s="70" t="s">
        <v>154</v>
      </c>
      <c r="F512" s="139">
        <v>46095.0</v>
      </c>
      <c r="G512" s="5" t="s">
        <v>72</v>
      </c>
      <c r="H512" s="5" t="s">
        <v>1333</v>
      </c>
      <c r="I512" s="16"/>
      <c r="J512" s="16"/>
    </row>
    <row r="513" ht="22.5" customHeight="1">
      <c r="A513" s="138" t="s">
        <v>918</v>
      </c>
      <c r="B513" s="70" t="s">
        <v>568</v>
      </c>
      <c r="C513" s="93">
        <v>18.0</v>
      </c>
      <c r="D513" s="94">
        <v>150.0</v>
      </c>
      <c r="E513" s="70" t="s">
        <v>154</v>
      </c>
      <c r="F513" s="139">
        <v>46095.0</v>
      </c>
      <c r="G513" s="5" t="s">
        <v>72</v>
      </c>
      <c r="H513" s="5" t="s">
        <v>1334</v>
      </c>
      <c r="I513" s="16"/>
      <c r="J513" s="16"/>
    </row>
    <row r="514" ht="22.5" customHeight="1">
      <c r="A514" s="140" t="s">
        <v>812</v>
      </c>
      <c r="B514" s="70" t="s">
        <v>753</v>
      </c>
      <c r="C514" s="93">
        <v>50.0</v>
      </c>
      <c r="D514" s="141">
        <v>15.0</v>
      </c>
      <c r="E514" s="70" t="s">
        <v>154</v>
      </c>
      <c r="F514" s="139">
        <v>46095.0</v>
      </c>
      <c r="G514" s="5" t="s">
        <v>72</v>
      </c>
      <c r="H514" s="5" t="s">
        <v>1335</v>
      </c>
      <c r="I514" s="16"/>
      <c r="J514" s="16"/>
    </row>
    <row r="515" ht="22.5" customHeight="1">
      <c r="A515" s="140" t="s">
        <v>1166</v>
      </c>
      <c r="B515" s="70" t="s">
        <v>472</v>
      </c>
      <c r="C515" s="93">
        <v>12.0</v>
      </c>
      <c r="D515" s="141">
        <v>65.0</v>
      </c>
      <c r="E515" s="70" t="s">
        <v>154</v>
      </c>
      <c r="F515" s="139">
        <v>46095.0</v>
      </c>
      <c r="G515" s="5" t="s">
        <v>72</v>
      </c>
      <c r="H515" s="5" t="s">
        <v>1336</v>
      </c>
      <c r="I515" s="16"/>
      <c r="J515" s="16"/>
    </row>
    <row r="516" ht="22.5" customHeight="1">
      <c r="A516" s="140" t="s">
        <v>1021</v>
      </c>
      <c r="B516" s="70" t="s">
        <v>1023</v>
      </c>
      <c r="C516" s="93">
        <v>10.0</v>
      </c>
      <c r="D516" s="141">
        <v>115.0</v>
      </c>
      <c r="E516" s="70" t="s">
        <v>125</v>
      </c>
      <c r="F516" s="139">
        <v>46095.0</v>
      </c>
      <c r="G516" s="5" t="s">
        <v>72</v>
      </c>
      <c r="H516" s="5" t="s">
        <v>1337</v>
      </c>
      <c r="I516" s="16"/>
      <c r="J516" s="16"/>
    </row>
    <row r="517" ht="22.5" customHeight="1">
      <c r="A517" s="140" t="s">
        <v>593</v>
      </c>
      <c r="B517" s="70" t="s">
        <v>48</v>
      </c>
      <c r="C517" s="93">
        <v>12.0</v>
      </c>
      <c r="D517" s="141">
        <v>55.0</v>
      </c>
      <c r="E517" s="19" t="s">
        <v>51</v>
      </c>
      <c r="F517" s="139">
        <v>46095.0</v>
      </c>
      <c r="G517" s="5" t="s">
        <v>72</v>
      </c>
      <c r="H517" s="5" t="s">
        <v>1338</v>
      </c>
      <c r="I517" s="16"/>
      <c r="J517" s="16"/>
    </row>
    <row r="518" ht="22.5" customHeight="1">
      <c r="A518" s="140" t="s">
        <v>220</v>
      </c>
      <c r="B518" s="70" t="s">
        <v>472</v>
      </c>
      <c r="C518" s="93">
        <v>12.0</v>
      </c>
      <c r="D518" s="141">
        <v>85.0</v>
      </c>
      <c r="E518" s="19" t="s">
        <v>51</v>
      </c>
      <c r="F518" s="139">
        <v>46095.0</v>
      </c>
      <c r="G518" s="5" t="s">
        <v>72</v>
      </c>
      <c r="H518" s="5" t="s">
        <v>1339</v>
      </c>
      <c r="I518" s="16"/>
      <c r="J518" s="16"/>
    </row>
    <row r="519" ht="22.5" customHeight="1">
      <c r="A519" s="140" t="s">
        <v>876</v>
      </c>
      <c r="B519" s="70" t="s">
        <v>1104</v>
      </c>
      <c r="C519" s="93">
        <v>6.0</v>
      </c>
      <c r="D519" s="141">
        <v>100.0</v>
      </c>
      <c r="E519" s="70" t="s">
        <v>51</v>
      </c>
      <c r="F519" s="139">
        <v>46095.0</v>
      </c>
      <c r="G519" s="5" t="s">
        <v>72</v>
      </c>
      <c r="H519" s="5" t="s">
        <v>1340</v>
      </c>
      <c r="I519" s="16"/>
      <c r="J519" s="16"/>
    </row>
    <row r="520" ht="22.5" customHeight="1">
      <c r="A520" s="140" t="s">
        <v>285</v>
      </c>
      <c r="B520" s="70" t="s">
        <v>286</v>
      </c>
      <c r="C520" s="93">
        <v>2.0</v>
      </c>
      <c r="D520" s="141">
        <v>300.0</v>
      </c>
      <c r="E520" s="70" t="s">
        <v>51</v>
      </c>
      <c r="F520" s="139">
        <v>46095.0</v>
      </c>
      <c r="G520" s="5" t="s">
        <v>72</v>
      </c>
      <c r="H520" s="5" t="s">
        <v>1341</v>
      </c>
      <c r="I520" s="16"/>
      <c r="J520" s="16"/>
    </row>
    <row r="521" ht="22.5" customHeight="1">
      <c r="A521" s="140" t="s">
        <v>1320</v>
      </c>
      <c r="B521" s="70" t="s">
        <v>286</v>
      </c>
      <c r="C521" s="93">
        <v>6.0</v>
      </c>
      <c r="D521" s="141">
        <v>40.0</v>
      </c>
      <c r="E521" s="70" t="s">
        <v>51</v>
      </c>
      <c r="F521" s="139">
        <v>46095.0</v>
      </c>
      <c r="G521" s="5" t="s">
        <v>72</v>
      </c>
      <c r="H521" s="5" t="s">
        <v>1342</v>
      </c>
      <c r="I521" s="16"/>
      <c r="J521" s="16"/>
    </row>
    <row r="522" ht="22.5" customHeight="1">
      <c r="A522" s="140" t="s">
        <v>1043</v>
      </c>
      <c r="B522" s="70" t="s">
        <v>1171</v>
      </c>
      <c r="C522" s="93">
        <v>12.0</v>
      </c>
      <c r="D522" s="141">
        <v>85.0</v>
      </c>
      <c r="E522" s="70" t="s">
        <v>51</v>
      </c>
      <c r="F522" s="139">
        <v>46095.0</v>
      </c>
      <c r="G522" s="5" t="s">
        <v>72</v>
      </c>
      <c r="H522" s="5" t="s">
        <v>1344</v>
      </c>
      <c r="I522" s="16"/>
      <c r="J522" s="16"/>
    </row>
    <row r="523" ht="22.5" customHeight="1">
      <c r="A523" s="140" t="s">
        <v>1345</v>
      </c>
      <c r="B523" s="70" t="s">
        <v>286</v>
      </c>
      <c r="C523" s="93">
        <v>2.0</v>
      </c>
      <c r="D523" s="141">
        <v>175.0</v>
      </c>
      <c r="E523" s="70" t="s">
        <v>51</v>
      </c>
      <c r="F523" s="139">
        <v>46095.0</v>
      </c>
      <c r="G523" s="5" t="s">
        <v>72</v>
      </c>
      <c r="H523" s="5" t="s">
        <v>1346</v>
      </c>
      <c r="I523" s="16"/>
      <c r="J523" s="16"/>
    </row>
    <row r="524" ht="22.5" customHeight="1">
      <c r="A524" s="140" t="s">
        <v>1347</v>
      </c>
      <c r="B524" s="70" t="s">
        <v>472</v>
      </c>
      <c r="C524" s="93">
        <v>12.0</v>
      </c>
      <c r="D524" s="142">
        <f>150/12</f>
        <v>12.5</v>
      </c>
      <c r="E524" s="70" t="s">
        <v>51</v>
      </c>
      <c r="F524" s="139">
        <v>46095.0</v>
      </c>
      <c r="G524" s="5" t="s">
        <v>72</v>
      </c>
      <c r="H524" s="5" t="s">
        <v>1348</v>
      </c>
      <c r="I524" s="16"/>
      <c r="J524" s="16"/>
    </row>
    <row r="525" ht="22.5" customHeight="1">
      <c r="A525" s="140" t="s">
        <v>363</v>
      </c>
      <c r="B525" s="70" t="s">
        <v>472</v>
      </c>
      <c r="C525" s="93">
        <v>2.0</v>
      </c>
      <c r="D525" s="141">
        <v>110.0</v>
      </c>
      <c r="E525" s="70" t="s">
        <v>51</v>
      </c>
      <c r="F525" s="139">
        <v>46095.0</v>
      </c>
      <c r="G525" s="5" t="s">
        <v>72</v>
      </c>
      <c r="H525" s="5" t="s">
        <v>1350</v>
      </c>
      <c r="I525" s="16"/>
      <c r="J525" s="16"/>
    </row>
    <row r="526" ht="22.5" customHeight="1">
      <c r="A526" s="140" t="s">
        <v>772</v>
      </c>
      <c r="B526" s="70" t="s">
        <v>472</v>
      </c>
      <c r="C526" s="93">
        <v>3.0</v>
      </c>
      <c r="D526" s="141">
        <v>150.0</v>
      </c>
      <c r="E526" s="70" t="s">
        <v>51</v>
      </c>
      <c r="F526" s="139">
        <v>46095.0</v>
      </c>
      <c r="G526" s="5" t="s">
        <v>72</v>
      </c>
      <c r="H526" s="5" t="s">
        <v>1351</v>
      </c>
      <c r="I526" s="16"/>
      <c r="J526" s="16"/>
    </row>
    <row r="527" ht="22.5" customHeight="1">
      <c r="A527" s="140" t="s">
        <v>1129</v>
      </c>
      <c r="B527" s="70" t="s">
        <v>1352</v>
      </c>
      <c r="C527" s="93">
        <v>5.0</v>
      </c>
      <c r="D527" s="141">
        <v>8.0</v>
      </c>
      <c r="E527" s="70" t="s">
        <v>125</v>
      </c>
      <c r="F527" s="139">
        <v>46095.0</v>
      </c>
      <c r="G527" s="5" t="s">
        <v>72</v>
      </c>
      <c r="H527" s="5" t="s">
        <v>1353</v>
      </c>
      <c r="I527" s="16"/>
      <c r="J527" s="16"/>
    </row>
    <row r="528" ht="22.5" customHeight="1">
      <c r="A528" s="140" t="s">
        <v>923</v>
      </c>
      <c r="B528" s="70" t="s">
        <v>30</v>
      </c>
      <c r="C528" s="93">
        <v>2.0</v>
      </c>
      <c r="D528" s="98">
        <v>129.0</v>
      </c>
      <c r="E528" s="70" t="s">
        <v>125</v>
      </c>
      <c r="F528" s="139">
        <v>46095.0</v>
      </c>
      <c r="G528" s="5" t="s">
        <v>72</v>
      </c>
      <c r="H528" s="5" t="s">
        <v>1354</v>
      </c>
      <c r="I528" s="16"/>
      <c r="J528" s="16"/>
    </row>
    <row r="529" ht="22.5" customHeight="1">
      <c r="A529" s="133" t="s">
        <v>1174</v>
      </c>
      <c r="B529" s="70" t="s">
        <v>118</v>
      </c>
      <c r="C529" s="93">
        <v>1.0</v>
      </c>
      <c r="D529" s="98">
        <v>88.0</v>
      </c>
      <c r="E529" s="70" t="s">
        <v>125</v>
      </c>
      <c r="F529" s="139">
        <v>46095.0</v>
      </c>
      <c r="G529" s="5" t="s">
        <v>72</v>
      </c>
      <c r="H529" s="5" t="s">
        <v>1355</v>
      </c>
      <c r="I529" s="16"/>
      <c r="J529" s="16"/>
    </row>
    <row r="530" ht="22.5" customHeight="1">
      <c r="A530" s="133" t="s">
        <v>1114</v>
      </c>
      <c r="B530" s="70" t="s">
        <v>118</v>
      </c>
      <c r="C530" s="93">
        <v>3.0</v>
      </c>
      <c r="D530" s="98">
        <v>88.0</v>
      </c>
      <c r="E530" s="70" t="s">
        <v>125</v>
      </c>
      <c r="F530" s="139">
        <v>46095.0</v>
      </c>
      <c r="G530" s="5" t="s">
        <v>72</v>
      </c>
      <c r="H530" s="5" t="s">
        <v>1356</v>
      </c>
      <c r="I530" s="16"/>
      <c r="J530" s="16"/>
    </row>
    <row r="531" ht="22.5" customHeight="1">
      <c r="A531" s="133" t="s">
        <v>1121</v>
      </c>
      <c r="B531" s="70" t="s">
        <v>118</v>
      </c>
      <c r="C531" s="93">
        <v>1.0</v>
      </c>
      <c r="D531" s="98">
        <v>90.0</v>
      </c>
      <c r="E531" s="70" t="s">
        <v>125</v>
      </c>
      <c r="F531" s="139">
        <v>46095.0</v>
      </c>
      <c r="G531" s="5" t="s">
        <v>72</v>
      </c>
      <c r="H531" s="5" t="s">
        <v>1357</v>
      </c>
      <c r="I531" s="16"/>
      <c r="J531" s="16"/>
    </row>
    <row r="532" ht="22.5" customHeight="1">
      <c r="A532" s="133" t="s">
        <v>775</v>
      </c>
      <c r="B532" s="70" t="s">
        <v>118</v>
      </c>
      <c r="C532" s="93">
        <v>3.0</v>
      </c>
      <c r="D532" s="98">
        <v>94.0</v>
      </c>
      <c r="E532" s="70" t="s">
        <v>125</v>
      </c>
      <c r="F532" s="139">
        <v>46095.0</v>
      </c>
      <c r="G532" s="5" t="s">
        <v>72</v>
      </c>
      <c r="H532" s="5" t="s">
        <v>1358</v>
      </c>
      <c r="I532" s="16"/>
      <c r="J532" s="16"/>
    </row>
    <row r="533" ht="22.5" customHeight="1">
      <c r="A533" s="133" t="s">
        <v>805</v>
      </c>
      <c r="B533" s="70" t="s">
        <v>30</v>
      </c>
      <c r="C533" s="93">
        <v>3.0</v>
      </c>
      <c r="D533" s="98">
        <v>49.0</v>
      </c>
      <c r="E533" s="70" t="s">
        <v>125</v>
      </c>
      <c r="F533" s="139">
        <v>46095.0</v>
      </c>
      <c r="G533" s="5" t="s">
        <v>72</v>
      </c>
      <c r="H533" s="5" t="s">
        <v>1359</v>
      </c>
      <c r="I533" s="16"/>
      <c r="J533" s="16"/>
    </row>
    <row r="534" ht="22.5" customHeight="1">
      <c r="A534" s="133" t="s">
        <v>1167</v>
      </c>
      <c r="B534" s="70" t="s">
        <v>30</v>
      </c>
      <c r="C534" s="93">
        <v>1.0</v>
      </c>
      <c r="D534" s="98">
        <v>49.0</v>
      </c>
      <c r="E534" s="70" t="s">
        <v>125</v>
      </c>
      <c r="F534" s="139">
        <v>46095.0</v>
      </c>
      <c r="G534" s="5" t="s">
        <v>72</v>
      </c>
      <c r="H534" s="5" t="s">
        <v>1360</v>
      </c>
      <c r="I534" s="16"/>
      <c r="J534" s="16"/>
    </row>
    <row r="535" ht="22.5" customHeight="1">
      <c r="A535" s="133" t="s">
        <v>649</v>
      </c>
      <c r="B535" s="70" t="s">
        <v>483</v>
      </c>
      <c r="C535" s="93">
        <v>2.0</v>
      </c>
      <c r="D535" s="98">
        <v>166.0</v>
      </c>
      <c r="E535" s="70" t="s">
        <v>125</v>
      </c>
      <c r="F535" s="139">
        <v>46095.0</v>
      </c>
      <c r="G535" s="5" t="s">
        <v>72</v>
      </c>
      <c r="H535" s="5" t="s">
        <v>1361</v>
      </c>
      <c r="I535" s="16"/>
      <c r="J535" s="16"/>
    </row>
    <row r="536" ht="22.5" customHeight="1">
      <c r="A536" s="133" t="s">
        <v>451</v>
      </c>
      <c r="B536" s="70" t="s">
        <v>483</v>
      </c>
      <c r="C536" s="93">
        <v>2.0</v>
      </c>
      <c r="D536" s="98">
        <v>75.0</v>
      </c>
      <c r="E536" s="70" t="s">
        <v>125</v>
      </c>
      <c r="F536" s="139">
        <v>46095.0</v>
      </c>
      <c r="G536" s="5" t="s">
        <v>72</v>
      </c>
      <c r="H536" s="5" t="s">
        <v>1362</v>
      </c>
      <c r="I536" s="16"/>
      <c r="J536" s="16"/>
    </row>
    <row r="537" ht="22.5" customHeight="1">
      <c r="A537" s="133" t="s">
        <v>445</v>
      </c>
      <c r="B537" s="70" t="s">
        <v>483</v>
      </c>
      <c r="C537" s="93">
        <v>2.0</v>
      </c>
      <c r="D537" s="98">
        <v>58.0</v>
      </c>
      <c r="E537" s="70" t="s">
        <v>125</v>
      </c>
      <c r="F537" s="139">
        <v>46095.0</v>
      </c>
      <c r="G537" s="5" t="s">
        <v>72</v>
      </c>
      <c r="H537" s="5" t="s">
        <v>1363</v>
      </c>
      <c r="I537" s="16"/>
      <c r="J537" s="16"/>
    </row>
    <row r="538" ht="22.5" customHeight="1">
      <c r="A538" s="133" t="s">
        <v>1242</v>
      </c>
      <c r="B538" s="70" t="s">
        <v>483</v>
      </c>
      <c r="C538" s="93">
        <v>2.0</v>
      </c>
      <c r="D538" s="98">
        <v>52.0</v>
      </c>
      <c r="E538" s="70" t="s">
        <v>125</v>
      </c>
      <c r="F538" s="139">
        <v>46095.0</v>
      </c>
      <c r="G538" s="5" t="s">
        <v>72</v>
      </c>
      <c r="H538" s="5" t="s">
        <v>1364</v>
      </c>
      <c r="I538" s="16"/>
      <c r="J538" s="16"/>
    </row>
    <row r="539" ht="22.5" customHeight="1">
      <c r="A539" s="133" t="s">
        <v>1209</v>
      </c>
      <c r="B539" s="70" t="s">
        <v>30</v>
      </c>
      <c r="C539" s="93">
        <v>2.0</v>
      </c>
      <c r="D539" s="98">
        <v>52.0</v>
      </c>
      <c r="E539" s="70" t="s">
        <v>125</v>
      </c>
      <c r="F539" s="139">
        <v>46095.0</v>
      </c>
      <c r="G539" s="5" t="s">
        <v>72</v>
      </c>
      <c r="H539" s="5" t="s">
        <v>1366</v>
      </c>
      <c r="I539" s="16"/>
      <c r="J539" s="16"/>
    </row>
    <row r="540" ht="22.5" customHeight="1">
      <c r="A540" s="133" t="s">
        <v>1209</v>
      </c>
      <c r="B540" s="70" t="s">
        <v>30</v>
      </c>
      <c r="C540" s="93">
        <v>1.0</v>
      </c>
      <c r="D540" s="98">
        <v>141.0</v>
      </c>
      <c r="E540" s="70" t="s">
        <v>125</v>
      </c>
      <c r="F540" s="139">
        <v>46095.0</v>
      </c>
      <c r="G540" s="5" t="s">
        <v>72</v>
      </c>
      <c r="H540" s="5" t="s">
        <v>1367</v>
      </c>
      <c r="I540" s="16"/>
      <c r="J540" s="16"/>
    </row>
    <row r="541" ht="22.5" customHeight="1">
      <c r="A541" s="133" t="s">
        <v>1368</v>
      </c>
      <c r="B541" s="70" t="s">
        <v>354</v>
      </c>
      <c r="C541" s="96">
        <v>45.0</v>
      </c>
      <c r="D541" s="98">
        <f>2.25</f>
        <v>2.25</v>
      </c>
      <c r="E541" s="70" t="s">
        <v>125</v>
      </c>
      <c r="F541" s="139">
        <v>46095.0</v>
      </c>
      <c r="G541" s="5" t="s">
        <v>72</v>
      </c>
      <c r="H541" s="5" t="s">
        <v>1369</v>
      </c>
      <c r="I541" s="16"/>
      <c r="J541" s="16"/>
    </row>
    <row r="542" ht="22.5" customHeight="1">
      <c r="A542" s="133" t="s">
        <v>1370</v>
      </c>
      <c r="B542" s="70" t="s">
        <v>354</v>
      </c>
      <c r="C542" s="96">
        <v>7.0</v>
      </c>
      <c r="D542" s="98">
        <f>3.75</f>
        <v>3.75</v>
      </c>
      <c r="E542" s="70" t="s">
        <v>125</v>
      </c>
      <c r="F542" s="139">
        <v>46095.0</v>
      </c>
      <c r="G542" s="5" t="s">
        <v>72</v>
      </c>
      <c r="H542" s="5" t="s">
        <v>1371</v>
      </c>
      <c r="I542" s="16"/>
      <c r="J542" s="16"/>
    </row>
    <row r="543" ht="22.5" customHeight="1">
      <c r="A543" s="133" t="s">
        <v>1146</v>
      </c>
      <c r="B543" s="70" t="s">
        <v>354</v>
      </c>
      <c r="C543" s="96">
        <v>12.0</v>
      </c>
      <c r="D543" s="98">
        <f>210/12</f>
        <v>17.5</v>
      </c>
      <c r="E543" s="70" t="s">
        <v>125</v>
      </c>
      <c r="F543" s="139">
        <v>46095.0</v>
      </c>
      <c r="G543" s="5" t="s">
        <v>72</v>
      </c>
      <c r="H543" s="5" t="s">
        <v>1372</v>
      </c>
      <c r="I543" s="16"/>
      <c r="J543" s="16"/>
    </row>
    <row r="544" ht="22.5" customHeight="1">
      <c r="A544" s="133" t="s">
        <v>1373</v>
      </c>
      <c r="B544" s="70" t="s">
        <v>354</v>
      </c>
      <c r="C544" s="96">
        <v>5.0</v>
      </c>
      <c r="D544" s="98">
        <f>27.5</f>
        <v>27.5</v>
      </c>
      <c r="E544" s="70" t="s">
        <v>125</v>
      </c>
      <c r="F544" s="139">
        <v>46095.0</v>
      </c>
      <c r="G544" s="5" t="s">
        <v>72</v>
      </c>
      <c r="H544" s="5" t="s">
        <v>1375</v>
      </c>
      <c r="I544" s="16"/>
      <c r="J544" s="16"/>
    </row>
    <row r="545" ht="22.5" customHeight="1">
      <c r="A545" s="133" t="s">
        <v>577</v>
      </c>
      <c r="B545" s="70" t="s">
        <v>579</v>
      </c>
      <c r="C545" s="96">
        <v>3.0</v>
      </c>
      <c r="D545" s="98">
        <v>175.0</v>
      </c>
      <c r="E545" s="70" t="s">
        <v>125</v>
      </c>
      <c r="F545" s="139">
        <v>46095.0</v>
      </c>
      <c r="G545" s="5" t="s">
        <v>72</v>
      </c>
      <c r="H545" s="5" t="s">
        <v>1377</v>
      </c>
      <c r="I545" s="16"/>
      <c r="J545" s="16"/>
    </row>
    <row r="546" ht="22.5" customHeight="1">
      <c r="A546" s="133" t="s">
        <v>1378</v>
      </c>
      <c r="B546" s="70" t="s">
        <v>354</v>
      </c>
      <c r="C546" s="96">
        <v>150.0</v>
      </c>
      <c r="D546" s="98">
        <f>70/50</f>
        <v>1.4</v>
      </c>
      <c r="E546" s="70" t="s">
        <v>125</v>
      </c>
      <c r="F546" s="139">
        <v>46095.0</v>
      </c>
      <c r="G546" s="5" t="s">
        <v>72</v>
      </c>
      <c r="H546" s="5" t="s">
        <v>1379</v>
      </c>
      <c r="I546" s="16"/>
      <c r="J546" s="16"/>
    </row>
    <row r="547" ht="22.5" customHeight="1">
      <c r="A547" s="133" t="s">
        <v>1381</v>
      </c>
      <c r="B547" s="70" t="s">
        <v>354</v>
      </c>
      <c r="C547" s="96">
        <v>12.0</v>
      </c>
      <c r="D547" s="98">
        <f>80/12</f>
        <v>6.666666667</v>
      </c>
      <c r="E547" s="70" t="s">
        <v>125</v>
      </c>
      <c r="F547" s="139">
        <v>46095.0</v>
      </c>
      <c r="G547" s="5" t="s">
        <v>72</v>
      </c>
      <c r="H547" s="5" t="s">
        <v>1382</v>
      </c>
      <c r="I547" s="16"/>
      <c r="J547" s="16"/>
    </row>
    <row r="548" ht="22.5" customHeight="1">
      <c r="A548" s="133" t="s">
        <v>1383</v>
      </c>
      <c r="B548" s="70" t="s">
        <v>354</v>
      </c>
      <c r="C548" s="96">
        <v>12.0</v>
      </c>
      <c r="D548" s="98">
        <f>60/12</f>
        <v>5</v>
      </c>
      <c r="E548" s="70" t="s">
        <v>125</v>
      </c>
      <c r="F548" s="139">
        <v>46095.0</v>
      </c>
      <c r="G548" s="5" t="s">
        <v>72</v>
      </c>
      <c r="H548" s="5" t="s">
        <v>1384</v>
      </c>
      <c r="I548" s="16"/>
      <c r="J548" s="16"/>
    </row>
    <row r="549" ht="22.5" customHeight="1">
      <c r="A549" s="133" t="s">
        <v>1385</v>
      </c>
      <c r="B549" s="70" t="s">
        <v>354</v>
      </c>
      <c r="C549" s="96">
        <f>7*12</f>
        <v>84</v>
      </c>
      <c r="D549" s="98">
        <f>15/12</f>
        <v>1.25</v>
      </c>
      <c r="E549" s="70" t="s">
        <v>125</v>
      </c>
      <c r="F549" s="139">
        <v>46095.0</v>
      </c>
      <c r="G549" s="5" t="s">
        <v>72</v>
      </c>
      <c r="H549" s="5" t="s">
        <v>1387</v>
      </c>
      <c r="I549" s="16"/>
      <c r="J549" s="16"/>
    </row>
    <row r="550" ht="22.5" customHeight="1">
      <c r="A550" s="133" t="s">
        <v>1389</v>
      </c>
      <c r="B550" s="70" t="s">
        <v>354</v>
      </c>
      <c r="C550" s="96">
        <f>11*12</f>
        <v>132</v>
      </c>
      <c r="D550" s="98">
        <f>10.5/12</f>
        <v>0.875</v>
      </c>
      <c r="E550" s="70" t="s">
        <v>125</v>
      </c>
      <c r="F550" s="139">
        <v>46095.0</v>
      </c>
      <c r="G550" s="5" t="s">
        <v>72</v>
      </c>
      <c r="H550" s="5" t="s">
        <v>1391</v>
      </c>
      <c r="I550" s="16"/>
      <c r="J550" s="16"/>
    </row>
    <row r="551" ht="22.5" customHeight="1">
      <c r="A551" s="133" t="s">
        <v>1392</v>
      </c>
      <c r="B551" s="70" t="s">
        <v>354</v>
      </c>
      <c r="C551" s="96">
        <f>7*12</f>
        <v>84</v>
      </c>
      <c r="D551" s="98">
        <f>13.5/12</f>
        <v>1.125</v>
      </c>
      <c r="E551" s="70" t="s">
        <v>125</v>
      </c>
      <c r="F551" s="139">
        <v>46095.0</v>
      </c>
      <c r="G551" s="5" t="s">
        <v>72</v>
      </c>
      <c r="H551" s="5" t="s">
        <v>1394</v>
      </c>
      <c r="I551" s="16"/>
      <c r="J551" s="16"/>
    </row>
    <row r="552" ht="22.5" customHeight="1">
      <c r="A552" s="133" t="s">
        <v>1395</v>
      </c>
      <c r="B552" s="70" t="s">
        <v>354</v>
      </c>
      <c r="C552" s="96">
        <v>24.0</v>
      </c>
      <c r="D552" s="98">
        <v>18.0</v>
      </c>
      <c r="E552" s="70" t="s">
        <v>125</v>
      </c>
      <c r="F552" s="139">
        <v>46095.0</v>
      </c>
      <c r="G552" s="5" t="s">
        <v>72</v>
      </c>
      <c r="H552" s="5" t="s">
        <v>1396</v>
      </c>
      <c r="I552" s="16"/>
      <c r="J552" s="16"/>
    </row>
    <row r="553" ht="22.5" customHeight="1">
      <c r="A553" s="133" t="s">
        <v>1397</v>
      </c>
      <c r="B553" s="70" t="s">
        <v>354</v>
      </c>
      <c r="C553" s="96">
        <f>7*12</f>
        <v>84</v>
      </c>
      <c r="D553" s="98">
        <f>23/12</f>
        <v>1.916666667</v>
      </c>
      <c r="E553" s="70" t="s">
        <v>125</v>
      </c>
      <c r="F553" s="139">
        <v>46095.0</v>
      </c>
      <c r="G553" s="5" t="s">
        <v>72</v>
      </c>
      <c r="H553" s="5" t="s">
        <v>1398</v>
      </c>
      <c r="I553" s="16"/>
      <c r="J553" s="16"/>
    </row>
    <row r="554" ht="22.5" customHeight="1">
      <c r="A554" s="133" t="s">
        <v>1330</v>
      </c>
      <c r="B554" s="70" t="s">
        <v>974</v>
      </c>
      <c r="C554" s="96">
        <v>5.0</v>
      </c>
      <c r="D554" s="98">
        <v>55.0</v>
      </c>
      <c r="E554" s="70" t="s">
        <v>125</v>
      </c>
      <c r="F554" s="139">
        <v>46095.0</v>
      </c>
      <c r="G554" s="5" t="s">
        <v>72</v>
      </c>
      <c r="H554" s="5" t="s">
        <v>1400</v>
      </c>
      <c r="I554" s="16"/>
      <c r="J554" s="16"/>
    </row>
    <row r="555" ht="22.5" customHeight="1">
      <c r="A555" s="133" t="s">
        <v>973</v>
      </c>
      <c r="B555" s="70" t="s">
        <v>974</v>
      </c>
      <c r="C555" s="93">
        <v>2.0</v>
      </c>
      <c r="D555" s="141">
        <v>125.0</v>
      </c>
      <c r="E555" s="70" t="s">
        <v>125</v>
      </c>
      <c r="F555" s="139">
        <v>46095.0</v>
      </c>
      <c r="G555" s="5" t="s">
        <v>72</v>
      </c>
      <c r="H555" s="5" t="s">
        <v>1401</v>
      </c>
      <c r="I555" s="16"/>
      <c r="J555" s="16"/>
    </row>
    <row r="556" ht="22.5" customHeight="1">
      <c r="A556" s="133" t="s">
        <v>1314</v>
      </c>
      <c r="B556" s="70" t="s">
        <v>974</v>
      </c>
      <c r="C556" s="93">
        <v>2.0</v>
      </c>
      <c r="D556" s="141">
        <v>60.0</v>
      </c>
      <c r="E556" s="70" t="s">
        <v>125</v>
      </c>
      <c r="F556" s="139">
        <v>46095.0</v>
      </c>
      <c r="G556" s="5" t="s">
        <v>72</v>
      </c>
      <c r="H556" s="5" t="s">
        <v>1402</v>
      </c>
      <c r="I556" s="16"/>
      <c r="J556" s="16"/>
    </row>
    <row r="557" ht="22.5" customHeight="1">
      <c r="A557" s="133" t="s">
        <v>977</v>
      </c>
      <c r="B557" s="70" t="s">
        <v>974</v>
      </c>
      <c r="C557" s="93">
        <v>2.0</v>
      </c>
      <c r="D557" s="141">
        <v>125.0</v>
      </c>
      <c r="E557" s="70" t="s">
        <v>125</v>
      </c>
      <c r="F557" s="139">
        <v>46095.0</v>
      </c>
      <c r="G557" s="5" t="s">
        <v>72</v>
      </c>
      <c r="H557" s="5" t="s">
        <v>1403</v>
      </c>
      <c r="I557" s="16"/>
      <c r="J557" s="16"/>
    </row>
    <row r="558" ht="22.5" customHeight="1">
      <c r="A558" s="133" t="s">
        <v>978</v>
      </c>
      <c r="B558" s="70" t="s">
        <v>974</v>
      </c>
      <c r="C558" s="93">
        <v>2.0</v>
      </c>
      <c r="D558" s="141">
        <v>125.0</v>
      </c>
      <c r="E558" s="70" t="s">
        <v>125</v>
      </c>
      <c r="F558" s="139">
        <v>46095.0</v>
      </c>
      <c r="G558" s="5" t="s">
        <v>72</v>
      </c>
      <c r="H558" s="5" t="s">
        <v>1404</v>
      </c>
      <c r="I558" s="16"/>
      <c r="J558" s="16"/>
    </row>
    <row r="559" ht="22.5" customHeight="1">
      <c r="A559" s="133" t="s">
        <v>1025</v>
      </c>
      <c r="B559" s="70" t="s">
        <v>974</v>
      </c>
      <c r="C559" s="93">
        <v>2.0</v>
      </c>
      <c r="D559" s="141">
        <v>115.0</v>
      </c>
      <c r="E559" s="70" t="s">
        <v>125</v>
      </c>
      <c r="F559" s="139">
        <v>46095.0</v>
      </c>
      <c r="G559" s="5" t="s">
        <v>72</v>
      </c>
      <c r="H559" s="5" t="s">
        <v>1405</v>
      </c>
      <c r="I559" s="16"/>
      <c r="J559" s="16"/>
    </row>
    <row r="560" ht="22.5" customHeight="1">
      <c r="A560" s="133" t="s">
        <v>980</v>
      </c>
      <c r="B560" s="70" t="s">
        <v>974</v>
      </c>
      <c r="C560" s="93">
        <v>2.0</v>
      </c>
      <c r="D560" s="141">
        <v>125.0</v>
      </c>
      <c r="E560" s="70" t="s">
        <v>125</v>
      </c>
      <c r="F560" s="139">
        <v>46095.0</v>
      </c>
      <c r="G560" s="5" t="s">
        <v>72</v>
      </c>
      <c r="H560" s="5" t="s">
        <v>1406</v>
      </c>
      <c r="I560" s="16"/>
      <c r="J560" s="16"/>
    </row>
    <row r="561" ht="22.5" customHeight="1">
      <c r="A561" s="133" t="s">
        <v>395</v>
      </c>
      <c r="B561" s="70" t="s">
        <v>472</v>
      </c>
      <c r="C561" s="93">
        <v>12.0</v>
      </c>
      <c r="D561" s="141">
        <v>50.0</v>
      </c>
      <c r="E561" s="70" t="s">
        <v>154</v>
      </c>
      <c r="F561" s="139">
        <v>46098.0</v>
      </c>
      <c r="G561" s="5" t="s">
        <v>72</v>
      </c>
      <c r="H561" s="5" t="s">
        <v>1407</v>
      </c>
      <c r="I561" s="16"/>
      <c r="J561" s="16"/>
    </row>
    <row r="562" ht="22.5" customHeight="1">
      <c r="A562" s="133" t="s">
        <v>190</v>
      </c>
      <c r="B562" s="70" t="s">
        <v>30</v>
      </c>
      <c r="C562" s="93">
        <v>2.0</v>
      </c>
      <c r="D562" s="141">
        <v>350.0</v>
      </c>
      <c r="E562" s="70" t="s">
        <v>51</v>
      </c>
      <c r="F562" s="139">
        <v>46098.0</v>
      </c>
      <c r="G562" s="5" t="s">
        <v>72</v>
      </c>
      <c r="H562" s="5" t="s">
        <v>1408</v>
      </c>
      <c r="I562" s="16"/>
      <c r="J562" s="16"/>
    </row>
    <row r="563" ht="22.5" customHeight="1">
      <c r="A563" s="133" t="s">
        <v>363</v>
      </c>
      <c r="B563" s="70" t="s">
        <v>1409</v>
      </c>
      <c r="C563" s="93">
        <v>6.0</v>
      </c>
      <c r="D563" s="141">
        <v>110.0</v>
      </c>
      <c r="E563" s="70" t="s">
        <v>51</v>
      </c>
      <c r="F563" s="139">
        <v>46098.0</v>
      </c>
      <c r="G563" s="5" t="s">
        <v>72</v>
      </c>
      <c r="H563" s="5" t="s">
        <v>1410</v>
      </c>
      <c r="I563" s="16"/>
      <c r="J563" s="16"/>
    </row>
    <row r="564" ht="22.5" customHeight="1">
      <c r="A564" s="133" t="s">
        <v>353</v>
      </c>
      <c r="B564" s="70" t="s">
        <v>354</v>
      </c>
      <c r="C564" s="93">
        <v>3.0</v>
      </c>
      <c r="D564" s="141">
        <v>250.0</v>
      </c>
      <c r="E564" s="70" t="s">
        <v>125</v>
      </c>
      <c r="F564" s="139">
        <v>46099.0</v>
      </c>
      <c r="G564" s="5" t="s">
        <v>72</v>
      </c>
      <c r="H564" s="5" t="s">
        <v>1411</v>
      </c>
      <c r="I564" s="16"/>
      <c r="J564" s="16"/>
    </row>
    <row r="565" ht="22.5" customHeight="1">
      <c r="A565" s="133" t="s">
        <v>1412</v>
      </c>
      <c r="B565" s="70" t="s">
        <v>124</v>
      </c>
      <c r="C565" s="93">
        <v>1.0</v>
      </c>
      <c r="D565" s="141">
        <v>338.0</v>
      </c>
      <c r="E565" s="70" t="s">
        <v>125</v>
      </c>
      <c r="F565" s="139">
        <v>46099.0</v>
      </c>
      <c r="G565" s="5" t="s">
        <v>72</v>
      </c>
      <c r="H565" s="5" t="s">
        <v>1413</v>
      </c>
      <c r="I565" s="16"/>
      <c r="J565" s="16"/>
    </row>
    <row r="566" ht="22.5" customHeight="1">
      <c r="A566" s="133" t="s">
        <v>215</v>
      </c>
      <c r="B566" s="70" t="s">
        <v>124</v>
      </c>
      <c r="C566" s="93">
        <v>1.0</v>
      </c>
      <c r="D566" s="141">
        <v>338.0</v>
      </c>
      <c r="E566" s="70" t="s">
        <v>125</v>
      </c>
      <c r="F566" s="139">
        <v>46099.0</v>
      </c>
      <c r="G566" s="5" t="s">
        <v>72</v>
      </c>
      <c r="H566" s="5" t="s">
        <v>1414</v>
      </c>
      <c r="I566" s="16"/>
      <c r="J566" s="16"/>
    </row>
    <row r="567" ht="22.5" customHeight="1">
      <c r="A567" s="133" t="s">
        <v>123</v>
      </c>
      <c r="B567" s="70" t="s">
        <v>124</v>
      </c>
      <c r="C567" s="93">
        <v>2.0</v>
      </c>
      <c r="D567" s="141">
        <v>490.0</v>
      </c>
      <c r="E567" s="70" t="s">
        <v>125</v>
      </c>
      <c r="F567" s="139">
        <v>46099.0</v>
      </c>
      <c r="G567" s="5" t="s">
        <v>72</v>
      </c>
      <c r="H567" s="5" t="s">
        <v>1415</v>
      </c>
      <c r="I567" s="16"/>
      <c r="J567" s="16"/>
    </row>
    <row r="568" ht="22.5" customHeight="1">
      <c r="A568" s="143" t="s">
        <v>1084</v>
      </c>
      <c r="B568" s="70" t="s">
        <v>1085</v>
      </c>
      <c r="C568" s="93">
        <v>2.0</v>
      </c>
      <c r="D568" s="141">
        <v>105.0</v>
      </c>
      <c r="E568" s="70" t="s">
        <v>125</v>
      </c>
      <c r="F568" s="139">
        <v>46099.0</v>
      </c>
      <c r="G568" s="5" t="s">
        <v>72</v>
      </c>
      <c r="H568" s="5" t="s">
        <v>1416</v>
      </c>
      <c r="I568" s="16"/>
      <c r="J568" s="16"/>
    </row>
    <row r="569" ht="22.5" customHeight="1">
      <c r="A569" s="143" t="s">
        <v>658</v>
      </c>
      <c r="B569" s="70" t="s">
        <v>124</v>
      </c>
      <c r="C569" s="93">
        <v>2.0</v>
      </c>
      <c r="D569" s="141">
        <v>110.0</v>
      </c>
      <c r="E569" s="70" t="s">
        <v>125</v>
      </c>
      <c r="F569" s="139">
        <v>46099.0</v>
      </c>
      <c r="G569" s="5" t="s">
        <v>72</v>
      </c>
      <c r="H569" s="5" t="s">
        <v>1417</v>
      </c>
      <c r="I569" s="16"/>
      <c r="J569" s="16"/>
    </row>
    <row r="570" ht="22.5" customHeight="1">
      <c r="A570" s="143" t="s">
        <v>1106</v>
      </c>
      <c r="B570" s="70" t="s">
        <v>1085</v>
      </c>
      <c r="C570" s="93">
        <v>1.0</v>
      </c>
      <c r="D570" s="141">
        <v>100.0</v>
      </c>
      <c r="E570" s="70" t="s">
        <v>125</v>
      </c>
      <c r="F570" s="139">
        <v>46099.0</v>
      </c>
      <c r="G570" s="5" t="s">
        <v>72</v>
      </c>
      <c r="H570" s="5" t="s">
        <v>1418</v>
      </c>
      <c r="I570" s="16"/>
      <c r="J570" s="16"/>
    </row>
    <row r="571" ht="22.5" customHeight="1">
      <c r="A571" s="143" t="s">
        <v>1109</v>
      </c>
      <c r="B571" s="70" t="s">
        <v>124</v>
      </c>
      <c r="C571" s="93">
        <v>1.0</v>
      </c>
      <c r="D571" s="141">
        <v>100.0</v>
      </c>
      <c r="E571" s="70" t="s">
        <v>125</v>
      </c>
      <c r="F571" s="139">
        <v>46099.0</v>
      </c>
      <c r="G571" s="5" t="s">
        <v>72</v>
      </c>
      <c r="H571" s="5" t="s">
        <v>1419</v>
      </c>
      <c r="I571" s="16"/>
      <c r="J571" s="16"/>
    </row>
    <row r="572" ht="22.5" customHeight="1">
      <c r="A572" s="143" t="s">
        <v>1055</v>
      </c>
      <c r="B572" s="70" t="s">
        <v>1201</v>
      </c>
      <c r="C572" s="93">
        <v>20.0</v>
      </c>
      <c r="D572" s="141">
        <f>250/20</f>
        <v>12.5</v>
      </c>
      <c r="E572" s="70" t="s">
        <v>125</v>
      </c>
      <c r="F572" s="139">
        <v>46099.0</v>
      </c>
      <c r="G572" s="5" t="s">
        <v>72</v>
      </c>
      <c r="H572" s="5" t="s">
        <v>1420</v>
      </c>
      <c r="I572" s="16"/>
      <c r="J572" s="16"/>
    </row>
    <row r="573" ht="22.5" customHeight="1">
      <c r="A573" s="143" t="s">
        <v>982</v>
      </c>
      <c r="B573" s="70" t="s">
        <v>354</v>
      </c>
      <c r="C573" s="93">
        <v>15.0</v>
      </c>
      <c r="D573" s="141">
        <v>125.0</v>
      </c>
      <c r="E573" s="70" t="s">
        <v>125</v>
      </c>
      <c r="F573" s="139">
        <v>46099.0</v>
      </c>
      <c r="G573" s="5" t="s">
        <v>72</v>
      </c>
      <c r="H573" s="5" t="s">
        <v>1421</v>
      </c>
      <c r="I573" s="16"/>
      <c r="J573" s="16"/>
    </row>
    <row r="574" ht="22.5" customHeight="1">
      <c r="A574" s="143" t="s">
        <v>622</v>
      </c>
      <c r="B574" s="70" t="s">
        <v>1422</v>
      </c>
      <c r="C574" s="93">
        <v>12.0</v>
      </c>
      <c r="D574" s="141">
        <v>100.0</v>
      </c>
      <c r="E574" s="70" t="s">
        <v>1423</v>
      </c>
      <c r="F574" s="139">
        <v>46099.0</v>
      </c>
      <c r="G574" s="5" t="s">
        <v>72</v>
      </c>
      <c r="H574" s="5" t="s">
        <v>1425</v>
      </c>
      <c r="I574" s="16"/>
      <c r="J574" s="16"/>
    </row>
    <row r="575" ht="22.5" customHeight="1">
      <c r="A575" s="143" t="s">
        <v>655</v>
      </c>
      <c r="B575" s="70" t="s">
        <v>30</v>
      </c>
      <c r="C575" s="93">
        <v>6.0</v>
      </c>
      <c r="D575" s="141">
        <v>150.0</v>
      </c>
      <c r="E575" s="70" t="s">
        <v>1423</v>
      </c>
      <c r="F575" s="139">
        <v>46099.0</v>
      </c>
      <c r="G575" s="5" t="s">
        <v>72</v>
      </c>
      <c r="H575" s="5" t="s">
        <v>1427</v>
      </c>
      <c r="I575" s="16"/>
      <c r="J575" s="16"/>
    </row>
    <row r="576" ht="22.5" customHeight="1">
      <c r="A576" s="143" t="s">
        <v>648</v>
      </c>
      <c r="B576" s="70" t="s">
        <v>30</v>
      </c>
      <c r="C576" s="93">
        <v>6.0</v>
      </c>
      <c r="D576" s="141">
        <v>150.0</v>
      </c>
      <c r="E576" s="70" t="s">
        <v>1423</v>
      </c>
      <c r="F576" s="139">
        <v>46099.0</v>
      </c>
      <c r="G576" s="5" t="s">
        <v>72</v>
      </c>
      <c r="H576" s="5" t="s">
        <v>1429</v>
      </c>
      <c r="I576" s="16"/>
      <c r="J576" s="16"/>
    </row>
    <row r="577" ht="22.5" customHeight="1">
      <c r="A577" s="143" t="s">
        <v>1079</v>
      </c>
      <c r="B577" s="70" t="s">
        <v>30</v>
      </c>
      <c r="C577" s="93">
        <v>6.0</v>
      </c>
      <c r="D577" s="141">
        <v>90.0</v>
      </c>
      <c r="E577" s="70" t="s">
        <v>1423</v>
      </c>
      <c r="F577" s="139">
        <v>46099.0</v>
      </c>
      <c r="G577" s="5" t="s">
        <v>72</v>
      </c>
      <c r="H577" s="5" t="s">
        <v>1430</v>
      </c>
      <c r="I577" s="16"/>
      <c r="J577" s="16"/>
    </row>
    <row r="578" ht="22.5" customHeight="1">
      <c r="A578" s="143" t="s">
        <v>898</v>
      </c>
      <c r="B578" s="70" t="s">
        <v>185</v>
      </c>
      <c r="C578" s="93">
        <v>20.0</v>
      </c>
      <c r="D578" s="141">
        <v>15.0</v>
      </c>
      <c r="E578" s="70" t="s">
        <v>1423</v>
      </c>
      <c r="F578" s="139">
        <v>46099.0</v>
      </c>
      <c r="G578" s="5" t="s">
        <v>72</v>
      </c>
      <c r="H578" s="5" t="s">
        <v>1433</v>
      </c>
      <c r="I578" s="16"/>
      <c r="J578" s="16"/>
    </row>
    <row r="579" ht="22.5" customHeight="1">
      <c r="A579" s="143" t="s">
        <v>111</v>
      </c>
      <c r="B579" s="70" t="s">
        <v>50</v>
      </c>
      <c r="C579" s="93">
        <v>4.0</v>
      </c>
      <c r="D579" s="141">
        <v>200.0</v>
      </c>
      <c r="E579" s="70" t="s">
        <v>1423</v>
      </c>
      <c r="F579" s="139">
        <v>46099.0</v>
      </c>
      <c r="G579" s="5" t="s">
        <v>72</v>
      </c>
      <c r="H579" s="5" t="s">
        <v>1435</v>
      </c>
      <c r="I579" s="16"/>
      <c r="J579" s="16"/>
    </row>
    <row r="580" ht="22.5" customHeight="1">
      <c r="A580" s="143" t="s">
        <v>1436</v>
      </c>
      <c r="B580" s="70" t="s">
        <v>50</v>
      </c>
      <c r="C580" s="93">
        <v>6.0</v>
      </c>
      <c r="D580" s="141">
        <v>85.0</v>
      </c>
      <c r="E580" s="70" t="s">
        <v>1423</v>
      </c>
      <c r="F580" s="139">
        <v>46099.0</v>
      </c>
      <c r="G580" s="5" t="s">
        <v>72</v>
      </c>
      <c r="H580" s="5" t="s">
        <v>1437</v>
      </c>
      <c r="I580" s="16"/>
      <c r="J580" s="16"/>
    </row>
    <row r="581" ht="22.5" customHeight="1">
      <c r="A581" s="143" t="s">
        <v>1099</v>
      </c>
      <c r="B581" s="70" t="s">
        <v>50</v>
      </c>
      <c r="C581" s="93">
        <v>1.0</v>
      </c>
      <c r="D581" s="141">
        <v>100.0</v>
      </c>
      <c r="E581" s="70" t="s">
        <v>1423</v>
      </c>
      <c r="F581" s="139">
        <v>46099.0</v>
      </c>
      <c r="G581" s="5" t="s">
        <v>72</v>
      </c>
      <c r="H581" s="5" t="s">
        <v>1438</v>
      </c>
      <c r="I581" s="16"/>
      <c r="J581" s="16"/>
    </row>
    <row r="582" ht="22.5" customHeight="1">
      <c r="A582" s="143" t="s">
        <v>508</v>
      </c>
      <c r="B582" s="70" t="s">
        <v>50</v>
      </c>
      <c r="C582" s="93">
        <v>1.0</v>
      </c>
      <c r="D582" s="141">
        <v>185.0</v>
      </c>
      <c r="E582" s="70" t="s">
        <v>1423</v>
      </c>
      <c r="F582" s="139">
        <v>46099.0</v>
      </c>
      <c r="G582" s="5" t="s">
        <v>72</v>
      </c>
      <c r="H582" s="5" t="s">
        <v>1439</v>
      </c>
      <c r="I582" s="16"/>
      <c r="J582" s="16"/>
    </row>
    <row r="583" ht="22.5" customHeight="1">
      <c r="A583" s="143" t="s">
        <v>479</v>
      </c>
      <c r="B583" s="70" t="s">
        <v>50</v>
      </c>
      <c r="C583" s="93">
        <v>1.0</v>
      </c>
      <c r="D583" s="141">
        <v>200.0</v>
      </c>
      <c r="E583" s="70" t="s">
        <v>1423</v>
      </c>
      <c r="F583" s="139">
        <v>46099.0</v>
      </c>
      <c r="G583" s="5" t="s">
        <v>72</v>
      </c>
      <c r="H583" s="5" t="s">
        <v>1440</v>
      </c>
      <c r="I583" s="16"/>
      <c r="J583" s="16"/>
    </row>
    <row r="584" ht="22.5" customHeight="1">
      <c r="A584" s="143" t="s">
        <v>996</v>
      </c>
      <c r="B584" s="70" t="s">
        <v>1171</v>
      </c>
      <c r="C584" s="93">
        <v>9.0</v>
      </c>
      <c r="D584" s="141">
        <v>75.0</v>
      </c>
      <c r="E584" s="70" t="s">
        <v>51</v>
      </c>
      <c r="F584" s="139">
        <v>46099.0</v>
      </c>
      <c r="G584" s="5" t="s">
        <v>72</v>
      </c>
      <c r="H584" s="5" t="s">
        <v>1442</v>
      </c>
      <c r="I584" s="16"/>
      <c r="J584" s="16"/>
    </row>
    <row r="585" ht="22.5" customHeight="1">
      <c r="A585" s="143" t="s">
        <v>988</v>
      </c>
      <c r="B585" s="70" t="s">
        <v>1171</v>
      </c>
      <c r="C585" s="93">
        <v>4.0</v>
      </c>
      <c r="D585" s="141">
        <v>75.0</v>
      </c>
      <c r="E585" s="70" t="s">
        <v>51</v>
      </c>
      <c r="F585" s="139">
        <v>46099.0</v>
      </c>
      <c r="G585" s="5" t="s">
        <v>72</v>
      </c>
      <c r="H585" s="5" t="s">
        <v>1443</v>
      </c>
      <c r="I585" s="16"/>
      <c r="J585" s="16"/>
    </row>
    <row r="586" ht="22.5" customHeight="1">
      <c r="A586" s="143" t="s">
        <v>991</v>
      </c>
      <c r="B586" s="70" t="s">
        <v>1171</v>
      </c>
      <c r="C586" s="93">
        <v>12.0</v>
      </c>
      <c r="D586" s="141">
        <v>50.0</v>
      </c>
      <c r="E586" s="70" t="s">
        <v>51</v>
      </c>
      <c r="F586" s="139">
        <v>46099.0</v>
      </c>
      <c r="G586" s="5" t="s">
        <v>72</v>
      </c>
      <c r="H586" s="5" t="s">
        <v>1444</v>
      </c>
      <c r="I586" s="16"/>
      <c r="J586" s="16"/>
    </row>
    <row r="587" ht="22.5" customHeight="1">
      <c r="A587" s="78" t="s">
        <v>635</v>
      </c>
      <c r="B587" s="11" t="s">
        <v>68</v>
      </c>
      <c r="C587" s="79">
        <v>6.0</v>
      </c>
      <c r="D587" s="80">
        <v>75.0</v>
      </c>
      <c r="E587" s="11" t="s">
        <v>154</v>
      </c>
      <c r="F587" s="139">
        <v>46099.0</v>
      </c>
      <c r="G587" s="5" t="s">
        <v>72</v>
      </c>
      <c r="H587" s="5" t="s">
        <v>1446</v>
      </c>
      <c r="I587" s="16"/>
      <c r="J587" s="16"/>
    </row>
    <row r="588" ht="22.5" customHeight="1">
      <c r="A588" s="144" t="s">
        <v>1157</v>
      </c>
      <c r="B588" s="145" t="s">
        <v>1023</v>
      </c>
      <c r="C588" s="96">
        <v>4.0</v>
      </c>
      <c r="D588" s="98">
        <v>85.0</v>
      </c>
      <c r="E588" s="146" t="s">
        <v>119</v>
      </c>
      <c r="F588" s="147">
        <v>46116.0</v>
      </c>
      <c r="G588" s="148" t="s">
        <v>72</v>
      </c>
      <c r="H588" s="5" t="s">
        <v>1448</v>
      </c>
      <c r="I588" s="16"/>
      <c r="J588" s="16"/>
    </row>
    <row r="589" ht="22.5" customHeight="1">
      <c r="A589" s="133" t="s">
        <v>1073</v>
      </c>
      <c r="B589" s="145" t="s">
        <v>1023</v>
      </c>
      <c r="C589" s="96">
        <v>3.0</v>
      </c>
      <c r="D589" s="98">
        <v>106.0</v>
      </c>
      <c r="E589" s="149" t="s">
        <v>119</v>
      </c>
      <c r="F589" s="147">
        <v>46116.0</v>
      </c>
      <c r="G589" s="148" t="s">
        <v>72</v>
      </c>
      <c r="H589" s="5" t="s">
        <v>1449</v>
      </c>
      <c r="I589" s="16"/>
      <c r="J589" s="16"/>
    </row>
    <row r="590" ht="22.5" customHeight="1">
      <c r="A590" s="133" t="s">
        <v>377</v>
      </c>
      <c r="B590" s="150" t="s">
        <v>840</v>
      </c>
      <c r="C590" s="96">
        <v>2.0</v>
      </c>
      <c r="D590" s="98">
        <v>139.0</v>
      </c>
      <c r="E590" s="149" t="s">
        <v>119</v>
      </c>
      <c r="F590" s="147">
        <v>46116.0</v>
      </c>
      <c r="G590" s="151" t="s">
        <v>72</v>
      </c>
      <c r="H590" s="5" t="s">
        <v>1450</v>
      </c>
      <c r="I590" s="16"/>
      <c r="J590" s="16"/>
    </row>
    <row r="591" ht="22.5" customHeight="1">
      <c r="A591" s="133" t="s">
        <v>298</v>
      </c>
      <c r="B591" s="150" t="s">
        <v>30</v>
      </c>
      <c r="C591" s="96">
        <v>2.0</v>
      </c>
      <c r="D591" s="98">
        <v>290.0</v>
      </c>
      <c r="E591" s="149" t="s">
        <v>119</v>
      </c>
      <c r="F591" s="147">
        <v>46116.0</v>
      </c>
      <c r="G591" s="151" t="s">
        <v>72</v>
      </c>
      <c r="H591" s="5" t="s">
        <v>1451</v>
      </c>
      <c r="I591" s="16"/>
      <c r="J591" s="16"/>
    </row>
    <row r="592" ht="22.5" customHeight="1">
      <c r="A592" s="133" t="s">
        <v>715</v>
      </c>
      <c r="B592" s="150" t="s">
        <v>118</v>
      </c>
      <c r="C592" s="96">
        <v>1.0</v>
      </c>
      <c r="D592" s="98">
        <v>155.0</v>
      </c>
      <c r="E592" s="149" t="s">
        <v>119</v>
      </c>
      <c r="F592" s="147">
        <v>46116.0</v>
      </c>
      <c r="G592" s="151" t="s">
        <v>72</v>
      </c>
      <c r="H592" s="5" t="s">
        <v>1454</v>
      </c>
      <c r="I592" s="16"/>
      <c r="J592" s="16"/>
    </row>
    <row r="593" ht="22.5" customHeight="1">
      <c r="A593" s="143" t="s">
        <v>129</v>
      </c>
      <c r="B593" s="150" t="s">
        <v>118</v>
      </c>
      <c r="C593" s="75">
        <v>1.0</v>
      </c>
      <c r="D593" s="111">
        <v>490.0</v>
      </c>
      <c r="E593" s="149" t="s">
        <v>119</v>
      </c>
      <c r="F593" s="147">
        <v>46116.0</v>
      </c>
      <c r="G593" s="151" t="s">
        <v>72</v>
      </c>
      <c r="H593" s="5" t="s">
        <v>1456</v>
      </c>
      <c r="I593" s="16"/>
      <c r="J593" s="16"/>
    </row>
    <row r="594" ht="22.5" customHeight="1">
      <c r="A594" s="152" t="s">
        <v>117</v>
      </c>
      <c r="B594" s="150" t="s">
        <v>118</v>
      </c>
      <c r="C594" s="75">
        <v>1.0</v>
      </c>
      <c r="D594" s="111">
        <v>499.0</v>
      </c>
      <c r="E594" s="149" t="s">
        <v>119</v>
      </c>
      <c r="F594" s="147">
        <v>46116.0</v>
      </c>
      <c r="G594" s="151" t="s">
        <v>72</v>
      </c>
      <c r="H594" s="5" t="s">
        <v>1457</v>
      </c>
      <c r="I594" s="16"/>
      <c r="J594" s="16"/>
    </row>
    <row r="595" ht="22.5" customHeight="1">
      <c r="A595" s="133" t="s">
        <v>634</v>
      </c>
      <c r="B595" s="150" t="s">
        <v>30</v>
      </c>
      <c r="C595" s="75">
        <v>4.0</v>
      </c>
      <c r="D595" s="111">
        <v>167.0</v>
      </c>
      <c r="E595" s="149" t="s">
        <v>119</v>
      </c>
      <c r="F595" s="147">
        <v>46116.0</v>
      </c>
      <c r="G595" s="151" t="s">
        <v>72</v>
      </c>
      <c r="H595" s="5" t="s">
        <v>1459</v>
      </c>
      <c r="I595" s="16"/>
      <c r="J595" s="16"/>
    </row>
    <row r="596" ht="22.5" customHeight="1">
      <c r="A596" s="152" t="s">
        <v>776</v>
      </c>
      <c r="B596" s="150" t="s">
        <v>30</v>
      </c>
      <c r="C596" s="75">
        <v>2.0</v>
      </c>
      <c r="D596" s="111">
        <v>150.0</v>
      </c>
      <c r="E596" s="149" t="s">
        <v>119</v>
      </c>
      <c r="F596" s="147">
        <v>46116.0</v>
      </c>
      <c r="G596" s="151" t="s">
        <v>72</v>
      </c>
      <c r="H596" s="5" t="s">
        <v>1460</v>
      </c>
      <c r="I596" s="16"/>
      <c r="J596" s="16"/>
    </row>
    <row r="597" ht="22.5" customHeight="1">
      <c r="A597" s="143" t="s">
        <v>763</v>
      </c>
      <c r="B597" s="150" t="s">
        <v>30</v>
      </c>
      <c r="C597" s="75">
        <v>2.0</v>
      </c>
      <c r="D597" s="111">
        <v>150.0</v>
      </c>
      <c r="E597" s="149" t="s">
        <v>119</v>
      </c>
      <c r="F597" s="147">
        <v>46116.0</v>
      </c>
      <c r="G597" s="151" t="s">
        <v>72</v>
      </c>
      <c r="H597" s="5" t="s">
        <v>1461</v>
      </c>
      <c r="I597" s="16"/>
      <c r="J597" s="16"/>
    </row>
    <row r="598" ht="22.5" customHeight="1">
      <c r="A598" s="143" t="s">
        <v>856</v>
      </c>
      <c r="B598" s="150" t="s">
        <v>579</v>
      </c>
      <c r="C598" s="75">
        <v>24.0</v>
      </c>
      <c r="D598" s="153">
        <f>110/24</f>
        <v>4.583333333</v>
      </c>
      <c r="E598" s="149" t="s">
        <v>119</v>
      </c>
      <c r="F598" s="147">
        <v>46116.0</v>
      </c>
      <c r="G598" s="151" t="s">
        <v>72</v>
      </c>
      <c r="H598" s="5" t="s">
        <v>1463</v>
      </c>
      <c r="I598" s="16"/>
      <c r="J598" s="16"/>
    </row>
    <row r="599" ht="22.5" customHeight="1">
      <c r="A599" s="143" t="s">
        <v>640</v>
      </c>
      <c r="B599" s="150" t="s">
        <v>30</v>
      </c>
      <c r="C599" s="75">
        <v>4.0</v>
      </c>
      <c r="D599" s="111">
        <v>167.0</v>
      </c>
      <c r="E599" s="149" t="s">
        <v>119</v>
      </c>
      <c r="F599" s="147">
        <v>46116.0</v>
      </c>
      <c r="G599" s="151" t="s">
        <v>72</v>
      </c>
      <c r="H599" s="5" t="s">
        <v>1465</v>
      </c>
      <c r="I599" s="16"/>
      <c r="J599" s="16"/>
    </row>
    <row r="600" ht="22.5" customHeight="1">
      <c r="A600" s="143" t="s">
        <v>637</v>
      </c>
      <c r="B600" s="150" t="s">
        <v>30</v>
      </c>
      <c r="C600" s="75">
        <v>4.0</v>
      </c>
      <c r="D600" s="111">
        <v>167.0</v>
      </c>
      <c r="E600" s="149" t="s">
        <v>119</v>
      </c>
      <c r="F600" s="147">
        <v>46116.0</v>
      </c>
      <c r="G600" s="151" t="s">
        <v>72</v>
      </c>
      <c r="H600" s="5" t="s">
        <v>1466</v>
      </c>
      <c r="I600" s="16"/>
      <c r="J600" s="16"/>
    </row>
    <row r="601" ht="22.5" customHeight="1">
      <c r="A601" s="143" t="s">
        <v>779</v>
      </c>
      <c r="B601" s="150" t="s">
        <v>30</v>
      </c>
      <c r="C601" s="75">
        <v>2.0</v>
      </c>
      <c r="D601" s="111">
        <v>150.0</v>
      </c>
      <c r="E601" s="149" t="s">
        <v>119</v>
      </c>
      <c r="F601" s="147">
        <v>46116.0</v>
      </c>
      <c r="G601" s="151" t="s">
        <v>72</v>
      </c>
      <c r="H601" s="5" t="s">
        <v>1467</v>
      </c>
      <c r="I601" s="16"/>
      <c r="J601" s="16"/>
    </row>
    <row r="602" ht="22.5" customHeight="1">
      <c r="A602" s="143" t="s">
        <v>496</v>
      </c>
      <c r="B602" s="150" t="s">
        <v>579</v>
      </c>
      <c r="C602" s="71">
        <f>4*10</f>
        <v>40</v>
      </c>
      <c r="D602" s="153">
        <f>44.25/10</f>
        <v>4.425</v>
      </c>
      <c r="E602" s="149" t="s">
        <v>119</v>
      </c>
      <c r="F602" s="147">
        <v>46116.0</v>
      </c>
      <c r="G602" s="151" t="s">
        <v>72</v>
      </c>
      <c r="H602" s="5" t="s">
        <v>1468</v>
      </c>
      <c r="I602" s="16"/>
      <c r="J602" s="16"/>
    </row>
    <row r="603" ht="22.5" customHeight="1">
      <c r="A603" s="133" t="s">
        <v>583</v>
      </c>
      <c r="B603" s="133" t="s">
        <v>327</v>
      </c>
      <c r="C603" s="75">
        <v>4.0</v>
      </c>
      <c r="D603" s="98">
        <v>175.0</v>
      </c>
      <c r="E603" s="149" t="s">
        <v>51</v>
      </c>
      <c r="F603" s="147">
        <v>46116.0</v>
      </c>
      <c r="G603" s="151" t="s">
        <v>72</v>
      </c>
      <c r="H603" s="5" t="s">
        <v>1470</v>
      </c>
      <c r="I603" s="16"/>
      <c r="J603" s="16"/>
    </row>
    <row r="604" ht="22.5" customHeight="1">
      <c r="A604" s="133" t="s">
        <v>208</v>
      </c>
      <c r="B604" s="133" t="s">
        <v>472</v>
      </c>
      <c r="C604" s="75">
        <v>4.0</v>
      </c>
      <c r="D604" s="98">
        <v>175.0</v>
      </c>
      <c r="E604" s="149" t="s">
        <v>51</v>
      </c>
      <c r="F604" s="147">
        <v>46116.0</v>
      </c>
      <c r="G604" s="151" t="s">
        <v>72</v>
      </c>
      <c r="H604" s="5" t="s">
        <v>1472</v>
      </c>
      <c r="I604" s="16"/>
      <c r="J604" s="16"/>
    </row>
    <row r="605" ht="22.5" customHeight="1">
      <c r="A605" s="133" t="s">
        <v>1161</v>
      </c>
      <c r="B605" s="133" t="s">
        <v>472</v>
      </c>
      <c r="C605" s="75">
        <f>6+38</f>
        <v>44</v>
      </c>
      <c r="D605" s="98">
        <v>90.0</v>
      </c>
      <c r="E605" s="149" t="s">
        <v>51</v>
      </c>
      <c r="F605" s="147">
        <v>46116.0</v>
      </c>
      <c r="G605" s="151" t="s">
        <v>72</v>
      </c>
      <c r="H605" s="5" t="s">
        <v>1474</v>
      </c>
      <c r="I605" s="16"/>
      <c r="J605" s="16"/>
    </row>
    <row r="606" ht="22.5" customHeight="1">
      <c r="A606" s="143" t="s">
        <v>674</v>
      </c>
      <c r="B606" s="150" t="s">
        <v>472</v>
      </c>
      <c r="C606" s="96">
        <v>1.0</v>
      </c>
      <c r="D606" s="111">
        <v>50.0</v>
      </c>
      <c r="E606" s="149" t="s">
        <v>51</v>
      </c>
      <c r="F606" s="147">
        <v>46116.0</v>
      </c>
      <c r="G606" s="151" t="s">
        <v>72</v>
      </c>
      <c r="H606" s="5" t="s">
        <v>1481</v>
      </c>
      <c r="I606" s="16"/>
      <c r="J606" s="16"/>
    </row>
    <row r="607" ht="22.5" customHeight="1">
      <c r="A607" s="143" t="s">
        <v>1000</v>
      </c>
      <c r="B607" s="150" t="s">
        <v>238</v>
      </c>
      <c r="C607" s="96">
        <v>19.0</v>
      </c>
      <c r="D607" s="111">
        <v>11.0</v>
      </c>
      <c r="E607" s="149" t="s">
        <v>154</v>
      </c>
      <c r="F607" s="147">
        <v>46116.0</v>
      </c>
      <c r="G607" s="151" t="s">
        <v>72</v>
      </c>
      <c r="H607" s="5" t="s">
        <v>1485</v>
      </c>
      <c r="I607" s="16"/>
      <c r="J607" s="16"/>
    </row>
    <row r="608" ht="22.5" customHeight="1">
      <c r="A608" s="143" t="s">
        <v>906</v>
      </c>
      <c r="B608" s="150" t="s">
        <v>1486</v>
      </c>
      <c r="C608" s="96">
        <v>240.0</v>
      </c>
      <c r="D608" s="111">
        <f>3.5</f>
        <v>3.5</v>
      </c>
      <c r="E608" s="149" t="s">
        <v>154</v>
      </c>
      <c r="F608" s="147">
        <v>46116.0</v>
      </c>
      <c r="G608" s="151" t="s">
        <v>72</v>
      </c>
      <c r="H608" s="5" t="s">
        <v>1487</v>
      </c>
      <c r="I608" s="16"/>
      <c r="J608" s="16"/>
    </row>
    <row r="609" ht="22.5" customHeight="1">
      <c r="A609" s="143" t="s">
        <v>781</v>
      </c>
      <c r="B609" s="150" t="s">
        <v>169</v>
      </c>
      <c r="C609" s="75">
        <v>6.0</v>
      </c>
      <c r="D609" s="111">
        <v>150.0</v>
      </c>
      <c r="E609" s="149" t="s">
        <v>154</v>
      </c>
      <c r="F609" s="147">
        <v>46116.0</v>
      </c>
      <c r="G609" s="151" t="s">
        <v>72</v>
      </c>
      <c r="H609" s="5" t="s">
        <v>1489</v>
      </c>
      <c r="I609" s="16"/>
      <c r="J609" s="16"/>
    </row>
    <row r="610" ht="22.5" customHeight="1">
      <c r="A610" s="143" t="s">
        <v>1159</v>
      </c>
      <c r="B610" s="150" t="s">
        <v>169</v>
      </c>
      <c r="C610" s="75">
        <v>6.0</v>
      </c>
      <c r="D610" s="111">
        <v>120.0</v>
      </c>
      <c r="E610" s="149" t="s">
        <v>154</v>
      </c>
      <c r="F610" s="147">
        <v>46116.0</v>
      </c>
      <c r="G610" s="151" t="s">
        <v>72</v>
      </c>
      <c r="H610" s="5" t="s">
        <v>1490</v>
      </c>
      <c r="I610" s="16"/>
      <c r="J610" s="16"/>
    </row>
    <row r="611" ht="22.5" customHeight="1">
      <c r="A611" s="143" t="s">
        <v>1155</v>
      </c>
      <c r="B611" s="150" t="s">
        <v>169</v>
      </c>
      <c r="C611" s="75">
        <v>40.0</v>
      </c>
      <c r="D611" s="153">
        <f>12.5</f>
        <v>12.5</v>
      </c>
      <c r="E611" s="149" t="s">
        <v>154</v>
      </c>
      <c r="F611" s="147">
        <v>46116.0</v>
      </c>
      <c r="G611" s="151" t="s">
        <v>72</v>
      </c>
      <c r="H611" s="5" t="s">
        <v>1491</v>
      </c>
      <c r="I611" s="16"/>
      <c r="J611" s="16"/>
    </row>
    <row r="612" ht="22.5" customHeight="1">
      <c r="A612" s="143" t="s">
        <v>1248</v>
      </c>
      <c r="B612" s="150" t="s">
        <v>169</v>
      </c>
      <c r="C612" s="75">
        <v>30.0</v>
      </c>
      <c r="D612" s="111">
        <v>15.0</v>
      </c>
      <c r="E612" s="149" t="s">
        <v>154</v>
      </c>
      <c r="F612" s="147">
        <v>46116.0</v>
      </c>
      <c r="G612" s="151" t="s">
        <v>72</v>
      </c>
      <c r="H612" s="5" t="s">
        <v>1492</v>
      </c>
      <c r="I612" s="16"/>
      <c r="J612" s="16"/>
    </row>
    <row r="613" ht="22.5" customHeight="1">
      <c r="A613" s="143" t="s">
        <v>898</v>
      </c>
      <c r="B613" s="150" t="s">
        <v>753</v>
      </c>
      <c r="C613" s="75">
        <v>60.0</v>
      </c>
      <c r="D613" s="111">
        <v>15.0</v>
      </c>
      <c r="E613" s="149" t="s">
        <v>154</v>
      </c>
      <c r="F613" s="147">
        <v>46116.0</v>
      </c>
      <c r="G613" s="151" t="s">
        <v>72</v>
      </c>
      <c r="H613" s="5" t="s">
        <v>1495</v>
      </c>
      <c r="I613" s="16"/>
      <c r="J613" s="16"/>
    </row>
    <row r="614" ht="22.5" customHeight="1">
      <c r="A614" s="143" t="s">
        <v>756</v>
      </c>
      <c r="B614" s="150" t="s">
        <v>472</v>
      </c>
      <c r="C614" s="75">
        <v>24.0</v>
      </c>
      <c r="D614" s="153">
        <f>360/12</f>
        <v>30</v>
      </c>
      <c r="E614" s="149" t="s">
        <v>154</v>
      </c>
      <c r="F614" s="147">
        <v>46116.0</v>
      </c>
      <c r="G614" s="151" t="s">
        <v>72</v>
      </c>
      <c r="H614" s="5" t="s">
        <v>1496</v>
      </c>
      <c r="I614" s="16"/>
      <c r="J614" s="16"/>
    </row>
    <row r="615" ht="22.5" customHeight="1">
      <c r="A615" s="143" t="s">
        <v>194</v>
      </c>
      <c r="B615" s="150" t="s">
        <v>238</v>
      </c>
      <c r="C615" s="75">
        <v>21.0</v>
      </c>
      <c r="D615" s="111">
        <v>100.0</v>
      </c>
      <c r="E615" s="149" t="s">
        <v>154</v>
      </c>
      <c r="F615" s="147">
        <v>46116.0</v>
      </c>
      <c r="G615" s="151" t="s">
        <v>72</v>
      </c>
      <c r="H615" s="5" t="s">
        <v>1497</v>
      </c>
      <c r="I615" s="16"/>
      <c r="J615" s="16"/>
    </row>
    <row r="616" ht="22.5" customHeight="1">
      <c r="A616" s="143" t="s">
        <v>100</v>
      </c>
      <c r="B616" s="150" t="s">
        <v>50</v>
      </c>
      <c r="C616" s="75">
        <v>4.0</v>
      </c>
      <c r="D616" s="153">
        <f>425</f>
        <v>425</v>
      </c>
      <c r="E616" s="149" t="s">
        <v>154</v>
      </c>
      <c r="F616" s="147">
        <v>46116.0</v>
      </c>
      <c r="G616" s="151" t="s">
        <v>72</v>
      </c>
      <c r="H616" s="5" t="s">
        <v>1499</v>
      </c>
      <c r="I616" s="16"/>
      <c r="J616" s="16"/>
    </row>
    <row r="617" ht="22.5" customHeight="1">
      <c r="A617" s="143" t="s">
        <v>177</v>
      </c>
      <c r="B617" s="150" t="s">
        <v>316</v>
      </c>
      <c r="C617" s="75">
        <v>12.0</v>
      </c>
      <c r="D617" s="111">
        <v>85.0</v>
      </c>
      <c r="E617" s="149" t="s">
        <v>154</v>
      </c>
      <c r="F617" s="147">
        <v>46116.0</v>
      </c>
      <c r="G617" s="151" t="s">
        <v>72</v>
      </c>
      <c r="H617" s="5" t="s">
        <v>1500</v>
      </c>
      <c r="I617" s="16"/>
      <c r="J617" s="16"/>
    </row>
    <row r="618" ht="22.5" customHeight="1">
      <c r="A618" s="143" t="s">
        <v>929</v>
      </c>
      <c r="B618" s="150" t="s">
        <v>927</v>
      </c>
      <c r="C618" s="75">
        <v>30.0</v>
      </c>
      <c r="D618" s="111">
        <v>25.0</v>
      </c>
      <c r="E618" s="149" t="s">
        <v>436</v>
      </c>
      <c r="F618" s="147">
        <v>46116.0</v>
      </c>
      <c r="G618" s="151" t="s">
        <v>72</v>
      </c>
      <c r="H618" s="5" t="s">
        <v>1502</v>
      </c>
      <c r="I618" s="16"/>
      <c r="J618" s="16"/>
    </row>
    <row r="619" ht="22.5" customHeight="1">
      <c r="A619" s="143" t="s">
        <v>926</v>
      </c>
      <c r="B619" s="150" t="s">
        <v>927</v>
      </c>
      <c r="C619" s="75">
        <v>30.0</v>
      </c>
      <c r="D619" s="111">
        <v>20.0</v>
      </c>
      <c r="E619" s="149" t="s">
        <v>436</v>
      </c>
      <c r="F619" s="147">
        <v>46116.0</v>
      </c>
      <c r="G619" s="151" t="s">
        <v>72</v>
      </c>
      <c r="H619" s="5" t="s">
        <v>1503</v>
      </c>
      <c r="I619" s="16"/>
      <c r="J619" s="16"/>
    </row>
    <row r="620" ht="22.5" customHeight="1">
      <c r="A620" s="143" t="s">
        <v>91</v>
      </c>
      <c r="B620" s="150" t="s">
        <v>238</v>
      </c>
      <c r="C620" s="75">
        <v>80.0</v>
      </c>
      <c r="D620" s="111">
        <v>35.0</v>
      </c>
      <c r="E620" s="149" t="s">
        <v>436</v>
      </c>
      <c r="F620" s="147">
        <v>46116.0</v>
      </c>
      <c r="G620" s="151" t="s">
        <v>72</v>
      </c>
      <c r="H620" s="5" t="s">
        <v>1506</v>
      </c>
      <c r="I620" s="16"/>
      <c r="J620" s="16"/>
    </row>
    <row r="621" ht="22.5" customHeight="1">
      <c r="A621" s="143" t="s">
        <v>120</v>
      </c>
      <c r="B621" s="150" t="s">
        <v>238</v>
      </c>
      <c r="C621" s="75">
        <v>10.0</v>
      </c>
      <c r="D621" s="111">
        <v>175.0</v>
      </c>
      <c r="E621" s="149" t="s">
        <v>436</v>
      </c>
      <c r="F621" s="147">
        <v>46116.0</v>
      </c>
      <c r="G621" s="151" t="s">
        <v>72</v>
      </c>
      <c r="H621" s="5" t="s">
        <v>1508</v>
      </c>
      <c r="I621" s="16"/>
      <c r="J621" s="16"/>
    </row>
    <row r="622" ht="22.5" customHeight="1">
      <c r="A622" s="143" t="s">
        <v>200</v>
      </c>
      <c r="B622" s="150" t="s">
        <v>50</v>
      </c>
      <c r="C622" s="75">
        <v>8.0</v>
      </c>
      <c r="D622" s="111">
        <v>120.0</v>
      </c>
      <c r="E622" s="149" t="s">
        <v>436</v>
      </c>
      <c r="F622" s="147">
        <v>46116.0</v>
      </c>
      <c r="G622" s="151" t="s">
        <v>72</v>
      </c>
      <c r="H622" s="5" t="s">
        <v>1510</v>
      </c>
      <c r="I622" s="16"/>
      <c r="J622" s="16"/>
    </row>
    <row r="623" ht="22.5" customHeight="1">
      <c r="A623" s="143" t="s">
        <v>1252</v>
      </c>
      <c r="B623" s="150" t="s">
        <v>927</v>
      </c>
      <c r="C623" s="75">
        <v>5.0</v>
      </c>
      <c r="D623" s="111">
        <v>70.0</v>
      </c>
      <c r="E623" s="149" t="s">
        <v>436</v>
      </c>
      <c r="F623" s="147">
        <v>46116.0</v>
      </c>
      <c r="G623" s="151" t="s">
        <v>72</v>
      </c>
      <c r="H623" s="5" t="s">
        <v>1511</v>
      </c>
      <c r="I623" s="16"/>
      <c r="J623" s="16"/>
    </row>
    <row r="624" ht="22.5" customHeight="1">
      <c r="A624" s="143" t="s">
        <v>1160</v>
      </c>
      <c r="B624" s="150" t="s">
        <v>927</v>
      </c>
      <c r="C624" s="75">
        <v>5.0</v>
      </c>
      <c r="D624" s="111">
        <v>55.0</v>
      </c>
      <c r="E624" s="149" t="s">
        <v>436</v>
      </c>
      <c r="F624" s="147">
        <v>46116.0</v>
      </c>
      <c r="G624" s="151" t="s">
        <v>72</v>
      </c>
      <c r="H624" s="5" t="s">
        <v>1513</v>
      </c>
      <c r="I624" s="16"/>
      <c r="J624" s="16"/>
    </row>
    <row r="625" ht="22.5" customHeight="1">
      <c r="A625" s="143" t="s">
        <v>151</v>
      </c>
      <c r="B625" s="150" t="s">
        <v>238</v>
      </c>
      <c r="C625" s="75">
        <v>14.0</v>
      </c>
      <c r="D625" s="111">
        <v>65.0</v>
      </c>
      <c r="E625" s="149" t="s">
        <v>436</v>
      </c>
      <c r="F625" s="147">
        <v>46116.0</v>
      </c>
      <c r="G625" s="151" t="s">
        <v>72</v>
      </c>
      <c r="H625" s="5" t="s">
        <v>1514</v>
      </c>
      <c r="I625" s="16"/>
      <c r="J625" s="16"/>
    </row>
    <row r="626" ht="22.5" customHeight="1">
      <c r="A626" s="143" t="s">
        <v>1010</v>
      </c>
      <c r="B626" s="171"/>
      <c r="C626" s="75">
        <v>3.0</v>
      </c>
      <c r="D626" s="111">
        <v>120.0</v>
      </c>
      <c r="E626" s="172"/>
      <c r="F626" s="147">
        <v>46116.0</v>
      </c>
      <c r="G626" s="151" t="s">
        <v>72</v>
      </c>
      <c r="H626" s="5" t="s">
        <v>1515</v>
      </c>
      <c r="I626" s="16"/>
      <c r="J626" s="16"/>
    </row>
    <row r="627" ht="22.5" customHeight="1">
      <c r="A627" s="86" t="s">
        <v>898</v>
      </c>
      <c r="B627" s="86" t="s">
        <v>753</v>
      </c>
      <c r="C627" s="75">
        <v>50.0</v>
      </c>
      <c r="D627" s="76">
        <v>15.0</v>
      </c>
      <c r="E627" s="173" t="s">
        <v>154</v>
      </c>
      <c r="F627" s="174">
        <v>46154.0</v>
      </c>
      <c r="G627" s="5" t="s">
        <v>72</v>
      </c>
      <c r="H627" s="5" t="s">
        <v>1516</v>
      </c>
      <c r="I627" s="16"/>
      <c r="J627" s="16"/>
    </row>
    <row r="628" ht="22.5" customHeight="1">
      <c r="A628" s="85" t="s">
        <v>985</v>
      </c>
      <c r="B628" s="85" t="s">
        <v>472</v>
      </c>
      <c r="C628" s="93">
        <v>8.0</v>
      </c>
      <c r="D628" s="94">
        <v>125.0</v>
      </c>
      <c r="E628" s="173" t="s">
        <v>154</v>
      </c>
      <c r="F628" s="174">
        <v>46154.0</v>
      </c>
      <c r="G628" s="5" t="s">
        <v>72</v>
      </c>
      <c r="H628" s="5" t="s">
        <v>1518</v>
      </c>
      <c r="I628" s="16"/>
      <c r="J628" s="16"/>
    </row>
    <row r="629" ht="22.5" customHeight="1">
      <c r="A629" s="85" t="s">
        <v>989</v>
      </c>
      <c r="B629" s="85" t="s">
        <v>472</v>
      </c>
      <c r="C629" s="93">
        <v>12.0</v>
      </c>
      <c r="D629" s="94">
        <v>125.0</v>
      </c>
      <c r="E629" s="173" t="s">
        <v>154</v>
      </c>
      <c r="F629" s="174">
        <v>46154.0</v>
      </c>
      <c r="G629" s="5" t="s">
        <v>72</v>
      </c>
      <c r="H629" s="5" t="s">
        <v>1519</v>
      </c>
      <c r="I629" s="16"/>
      <c r="J629" s="16"/>
    </row>
    <row r="630" ht="22.5" customHeight="1">
      <c r="A630" s="85" t="s">
        <v>1294</v>
      </c>
      <c r="B630" s="85" t="s">
        <v>472</v>
      </c>
      <c r="C630" s="93">
        <v>12.0</v>
      </c>
      <c r="D630" s="94">
        <v>65.0</v>
      </c>
      <c r="E630" s="173" t="s">
        <v>154</v>
      </c>
      <c r="F630" s="174">
        <v>46154.0</v>
      </c>
      <c r="G630" s="5" t="s">
        <v>72</v>
      </c>
      <c r="H630" s="5" t="s">
        <v>1521</v>
      </c>
      <c r="I630" s="16"/>
      <c r="J630" s="16"/>
    </row>
    <row r="631" ht="22.5" customHeight="1">
      <c r="A631" s="85" t="s">
        <v>566</v>
      </c>
      <c r="B631" s="85" t="s">
        <v>169</v>
      </c>
      <c r="C631" s="93">
        <v>2.0</v>
      </c>
      <c r="D631" s="94">
        <v>150.0</v>
      </c>
      <c r="E631" s="173" t="s">
        <v>154</v>
      </c>
      <c r="F631" s="174">
        <v>46154.0</v>
      </c>
      <c r="G631" s="5" t="s">
        <v>72</v>
      </c>
      <c r="H631" s="5" t="s">
        <v>1522</v>
      </c>
      <c r="I631" s="16"/>
      <c r="J631" s="16"/>
    </row>
    <row r="632" ht="22.5" customHeight="1">
      <c r="A632" s="85" t="s">
        <v>290</v>
      </c>
      <c r="B632" s="85" t="s">
        <v>50</v>
      </c>
      <c r="C632" s="93">
        <v>1.0</v>
      </c>
      <c r="D632" s="94">
        <v>300.0</v>
      </c>
      <c r="E632" s="173" t="s">
        <v>154</v>
      </c>
      <c r="F632" s="174">
        <v>46154.0</v>
      </c>
      <c r="G632" s="5" t="s">
        <v>72</v>
      </c>
      <c r="H632" s="5" t="s">
        <v>1524</v>
      </c>
      <c r="I632" s="16"/>
      <c r="J632" s="16"/>
    </row>
    <row r="633" ht="22.5" customHeight="1">
      <c r="A633" s="85" t="s">
        <v>1525</v>
      </c>
      <c r="B633" s="85" t="s">
        <v>472</v>
      </c>
      <c r="C633" s="93">
        <v>6.0</v>
      </c>
      <c r="D633" s="94">
        <v>75.0</v>
      </c>
      <c r="E633" s="173" t="s">
        <v>154</v>
      </c>
      <c r="F633" s="174">
        <v>46154.0</v>
      </c>
      <c r="G633" s="5" t="s">
        <v>72</v>
      </c>
      <c r="H633" s="5" t="s">
        <v>1526</v>
      </c>
      <c r="I633" s="16"/>
      <c r="J633" s="16"/>
    </row>
    <row r="634" ht="22.5" customHeight="1">
      <c r="A634" s="85" t="s">
        <v>358</v>
      </c>
      <c r="B634" s="85" t="s">
        <v>50</v>
      </c>
      <c r="C634" s="93">
        <v>2.0</v>
      </c>
      <c r="D634" s="94">
        <v>250.0</v>
      </c>
      <c r="E634" s="173" t="s">
        <v>154</v>
      </c>
      <c r="F634" s="174">
        <v>46154.0</v>
      </c>
      <c r="G634" s="5" t="s">
        <v>72</v>
      </c>
      <c r="H634" s="5" t="s">
        <v>1527</v>
      </c>
      <c r="I634" s="16"/>
      <c r="J634" s="16"/>
    </row>
    <row r="635" ht="22.5" customHeight="1">
      <c r="A635" s="86" t="s">
        <v>1168</v>
      </c>
      <c r="B635" s="86" t="s">
        <v>1374</v>
      </c>
      <c r="C635" s="75">
        <v>3.0</v>
      </c>
      <c r="D635" s="76">
        <v>40.0</v>
      </c>
      <c r="E635" s="86" t="s">
        <v>119</v>
      </c>
      <c r="F635" s="174">
        <v>46154.0</v>
      </c>
      <c r="G635" s="5" t="s">
        <v>72</v>
      </c>
      <c r="H635" s="5" t="s">
        <v>1529</v>
      </c>
      <c r="I635" s="16"/>
      <c r="J635" s="16"/>
    </row>
    <row r="636" ht="22.5" customHeight="1">
      <c r="A636" s="86" t="s">
        <v>1228</v>
      </c>
      <c r="B636" s="86" t="s">
        <v>1229</v>
      </c>
      <c r="C636" s="75">
        <v>1.0</v>
      </c>
      <c r="D636" s="76">
        <v>76.0</v>
      </c>
      <c r="E636" s="86" t="s">
        <v>119</v>
      </c>
      <c r="F636" s="174">
        <v>46154.0</v>
      </c>
      <c r="G636" s="5" t="s">
        <v>72</v>
      </c>
      <c r="H636" s="5" t="s">
        <v>1532</v>
      </c>
      <c r="I636" s="16"/>
      <c r="J636" s="16"/>
    </row>
    <row r="637" ht="22.5" customHeight="1">
      <c r="A637" s="86" t="s">
        <v>1133</v>
      </c>
      <c r="B637" s="86" t="s">
        <v>1469</v>
      </c>
      <c r="C637" s="75">
        <v>3.0</v>
      </c>
      <c r="D637" s="76">
        <v>20.0</v>
      </c>
      <c r="E637" s="86" t="s">
        <v>119</v>
      </c>
      <c r="F637" s="174">
        <v>46154.0</v>
      </c>
      <c r="G637" s="5" t="s">
        <v>72</v>
      </c>
      <c r="H637" s="5" t="s">
        <v>1534</v>
      </c>
      <c r="I637" s="16"/>
      <c r="J637" s="16"/>
    </row>
    <row r="638" ht="22.5" customHeight="1">
      <c r="A638" s="86" t="s">
        <v>1256</v>
      </c>
      <c r="B638" s="86" t="s">
        <v>1257</v>
      </c>
      <c r="C638" s="75">
        <v>2.0</v>
      </c>
      <c r="D638" s="76">
        <v>75.0</v>
      </c>
      <c r="E638" s="86" t="s">
        <v>119</v>
      </c>
      <c r="F638" s="174">
        <v>46154.0</v>
      </c>
      <c r="G638" s="5" t="s">
        <v>72</v>
      </c>
      <c r="H638" s="5" t="s">
        <v>1536</v>
      </c>
      <c r="I638" s="16"/>
      <c r="J638" s="16"/>
    </row>
    <row r="639" ht="22.5" customHeight="1">
      <c r="A639" s="86" t="s">
        <v>1260</v>
      </c>
      <c r="B639" s="86" t="s">
        <v>1229</v>
      </c>
      <c r="C639" s="75">
        <v>2.0</v>
      </c>
      <c r="D639" s="76">
        <v>73.0</v>
      </c>
      <c r="E639" s="86" t="s">
        <v>119</v>
      </c>
      <c r="F639" s="174">
        <v>46154.0</v>
      </c>
      <c r="G639" s="5" t="s">
        <v>72</v>
      </c>
      <c r="H639" s="5" t="s">
        <v>1538</v>
      </c>
      <c r="I639" s="16"/>
      <c r="J639" s="16"/>
    </row>
    <row r="640" ht="22.5" customHeight="1">
      <c r="A640" s="86" t="s">
        <v>1273</v>
      </c>
      <c r="B640" s="86" t="s">
        <v>1274</v>
      </c>
      <c r="C640" s="75">
        <v>1.0</v>
      </c>
      <c r="D640" s="76">
        <v>68.0</v>
      </c>
      <c r="E640" s="86" t="s">
        <v>119</v>
      </c>
      <c r="F640" s="174">
        <v>46154.0</v>
      </c>
      <c r="G640" s="5" t="s">
        <v>72</v>
      </c>
      <c r="H640" s="5" t="s">
        <v>1540</v>
      </c>
      <c r="I640" s="16"/>
      <c r="J640" s="16"/>
    </row>
    <row r="641" ht="22.5" customHeight="1">
      <c r="A641" s="86" t="s">
        <v>1176</v>
      </c>
      <c r="B641" s="86" t="s">
        <v>1302</v>
      </c>
      <c r="C641" s="75">
        <v>5.0</v>
      </c>
      <c r="D641" s="76">
        <v>65.0</v>
      </c>
      <c r="E641" s="86" t="s">
        <v>119</v>
      </c>
      <c r="F641" s="174">
        <v>46154.0</v>
      </c>
      <c r="G641" s="5" t="s">
        <v>72</v>
      </c>
      <c r="H641" s="5" t="s">
        <v>1543</v>
      </c>
      <c r="I641" s="16"/>
      <c r="J641" s="16"/>
    </row>
    <row r="642" ht="22.5" customHeight="1">
      <c r="A642" s="86" t="s">
        <v>1137</v>
      </c>
      <c r="B642" s="86" t="s">
        <v>1469</v>
      </c>
      <c r="C642" s="75">
        <v>1.0</v>
      </c>
      <c r="D642" s="76">
        <v>20.0</v>
      </c>
      <c r="E642" s="86" t="s">
        <v>119</v>
      </c>
      <c r="F642" s="174">
        <v>46154.0</v>
      </c>
      <c r="G642" s="5" t="s">
        <v>72</v>
      </c>
      <c r="H642" s="5" t="s">
        <v>1544</v>
      </c>
      <c r="I642" s="16"/>
      <c r="J642" s="16"/>
    </row>
    <row r="643" ht="22.5" customHeight="1">
      <c r="A643" s="86" t="s">
        <v>1212</v>
      </c>
      <c r="B643" s="86" t="s">
        <v>1213</v>
      </c>
      <c r="C643" s="75">
        <v>1.0</v>
      </c>
      <c r="D643" s="76">
        <v>81.0</v>
      </c>
      <c r="E643" s="86" t="s">
        <v>119</v>
      </c>
      <c r="F643" s="174">
        <v>46154.0</v>
      </c>
      <c r="G643" s="5" t="s">
        <v>72</v>
      </c>
      <c r="H643" s="5" t="s">
        <v>1545</v>
      </c>
      <c r="I643" s="16"/>
      <c r="J643" s="16"/>
    </row>
    <row r="644" ht="22.5" customHeight="1">
      <c r="A644" s="86" t="s">
        <v>1547</v>
      </c>
      <c r="B644" s="86" t="s">
        <v>1548</v>
      </c>
      <c r="C644" s="75">
        <v>40.0</v>
      </c>
      <c r="D644" s="76">
        <f>70/20</f>
        <v>3.5</v>
      </c>
      <c r="E644" s="86" t="s">
        <v>119</v>
      </c>
      <c r="F644" s="174">
        <v>46154.0</v>
      </c>
      <c r="G644" s="5" t="s">
        <v>72</v>
      </c>
      <c r="H644" s="5" t="s">
        <v>1549</v>
      </c>
      <c r="I644" s="16"/>
      <c r="J644" s="16"/>
    </row>
    <row r="645" ht="22.5" customHeight="1">
      <c r="A645" s="86" t="s">
        <v>1550</v>
      </c>
      <c r="B645" s="86" t="s">
        <v>1548</v>
      </c>
      <c r="C645" s="75">
        <v>100.0</v>
      </c>
      <c r="D645" s="76">
        <f>97/100</f>
        <v>0.97</v>
      </c>
      <c r="E645" s="86" t="s">
        <v>119</v>
      </c>
      <c r="F645" s="174">
        <v>46154.0</v>
      </c>
      <c r="G645" s="5" t="s">
        <v>72</v>
      </c>
      <c r="H645" s="5" t="s">
        <v>1551</v>
      </c>
      <c r="I645" s="16"/>
      <c r="J645" s="16"/>
    </row>
    <row r="646" ht="22.5" customHeight="1">
      <c r="A646" s="86" t="s">
        <v>1047</v>
      </c>
      <c r="B646" s="86" t="s">
        <v>579</v>
      </c>
      <c r="C646" s="75">
        <v>24.0</v>
      </c>
      <c r="D646" s="76">
        <f>110/24</f>
        <v>4.583333333</v>
      </c>
      <c r="E646" s="86" t="s">
        <v>119</v>
      </c>
      <c r="F646" s="174">
        <v>46154.0</v>
      </c>
      <c r="G646" s="5" t="s">
        <v>72</v>
      </c>
      <c r="H646" s="5" t="s">
        <v>1553</v>
      </c>
      <c r="I646" s="16"/>
      <c r="J646" s="16"/>
    </row>
    <row r="647" ht="22.5" customHeight="1">
      <c r="A647" s="86" t="s">
        <v>750</v>
      </c>
      <c r="B647" s="86" t="s">
        <v>579</v>
      </c>
      <c r="C647" s="75">
        <v>24.0</v>
      </c>
      <c r="D647" s="76">
        <f>10.5</f>
        <v>10.5</v>
      </c>
      <c r="E647" s="86" t="s">
        <v>119</v>
      </c>
      <c r="F647" s="174">
        <v>46154.0</v>
      </c>
      <c r="G647" s="5" t="s">
        <v>72</v>
      </c>
      <c r="H647" s="5" t="s">
        <v>1555</v>
      </c>
      <c r="I647" s="16"/>
      <c r="J647" s="16"/>
    </row>
    <row r="648" ht="22.5" customHeight="1">
      <c r="A648" s="86" t="s">
        <v>803</v>
      </c>
      <c r="B648" s="86" t="s">
        <v>719</v>
      </c>
      <c r="C648" s="75">
        <v>4.0</v>
      </c>
      <c r="D648" s="76">
        <v>145.0</v>
      </c>
      <c r="E648" s="86" t="s">
        <v>119</v>
      </c>
      <c r="F648" s="174">
        <v>46154.0</v>
      </c>
      <c r="G648" s="5" t="s">
        <v>72</v>
      </c>
      <c r="H648" s="5" t="s">
        <v>1556</v>
      </c>
      <c r="I648" s="16"/>
      <c r="J648" s="16"/>
    </row>
    <row r="649" ht="22.5" customHeight="1">
      <c r="A649" s="86" t="s">
        <v>1557</v>
      </c>
      <c r="B649" s="86" t="s">
        <v>1089</v>
      </c>
      <c r="C649" s="75">
        <v>2.0</v>
      </c>
      <c r="D649" s="76">
        <v>115.0</v>
      </c>
      <c r="E649" s="86" t="s">
        <v>119</v>
      </c>
      <c r="F649" s="174">
        <v>46154.0</v>
      </c>
      <c r="G649" s="5" t="s">
        <v>72</v>
      </c>
      <c r="H649" s="5" t="s">
        <v>1558</v>
      </c>
      <c r="I649" s="16"/>
      <c r="J649" s="16"/>
    </row>
    <row r="650" ht="22.5" customHeight="1">
      <c r="A650" s="86" t="s">
        <v>1560</v>
      </c>
      <c r="B650" s="86" t="s">
        <v>1089</v>
      </c>
      <c r="C650" s="75">
        <v>2.0</v>
      </c>
      <c r="D650" s="76">
        <v>115.0</v>
      </c>
      <c r="E650" s="86" t="s">
        <v>119</v>
      </c>
      <c r="F650" s="174">
        <v>46154.0</v>
      </c>
      <c r="G650" s="5" t="s">
        <v>72</v>
      </c>
      <c r="H650" s="5" t="s">
        <v>1561</v>
      </c>
      <c r="I650" s="16"/>
      <c r="J650" s="16"/>
    </row>
    <row r="651" ht="22.5" customHeight="1">
      <c r="A651" s="86" t="s">
        <v>1564</v>
      </c>
      <c r="B651" s="86" t="s">
        <v>1089</v>
      </c>
      <c r="C651" s="75">
        <v>2.0</v>
      </c>
      <c r="D651" s="76">
        <v>95.0</v>
      </c>
      <c r="E651" s="86" t="s">
        <v>119</v>
      </c>
      <c r="F651" s="174">
        <v>46154.0</v>
      </c>
      <c r="G651" s="5" t="s">
        <v>72</v>
      </c>
      <c r="H651" s="5" t="s">
        <v>1565</v>
      </c>
      <c r="I651" s="16"/>
      <c r="J651" s="16"/>
    </row>
    <row r="652" ht="22.5" customHeight="1">
      <c r="A652" s="86" t="s">
        <v>1567</v>
      </c>
      <c r="B652" s="86" t="s">
        <v>1089</v>
      </c>
      <c r="C652" s="75">
        <v>2.0</v>
      </c>
      <c r="D652" s="76">
        <v>90.0</v>
      </c>
      <c r="E652" s="86" t="s">
        <v>119</v>
      </c>
      <c r="F652" s="174">
        <v>46154.0</v>
      </c>
      <c r="G652" s="5" t="s">
        <v>72</v>
      </c>
      <c r="H652" s="5" t="s">
        <v>1568</v>
      </c>
      <c r="I652" s="16"/>
      <c r="J652" s="16"/>
    </row>
    <row r="653" ht="22.5" customHeight="1">
      <c r="A653" s="86" t="s">
        <v>1569</v>
      </c>
      <c r="B653" s="86" t="s">
        <v>1089</v>
      </c>
      <c r="C653" s="75">
        <v>2.0</v>
      </c>
      <c r="D653" s="76">
        <v>120.0</v>
      </c>
      <c r="E653" s="86" t="s">
        <v>119</v>
      </c>
      <c r="F653" s="174">
        <v>46154.0</v>
      </c>
      <c r="G653" s="5" t="s">
        <v>72</v>
      </c>
      <c r="H653" s="5" t="s">
        <v>1572</v>
      </c>
      <c r="I653" s="16"/>
      <c r="J653" s="16"/>
    </row>
    <row r="654" ht="22.5" customHeight="1">
      <c r="A654" s="86" t="s">
        <v>1573</v>
      </c>
      <c r="B654" s="86" t="s">
        <v>1089</v>
      </c>
      <c r="C654" s="75">
        <v>2.0</v>
      </c>
      <c r="D654" s="76">
        <v>105.0</v>
      </c>
      <c r="E654" s="86" t="s">
        <v>119</v>
      </c>
      <c r="F654" s="174">
        <v>46154.0</v>
      </c>
      <c r="G654" s="5" t="s">
        <v>72</v>
      </c>
      <c r="H654" s="5" t="s">
        <v>1574</v>
      </c>
      <c r="I654" s="16"/>
      <c r="J654" s="16"/>
    </row>
    <row r="655" ht="22.5" customHeight="1">
      <c r="A655" s="86" t="s">
        <v>1575</v>
      </c>
      <c r="B655" s="86" t="s">
        <v>1089</v>
      </c>
      <c r="C655" s="75">
        <v>2.0</v>
      </c>
      <c r="D655" s="76">
        <v>100.0</v>
      </c>
      <c r="E655" s="177"/>
      <c r="F655" s="174">
        <v>46154.0</v>
      </c>
      <c r="G655" s="5" t="s">
        <v>72</v>
      </c>
      <c r="H655" s="5" t="s">
        <v>1576</v>
      </c>
      <c r="I655" s="16"/>
      <c r="J655" s="16"/>
    </row>
    <row r="656" ht="22.5" customHeight="1">
      <c r="A656" s="86" t="s">
        <v>718</v>
      </c>
      <c r="B656" s="86" t="s">
        <v>719</v>
      </c>
      <c r="C656" s="75">
        <v>2.0</v>
      </c>
      <c r="D656" s="76">
        <v>155.0</v>
      </c>
      <c r="E656" s="86" t="s">
        <v>119</v>
      </c>
      <c r="F656" s="174">
        <v>46154.0</v>
      </c>
      <c r="G656" s="5" t="s">
        <v>72</v>
      </c>
      <c r="H656" s="5" t="s">
        <v>1578</v>
      </c>
      <c r="I656" s="16"/>
      <c r="J656" s="16"/>
    </row>
    <row r="657" ht="22.5" customHeight="1">
      <c r="A657" s="86" t="s">
        <v>387</v>
      </c>
      <c r="B657" s="86" t="s">
        <v>388</v>
      </c>
      <c r="C657" s="75">
        <v>1.0</v>
      </c>
      <c r="D657" s="76">
        <v>227.0</v>
      </c>
      <c r="E657" s="86" t="s">
        <v>119</v>
      </c>
      <c r="F657" s="174">
        <v>46154.0</v>
      </c>
      <c r="G657" s="5" t="s">
        <v>72</v>
      </c>
      <c r="H657" s="5" t="s">
        <v>1581</v>
      </c>
      <c r="I657" s="16"/>
      <c r="J657" s="16"/>
    </row>
    <row r="658" ht="22.5" customHeight="1">
      <c r="A658" s="86" t="s">
        <v>1582</v>
      </c>
      <c r="B658" s="86" t="s">
        <v>1089</v>
      </c>
      <c r="C658" s="75">
        <v>4.0</v>
      </c>
      <c r="D658" s="76">
        <v>90.0</v>
      </c>
      <c r="E658" s="86" t="s">
        <v>119</v>
      </c>
      <c r="F658" s="174">
        <v>46154.0</v>
      </c>
      <c r="G658" s="5" t="s">
        <v>72</v>
      </c>
      <c r="H658" s="5" t="s">
        <v>1584</v>
      </c>
      <c r="I658" s="16"/>
      <c r="J658" s="16"/>
    </row>
    <row r="659" ht="22.5" customHeight="1">
      <c r="A659" s="86" t="s">
        <v>1585</v>
      </c>
      <c r="B659" s="86" t="s">
        <v>1089</v>
      </c>
      <c r="C659" s="75">
        <v>2.0</v>
      </c>
      <c r="D659" s="76">
        <v>105.0</v>
      </c>
      <c r="E659" s="86" t="s">
        <v>119</v>
      </c>
      <c r="F659" s="174">
        <v>46154.0</v>
      </c>
      <c r="G659" s="5" t="s">
        <v>72</v>
      </c>
      <c r="H659" s="5" t="s">
        <v>1586</v>
      </c>
      <c r="I659" s="16"/>
      <c r="J659" s="16"/>
    </row>
    <row r="660" ht="22.5" customHeight="1">
      <c r="A660" s="86" t="s">
        <v>1587</v>
      </c>
      <c r="B660" s="86" t="s">
        <v>1089</v>
      </c>
      <c r="C660" s="75">
        <v>2.0</v>
      </c>
      <c r="D660" s="76">
        <v>86.0</v>
      </c>
      <c r="E660" s="86" t="s">
        <v>119</v>
      </c>
      <c r="F660" s="174">
        <v>46154.0</v>
      </c>
      <c r="G660" s="5" t="s">
        <v>72</v>
      </c>
      <c r="H660" s="5" t="s">
        <v>1589</v>
      </c>
      <c r="I660" s="16"/>
      <c r="J660" s="16"/>
    </row>
    <row r="661" ht="22.5" customHeight="1">
      <c r="A661" s="86" t="s">
        <v>1590</v>
      </c>
      <c r="B661" s="86" t="s">
        <v>1089</v>
      </c>
      <c r="C661" s="75">
        <v>2.0</v>
      </c>
      <c r="D661" s="76">
        <v>135.0</v>
      </c>
      <c r="E661" s="86" t="s">
        <v>119</v>
      </c>
      <c r="F661" s="174">
        <v>46154.0</v>
      </c>
      <c r="G661" s="5" t="s">
        <v>72</v>
      </c>
      <c r="H661" s="5" t="s">
        <v>1591</v>
      </c>
      <c r="I661" s="16"/>
      <c r="J661" s="16"/>
    </row>
    <row r="662" ht="22.5" customHeight="1">
      <c r="A662" s="86" t="s">
        <v>1592</v>
      </c>
      <c r="B662" s="86" t="s">
        <v>1089</v>
      </c>
      <c r="C662" s="75">
        <v>2.0</v>
      </c>
      <c r="D662" s="76">
        <v>95.0</v>
      </c>
      <c r="E662" s="86" t="s">
        <v>119</v>
      </c>
      <c r="F662" s="174">
        <v>46154.0</v>
      </c>
      <c r="G662" s="5" t="s">
        <v>72</v>
      </c>
      <c r="H662" s="5" t="s">
        <v>1593</v>
      </c>
      <c r="I662" s="16"/>
      <c r="J662" s="16"/>
    </row>
    <row r="663" ht="22.5" customHeight="1">
      <c r="A663" s="86" t="s">
        <v>1594</v>
      </c>
      <c r="B663" s="86" t="s">
        <v>1089</v>
      </c>
      <c r="C663" s="75">
        <v>2.0</v>
      </c>
      <c r="D663" s="76">
        <v>100.0</v>
      </c>
      <c r="E663" s="86" t="s">
        <v>119</v>
      </c>
      <c r="F663" s="174">
        <v>46154.0</v>
      </c>
      <c r="G663" s="5" t="s">
        <v>72</v>
      </c>
      <c r="H663" s="5" t="s">
        <v>1596</v>
      </c>
      <c r="I663" s="16"/>
      <c r="J663" s="16"/>
    </row>
    <row r="664" ht="22.5" customHeight="1">
      <c r="A664" s="86" t="s">
        <v>1597</v>
      </c>
      <c r="B664" s="86" t="s">
        <v>1089</v>
      </c>
      <c r="C664" s="75">
        <v>2.0</v>
      </c>
      <c r="D664" s="76">
        <v>92.0</v>
      </c>
      <c r="E664" s="86" t="s">
        <v>119</v>
      </c>
      <c r="F664" s="174">
        <v>46154.0</v>
      </c>
      <c r="G664" s="5" t="s">
        <v>72</v>
      </c>
      <c r="H664" s="5" t="s">
        <v>1598</v>
      </c>
      <c r="I664" s="16"/>
      <c r="J664" s="16"/>
    </row>
    <row r="665" ht="22.5" customHeight="1">
      <c r="A665" s="86" t="s">
        <v>1600</v>
      </c>
      <c r="B665" s="86" t="s">
        <v>1089</v>
      </c>
      <c r="C665" s="75">
        <v>2.0</v>
      </c>
      <c r="D665" s="76">
        <v>105.0</v>
      </c>
      <c r="E665" s="86" t="s">
        <v>119</v>
      </c>
      <c r="F665" s="174">
        <v>46154.0</v>
      </c>
      <c r="G665" s="5" t="s">
        <v>72</v>
      </c>
      <c r="H665" s="5" t="s">
        <v>1601</v>
      </c>
      <c r="I665" s="16"/>
      <c r="J665" s="16"/>
    </row>
    <row r="666" ht="22.5" customHeight="1">
      <c r="A666" s="86" t="s">
        <v>1602</v>
      </c>
      <c r="B666" s="86" t="s">
        <v>1089</v>
      </c>
      <c r="C666" s="75">
        <v>2.0</v>
      </c>
      <c r="D666" s="76">
        <v>100.0</v>
      </c>
      <c r="E666" s="86" t="s">
        <v>119</v>
      </c>
      <c r="F666" s="174">
        <v>46154.0</v>
      </c>
      <c r="G666" s="5" t="s">
        <v>72</v>
      </c>
      <c r="H666" s="5" t="s">
        <v>1603</v>
      </c>
      <c r="I666" s="16"/>
      <c r="J666" s="16"/>
    </row>
    <row r="667" ht="22.5" customHeight="1">
      <c r="A667" s="86" t="s">
        <v>1606</v>
      </c>
      <c r="B667" s="86" t="s">
        <v>1089</v>
      </c>
      <c r="C667" s="75">
        <v>2.0</v>
      </c>
      <c r="D667" s="76">
        <v>105.0</v>
      </c>
      <c r="E667" s="86" t="s">
        <v>119</v>
      </c>
      <c r="F667" s="174">
        <v>46154.0</v>
      </c>
      <c r="G667" s="5" t="s">
        <v>72</v>
      </c>
      <c r="H667" s="5" t="s">
        <v>1607</v>
      </c>
      <c r="I667" s="16"/>
      <c r="J667" s="16"/>
    </row>
    <row r="668" ht="22.5" customHeight="1">
      <c r="A668" s="86" t="s">
        <v>1609</v>
      </c>
      <c r="B668" s="86" t="s">
        <v>1089</v>
      </c>
      <c r="C668" s="75">
        <v>2.0</v>
      </c>
      <c r="D668" s="76">
        <v>110.0</v>
      </c>
      <c r="E668" s="86" t="s">
        <v>119</v>
      </c>
      <c r="F668" s="174">
        <v>46154.0</v>
      </c>
      <c r="G668" s="5" t="s">
        <v>72</v>
      </c>
      <c r="H668" s="5" t="s">
        <v>1610</v>
      </c>
      <c r="I668" s="16"/>
      <c r="J668" s="16"/>
    </row>
    <row r="669" ht="22.5" customHeight="1">
      <c r="A669" s="86" t="s">
        <v>722</v>
      </c>
      <c r="B669" s="86" t="s">
        <v>719</v>
      </c>
      <c r="C669" s="75">
        <v>2.0</v>
      </c>
      <c r="D669" s="76">
        <v>155.0</v>
      </c>
      <c r="E669" s="86" t="s">
        <v>119</v>
      </c>
      <c r="F669" s="174">
        <v>46154.0</v>
      </c>
      <c r="G669" s="5" t="s">
        <v>72</v>
      </c>
      <c r="H669" s="5" t="s">
        <v>1611</v>
      </c>
      <c r="I669" s="16"/>
      <c r="J669" s="16"/>
    </row>
    <row r="670" ht="22.5" customHeight="1">
      <c r="A670" s="86" t="s">
        <v>446</v>
      </c>
      <c r="B670" s="86" t="s">
        <v>388</v>
      </c>
      <c r="C670" s="75">
        <v>1.0</v>
      </c>
      <c r="D670" s="76">
        <f>212.5</f>
        <v>212.5</v>
      </c>
      <c r="E670" s="86" t="s">
        <v>119</v>
      </c>
      <c r="F670" s="174">
        <v>46154.0</v>
      </c>
      <c r="G670" s="5" t="s">
        <v>72</v>
      </c>
      <c r="H670" s="5" t="s">
        <v>1613</v>
      </c>
      <c r="I670" s="16"/>
      <c r="J670" s="16"/>
    </row>
    <row r="671" ht="22.5" customHeight="1">
      <c r="A671" s="85" t="s">
        <v>745</v>
      </c>
      <c r="B671" s="85" t="s">
        <v>579</v>
      </c>
      <c r="C671" s="93">
        <v>12.0</v>
      </c>
      <c r="D671" s="94">
        <f>22.5</f>
        <v>22.5</v>
      </c>
      <c r="E671" s="85"/>
      <c r="F671" s="174">
        <v>46154.0</v>
      </c>
      <c r="G671" s="5" t="s">
        <v>72</v>
      </c>
      <c r="H671" s="5" t="s">
        <v>1615</v>
      </c>
      <c r="I671" s="16"/>
      <c r="J671" s="16"/>
    </row>
    <row r="672" ht="22.5" customHeight="1">
      <c r="A672" s="86" t="s">
        <v>1170</v>
      </c>
      <c r="B672" s="85" t="s">
        <v>1171</v>
      </c>
      <c r="C672" s="75">
        <v>24.0</v>
      </c>
      <c r="D672" s="76">
        <v>90.0</v>
      </c>
      <c r="E672" s="86" t="s">
        <v>1059</v>
      </c>
      <c r="F672" s="174">
        <v>46154.0</v>
      </c>
      <c r="G672" s="5" t="s">
        <v>72</v>
      </c>
      <c r="H672" s="5" t="s">
        <v>1616</v>
      </c>
      <c r="I672" s="16"/>
      <c r="J672" s="16"/>
    </row>
    <row r="673" ht="22.5" customHeight="1">
      <c r="A673" s="86" t="s">
        <v>1161</v>
      </c>
      <c r="B673" s="85" t="s">
        <v>472</v>
      </c>
      <c r="C673" s="75">
        <v>6.0</v>
      </c>
      <c r="D673" s="76">
        <v>90.0</v>
      </c>
      <c r="E673" s="86" t="s">
        <v>1059</v>
      </c>
      <c r="F673" s="174">
        <v>46154.0</v>
      </c>
      <c r="G673" s="5" t="s">
        <v>72</v>
      </c>
      <c r="H673" s="5" t="s">
        <v>1618</v>
      </c>
      <c r="I673" s="16"/>
      <c r="J673" s="16"/>
    </row>
    <row r="674" ht="22.5" customHeight="1">
      <c r="A674" s="86" t="s">
        <v>1173</v>
      </c>
      <c r="B674" s="85" t="s">
        <v>472</v>
      </c>
      <c r="C674" s="75">
        <v>12.0</v>
      </c>
      <c r="D674" s="76">
        <v>55.0</v>
      </c>
      <c r="E674" s="86" t="s">
        <v>1059</v>
      </c>
      <c r="F674" s="174">
        <v>46154.0</v>
      </c>
      <c r="G674" s="5" t="s">
        <v>72</v>
      </c>
      <c r="H674" s="5" t="s">
        <v>1620</v>
      </c>
      <c r="I674" s="16"/>
      <c r="J674" s="16"/>
    </row>
    <row r="675" ht="22.5" customHeight="1">
      <c r="A675" s="86" t="s">
        <v>1058</v>
      </c>
      <c r="B675" s="85" t="s">
        <v>472</v>
      </c>
      <c r="C675" s="75">
        <v>18.0</v>
      </c>
      <c r="D675" s="76">
        <v>110.0</v>
      </c>
      <c r="E675" s="86" t="s">
        <v>1059</v>
      </c>
      <c r="F675" s="174">
        <v>46154.0</v>
      </c>
      <c r="G675" s="5" t="s">
        <v>72</v>
      </c>
      <c r="H675" s="5" t="s">
        <v>1622</v>
      </c>
      <c r="I675" s="16"/>
      <c r="J675" s="16"/>
    </row>
    <row r="676" ht="22.5" customHeight="1">
      <c r="A676" s="85" t="s">
        <v>935</v>
      </c>
      <c r="B676" s="85" t="s">
        <v>1570</v>
      </c>
      <c r="C676" s="93">
        <v>50.0</v>
      </c>
      <c r="D676" s="94">
        <v>7.0</v>
      </c>
      <c r="E676" s="85" t="s">
        <v>1052</v>
      </c>
      <c r="F676" s="174">
        <v>46154.0</v>
      </c>
      <c r="G676" s="5" t="s">
        <v>72</v>
      </c>
      <c r="H676" s="5" t="s">
        <v>1623</v>
      </c>
      <c r="I676" s="16"/>
      <c r="J676" s="16"/>
    </row>
    <row r="677" ht="22.5" customHeight="1">
      <c r="A677" s="85" t="s">
        <v>933</v>
      </c>
      <c r="B677" s="85" t="s">
        <v>1570</v>
      </c>
      <c r="C677" s="93">
        <v>50.0</v>
      </c>
      <c r="D677" s="94">
        <v>10.0</v>
      </c>
      <c r="E677" s="85" t="s">
        <v>1052</v>
      </c>
      <c r="F677" s="174">
        <v>46154.0</v>
      </c>
      <c r="G677" s="5" t="s">
        <v>72</v>
      </c>
      <c r="H677" s="5" t="s">
        <v>1627</v>
      </c>
      <c r="I677" s="16"/>
      <c r="J677" s="16"/>
    </row>
    <row r="678" ht="22.5" customHeight="1">
      <c r="A678" s="178" t="s">
        <v>756</v>
      </c>
      <c r="B678" s="179"/>
      <c r="C678" s="180">
        <v>12.0</v>
      </c>
      <c r="D678" s="181">
        <f>360/6</f>
        <v>60</v>
      </c>
      <c r="E678" s="179"/>
      <c r="F678" s="182">
        <v>46154.0</v>
      </c>
      <c r="G678" s="5" t="s">
        <v>72</v>
      </c>
      <c r="H678" s="5" t="s">
        <v>1628</v>
      </c>
      <c r="I678" s="16"/>
      <c r="J678" s="16"/>
    </row>
    <row r="679" ht="22.5" customHeight="1">
      <c r="A679" s="85" t="s">
        <v>792</v>
      </c>
      <c r="B679" s="85" t="s">
        <v>494</v>
      </c>
      <c r="C679" s="93">
        <v>4.0</v>
      </c>
      <c r="D679" s="94">
        <v>45.0</v>
      </c>
      <c r="E679" s="85" t="s">
        <v>154</v>
      </c>
      <c r="F679" s="139">
        <v>46165.0</v>
      </c>
      <c r="G679" s="5" t="s">
        <v>72</v>
      </c>
      <c r="H679" s="5" t="s">
        <v>1630</v>
      </c>
      <c r="I679" s="16"/>
      <c r="J679" s="16"/>
    </row>
    <row r="680" ht="22.5" customHeight="1">
      <c r="A680" s="85" t="s">
        <v>902</v>
      </c>
      <c r="B680" s="85" t="s">
        <v>1036</v>
      </c>
      <c r="C680" s="93">
        <v>8.0</v>
      </c>
      <c r="D680" s="94">
        <v>100.0</v>
      </c>
      <c r="E680" s="85" t="s">
        <v>154</v>
      </c>
      <c r="F680" s="139">
        <v>46165.0</v>
      </c>
      <c r="G680" s="5" t="s">
        <v>72</v>
      </c>
      <c r="H680" s="5" t="s">
        <v>1631</v>
      </c>
      <c r="I680" s="16"/>
      <c r="J680" s="16"/>
    </row>
    <row r="681" ht="22.5" customHeight="1">
      <c r="A681" s="85" t="s">
        <v>309</v>
      </c>
      <c r="B681" s="85" t="s">
        <v>238</v>
      </c>
      <c r="C681" s="93">
        <v>30.0</v>
      </c>
      <c r="D681" s="94">
        <v>20.0</v>
      </c>
      <c r="E681" s="85" t="s">
        <v>154</v>
      </c>
      <c r="F681" s="139">
        <v>46165.0</v>
      </c>
      <c r="G681" s="5" t="s">
        <v>72</v>
      </c>
      <c r="H681" s="5" t="s">
        <v>1632</v>
      </c>
      <c r="I681" s="16"/>
      <c r="J681" s="16"/>
    </row>
    <row r="682" ht="22.5" customHeight="1">
      <c r="A682" s="85" t="s">
        <v>670</v>
      </c>
      <c r="B682" s="85" t="s">
        <v>238</v>
      </c>
      <c r="C682" s="93">
        <v>50.0</v>
      </c>
      <c r="D682" s="94">
        <f>12.5</f>
        <v>12.5</v>
      </c>
      <c r="E682" s="85" t="s">
        <v>154</v>
      </c>
      <c r="F682" s="139">
        <v>46165.0</v>
      </c>
      <c r="G682" s="5" t="s">
        <v>72</v>
      </c>
      <c r="H682" s="5" t="s">
        <v>1633</v>
      </c>
      <c r="I682" s="16"/>
      <c r="J682" s="16"/>
    </row>
    <row r="683" ht="22.5" customHeight="1">
      <c r="A683" s="85" t="s">
        <v>589</v>
      </c>
      <c r="B683" s="85" t="s">
        <v>472</v>
      </c>
      <c r="C683" s="93">
        <v>1.0</v>
      </c>
      <c r="D683" s="183">
        <v>175.0</v>
      </c>
      <c r="E683" s="85" t="s">
        <v>154</v>
      </c>
      <c r="F683" s="139">
        <v>46165.0</v>
      </c>
      <c r="G683" s="5" t="s">
        <v>72</v>
      </c>
      <c r="H683" s="5" t="s">
        <v>1635</v>
      </c>
      <c r="I683" s="16"/>
      <c r="J683" s="16"/>
    </row>
    <row r="684" ht="22.5" customHeight="1">
      <c r="A684" s="85" t="s">
        <v>153</v>
      </c>
      <c r="B684" s="85" t="s">
        <v>388</v>
      </c>
      <c r="C684" s="93">
        <v>2.0</v>
      </c>
      <c r="D684" s="94">
        <v>150.0</v>
      </c>
      <c r="E684" s="85" t="s">
        <v>484</v>
      </c>
      <c r="F684" s="139">
        <v>46165.0</v>
      </c>
      <c r="G684" s="5" t="s">
        <v>72</v>
      </c>
      <c r="H684" s="5" t="s">
        <v>1637</v>
      </c>
      <c r="I684" s="16"/>
      <c r="J684" s="16"/>
    </row>
    <row r="685" ht="22.5" customHeight="1">
      <c r="A685" s="85" t="s">
        <v>1638</v>
      </c>
      <c r="B685" s="85" t="s">
        <v>388</v>
      </c>
      <c r="C685" s="93">
        <v>2.0</v>
      </c>
      <c r="D685" s="94">
        <v>140.0</v>
      </c>
      <c r="E685" s="85" t="s">
        <v>484</v>
      </c>
      <c r="F685" s="139">
        <v>46165.0</v>
      </c>
      <c r="G685" s="5" t="s">
        <v>72</v>
      </c>
      <c r="H685" s="5" t="s">
        <v>1639</v>
      </c>
      <c r="I685" s="16"/>
      <c r="J685" s="16"/>
    </row>
    <row r="686" ht="22.5" customHeight="1">
      <c r="A686" s="85" t="s">
        <v>807</v>
      </c>
      <c r="B686" s="85" t="s">
        <v>118</v>
      </c>
      <c r="C686" s="93">
        <v>2.0</v>
      </c>
      <c r="D686" s="94">
        <v>145.0</v>
      </c>
      <c r="E686" s="85" t="s">
        <v>484</v>
      </c>
      <c r="F686" s="139">
        <v>46165.0</v>
      </c>
      <c r="G686" s="5" t="s">
        <v>72</v>
      </c>
      <c r="H686" s="5" t="s">
        <v>1641</v>
      </c>
      <c r="I686" s="16"/>
      <c r="J686" s="16"/>
    </row>
    <row r="687" ht="22.5" customHeight="1">
      <c r="A687" s="85" t="s">
        <v>920</v>
      </c>
      <c r="B687" s="85" t="s">
        <v>118</v>
      </c>
      <c r="C687" s="93">
        <v>8.0</v>
      </c>
      <c r="D687" s="94">
        <v>130.0</v>
      </c>
      <c r="E687" s="85" t="s">
        <v>484</v>
      </c>
      <c r="F687" s="139">
        <v>46165.0</v>
      </c>
      <c r="G687" s="5" t="s">
        <v>72</v>
      </c>
      <c r="H687" s="5" t="s">
        <v>1642</v>
      </c>
      <c r="I687" s="16"/>
      <c r="J687" s="16"/>
    </row>
    <row r="688" ht="22.5" customHeight="1">
      <c r="A688" s="85" t="s">
        <v>697</v>
      </c>
      <c r="B688" s="85" t="s">
        <v>118</v>
      </c>
      <c r="C688" s="93">
        <v>2.0</v>
      </c>
      <c r="D688" s="94">
        <v>125.0</v>
      </c>
      <c r="E688" s="85" t="s">
        <v>484</v>
      </c>
      <c r="F688" s="139">
        <v>46165.0</v>
      </c>
      <c r="G688" s="5" t="s">
        <v>72</v>
      </c>
      <c r="H688" s="5" t="s">
        <v>1643</v>
      </c>
      <c r="I688" s="16"/>
      <c r="J688" s="16"/>
    </row>
    <row r="689" ht="22.5" customHeight="1">
      <c r="A689" s="85" t="s">
        <v>303</v>
      </c>
      <c r="B689" s="85" t="s">
        <v>472</v>
      </c>
      <c r="C689" s="93">
        <v>12.0</v>
      </c>
      <c r="D689" s="94">
        <v>70.0</v>
      </c>
      <c r="E689" s="85" t="s">
        <v>484</v>
      </c>
      <c r="F689" s="139">
        <v>46165.0</v>
      </c>
      <c r="G689" s="5" t="s">
        <v>72</v>
      </c>
      <c r="H689" s="5" t="s">
        <v>1646</v>
      </c>
      <c r="I689" s="16"/>
      <c r="J689" s="16"/>
    </row>
    <row r="690" ht="22.5" customHeight="1">
      <c r="A690" s="85" t="s">
        <v>1280</v>
      </c>
      <c r="B690" s="85" t="s">
        <v>339</v>
      </c>
      <c r="C690" s="93">
        <v>20.0</v>
      </c>
      <c r="D690" s="94">
        <v>75.0</v>
      </c>
      <c r="E690" s="85" t="s">
        <v>484</v>
      </c>
      <c r="F690" s="139">
        <v>46165.0</v>
      </c>
      <c r="G690" s="5" t="s">
        <v>72</v>
      </c>
      <c r="H690" s="5" t="s">
        <v>1647</v>
      </c>
      <c r="I690" s="16"/>
      <c r="J690" s="16"/>
    </row>
    <row r="691" ht="22.5" customHeight="1">
      <c r="A691" s="85" t="s">
        <v>696</v>
      </c>
      <c r="B691" s="85" t="s">
        <v>472</v>
      </c>
      <c r="C691" s="93">
        <v>6.0</v>
      </c>
      <c r="D691" s="94">
        <v>160.0</v>
      </c>
      <c r="E691" s="85" t="s">
        <v>484</v>
      </c>
      <c r="F691" s="139">
        <v>46165.0</v>
      </c>
      <c r="G691" s="5" t="s">
        <v>72</v>
      </c>
      <c r="H691" s="5" t="s">
        <v>1648</v>
      </c>
      <c r="I691" s="16"/>
      <c r="J691" s="16"/>
    </row>
    <row r="692" ht="22.5" customHeight="1">
      <c r="A692" s="85" t="s">
        <v>1061</v>
      </c>
      <c r="B692" s="85" t="s">
        <v>568</v>
      </c>
      <c r="C692" s="93">
        <v>12.0</v>
      </c>
      <c r="D692" s="94">
        <v>110.0</v>
      </c>
      <c r="E692" s="85" t="s">
        <v>484</v>
      </c>
      <c r="F692" s="139">
        <v>46165.0</v>
      </c>
      <c r="G692" s="5" t="s">
        <v>72</v>
      </c>
      <c r="H692" s="5" t="s">
        <v>1650</v>
      </c>
      <c r="I692" s="16"/>
      <c r="J692" s="16"/>
    </row>
    <row r="693" ht="22.5" customHeight="1">
      <c r="A693" s="85" t="s">
        <v>482</v>
      </c>
      <c r="B693" s="85" t="s">
        <v>483</v>
      </c>
      <c r="C693" s="93">
        <v>3.0</v>
      </c>
      <c r="D693" s="94">
        <v>200.0</v>
      </c>
      <c r="E693" s="85" t="s">
        <v>484</v>
      </c>
      <c r="F693" s="139">
        <v>46165.0</v>
      </c>
      <c r="G693" s="5" t="s">
        <v>72</v>
      </c>
      <c r="H693" s="5" t="s">
        <v>1651</v>
      </c>
      <c r="I693" s="16"/>
      <c r="J693" s="16"/>
    </row>
    <row r="694" ht="22.5" customHeight="1">
      <c r="A694" s="85" t="s">
        <v>871</v>
      </c>
      <c r="B694" s="85" t="s">
        <v>483</v>
      </c>
      <c r="C694" s="93">
        <v>3.0</v>
      </c>
      <c r="D694" s="94">
        <v>90.0</v>
      </c>
      <c r="E694" s="85" t="s">
        <v>484</v>
      </c>
      <c r="F694" s="139">
        <v>46165.0</v>
      </c>
      <c r="G694" s="5" t="s">
        <v>72</v>
      </c>
      <c r="H694" s="5" t="s">
        <v>1652</v>
      </c>
      <c r="I694" s="16"/>
      <c r="J694" s="16"/>
    </row>
    <row r="695" ht="22.5" customHeight="1">
      <c r="A695" s="85" t="s">
        <v>1203</v>
      </c>
      <c r="B695" s="85" t="s">
        <v>472</v>
      </c>
      <c r="C695" s="93">
        <v>3.0</v>
      </c>
      <c r="D695" s="94">
        <v>85.0</v>
      </c>
      <c r="E695" s="85" t="s">
        <v>484</v>
      </c>
      <c r="F695" s="139">
        <v>46165.0</v>
      </c>
      <c r="G695" s="5" t="s">
        <v>72</v>
      </c>
      <c r="H695" s="5" t="s">
        <v>1654</v>
      </c>
      <c r="I695" s="16"/>
      <c r="J695" s="16"/>
    </row>
    <row r="696" ht="22.5" customHeight="1">
      <c r="A696" s="185" t="s">
        <v>205</v>
      </c>
      <c r="B696" s="185" t="s">
        <v>207</v>
      </c>
      <c r="C696" s="186">
        <v>1.0</v>
      </c>
      <c r="D696" s="183">
        <f>338</f>
        <v>338</v>
      </c>
      <c r="E696" s="185" t="s">
        <v>119</v>
      </c>
      <c r="F696" s="139">
        <v>46165.0</v>
      </c>
      <c r="G696" s="5" t="s">
        <v>72</v>
      </c>
      <c r="H696" s="5" t="s">
        <v>1655</v>
      </c>
      <c r="I696" s="16"/>
      <c r="J696" s="16"/>
    </row>
    <row r="697" ht="22.5" customHeight="1">
      <c r="A697" s="185" t="s">
        <v>211</v>
      </c>
      <c r="B697" s="185" t="s">
        <v>207</v>
      </c>
      <c r="C697" s="186">
        <v>1.0</v>
      </c>
      <c r="D697" s="183">
        <v>338.0</v>
      </c>
      <c r="E697" s="185" t="s">
        <v>119</v>
      </c>
      <c r="F697" s="139">
        <v>46165.0</v>
      </c>
      <c r="G697" s="5" t="s">
        <v>72</v>
      </c>
      <c r="H697" s="5" t="s">
        <v>1657</v>
      </c>
      <c r="I697" s="16"/>
      <c r="J697" s="16"/>
    </row>
    <row r="698" ht="22.5" customHeight="1">
      <c r="A698" s="185" t="s">
        <v>215</v>
      </c>
      <c r="B698" s="185" t="s">
        <v>207</v>
      </c>
      <c r="C698" s="186">
        <v>1.0</v>
      </c>
      <c r="D698" s="183">
        <v>338.0</v>
      </c>
      <c r="E698" s="185" t="s">
        <v>119</v>
      </c>
      <c r="F698" s="139">
        <v>46165.0</v>
      </c>
      <c r="G698" s="5" t="s">
        <v>72</v>
      </c>
      <c r="H698" s="5" t="s">
        <v>1658</v>
      </c>
      <c r="I698" s="16"/>
      <c r="J698" s="16"/>
    </row>
    <row r="699" ht="22.5" customHeight="1">
      <c r="A699" s="185" t="s">
        <v>218</v>
      </c>
      <c r="B699" s="185" t="s">
        <v>207</v>
      </c>
      <c r="C699" s="186">
        <v>1.0</v>
      </c>
      <c r="D699" s="183">
        <v>338.0</v>
      </c>
      <c r="E699" s="185" t="s">
        <v>119</v>
      </c>
      <c r="F699" s="139">
        <v>46165.0</v>
      </c>
      <c r="G699" s="5" t="s">
        <v>72</v>
      </c>
      <c r="H699" s="5" t="s">
        <v>1659</v>
      </c>
      <c r="I699" s="16"/>
      <c r="J699" s="16"/>
    </row>
    <row r="700" ht="22.5" customHeight="1">
      <c r="A700" s="185" t="s">
        <v>222</v>
      </c>
      <c r="B700" s="185" t="s">
        <v>207</v>
      </c>
      <c r="C700" s="186">
        <v>1.0</v>
      </c>
      <c r="D700" s="183">
        <v>338.0</v>
      </c>
      <c r="E700" s="185" t="s">
        <v>119</v>
      </c>
      <c r="F700" s="139">
        <v>46165.0</v>
      </c>
      <c r="G700" s="5" t="s">
        <v>72</v>
      </c>
      <c r="H700" s="5" t="s">
        <v>1662</v>
      </c>
      <c r="I700" s="16"/>
      <c r="J700" s="16"/>
    </row>
    <row r="701" ht="22.5" customHeight="1">
      <c r="A701" s="185" t="s">
        <v>1080</v>
      </c>
      <c r="B701" s="185" t="s">
        <v>1376</v>
      </c>
      <c r="C701" s="186">
        <v>2.0</v>
      </c>
      <c r="D701" s="183">
        <v>40.0</v>
      </c>
      <c r="E701" s="185" t="s">
        <v>119</v>
      </c>
      <c r="F701" s="139">
        <v>46165.0</v>
      </c>
      <c r="G701" s="5" t="s">
        <v>72</v>
      </c>
      <c r="H701" s="5" t="s">
        <v>1663</v>
      </c>
      <c r="I701" s="16"/>
      <c r="J701" s="16"/>
    </row>
    <row r="702" ht="22.5" customHeight="1">
      <c r="A702" s="185" t="s">
        <v>971</v>
      </c>
      <c r="B702" s="185" t="s">
        <v>595</v>
      </c>
      <c r="C702" s="186">
        <v>2.0</v>
      </c>
      <c r="D702" s="183">
        <v>120.0</v>
      </c>
      <c r="E702" s="185" t="s">
        <v>119</v>
      </c>
      <c r="F702" s="139">
        <v>46165.0</v>
      </c>
      <c r="G702" s="5" t="s">
        <v>72</v>
      </c>
      <c r="H702" s="5" t="s">
        <v>1664</v>
      </c>
      <c r="I702" s="16"/>
      <c r="J702" s="16"/>
    </row>
    <row r="703" ht="22.5" customHeight="1">
      <c r="A703" s="185" t="s">
        <v>594</v>
      </c>
      <c r="B703" s="185" t="s">
        <v>595</v>
      </c>
      <c r="C703" s="186">
        <v>1.0</v>
      </c>
      <c r="D703" s="183">
        <v>175.0</v>
      </c>
      <c r="E703" s="185" t="s">
        <v>119</v>
      </c>
      <c r="F703" s="139">
        <v>46165.0</v>
      </c>
      <c r="G703" s="5" t="s">
        <v>72</v>
      </c>
      <c r="H703" s="5" t="s">
        <v>1667</v>
      </c>
      <c r="I703" s="16"/>
      <c r="J703" s="16"/>
    </row>
    <row r="704" ht="22.5" customHeight="1">
      <c r="A704" s="185" t="s">
        <v>616</v>
      </c>
      <c r="B704" s="185" t="s">
        <v>595</v>
      </c>
      <c r="C704" s="186">
        <v>3.0</v>
      </c>
      <c r="D704" s="183">
        <v>170.0</v>
      </c>
      <c r="E704" s="185" t="s">
        <v>119</v>
      </c>
      <c r="F704" s="139">
        <v>46165.0</v>
      </c>
      <c r="G704" s="5" t="s">
        <v>72</v>
      </c>
      <c r="H704" s="5" t="s">
        <v>1668</v>
      </c>
      <c r="I704" s="16"/>
      <c r="J704" s="16"/>
    </row>
    <row r="705" ht="22.5" customHeight="1">
      <c r="A705" s="185" t="s">
        <v>1263</v>
      </c>
      <c r="B705" s="185" t="s">
        <v>1380</v>
      </c>
      <c r="C705" s="186">
        <v>3.0</v>
      </c>
      <c r="D705" s="183">
        <v>39.0</v>
      </c>
      <c r="E705" s="185" t="s">
        <v>119</v>
      </c>
      <c r="F705" s="139">
        <v>46165.0</v>
      </c>
      <c r="G705" s="5" t="s">
        <v>72</v>
      </c>
      <c r="H705" s="5" t="s">
        <v>1669</v>
      </c>
      <c r="I705" s="16"/>
      <c r="J705" s="16"/>
    </row>
    <row r="706" ht="22.5" customHeight="1">
      <c r="A706" s="185" t="s">
        <v>1063</v>
      </c>
      <c r="B706" s="185" t="s">
        <v>1027</v>
      </c>
      <c r="C706" s="186">
        <v>3.0</v>
      </c>
      <c r="D706" s="183">
        <v>108.0</v>
      </c>
      <c r="E706" s="185" t="s">
        <v>119</v>
      </c>
      <c r="F706" s="139">
        <v>46165.0</v>
      </c>
      <c r="G706" s="5" t="s">
        <v>72</v>
      </c>
      <c r="H706" s="5" t="s">
        <v>1671</v>
      </c>
      <c r="I706" s="16"/>
      <c r="J706" s="16"/>
    </row>
    <row r="707" ht="22.5" customHeight="1">
      <c r="A707" s="185" t="s">
        <v>903</v>
      </c>
      <c r="B707" s="185" t="s">
        <v>1027</v>
      </c>
      <c r="C707" s="186">
        <v>3.0</v>
      </c>
      <c r="D707" s="183">
        <v>115.0</v>
      </c>
      <c r="E707" s="185" t="s">
        <v>119</v>
      </c>
      <c r="F707" s="139">
        <v>46165.0</v>
      </c>
      <c r="G707" s="5" t="s">
        <v>72</v>
      </c>
      <c r="H707" s="5" t="s">
        <v>1672</v>
      </c>
      <c r="I707" s="16"/>
      <c r="J707" s="16"/>
    </row>
    <row r="708" ht="22.5" customHeight="1">
      <c r="A708" s="185" t="s">
        <v>795</v>
      </c>
      <c r="B708" s="185" t="s">
        <v>1068</v>
      </c>
      <c r="C708" s="186">
        <v>4.0</v>
      </c>
      <c r="D708" s="183">
        <v>108.0</v>
      </c>
      <c r="E708" s="185" t="s">
        <v>119</v>
      </c>
      <c r="F708" s="139">
        <v>46165.0</v>
      </c>
      <c r="G708" s="5" t="s">
        <v>72</v>
      </c>
      <c r="H708" s="5" t="s">
        <v>1673</v>
      </c>
      <c r="I708" s="16"/>
      <c r="J708" s="16"/>
    </row>
    <row r="709" ht="22.5" customHeight="1">
      <c r="A709" s="188"/>
      <c r="B709" s="190"/>
      <c r="C709" s="190"/>
      <c r="D709" s="191"/>
      <c r="E709" s="190"/>
      <c r="F709" s="81"/>
      <c r="G709" s="16"/>
      <c r="H709" s="16"/>
      <c r="I709" s="16"/>
      <c r="J709" s="16"/>
    </row>
    <row r="710" ht="22.5" customHeight="1">
      <c r="A710" s="188"/>
      <c r="B710" s="190"/>
      <c r="C710" s="190"/>
      <c r="D710" s="191"/>
      <c r="E710" s="190"/>
      <c r="F710" s="81"/>
      <c r="G710" s="16"/>
      <c r="H710" s="16"/>
      <c r="I710" s="16"/>
      <c r="J710" s="16"/>
    </row>
    <row r="711" ht="22.5" customHeight="1">
      <c r="A711" s="188"/>
      <c r="B711" s="190"/>
      <c r="C711" s="190"/>
      <c r="D711" s="191"/>
      <c r="E711" s="190"/>
      <c r="F711" s="81"/>
      <c r="G711" s="16"/>
      <c r="H711" s="16"/>
      <c r="I711" s="16"/>
      <c r="J711" s="16"/>
    </row>
    <row r="712" ht="22.5" customHeight="1">
      <c r="A712" s="188"/>
      <c r="B712" s="190"/>
      <c r="C712" s="190"/>
      <c r="D712" s="191"/>
      <c r="E712" s="190"/>
      <c r="F712" s="81"/>
      <c r="G712" s="16"/>
      <c r="H712" s="16"/>
      <c r="I712" s="16"/>
      <c r="J712" s="16"/>
    </row>
    <row r="713" ht="22.5" customHeight="1">
      <c r="A713" s="188"/>
      <c r="B713" s="190"/>
      <c r="C713" s="190"/>
      <c r="D713" s="191"/>
      <c r="E713" s="190"/>
      <c r="F713" s="81"/>
      <c r="G713" s="16"/>
      <c r="H713" s="16"/>
      <c r="I713" s="16"/>
      <c r="J713" s="16"/>
    </row>
    <row r="714" ht="22.5" customHeight="1">
      <c r="A714" s="188"/>
      <c r="B714" s="190"/>
      <c r="C714" s="190"/>
      <c r="D714" s="191"/>
      <c r="E714" s="190"/>
      <c r="F714" s="81"/>
      <c r="G714" s="16"/>
      <c r="H714" s="16"/>
      <c r="I714" s="16"/>
      <c r="J714" s="16"/>
    </row>
    <row r="715" ht="22.5" customHeight="1">
      <c r="A715" s="188"/>
      <c r="B715" s="190"/>
      <c r="C715" s="190"/>
      <c r="D715" s="191"/>
      <c r="E715" s="190"/>
      <c r="F715" s="81"/>
      <c r="G715" s="16"/>
      <c r="H715" s="16"/>
      <c r="I715" s="16"/>
      <c r="J715" s="16"/>
    </row>
    <row r="716" ht="22.5" customHeight="1">
      <c r="A716" s="188"/>
      <c r="B716" s="190"/>
      <c r="C716" s="190"/>
      <c r="D716" s="191"/>
      <c r="E716" s="190"/>
      <c r="F716" s="81"/>
      <c r="G716" s="16"/>
      <c r="H716" s="16"/>
      <c r="I716" s="16"/>
      <c r="J716" s="16"/>
    </row>
    <row r="717" ht="22.5" customHeight="1">
      <c r="A717" s="188"/>
      <c r="B717" s="190"/>
      <c r="C717" s="190"/>
      <c r="D717" s="191"/>
      <c r="E717" s="190"/>
      <c r="F717" s="81"/>
      <c r="G717" s="16"/>
      <c r="H717" s="16"/>
      <c r="I717" s="16"/>
      <c r="J717" s="16"/>
    </row>
    <row r="718" ht="22.5" customHeight="1">
      <c r="A718" s="188"/>
      <c r="B718" s="190"/>
      <c r="C718" s="190"/>
      <c r="D718" s="191"/>
      <c r="E718" s="190"/>
      <c r="F718" s="81"/>
      <c r="G718" s="16"/>
      <c r="H718" s="16"/>
      <c r="I718" s="16"/>
      <c r="J718" s="16"/>
    </row>
    <row r="719" ht="22.5" customHeight="1">
      <c r="A719" s="188"/>
      <c r="B719" s="190"/>
      <c r="C719" s="190"/>
      <c r="D719" s="191"/>
      <c r="E719" s="190"/>
      <c r="F719" s="81"/>
      <c r="G719" s="16"/>
      <c r="H719" s="16"/>
      <c r="I719" s="16"/>
      <c r="J719" s="16"/>
    </row>
    <row r="720" ht="22.5" customHeight="1">
      <c r="A720" s="188"/>
      <c r="B720" s="190"/>
      <c r="C720" s="190"/>
      <c r="D720" s="191"/>
      <c r="E720" s="190"/>
      <c r="F720" s="81"/>
      <c r="G720" s="16"/>
      <c r="H720" s="16"/>
      <c r="I720" s="16"/>
      <c r="J720" s="16"/>
    </row>
  </sheetData>
  <dataValidations>
    <dataValidation type="list" allowBlank="1" sqref="B588:B708">
      <formula1>Stock_New!$B:$B</formula1>
    </dataValidation>
    <dataValidation type="list" allowBlank="1" showErrorMessage="1" sqref="A187:A227 A229:A235">
      <formula1>#REF!</formula1>
    </dataValidation>
    <dataValidation type="list" allowBlank="1" sqref="E588:E708">
      <formula1>Stock_New!$C:$C</formula1>
    </dataValidation>
    <dataValidation type="list" allowBlank="1" sqref="A2:A983">
      <formula1>#REF!</formula1>
    </dataValidation>
    <dataValidation type="custom" allowBlank="1" showDropDown="1" sqref="D2:D983">
      <formula1>AND(ISNUMBER(D2),(NOT(OR(NOT(ISERROR(DATEVALUE(D2))), AND(ISNUMBER(D2), LEFT(CELL("format", D2))="D")))))</formula1>
    </dataValidation>
  </dataValidations>
  <drawing ns1:id="rId1"/>
  <tableParts count="1">
    <tablePart ns1:id="rId3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6.75"/>
    <col customWidth="1" min="7" max="7" width="17.0"/>
    <col customWidth="1" min="8" max="8" width="15.38"/>
    <col customWidth="1" min="12" max="12" width="13.0"/>
    <col customWidth="1" min="16" max="16" width="18.38"/>
  </cols>
  <sheetData>
    <row r="1" ht="22.5" customHeight="1">
      <c r="A1" s="6" t="s">
        <v>1471</v>
      </c>
      <c r="B1" s="6" t="s">
        <v>9</v>
      </c>
      <c r="C1" s="6" t="s">
        <v>57</v>
      </c>
      <c r="D1" s="6" t="s">
        <v>11</v>
      </c>
      <c r="E1" s="154" t="s">
        <v>1473</v>
      </c>
      <c r="F1" s="6" t="s">
        <v>1475</v>
      </c>
      <c r="G1" s="154" t="s">
        <v>1476</v>
      </c>
      <c r="H1" s="6" t="s">
        <v>1477</v>
      </c>
      <c r="I1" s="20" t="s">
        <v>1478</v>
      </c>
      <c r="J1" s="6" t="s">
        <v>61</v>
      </c>
      <c r="K1" s="6" t="s">
        <v>1479</v>
      </c>
      <c r="L1" s="6" t="s">
        <v>63</v>
      </c>
      <c r="M1" s="10" t="s">
        <v>1480</v>
      </c>
      <c r="N1" s="19" t="s">
        <v>1482</v>
      </c>
      <c r="O1" s="19" t="s">
        <v>1483</v>
      </c>
      <c r="P1" s="19" t="s">
        <v>1484</v>
      </c>
    </row>
    <row r="2" ht="22.5" customHeight="1">
      <c r="A2" s="155" t="s">
        <v>179</v>
      </c>
      <c r="B2" s="15" t="str">
        <f>IF(A2="","",IFERROR(VLOOKUP(A2, Stock_New!A:M, 2, FALSE),""))</f>
        <v>بوتات</v>
      </c>
      <c r="C2" s="156">
        <v>2.0</v>
      </c>
      <c r="D2" s="15" t="str">
        <f>IF(A2="","",IFERROR(VLOOKUP(A2, Stock_New!A:M, 3, FALSE),""))</f>
        <v>ذكريا</v>
      </c>
      <c r="E2" s="15">
        <f>IF($A2="", "", IFERROR(VLOOKUP($A2, Stock_New!$A:$M, 6, FALSE), ""))</f>
        <v>126</v>
      </c>
      <c r="F2" s="157">
        <v>120.0</v>
      </c>
      <c r="G2" s="62"/>
      <c r="H2" s="17">
        <v>240.0</v>
      </c>
      <c r="I2" s="158" t="s">
        <v>72</v>
      </c>
      <c r="J2" s="6" t="s">
        <v>72</v>
      </c>
      <c r="K2" s="6" t="s">
        <v>1493</v>
      </c>
      <c r="L2" s="15"/>
      <c r="M2" s="159" t="s">
        <v>1494</v>
      </c>
      <c r="N2" s="159">
        <f t="shared" ref="N2:N5" si="1">550-200-350</f>
        <v>0</v>
      </c>
      <c r="O2" s="160"/>
      <c r="P2" s="15"/>
    </row>
    <row r="3" ht="22.5" customHeight="1">
      <c r="A3" s="161" t="s">
        <v>36</v>
      </c>
      <c r="B3" s="15" t="str">
        <f>IF(A3="","",IFERROR(VLOOKUP(A3, Stock_New!A:M, 2, FALSE),""))</f>
        <v>شجر</v>
      </c>
      <c r="C3" s="162">
        <v>2.0</v>
      </c>
      <c r="D3" s="15" t="str">
        <f>IF(A3="","",IFERROR(VLOOKUP(A3, Stock_New!A:M, 3, FALSE),""))</f>
        <v>ذكريا</v>
      </c>
      <c r="E3" s="15">
        <f>IF($A3="", "", IFERROR(VLOOKUP($A3, Stock_New!$A:$M, 6, FALSE), ""))</f>
        <v>114</v>
      </c>
      <c r="F3" s="159">
        <v>75.0</v>
      </c>
      <c r="G3" s="163">
        <v>0.0</v>
      </c>
      <c r="H3" s="17">
        <v>150.0</v>
      </c>
      <c r="I3" s="164" t="s">
        <v>72</v>
      </c>
      <c r="J3" s="6" t="s">
        <v>72</v>
      </c>
      <c r="K3" s="6" t="s">
        <v>1498</v>
      </c>
      <c r="L3" s="15"/>
      <c r="M3" s="165" t="s">
        <v>1494</v>
      </c>
      <c r="N3" s="165">
        <f t="shared" si="1"/>
        <v>0</v>
      </c>
      <c r="O3" s="166"/>
      <c r="P3" s="167"/>
    </row>
    <row r="4" ht="22.5" customHeight="1">
      <c r="A4" s="168" t="s">
        <v>40</v>
      </c>
      <c r="B4" s="15" t="str">
        <f>IF(A4="","",IFERROR(VLOOKUP(A4, Stock_New!A:M, 2, FALSE),""))</f>
        <v>بوكيه</v>
      </c>
      <c r="C4" s="156">
        <v>1.0</v>
      </c>
      <c r="D4" s="15" t="str">
        <f>IF(A4="","",IFERROR(VLOOKUP(A4, Stock_New!A:M, 3, FALSE),""))</f>
        <v>ذكريا</v>
      </c>
      <c r="E4" s="15">
        <f>IF($A4="", "", IFERROR(VLOOKUP($A4, Stock_New!$A:$M, 6, FALSE), ""))</f>
        <v>168</v>
      </c>
      <c r="F4" s="165">
        <v>150.0</v>
      </c>
      <c r="G4" s="50">
        <v>0.0</v>
      </c>
      <c r="H4" s="17">
        <v>150.0</v>
      </c>
      <c r="I4" s="158" t="s">
        <v>72</v>
      </c>
      <c r="J4" s="6" t="s">
        <v>72</v>
      </c>
      <c r="K4" s="6" t="s">
        <v>1505</v>
      </c>
      <c r="L4" s="15"/>
      <c r="M4" s="159" t="s">
        <v>1494</v>
      </c>
      <c r="N4" s="159">
        <f t="shared" si="1"/>
        <v>0</v>
      </c>
      <c r="O4" s="160"/>
      <c r="P4" s="169"/>
    </row>
    <row r="5" ht="22.5" customHeight="1">
      <c r="A5" s="170" t="s">
        <v>43</v>
      </c>
      <c r="B5" s="15" t="str">
        <f>IF(A5="","",IFERROR(VLOOKUP(A5, Stock_New!A:M, 2, FALSE),""))</f>
        <v>بوكيه</v>
      </c>
      <c r="C5" s="162">
        <v>1.0</v>
      </c>
      <c r="D5" s="15" t="str">
        <f>IF(A5="","",IFERROR(VLOOKUP(A5, Stock_New!A:M, 3, FALSE),""))</f>
        <v>ذكريا</v>
      </c>
      <c r="E5" s="15">
        <f>IF($A5="", "", IFERROR(VLOOKUP($A5, Stock_New!$A:$M, 6, FALSE), ""))</f>
        <v>162</v>
      </c>
      <c r="F5" s="159">
        <v>195.0</v>
      </c>
      <c r="G5" s="163">
        <v>0.0</v>
      </c>
      <c r="H5" s="17">
        <v>195.0</v>
      </c>
      <c r="I5" s="164" t="s">
        <v>72</v>
      </c>
      <c r="J5" s="6" t="s">
        <v>72</v>
      </c>
      <c r="K5" s="6" t="s">
        <v>1512</v>
      </c>
      <c r="L5" s="15"/>
      <c r="M5" s="165" t="s">
        <v>1494</v>
      </c>
      <c r="N5" s="165">
        <f t="shared" si="1"/>
        <v>0</v>
      </c>
      <c r="O5" s="166"/>
      <c r="P5" s="167"/>
    </row>
    <row r="6" ht="22.5" customHeight="1">
      <c r="A6" s="168" t="s">
        <v>45</v>
      </c>
      <c r="B6" s="15" t="str">
        <f>IF(A6="","",IFERROR(VLOOKUP(A6, Stock_New!A:M, 2, FALSE),""))</f>
        <v>بوكيه</v>
      </c>
      <c r="C6" s="156">
        <v>1.0</v>
      </c>
      <c r="D6" s="15" t="str">
        <f>IF(A6="","",IFERROR(VLOOKUP(A6, Stock_New!A:M, 3, FALSE),""))</f>
        <v>ذكريا</v>
      </c>
      <c r="E6" s="16">
        <f>IF($A6="", "", IFERROR(VLOOKUP($A6, Stock_New!$A:$M, 6, FALSE), ""))</f>
        <v>222</v>
      </c>
      <c r="F6" s="165">
        <v>235.0</v>
      </c>
      <c r="G6" s="50">
        <v>0.0</v>
      </c>
      <c r="H6" s="17">
        <v>235.0</v>
      </c>
      <c r="I6" s="158" t="s">
        <v>72</v>
      </c>
      <c r="J6" s="5" t="s">
        <v>72</v>
      </c>
      <c r="K6" s="5" t="s">
        <v>1517</v>
      </c>
      <c r="L6" s="16"/>
      <c r="M6" s="67"/>
      <c r="N6" s="67"/>
      <c r="O6" s="160"/>
      <c r="P6" s="169"/>
    </row>
    <row r="7" ht="22.5" customHeight="1">
      <c r="A7" s="170" t="s">
        <v>48</v>
      </c>
      <c r="B7" s="15" t="str">
        <f>IF(A7="","",IFERROR(VLOOKUP(A7, Stock_New!A:M, 2, FALSE),""))</f>
        <v>بوكيه</v>
      </c>
      <c r="C7" s="162">
        <v>2.0</v>
      </c>
      <c r="D7" s="15" t="str">
        <f>IF(A7="","",IFERROR(VLOOKUP(A7, Stock_New!A:M, 3, FALSE),""))</f>
        <v>ذكريا</v>
      </c>
      <c r="E7" s="16">
        <f>IF($A7="", "", IFERROR(VLOOKUP($A7, Stock_New!$A:$M, 6, FALSE), ""))</f>
        <v>44.4</v>
      </c>
      <c r="F7" s="159">
        <v>50.0</v>
      </c>
      <c r="G7" s="163">
        <v>0.0</v>
      </c>
      <c r="H7" s="17">
        <v>100.0</v>
      </c>
      <c r="I7" s="175" t="s">
        <v>72</v>
      </c>
      <c r="J7" s="5" t="s">
        <v>72</v>
      </c>
      <c r="K7" s="5" t="s">
        <v>1523</v>
      </c>
      <c r="L7" s="16"/>
      <c r="M7" s="61"/>
      <c r="N7" s="61"/>
      <c r="O7" s="166"/>
      <c r="P7" s="167"/>
    </row>
    <row r="8" ht="22.5" customHeight="1">
      <c r="A8" s="168" t="s">
        <v>55</v>
      </c>
      <c r="B8" s="15" t="str">
        <f>IF(A8="","",IFERROR(VLOOKUP(A8, Stock_New!A:M, 2, FALSE),""))</f>
        <v>شجر</v>
      </c>
      <c r="C8" s="156">
        <v>1.0</v>
      </c>
      <c r="D8" s="15" t="str">
        <f>IF(A8="","",IFERROR(VLOOKUP(A8, Stock_New!A:M, 3, FALSE),""))</f>
        <v>ذكريا</v>
      </c>
      <c r="E8" s="16">
        <f>IF($A8="", "", IFERROR(VLOOKUP($A8, Stock_New!$A:$M, 6, FALSE), ""))</f>
        <v>234</v>
      </c>
      <c r="F8" s="165">
        <v>245.0</v>
      </c>
      <c r="G8" s="50">
        <v>0.0</v>
      </c>
      <c r="H8" s="17">
        <v>245.0</v>
      </c>
      <c r="I8" s="176" t="s">
        <v>72</v>
      </c>
      <c r="J8" s="5" t="s">
        <v>72</v>
      </c>
      <c r="K8" s="5" t="s">
        <v>1533</v>
      </c>
      <c r="L8" s="16"/>
      <c r="M8" s="67"/>
      <c r="N8" s="67"/>
      <c r="O8" s="160"/>
      <c r="P8" s="169"/>
    </row>
    <row r="9" ht="22.5" customHeight="1">
      <c r="A9" s="170" t="s">
        <v>66</v>
      </c>
      <c r="B9" s="15" t="str">
        <f>IF(A9="","",IFERROR(VLOOKUP(A9, Stock_New!A:M, 2, FALSE),""))</f>
        <v>بوكيه</v>
      </c>
      <c r="C9" s="162">
        <v>1.0</v>
      </c>
      <c r="D9" s="15" t="str">
        <f>IF(A9="","",IFERROR(VLOOKUP(A9, Stock_New!A:M, 3, FALSE),""))</f>
        <v>ذكريا</v>
      </c>
      <c r="E9" s="16">
        <f>IF($A9="", "", IFERROR(VLOOKUP($A9, Stock_New!$A:$M, 6, FALSE), ""))</f>
        <v>204</v>
      </c>
      <c r="F9" s="159">
        <v>220.0</v>
      </c>
      <c r="G9" s="163">
        <v>0.0</v>
      </c>
      <c r="H9" s="17">
        <v>220.0</v>
      </c>
      <c r="I9" s="175" t="s">
        <v>72</v>
      </c>
      <c r="J9" s="5" t="s">
        <v>72</v>
      </c>
      <c r="K9" s="5" t="s">
        <v>1537</v>
      </c>
      <c r="L9" s="16"/>
      <c r="M9" s="61"/>
      <c r="N9" s="61"/>
      <c r="O9" s="166"/>
      <c r="P9" s="167"/>
    </row>
    <row r="10" ht="22.5" customHeight="1">
      <c r="A10" s="168" t="s">
        <v>70</v>
      </c>
      <c r="B10" s="15" t="str">
        <f>IF(A10="","",IFERROR(VLOOKUP(A10, Stock_New!A:M, 2, FALSE),""))</f>
        <v>مطبخ</v>
      </c>
      <c r="C10" s="156">
        <v>2.0</v>
      </c>
      <c r="D10" s="15" t="str">
        <f>IF(A10="","",IFERROR(VLOOKUP(A10, Stock_New!A:M, 3, FALSE),""))</f>
        <v>ذكريا</v>
      </c>
      <c r="E10" s="16">
        <f>IF($A10="", "", IFERROR(VLOOKUP($A10, Stock_New!$A:$M, 6, FALSE), ""))</f>
        <v>90</v>
      </c>
      <c r="F10" s="165">
        <v>100.0</v>
      </c>
      <c r="G10" s="50">
        <v>0.0</v>
      </c>
      <c r="H10" s="17">
        <v>200.0</v>
      </c>
      <c r="I10" s="176" t="s">
        <v>72</v>
      </c>
      <c r="J10" s="5" t="s">
        <v>72</v>
      </c>
      <c r="K10" s="5" t="s">
        <v>1541</v>
      </c>
      <c r="L10" s="16"/>
      <c r="M10" s="159" t="s">
        <v>1542</v>
      </c>
      <c r="N10" s="67"/>
      <c r="O10" s="160"/>
      <c r="P10" s="169"/>
    </row>
    <row r="11" ht="22.5" customHeight="1">
      <c r="A11" s="170" t="s">
        <v>43</v>
      </c>
      <c r="B11" s="15" t="str">
        <f>IF(A11="","",IFERROR(VLOOKUP(A11, Stock_New!A:M, 2, FALSE),""))</f>
        <v>بوكيه</v>
      </c>
      <c r="C11" s="162">
        <v>1.0</v>
      </c>
      <c r="D11" s="15" t="str">
        <f>IF(A11="","",IFERROR(VLOOKUP(A11, Stock_New!A:M, 3, FALSE),""))</f>
        <v>ذكريا</v>
      </c>
      <c r="E11" s="16">
        <f>IF($A11="", "", IFERROR(VLOOKUP($A11, Stock_New!$A:$M, 6, FALSE), ""))</f>
        <v>162</v>
      </c>
      <c r="F11" s="159">
        <v>195.0</v>
      </c>
      <c r="G11" s="163">
        <v>0.0</v>
      </c>
      <c r="H11" s="17">
        <v>195.0</v>
      </c>
      <c r="I11" s="175" t="s">
        <v>72</v>
      </c>
      <c r="J11" s="5" t="s">
        <v>72</v>
      </c>
      <c r="K11" s="5" t="s">
        <v>1546</v>
      </c>
      <c r="L11" s="16"/>
      <c r="M11" s="165" t="s">
        <v>1542</v>
      </c>
      <c r="N11" s="61"/>
      <c r="O11" s="166"/>
      <c r="P11" s="167"/>
    </row>
    <row r="12" ht="22.5" customHeight="1">
      <c r="A12" s="168" t="s">
        <v>74</v>
      </c>
      <c r="B12" s="15" t="str">
        <f>IF(A12="","",IFERROR(VLOOKUP(A12, Stock_New!A:M, 2, FALSE),""))</f>
        <v>سيلفرات</v>
      </c>
      <c r="C12" s="156">
        <v>1.0</v>
      </c>
      <c r="D12" s="15" t="str">
        <f>IF(A12="","",IFERROR(VLOOKUP(A12, Stock_New!A:M, 3, FALSE),""))</f>
        <v>ذكريا</v>
      </c>
      <c r="E12" s="16">
        <f>IF($A12="", "", IFERROR(VLOOKUP($A12, Stock_New!$A:$M, 6, FALSE), ""))</f>
        <v>144</v>
      </c>
      <c r="F12" s="165">
        <v>180.0</v>
      </c>
      <c r="G12" s="50">
        <v>0.0</v>
      </c>
      <c r="H12" s="17">
        <v>180.0</v>
      </c>
      <c r="I12" s="176" t="s">
        <v>72</v>
      </c>
      <c r="J12" s="5" t="s">
        <v>72</v>
      </c>
      <c r="K12" s="5" t="s">
        <v>1552</v>
      </c>
      <c r="L12" s="16"/>
      <c r="M12" s="159" t="s">
        <v>1542</v>
      </c>
      <c r="N12" s="67"/>
      <c r="O12" s="160"/>
      <c r="P12" s="169"/>
    </row>
    <row r="13" ht="22.5" customHeight="1">
      <c r="A13" s="170" t="s">
        <v>179</v>
      </c>
      <c r="B13" s="15" t="str">
        <f>IF(A13="","",IFERROR(VLOOKUP(A13, Stock_New!A:M, 2, FALSE),""))</f>
        <v>بوتات</v>
      </c>
      <c r="C13" s="162">
        <v>1.0</v>
      </c>
      <c r="D13" s="15" t="str">
        <f>IF(A13="","",IFERROR(VLOOKUP(A13, Stock_New!A:M, 3, FALSE),""))</f>
        <v>ذكريا</v>
      </c>
      <c r="E13" s="16">
        <f>IF($A13="", "", IFERROR(VLOOKUP($A13, Stock_New!$A:$M, 6, FALSE), ""))</f>
        <v>126</v>
      </c>
      <c r="F13" s="159">
        <v>140.0</v>
      </c>
      <c r="G13" s="163">
        <v>0.0</v>
      </c>
      <c r="H13" s="17">
        <v>140.0</v>
      </c>
      <c r="I13" s="175" t="s">
        <v>72</v>
      </c>
      <c r="J13" s="5" t="s">
        <v>72</v>
      </c>
      <c r="K13" s="5" t="s">
        <v>1559</v>
      </c>
      <c r="L13" s="16"/>
      <c r="M13" s="165" t="s">
        <v>1542</v>
      </c>
      <c r="N13" s="61"/>
      <c r="O13" s="166"/>
      <c r="P13" s="167"/>
    </row>
    <row r="14" ht="22.5" customHeight="1">
      <c r="A14" s="168" t="s">
        <v>79</v>
      </c>
      <c r="B14" s="15" t="str">
        <f>IF(A14="","",IFERROR(VLOOKUP(A14, Stock_New!A:M, 2, FALSE),""))</f>
        <v>خزف</v>
      </c>
      <c r="C14" s="156">
        <v>1.0</v>
      </c>
      <c r="D14" s="15" t="str">
        <f>IF(A14="","",IFERROR(VLOOKUP(A14, Stock_New!A:M, 3, FALSE),""))</f>
        <v>ذكريا</v>
      </c>
      <c r="E14" s="16">
        <f>IF($A14="", "", IFERROR(VLOOKUP($A14, Stock_New!$A:$M, 6, FALSE), ""))</f>
        <v>72</v>
      </c>
      <c r="F14" s="165">
        <v>120.0</v>
      </c>
      <c r="G14" s="50">
        <v>0.0</v>
      </c>
      <c r="H14" s="17">
        <v>120.0</v>
      </c>
      <c r="I14" s="176" t="s">
        <v>72</v>
      </c>
      <c r="J14" s="5" t="s">
        <v>72</v>
      </c>
      <c r="K14" s="5" t="s">
        <v>1571</v>
      </c>
      <c r="L14" s="16"/>
      <c r="M14" s="159" t="s">
        <v>1542</v>
      </c>
      <c r="N14" s="67"/>
      <c r="O14" s="160"/>
      <c r="P14" s="169"/>
    </row>
    <row r="15" ht="22.5" customHeight="1">
      <c r="A15" s="170" t="s">
        <v>48</v>
      </c>
      <c r="B15" s="15" t="str">
        <f>IF(A15="","",IFERROR(VLOOKUP(A15, Stock_New!A:M, 2, FALSE),""))</f>
        <v>بوكيه</v>
      </c>
      <c r="C15" s="162">
        <v>3.0</v>
      </c>
      <c r="D15" s="15" t="str">
        <f>IF(A15="","",IFERROR(VLOOKUP(A15, Stock_New!A:M, 3, FALSE),""))</f>
        <v>ذكريا</v>
      </c>
      <c r="E15" s="16">
        <f>IF($A15="", "", IFERROR(VLOOKUP($A15, Stock_New!$A:$M, 6, FALSE), ""))</f>
        <v>44.4</v>
      </c>
      <c r="F15" s="159">
        <v>50.0</v>
      </c>
      <c r="G15" s="163">
        <v>0.0</v>
      </c>
      <c r="H15" s="17">
        <v>150.0</v>
      </c>
      <c r="I15" s="164" t="s">
        <v>72</v>
      </c>
      <c r="J15" s="5" t="s">
        <v>72</v>
      </c>
      <c r="K15" s="5" t="s">
        <v>1579</v>
      </c>
      <c r="L15" s="16"/>
      <c r="M15" s="165" t="s">
        <v>1580</v>
      </c>
      <c r="N15" s="61"/>
      <c r="O15" s="166"/>
      <c r="P15" s="167"/>
    </row>
    <row r="16" ht="22.5" customHeight="1">
      <c r="A16" s="168" t="s">
        <v>84</v>
      </c>
      <c r="B16" s="15" t="str">
        <f>IF(A16="","",IFERROR(VLOOKUP(A16, Stock_New!A:M, 2, FALSE),""))</f>
        <v>بوكيه</v>
      </c>
      <c r="C16" s="156">
        <v>1.0</v>
      </c>
      <c r="D16" s="15" t="str">
        <f>IF(A16="","",IFERROR(VLOOKUP(A16, Stock_New!A:M, 3, FALSE),""))</f>
        <v>ذكريا</v>
      </c>
      <c r="E16" s="16">
        <f>IF($A16="", "", IFERROR(VLOOKUP($A16, Stock_New!$A:$M, 6, FALSE), ""))</f>
        <v>264</v>
      </c>
      <c r="F16" s="165">
        <v>252.0</v>
      </c>
      <c r="G16" s="50">
        <v>0.0</v>
      </c>
      <c r="H16" s="17">
        <v>252.0</v>
      </c>
      <c r="I16" s="158" t="s">
        <v>72</v>
      </c>
      <c r="J16" s="5" t="s">
        <v>72</v>
      </c>
      <c r="K16" s="5" t="s">
        <v>1588</v>
      </c>
      <c r="L16" s="16"/>
      <c r="M16" s="159" t="s">
        <v>1580</v>
      </c>
      <c r="N16" s="67"/>
      <c r="O16" s="160"/>
      <c r="P16" s="169"/>
    </row>
    <row r="17" ht="22.5" customHeight="1">
      <c r="A17" s="170" t="s">
        <v>89</v>
      </c>
      <c r="B17" s="15" t="str">
        <f>IF(A17="","",IFERROR(VLOOKUP(A17, Stock_New!A:M, 2, FALSE),""))</f>
        <v>بوكيه</v>
      </c>
      <c r="C17" s="162">
        <v>1.0</v>
      </c>
      <c r="D17" s="15" t="str">
        <f>IF(A17="","",IFERROR(VLOOKUP(A17, Stock_New!A:M, 3, FALSE),""))</f>
        <v>ذكريا</v>
      </c>
      <c r="E17" s="16">
        <f>IF($A17="", "", IFERROR(VLOOKUP($A17, Stock_New!$A:$M, 6, FALSE), ""))</f>
        <v>210</v>
      </c>
      <c r="F17" s="159">
        <v>290.0</v>
      </c>
      <c r="G17" s="163">
        <v>0.0</v>
      </c>
      <c r="H17" s="17">
        <v>290.0</v>
      </c>
      <c r="I17" s="164" t="s">
        <v>72</v>
      </c>
      <c r="J17" s="5" t="s">
        <v>72</v>
      </c>
      <c r="K17" s="5" t="s">
        <v>1595</v>
      </c>
      <c r="L17" s="16"/>
      <c r="M17" s="165" t="s">
        <v>1580</v>
      </c>
      <c r="N17" s="61"/>
      <c r="O17" s="166"/>
      <c r="P17" s="167"/>
    </row>
    <row r="18" ht="22.5" customHeight="1">
      <c r="A18" s="168" t="s">
        <v>96</v>
      </c>
      <c r="B18" s="15" t="str">
        <f>IF(A18="","",IFERROR(VLOOKUP(A18, Stock_New!A:M, 2, FALSE),""))</f>
        <v>بوكيه</v>
      </c>
      <c r="C18" s="156">
        <v>1.0</v>
      </c>
      <c r="D18" s="15" t="str">
        <f>IF(A18="","",IFERROR(VLOOKUP(A18, Stock_New!A:M, 3, FALSE),""))</f>
        <v>ذكريا</v>
      </c>
      <c r="E18" s="16">
        <f>IF($A18="", "", IFERROR(VLOOKUP($A18, Stock_New!$A:$M, 6, FALSE), ""))</f>
        <v>192</v>
      </c>
      <c r="F18" s="165">
        <v>233.0</v>
      </c>
      <c r="G18" s="50">
        <v>0.0</v>
      </c>
      <c r="H18" s="17">
        <v>233.0</v>
      </c>
      <c r="I18" s="158" t="s">
        <v>72</v>
      </c>
      <c r="J18" s="5" t="s">
        <v>72</v>
      </c>
      <c r="K18" s="5" t="s">
        <v>1605</v>
      </c>
      <c r="L18" s="16"/>
      <c r="M18" s="159" t="s">
        <v>1580</v>
      </c>
      <c r="N18" s="67"/>
      <c r="O18" s="160"/>
      <c r="P18" s="169"/>
    </row>
    <row r="19" ht="22.5" customHeight="1">
      <c r="A19" s="170" t="s">
        <v>43</v>
      </c>
      <c r="B19" s="15" t="str">
        <f>IF(A19="","",IFERROR(VLOOKUP(A19, Stock_New!A:M, 2, FALSE),""))</f>
        <v>بوكيه</v>
      </c>
      <c r="C19" s="162">
        <v>2.0</v>
      </c>
      <c r="D19" s="15" t="str">
        <f>IF(A19="","",IFERROR(VLOOKUP(A19, Stock_New!A:M, 3, FALSE),""))</f>
        <v>ذكريا</v>
      </c>
      <c r="E19" s="16">
        <f>IF($A19="", "", IFERROR(VLOOKUP($A19, Stock_New!$A:$M, 6, FALSE), ""))</f>
        <v>162</v>
      </c>
      <c r="F19" s="159">
        <v>180.0</v>
      </c>
      <c r="G19" s="163">
        <v>0.0</v>
      </c>
      <c r="H19" s="16">
        <f>(1-Sales_New!$G19)*Sales_New!$F19*Sales_New!$C19</f>
        <v>360</v>
      </c>
      <c r="I19" s="164" t="s">
        <v>72</v>
      </c>
      <c r="J19" s="5" t="s">
        <v>1612</v>
      </c>
      <c r="K19" s="16"/>
      <c r="L19" s="16"/>
      <c r="M19" s="165" t="s">
        <v>1580</v>
      </c>
      <c r="N19" s="61"/>
      <c r="O19" s="166"/>
      <c r="P19" s="167"/>
    </row>
    <row r="20" ht="22.5" customHeight="1">
      <c r="A20" s="168" t="s">
        <v>101</v>
      </c>
      <c r="B20" s="15" t="str">
        <f>IF(A20="","",IFERROR(VLOOKUP(A20, Stock_New!A:M, 2, FALSE),""))</f>
        <v>سيلفرات</v>
      </c>
      <c r="C20" s="156">
        <v>1.0</v>
      </c>
      <c r="D20" s="15" t="str">
        <f>IF(A20="","",IFERROR(VLOOKUP(A20, Stock_New!A:M, 3, FALSE),""))</f>
        <v>ذكريا</v>
      </c>
      <c r="E20" s="16">
        <f>IF($A20="", "", IFERROR(VLOOKUP($A20, Stock_New!$A:$M, 6, FALSE), ""))</f>
        <v>210</v>
      </c>
      <c r="F20" s="165">
        <v>220.0</v>
      </c>
      <c r="G20" s="50">
        <v>0.0</v>
      </c>
      <c r="H20" s="17">
        <v>220.0</v>
      </c>
      <c r="I20" s="158" t="s">
        <v>72</v>
      </c>
      <c r="J20" s="5" t="s">
        <v>72</v>
      </c>
      <c r="K20" s="5" t="s">
        <v>1617</v>
      </c>
      <c r="L20" s="16"/>
      <c r="M20" s="159" t="s">
        <v>1580</v>
      </c>
      <c r="N20" s="67"/>
      <c r="O20" s="160"/>
      <c r="P20" s="169"/>
    </row>
    <row r="21" ht="22.5" customHeight="1">
      <c r="A21" s="170" t="s">
        <v>48</v>
      </c>
      <c r="B21" s="15" t="str">
        <f>IF(A21="","",IFERROR(VLOOKUP(A21, Stock_New!A:M, 2, FALSE),""))</f>
        <v>بوكيه</v>
      </c>
      <c r="C21" s="162">
        <v>1.0</v>
      </c>
      <c r="D21" s="15" t="str">
        <f>IF(A21="","",IFERROR(VLOOKUP(A21, Stock_New!A:M, 3, FALSE),""))</f>
        <v>ذكريا</v>
      </c>
      <c r="E21" s="16">
        <f>IF($A21="", "", IFERROR(VLOOKUP($A21, Stock_New!$A:$M, 6, FALSE), ""))</f>
        <v>44.4</v>
      </c>
      <c r="F21" s="159">
        <v>50.0</v>
      </c>
      <c r="G21" s="163">
        <v>0.0</v>
      </c>
      <c r="H21" s="17">
        <v>50.0</v>
      </c>
      <c r="I21" s="164" t="s">
        <v>72</v>
      </c>
      <c r="J21" s="5" t="s">
        <v>72</v>
      </c>
      <c r="K21" s="5" t="s">
        <v>1624</v>
      </c>
      <c r="L21" s="16"/>
      <c r="M21" s="165" t="s">
        <v>1625</v>
      </c>
      <c r="N21" s="61"/>
      <c r="O21" s="166"/>
      <c r="P21" s="167"/>
    </row>
    <row r="22" ht="22.5" customHeight="1">
      <c r="A22" s="168" t="s">
        <v>70</v>
      </c>
      <c r="B22" s="15" t="str">
        <f>IF(A22="","",IFERROR(VLOOKUP(A22, Stock_New!A:M, 2, FALSE),""))</f>
        <v>مطبخ</v>
      </c>
      <c r="C22" s="156">
        <v>1.0</v>
      </c>
      <c r="D22" s="15" t="str">
        <f>IF(A22="","",IFERROR(VLOOKUP(A22, Stock_New!A:M, 3, FALSE),""))</f>
        <v>ذكريا</v>
      </c>
      <c r="E22" s="16">
        <f>IF($A22="", "", IFERROR(VLOOKUP($A22, Stock_New!$A:$M, 6, FALSE), ""))</f>
        <v>90</v>
      </c>
      <c r="F22" s="165">
        <v>100.0</v>
      </c>
      <c r="G22" s="50">
        <v>0.0</v>
      </c>
      <c r="H22" s="17">
        <v>100.0</v>
      </c>
      <c r="I22" s="158" t="s">
        <v>72</v>
      </c>
      <c r="J22" s="5" t="s">
        <v>72</v>
      </c>
      <c r="K22" s="5" t="s">
        <v>1629</v>
      </c>
      <c r="L22" s="16"/>
      <c r="M22" s="159" t="s">
        <v>1625</v>
      </c>
      <c r="N22" s="67"/>
      <c r="O22" s="160"/>
      <c r="P22" s="169"/>
    </row>
    <row r="23" ht="22.5" customHeight="1">
      <c r="A23" s="69" t="s">
        <v>106</v>
      </c>
      <c r="B23" s="15" t="str">
        <f>IF(A23="","",IFERROR(VLOOKUP(A23, Stock_New!A:M, 2, FALSE),""))</f>
        <v>شجر</v>
      </c>
      <c r="C23" s="162">
        <v>2.0</v>
      </c>
      <c r="D23" s="15" t="str">
        <f>IF(A23="","",IFERROR(VLOOKUP(A23, Stock_New!A:M, 3, FALSE),""))</f>
        <v>ذكريا</v>
      </c>
      <c r="E23" s="16">
        <f>IF($A23="", "", IFERROR(VLOOKUP($A23, Stock_New!$A:$M, 6, FALSE), ""))</f>
        <v>227.15</v>
      </c>
      <c r="F23" s="159">
        <v>245.0</v>
      </c>
      <c r="G23" s="163">
        <v>0.0</v>
      </c>
      <c r="H23" s="17">
        <v>490.0</v>
      </c>
      <c r="I23" s="164" t="s">
        <v>72</v>
      </c>
      <c r="J23" s="5" t="s">
        <v>72</v>
      </c>
      <c r="K23" s="5" t="s">
        <v>1634</v>
      </c>
      <c r="L23" s="16"/>
      <c r="M23" s="165" t="s">
        <v>1625</v>
      </c>
      <c r="N23" s="61"/>
      <c r="O23" s="166"/>
      <c r="P23" s="167"/>
    </row>
    <row r="24" ht="22.5" customHeight="1">
      <c r="A24" s="168" t="s">
        <v>179</v>
      </c>
      <c r="B24" s="15" t="str">
        <f>IF(A24="","",IFERROR(VLOOKUP(A24, Stock_New!A:M, 2, FALSE),""))</f>
        <v>بوتات</v>
      </c>
      <c r="C24" s="156">
        <v>2.0</v>
      </c>
      <c r="D24" s="15" t="str">
        <f>IF(A24="","",IFERROR(VLOOKUP(A24, Stock_New!A:M, 3, FALSE),""))</f>
        <v>ذكريا</v>
      </c>
      <c r="E24" s="16">
        <f>IF($A24="", "", IFERROR(VLOOKUP($A24, Stock_New!$A:$M, 6, FALSE), ""))</f>
        <v>126</v>
      </c>
      <c r="F24" s="165">
        <v>135.0</v>
      </c>
      <c r="G24" s="50">
        <v>0.0</v>
      </c>
      <c r="H24" s="17">
        <v>270.0</v>
      </c>
      <c r="I24" s="158" t="s">
        <v>72</v>
      </c>
      <c r="J24" s="5" t="s">
        <v>72</v>
      </c>
      <c r="K24" s="5" t="s">
        <v>1640</v>
      </c>
      <c r="L24" s="16"/>
      <c r="M24" s="159" t="s">
        <v>1625</v>
      </c>
      <c r="N24" s="67"/>
      <c r="O24" s="160"/>
      <c r="P24" s="169"/>
    </row>
    <row r="25" ht="22.5" customHeight="1">
      <c r="A25" s="170" t="s">
        <v>48</v>
      </c>
      <c r="B25" s="15" t="str">
        <f>IF(A25="","",IFERROR(VLOOKUP(A25, Stock_New!A:M, 2, FALSE),""))</f>
        <v>بوكيه</v>
      </c>
      <c r="C25" s="162">
        <v>2.0</v>
      </c>
      <c r="D25" s="15" t="str">
        <f>IF(A25="","",IFERROR(VLOOKUP(A25, Stock_New!A:M, 3, FALSE),""))</f>
        <v>ذكريا</v>
      </c>
      <c r="E25" s="16">
        <f>IF($A25="", "", IFERROR(VLOOKUP($A25, Stock_New!$A:$M, 6, FALSE), ""))</f>
        <v>44.4</v>
      </c>
      <c r="F25" s="159">
        <v>50.0</v>
      </c>
      <c r="G25" s="163">
        <v>0.0</v>
      </c>
      <c r="H25" s="17">
        <v>100.0</v>
      </c>
      <c r="I25" s="164" t="s">
        <v>72</v>
      </c>
      <c r="J25" s="5" t="s">
        <v>72</v>
      </c>
      <c r="K25" s="5" t="s">
        <v>1644</v>
      </c>
      <c r="L25" s="16"/>
      <c r="M25" s="165" t="s">
        <v>1645</v>
      </c>
      <c r="N25" s="61"/>
      <c r="O25" s="166"/>
      <c r="P25" s="167"/>
    </row>
    <row r="26" ht="22.5" customHeight="1">
      <c r="A26" s="168" t="s">
        <v>48</v>
      </c>
      <c r="B26" s="15" t="str">
        <f>IF(A26="","",IFERROR(VLOOKUP(A26, Stock_New!A:M, 2, FALSE),""))</f>
        <v>بوكيه</v>
      </c>
      <c r="C26" s="156">
        <v>3.0</v>
      </c>
      <c r="D26" s="15" t="str">
        <f>IF(A26="","",IFERROR(VLOOKUP(A26, Stock_New!A:M, 3, FALSE),""))</f>
        <v>ذكريا</v>
      </c>
      <c r="E26" s="16">
        <f>IF($A26="", "", IFERROR(VLOOKUP($A26, Stock_New!$A:$M, 6, FALSE), ""))</f>
        <v>44.4</v>
      </c>
      <c r="F26" s="165">
        <v>50.0</v>
      </c>
      <c r="G26" s="50">
        <v>0.0</v>
      </c>
      <c r="H26" s="17">
        <v>150.0</v>
      </c>
      <c r="I26" s="158" t="s">
        <v>72</v>
      </c>
      <c r="J26" s="5" t="s">
        <v>72</v>
      </c>
      <c r="K26" s="5" t="s">
        <v>1649</v>
      </c>
      <c r="L26" s="16"/>
      <c r="M26" s="159" t="s">
        <v>1625</v>
      </c>
      <c r="N26" s="67"/>
      <c r="O26" s="160"/>
      <c r="P26" s="169"/>
    </row>
    <row r="27" ht="22.5" customHeight="1">
      <c r="A27" s="170" t="s">
        <v>112</v>
      </c>
      <c r="B27" s="15" t="str">
        <f>IF(A27="","",IFERROR(VLOOKUP(A27, Stock_New!A:M, 2, FALSE),""))</f>
        <v>بوكيه</v>
      </c>
      <c r="C27" s="162">
        <v>1.0</v>
      </c>
      <c r="D27" s="15" t="str">
        <f>IF(A27="","",IFERROR(VLOOKUP(A27, Stock_New!A:M, 3, FALSE),""))</f>
        <v>ذكريا</v>
      </c>
      <c r="E27" s="16">
        <f>IF($A27="", "", IFERROR(VLOOKUP($A27, Stock_New!$A:$M, 6, FALSE), ""))</f>
        <v>162</v>
      </c>
      <c r="F27" s="159">
        <v>250.0</v>
      </c>
      <c r="G27" s="163">
        <v>0.1</v>
      </c>
      <c r="H27" s="17">
        <v>249.75</v>
      </c>
      <c r="I27" s="164" t="s">
        <v>72</v>
      </c>
      <c r="J27" s="5" t="s">
        <v>72</v>
      </c>
      <c r="K27" s="5" t="s">
        <v>1653</v>
      </c>
      <c r="L27" s="16"/>
      <c r="M27" s="165" t="s">
        <v>1625</v>
      </c>
      <c r="N27" s="61"/>
      <c r="O27" s="166"/>
      <c r="P27" s="167"/>
    </row>
    <row r="28" ht="22.5" customHeight="1">
      <c r="A28" s="168" t="s">
        <v>48</v>
      </c>
      <c r="B28" s="15" t="str">
        <f>IF(A28="","",IFERROR(VLOOKUP(A28, Stock_New!A:M, 2, FALSE),""))</f>
        <v>بوكيه</v>
      </c>
      <c r="C28" s="156">
        <v>2.0</v>
      </c>
      <c r="D28" s="15" t="str">
        <f>IF(A28="","",IFERROR(VLOOKUP(A28, Stock_New!A:M, 3, FALSE),""))</f>
        <v>ذكريا</v>
      </c>
      <c r="E28" s="16">
        <f>IF($A28="", "", IFERROR(VLOOKUP($A28, Stock_New!$A:$M, 6, FALSE), ""))</f>
        <v>44.4</v>
      </c>
      <c r="F28" s="165">
        <v>50.0</v>
      </c>
      <c r="G28" s="50">
        <v>0.1</v>
      </c>
      <c r="H28" s="17">
        <v>99.9</v>
      </c>
      <c r="I28" s="158" t="s">
        <v>72</v>
      </c>
      <c r="J28" s="5" t="s">
        <v>72</v>
      </c>
      <c r="K28" s="5" t="s">
        <v>1656</v>
      </c>
      <c r="L28" s="16"/>
      <c r="M28" s="159" t="s">
        <v>1625</v>
      </c>
      <c r="N28" s="67"/>
      <c r="O28" s="160"/>
      <c r="P28" s="169"/>
    </row>
    <row r="29" ht="22.5" customHeight="1">
      <c r="A29" s="170" t="s">
        <v>116</v>
      </c>
      <c r="B29" s="15" t="str">
        <f>IF(A29="","",IFERROR(VLOOKUP(A29, Stock_New!A:M, 2, FALSE),""))</f>
        <v>كتب</v>
      </c>
      <c r="C29" s="162">
        <v>10.0</v>
      </c>
      <c r="D29" s="15" t="str">
        <f>IF(A29="","",IFERROR(VLOOKUP(A29, Stock_New!A:M, 3, FALSE),""))</f>
        <v>ذكريا</v>
      </c>
      <c r="E29" s="16">
        <f>IF($A29="", "", IFERROR(VLOOKUP($A29, Stock_New!$A:$M, 6, FALSE), ""))</f>
        <v>20.4</v>
      </c>
      <c r="F29" s="159">
        <v>25.0</v>
      </c>
      <c r="G29" s="163">
        <v>0.1</v>
      </c>
      <c r="H29" s="17">
        <v>249.8</v>
      </c>
      <c r="I29" s="164" t="s">
        <v>72</v>
      </c>
      <c r="J29" s="5" t="s">
        <v>72</v>
      </c>
      <c r="K29" s="5" t="s">
        <v>1660</v>
      </c>
      <c r="L29" s="16"/>
      <c r="M29" s="165" t="s">
        <v>1661</v>
      </c>
      <c r="N29" s="61"/>
      <c r="O29" s="166"/>
      <c r="P29" s="167"/>
    </row>
    <row r="30" ht="22.5" customHeight="1">
      <c r="A30" s="168" t="s">
        <v>122</v>
      </c>
      <c r="B30" s="15" t="str">
        <f>IF(A30="","",IFERROR(VLOOKUP(A30, Stock_New!A:M, 2, FALSE),""))</f>
        <v>مطبخ</v>
      </c>
      <c r="C30" s="156">
        <v>1.0</v>
      </c>
      <c r="D30" s="15" t="str">
        <f>IF(A30="","",IFERROR(VLOOKUP(A30, Stock_New!A:M, 3, FALSE),""))</f>
        <v>ذكريا</v>
      </c>
      <c r="E30" s="16">
        <f>IF($A30="", "", IFERROR(VLOOKUP($A30, Stock_New!$A:$M, 6, FALSE), ""))</f>
        <v>360</v>
      </c>
      <c r="F30" s="165">
        <v>400.0</v>
      </c>
      <c r="G30" s="50">
        <v>0.1</v>
      </c>
      <c r="H30" s="17">
        <v>399.6</v>
      </c>
      <c r="I30" s="158" t="s">
        <v>72</v>
      </c>
      <c r="J30" s="5" t="s">
        <v>72</v>
      </c>
      <c r="K30" s="5" t="s">
        <v>1665</v>
      </c>
      <c r="L30" s="16"/>
      <c r="M30" s="159" t="s">
        <v>1666</v>
      </c>
      <c r="N30" s="67"/>
      <c r="O30" s="160"/>
      <c r="P30" s="169"/>
    </row>
    <row r="31" ht="22.5" customHeight="1">
      <c r="A31" s="170" t="s">
        <v>70</v>
      </c>
      <c r="B31" s="15" t="str">
        <f>IF(A31="","",IFERROR(VLOOKUP(A31, Stock_New!A:M, 2, FALSE),""))</f>
        <v>مطبخ</v>
      </c>
      <c r="C31" s="162">
        <v>1.0</v>
      </c>
      <c r="D31" s="15" t="str">
        <f>IF(A31="","",IFERROR(VLOOKUP(A31, Stock_New!A:M, 3, FALSE),""))</f>
        <v>ذكريا</v>
      </c>
      <c r="E31" s="16">
        <f>IF($A31="", "", IFERROR(VLOOKUP($A31, Stock_New!$A:$M, 6, FALSE), ""))</f>
        <v>90</v>
      </c>
      <c r="F31" s="159">
        <v>100.0</v>
      </c>
      <c r="G31" s="163">
        <v>0.1</v>
      </c>
      <c r="H31" s="17">
        <v>99.9</v>
      </c>
      <c r="I31" s="164" t="s">
        <v>72</v>
      </c>
      <c r="J31" s="5" t="s">
        <v>72</v>
      </c>
      <c r="K31" s="5" t="s">
        <v>1670</v>
      </c>
      <c r="L31" s="16"/>
      <c r="M31" s="165" t="s">
        <v>1666</v>
      </c>
      <c r="N31" s="61"/>
      <c r="O31" s="166"/>
      <c r="P31" s="167"/>
    </row>
    <row r="32" ht="22.5" customHeight="1">
      <c r="A32" s="168" t="s">
        <v>75</v>
      </c>
      <c r="B32" s="15" t="str">
        <f>IF(A32="","",IFERROR(VLOOKUP(A32, Stock_New!A:M, 2, FALSE),""))</f>
        <v>سيلفرات</v>
      </c>
      <c r="C32" s="156">
        <v>1.0</v>
      </c>
      <c r="D32" s="15" t="str">
        <f>IF(A32="","",IFERROR(VLOOKUP(A32, Stock_New!A:M, 3, FALSE),""))</f>
        <v>ذكريا</v>
      </c>
      <c r="E32" s="16">
        <f>IF($A32="", "", IFERROR(VLOOKUP($A32, Stock_New!$A:$M, 6, FALSE), ""))</f>
        <v>870</v>
      </c>
      <c r="F32" s="165">
        <v>935.0</v>
      </c>
      <c r="G32" s="50">
        <v>0.05</v>
      </c>
      <c r="H32" s="17">
        <v>934.53</v>
      </c>
      <c r="I32" s="189" t="s">
        <v>72</v>
      </c>
      <c r="J32" s="5" t="s">
        <v>72</v>
      </c>
      <c r="K32" s="5" t="s">
        <v>1674</v>
      </c>
      <c r="L32" s="16"/>
      <c r="M32" s="159" t="s">
        <v>1666</v>
      </c>
      <c r="N32" s="67"/>
      <c r="O32" s="160"/>
      <c r="P32" s="169"/>
    </row>
    <row r="33" ht="22.5" customHeight="1">
      <c r="A33" s="170" t="s">
        <v>85</v>
      </c>
      <c r="B33" s="15" t="str">
        <f>IF(A33="","",IFERROR(VLOOKUP(A33, Stock_New!A:M, 2, FALSE),""))</f>
        <v>سيلفرات</v>
      </c>
      <c r="C33" s="162">
        <v>1.0</v>
      </c>
      <c r="D33" s="15" t="str">
        <f>IF(A33="","",IFERROR(VLOOKUP(A33, Stock_New!A:M, 3, FALSE),""))</f>
        <v>ذكريا</v>
      </c>
      <c r="E33" s="16">
        <f>IF($A33="", "", IFERROR(VLOOKUP($A33, Stock_New!$A:$M, 6, FALSE), ""))</f>
        <v>718</v>
      </c>
      <c r="F33" s="159">
        <v>795.0</v>
      </c>
      <c r="G33" s="163">
        <v>0.05</v>
      </c>
      <c r="H33" s="17">
        <v>794.6</v>
      </c>
      <c r="I33" s="192" t="s">
        <v>72</v>
      </c>
      <c r="J33" s="5" t="s">
        <v>72</v>
      </c>
      <c r="K33" s="5" t="s">
        <v>1675</v>
      </c>
      <c r="L33" s="16"/>
      <c r="M33" s="165" t="s">
        <v>1666</v>
      </c>
      <c r="N33" s="61"/>
      <c r="O33" s="166"/>
      <c r="P33" s="167"/>
    </row>
    <row r="34" ht="22.5" customHeight="1">
      <c r="A34" s="168" t="s">
        <v>139</v>
      </c>
      <c r="B34" s="15" t="str">
        <f>IF(A34="","",IFERROR(VLOOKUP(A34, Stock_New!A:M, 2, FALSE),""))</f>
        <v>سيلفرات</v>
      </c>
      <c r="C34" s="156">
        <v>1.0</v>
      </c>
      <c r="D34" s="15" t="str">
        <f>IF(A34="","",IFERROR(VLOOKUP(A34, Stock_New!A:M, 3, FALSE),""))</f>
        <v>ذكريا</v>
      </c>
      <c r="E34" s="16">
        <f>IF($A34="", "", IFERROR(VLOOKUP($A34, Stock_New!$A:$M, 6, FALSE), ""))</f>
        <v>132</v>
      </c>
      <c r="F34" s="165">
        <v>150.0</v>
      </c>
      <c r="G34" s="50">
        <v>0.05</v>
      </c>
      <c r="H34" s="17">
        <v>149.93</v>
      </c>
      <c r="I34" s="189" t="s">
        <v>72</v>
      </c>
      <c r="J34" s="5" t="s">
        <v>72</v>
      </c>
      <c r="K34" s="5" t="s">
        <v>1676</v>
      </c>
      <c r="L34" s="16"/>
      <c r="M34" s="193" t="s">
        <v>1677</v>
      </c>
      <c r="N34" s="67"/>
      <c r="O34" s="160"/>
      <c r="P34" s="169"/>
    </row>
    <row r="35" ht="22.5" customHeight="1">
      <c r="A35" s="170" t="s">
        <v>144</v>
      </c>
      <c r="B35" s="15" t="str">
        <f>IF(A35="","",IFERROR(VLOOKUP(A35, Stock_New!A:M, 2, FALSE),""))</f>
        <v>كهربائيات</v>
      </c>
      <c r="C35" s="162">
        <v>2.0</v>
      </c>
      <c r="D35" s="15" t="str">
        <f>IF(A35="","",IFERROR(VLOOKUP(A35, Stock_New!A:M, 3, FALSE),""))</f>
        <v>شركة البطل</v>
      </c>
      <c r="E35" s="16">
        <f>IF($A35="", "", IFERROR(VLOOKUP($A35, Stock_New!$A:$M, 6, FALSE), ""))</f>
        <v>144</v>
      </c>
      <c r="F35" s="159">
        <v>220.0</v>
      </c>
      <c r="G35" s="163">
        <v>0.05</v>
      </c>
      <c r="H35" s="17">
        <v>439.78</v>
      </c>
      <c r="I35" s="192" t="s">
        <v>72</v>
      </c>
      <c r="J35" s="5" t="s">
        <v>72</v>
      </c>
      <c r="K35" s="5" t="s">
        <v>1678</v>
      </c>
      <c r="L35" s="16"/>
      <c r="M35" s="194" t="s">
        <v>1677</v>
      </c>
      <c r="N35" s="61"/>
      <c r="O35" s="166"/>
      <c r="P35" s="167"/>
    </row>
    <row r="36" ht="22.5" customHeight="1">
      <c r="A36" s="168" t="s">
        <v>148</v>
      </c>
      <c r="B36" s="15" t="str">
        <f>IF(A36="","",IFERROR(VLOOKUP(A36, Stock_New!A:M, 2, FALSE),""))</f>
        <v>زجاج</v>
      </c>
      <c r="C36" s="156">
        <v>1.0</v>
      </c>
      <c r="D36" s="15" t="str">
        <f>IF(A36="","",IFERROR(VLOOKUP(A36, Stock_New!A:M, 3, FALSE),""))</f>
        <v>ذكريا</v>
      </c>
      <c r="E36" s="16">
        <f>IF($A36="", "", IFERROR(VLOOKUP($A36, Stock_New!$A:$M, 6, FALSE), ""))</f>
        <v>438</v>
      </c>
      <c r="F36" s="165">
        <v>790.0</v>
      </c>
      <c r="G36" s="50">
        <v>0.05</v>
      </c>
      <c r="H36" s="17">
        <v>789.61</v>
      </c>
      <c r="I36" s="189" t="s">
        <v>72</v>
      </c>
      <c r="J36" s="5" t="s">
        <v>72</v>
      </c>
      <c r="K36" s="5" t="s">
        <v>1692</v>
      </c>
      <c r="L36" s="16"/>
      <c r="M36" s="193" t="s">
        <v>1677</v>
      </c>
      <c r="N36" s="67"/>
      <c r="O36" s="160"/>
      <c r="P36" s="169"/>
    </row>
    <row r="37" ht="22.5" customHeight="1">
      <c r="A37" s="170" t="s">
        <v>153</v>
      </c>
      <c r="B37" s="15" t="str">
        <f>IF(A37="","",IFERROR(VLOOKUP(A37, Stock_New!A:M, 2, FALSE),""))</f>
        <v>سيلفرات</v>
      </c>
      <c r="C37" s="162">
        <v>1.0</v>
      </c>
      <c r="D37" s="15" t="str">
        <f>IF(A37="","",IFERROR(VLOOKUP(A37, Stock_New!A:M, 3, FALSE),""))</f>
        <v>ذكريا</v>
      </c>
      <c r="E37" s="16">
        <f>IF($A37="", "", IFERROR(VLOOKUP($A37, Stock_New!$A:$M, 6, FALSE), ""))</f>
        <v>254</v>
      </c>
      <c r="F37" s="159">
        <v>275.0</v>
      </c>
      <c r="G37" s="163">
        <v>0.05</v>
      </c>
      <c r="H37" s="17">
        <v>274.86</v>
      </c>
      <c r="I37" s="192" t="s">
        <v>72</v>
      </c>
      <c r="J37" s="5" t="s">
        <v>72</v>
      </c>
      <c r="K37" s="5" t="s">
        <v>1700</v>
      </c>
      <c r="L37" s="16"/>
      <c r="M37" s="194" t="s">
        <v>1677</v>
      </c>
      <c r="N37" s="61"/>
      <c r="O37" s="166"/>
      <c r="P37" s="167"/>
    </row>
    <row r="38" ht="22.5" customHeight="1">
      <c r="A38" s="168" t="s">
        <v>157</v>
      </c>
      <c r="B38" s="15" t="str">
        <f>IF(A38="","",IFERROR(VLOOKUP(A38, Stock_New!A:M, 2, FALSE),""))</f>
        <v>بوكيه</v>
      </c>
      <c r="C38" s="156">
        <v>1.0</v>
      </c>
      <c r="D38" s="15" t="str">
        <f>IF(A38="","",IFERROR(VLOOKUP(A38, Stock_New!A:M, 3, FALSE),""))</f>
        <v>ذكريا</v>
      </c>
      <c r="E38" s="16">
        <f>IF($A38="", "", IFERROR(VLOOKUP($A38, Stock_New!$A:$M, 6, FALSE), ""))</f>
        <v>144</v>
      </c>
      <c r="F38" s="165">
        <v>170.0</v>
      </c>
      <c r="G38" s="50">
        <v>0.05</v>
      </c>
      <c r="H38" s="17">
        <v>169.92</v>
      </c>
      <c r="I38" s="189" t="s">
        <v>72</v>
      </c>
      <c r="J38" s="5" t="s">
        <v>72</v>
      </c>
      <c r="K38" s="5" t="s">
        <v>1708</v>
      </c>
      <c r="L38" s="16"/>
      <c r="M38" s="193" t="s">
        <v>1677</v>
      </c>
      <c r="N38" s="67"/>
      <c r="O38" s="160"/>
      <c r="P38" s="169"/>
    </row>
    <row r="39" ht="22.5" customHeight="1">
      <c r="A39" s="170" t="s">
        <v>156</v>
      </c>
      <c r="B39" s="15" t="str">
        <f>IF(A39="","",IFERROR(VLOOKUP(A39, Stock_New!A:M, 2, FALSE),""))</f>
        <v>بوكيه</v>
      </c>
      <c r="C39" s="162">
        <v>2.0</v>
      </c>
      <c r="D39" s="15" t="str">
        <f>IF(A39="","",IFERROR(VLOOKUP(A39, Stock_New!A:M, 3, FALSE),""))</f>
        <v>ذكريا</v>
      </c>
      <c r="E39" s="16">
        <f>IF($A39="", "", IFERROR(VLOOKUP($A39, Stock_New!$A:$M, 6, FALSE), ""))</f>
        <v>135</v>
      </c>
      <c r="F39" s="159">
        <v>150.0</v>
      </c>
      <c r="G39" s="163">
        <v>0.05</v>
      </c>
      <c r="H39" s="17">
        <v>299.86</v>
      </c>
      <c r="I39" s="192" t="s">
        <v>72</v>
      </c>
      <c r="J39" s="5" t="s">
        <v>72</v>
      </c>
      <c r="K39" s="5" t="s">
        <v>1712</v>
      </c>
      <c r="L39" s="16"/>
      <c r="M39" s="194" t="s">
        <v>1677</v>
      </c>
      <c r="N39" s="61"/>
      <c r="O39" s="166"/>
      <c r="P39" s="167"/>
    </row>
    <row r="40" ht="22.5" customHeight="1">
      <c r="A40" s="168" t="s">
        <v>48</v>
      </c>
      <c r="B40" s="15" t="str">
        <f>IF(A40="","",IFERROR(VLOOKUP(A40, Stock_New!A:M, 2, FALSE),""))</f>
        <v>بوكيه</v>
      </c>
      <c r="C40" s="156">
        <v>5.0</v>
      </c>
      <c r="D40" s="15" t="str">
        <f>IF(A40="","",IFERROR(VLOOKUP(A40, Stock_New!A:M, 3, FALSE),""))</f>
        <v>ذكريا</v>
      </c>
      <c r="E40" s="16">
        <f>IF($A40="", "", IFERROR(VLOOKUP($A40, Stock_New!$A:$M, 6, FALSE), ""))</f>
        <v>44.4</v>
      </c>
      <c r="F40" s="165">
        <v>50.0</v>
      </c>
      <c r="G40" s="50">
        <v>0.05</v>
      </c>
      <c r="H40" s="17">
        <v>249.9</v>
      </c>
      <c r="I40" s="189" t="s">
        <v>72</v>
      </c>
      <c r="J40" s="5" t="s">
        <v>72</v>
      </c>
      <c r="K40" s="5" t="s">
        <v>1715</v>
      </c>
      <c r="L40" s="16"/>
      <c r="M40" s="159" t="s">
        <v>1580</v>
      </c>
      <c r="N40" s="67"/>
      <c r="O40" s="160"/>
      <c r="P40" s="169"/>
    </row>
    <row r="41" ht="22.5" customHeight="1">
      <c r="A41" s="170" t="s">
        <v>172</v>
      </c>
      <c r="B41" s="15" t="str">
        <f>IF(A41="","",IFERROR(VLOOKUP(A41, Stock_New!A:M, 2, FALSE),""))</f>
        <v>بوكيه</v>
      </c>
      <c r="C41" s="162">
        <v>2.0</v>
      </c>
      <c r="D41" s="15" t="str">
        <f>IF(A41="","",IFERROR(VLOOKUP(A41, Stock_New!A:M, 3, FALSE),""))</f>
        <v>ذكريا</v>
      </c>
      <c r="E41" s="16">
        <f>IF($A41="", "", IFERROR(VLOOKUP($A41, Stock_New!$A:$M, 6, FALSE), ""))</f>
        <v>33.84</v>
      </c>
      <c r="F41" s="159">
        <v>40.0</v>
      </c>
      <c r="G41" s="163">
        <v>0.05</v>
      </c>
      <c r="H41" s="17">
        <v>79.96</v>
      </c>
      <c r="I41" s="192" t="s">
        <v>72</v>
      </c>
      <c r="J41" s="5" t="s">
        <v>72</v>
      </c>
      <c r="K41" s="5" t="s">
        <v>1723</v>
      </c>
      <c r="L41" s="16"/>
      <c r="M41" s="165" t="s">
        <v>1580</v>
      </c>
      <c r="N41" s="61"/>
      <c r="O41" s="166"/>
      <c r="P41" s="167"/>
    </row>
    <row r="42" ht="22.5" customHeight="1">
      <c r="A42" s="168" t="s">
        <v>144</v>
      </c>
      <c r="B42" s="15" t="str">
        <f>IF(A42="","",IFERROR(VLOOKUP(A42, Stock_New!A:M, 2, FALSE),""))</f>
        <v>كهربائيات</v>
      </c>
      <c r="C42" s="156">
        <v>1.0</v>
      </c>
      <c r="D42" s="15" t="str">
        <f>IF(A42="","",IFERROR(VLOOKUP(A42, Stock_New!A:M, 3, FALSE),""))</f>
        <v>شركة البطل</v>
      </c>
      <c r="E42" s="16">
        <f>IF($A42="", "", IFERROR(VLOOKUP($A42, Stock_New!$A:$M, 6, FALSE), ""))</f>
        <v>144</v>
      </c>
      <c r="F42" s="165">
        <v>220.0</v>
      </c>
      <c r="G42" s="50">
        <v>0.0</v>
      </c>
      <c r="H42" s="17">
        <v>220.0</v>
      </c>
      <c r="I42" s="158" t="s">
        <v>72</v>
      </c>
      <c r="J42" s="5" t="s">
        <v>72</v>
      </c>
      <c r="K42" s="5" t="s">
        <v>1725</v>
      </c>
      <c r="L42" s="16"/>
      <c r="M42" s="159" t="s">
        <v>1580</v>
      </c>
      <c r="N42" s="67"/>
      <c r="O42" s="160"/>
      <c r="P42" s="169"/>
    </row>
    <row r="43" ht="22.5" customHeight="1">
      <c r="A43" s="170" t="s">
        <v>48</v>
      </c>
      <c r="B43" s="15" t="str">
        <f>IF(A43="","",IFERROR(VLOOKUP(A43, Stock_New!A:M, 2, FALSE),""))</f>
        <v>بوكيه</v>
      </c>
      <c r="C43" s="162">
        <v>1.0</v>
      </c>
      <c r="D43" s="15" t="str">
        <f>IF(A43="","",IFERROR(VLOOKUP(A43, Stock_New!A:M, 3, FALSE),""))</f>
        <v>ذكريا</v>
      </c>
      <c r="E43" s="16">
        <f>IF($A43="", "", IFERROR(VLOOKUP($A43, Stock_New!$A:$M, 6, FALSE), ""))</f>
        <v>44.4</v>
      </c>
      <c r="F43" s="159">
        <v>50.0</v>
      </c>
      <c r="G43" s="163">
        <v>0.0</v>
      </c>
      <c r="H43" s="17">
        <v>50.0</v>
      </c>
      <c r="I43" s="164" t="s">
        <v>72</v>
      </c>
      <c r="J43" s="5" t="s">
        <v>72</v>
      </c>
      <c r="K43" s="5" t="s">
        <v>1728</v>
      </c>
      <c r="L43" s="16"/>
      <c r="M43" s="165" t="s">
        <v>1580</v>
      </c>
      <c r="N43" s="61"/>
      <c r="O43" s="166"/>
      <c r="P43" s="167"/>
    </row>
    <row r="44" ht="22.5" customHeight="1">
      <c r="A44" s="168" t="s">
        <v>172</v>
      </c>
      <c r="B44" s="15" t="str">
        <f>IF(A44="","",IFERROR(VLOOKUP(A44, Stock_New!A:M, 2, FALSE),""))</f>
        <v>بوكيه</v>
      </c>
      <c r="C44" s="156">
        <v>1.0</v>
      </c>
      <c r="D44" s="15" t="str">
        <f>IF(A44="","",IFERROR(VLOOKUP(A44, Stock_New!A:M, 3, FALSE),""))</f>
        <v>ذكريا</v>
      </c>
      <c r="E44" s="16">
        <f>IF($A44="", "", IFERROR(VLOOKUP($A44, Stock_New!$A:$M, 6, FALSE), ""))</f>
        <v>33.84</v>
      </c>
      <c r="F44" s="165">
        <v>40.0</v>
      </c>
      <c r="G44" s="50">
        <v>0.0</v>
      </c>
      <c r="H44" s="17">
        <v>40.0</v>
      </c>
      <c r="I44" s="158" t="s">
        <v>72</v>
      </c>
      <c r="J44" s="5" t="s">
        <v>72</v>
      </c>
      <c r="K44" s="5" t="s">
        <v>1733</v>
      </c>
      <c r="L44" s="16"/>
      <c r="M44" s="159" t="s">
        <v>1734</v>
      </c>
      <c r="N44" s="67"/>
      <c r="O44" s="160"/>
      <c r="P44" s="169"/>
    </row>
    <row r="45" ht="22.5" customHeight="1">
      <c r="A45" s="170" t="s">
        <v>116</v>
      </c>
      <c r="B45" s="15" t="str">
        <f>IF(A45="","",IFERROR(VLOOKUP(A45, Stock_New!A:M, 2, FALSE),""))</f>
        <v>كتب</v>
      </c>
      <c r="C45" s="162">
        <v>1.0</v>
      </c>
      <c r="D45" s="15" t="str">
        <f>IF(A45="","",IFERROR(VLOOKUP(A45, Stock_New!A:M, 3, FALSE),""))</f>
        <v>ذكريا</v>
      </c>
      <c r="E45" s="16">
        <f>IF($A45="", "", IFERROR(VLOOKUP($A45, Stock_New!$A:$M, 6, FALSE), ""))</f>
        <v>20.4</v>
      </c>
      <c r="F45" s="159">
        <v>25.0</v>
      </c>
      <c r="G45" s="163">
        <v>0.0</v>
      </c>
      <c r="H45" s="17">
        <v>25.0</v>
      </c>
      <c r="I45" s="164" t="s">
        <v>72</v>
      </c>
      <c r="J45" s="5" t="s">
        <v>72</v>
      </c>
      <c r="K45" s="5" t="s">
        <v>1741</v>
      </c>
      <c r="L45" s="16"/>
      <c r="M45" s="165" t="s">
        <v>1734</v>
      </c>
      <c r="N45" s="61"/>
      <c r="O45" s="166"/>
      <c r="P45" s="167"/>
    </row>
    <row r="46" ht="22.5" customHeight="1">
      <c r="A46" s="168" t="s">
        <v>178</v>
      </c>
      <c r="B46" s="15" t="str">
        <f>IF(A46="","",IFERROR(VLOOKUP(A46, Stock_New!A:M, 2, FALSE),""))</f>
        <v>ورد لوحده</v>
      </c>
      <c r="C46" s="156">
        <v>1.0</v>
      </c>
      <c r="D46" s="15" t="str">
        <f>IF(A46="","",IFERROR(VLOOKUP(A46, Stock_New!A:M, 3, FALSE),""))</f>
        <v>ذكريا</v>
      </c>
      <c r="E46" s="16">
        <f>IF($A46="", "", IFERROR(VLOOKUP($A46, Stock_New!$A:$M, 6, FALSE), ""))</f>
        <v>234</v>
      </c>
      <c r="F46" s="165">
        <v>220.0</v>
      </c>
      <c r="G46" s="50">
        <v>0.0</v>
      </c>
      <c r="H46" s="17">
        <v>220.0</v>
      </c>
      <c r="I46" s="158" t="s">
        <v>72</v>
      </c>
      <c r="J46" s="5" t="s">
        <v>72</v>
      </c>
      <c r="K46" s="5" t="s">
        <v>1749</v>
      </c>
      <c r="L46" s="16"/>
      <c r="M46" s="159" t="s">
        <v>1734</v>
      </c>
      <c r="N46" s="67"/>
      <c r="O46" s="160"/>
      <c r="P46" s="169"/>
    </row>
    <row r="47" ht="22.5" customHeight="1">
      <c r="A47" s="170" t="s">
        <v>79</v>
      </c>
      <c r="B47" s="15" t="str">
        <f>IF(A47="","",IFERROR(VLOOKUP(A47, Stock_New!A:M, 2, FALSE),""))</f>
        <v>خزف</v>
      </c>
      <c r="C47" s="162">
        <v>1.0</v>
      </c>
      <c r="D47" s="15" t="str">
        <f>IF(A47="","",IFERROR(VLOOKUP(A47, Stock_New!A:M, 3, FALSE),""))</f>
        <v>ذكريا</v>
      </c>
      <c r="E47" s="16">
        <f>IF($A47="", "", IFERROR(VLOOKUP($A47, Stock_New!$A:$M, 6, FALSE), ""))</f>
        <v>72</v>
      </c>
      <c r="F47" s="159">
        <v>120.0</v>
      </c>
      <c r="G47" s="163">
        <v>0.0</v>
      </c>
      <c r="H47" s="17">
        <v>120.0</v>
      </c>
      <c r="I47" s="164" t="s">
        <v>72</v>
      </c>
      <c r="J47" s="5" t="s">
        <v>72</v>
      </c>
      <c r="K47" s="5" t="s">
        <v>1755</v>
      </c>
      <c r="L47" s="16"/>
      <c r="M47" s="165" t="s">
        <v>1734</v>
      </c>
      <c r="N47" s="61"/>
      <c r="O47" s="166"/>
      <c r="P47" s="167"/>
    </row>
    <row r="48" ht="22.5" customHeight="1">
      <c r="A48" s="168" t="s">
        <v>133</v>
      </c>
      <c r="B48" s="15" t="str">
        <f>IF(A48="","",IFERROR(VLOOKUP(A48, Stock_New!A:M, 2, FALSE),""))</f>
        <v>بوتات</v>
      </c>
      <c r="C48" s="156">
        <v>1.0</v>
      </c>
      <c r="D48" s="15" t="str">
        <f>IF(A48="","",IFERROR(VLOOKUP(A48, Stock_New!A:M, 3, FALSE),""))</f>
        <v>ذكريا</v>
      </c>
      <c r="E48" s="16">
        <f>IF($A48="", "", IFERROR(VLOOKUP($A48, Stock_New!$A:$M, 6, FALSE), ""))</f>
        <v>162</v>
      </c>
      <c r="F48" s="165">
        <v>175.0</v>
      </c>
      <c r="G48" s="50">
        <v>0.0</v>
      </c>
      <c r="H48" s="17">
        <v>175.0</v>
      </c>
      <c r="I48" s="158" t="s">
        <v>72</v>
      </c>
      <c r="J48" s="5" t="s">
        <v>72</v>
      </c>
      <c r="K48" s="5" t="s">
        <v>1756</v>
      </c>
      <c r="L48" s="16"/>
      <c r="M48" s="159" t="s">
        <v>1734</v>
      </c>
      <c r="N48" s="67"/>
      <c r="O48" s="160"/>
      <c r="P48" s="169"/>
    </row>
    <row r="49" ht="22.5" customHeight="1">
      <c r="A49" s="170" t="s">
        <v>188</v>
      </c>
      <c r="B49" s="15" t="str">
        <f>IF(A49="","",IFERROR(VLOOKUP(A49, Stock_New!A:M, 2, FALSE),""))</f>
        <v>مكمل للبوت</v>
      </c>
      <c r="C49" s="162">
        <v>1.0</v>
      </c>
      <c r="D49" s="15" t="str">
        <f>IF(A49="","",IFERROR(VLOOKUP(A49, Stock_New!A:M, 3, FALSE),""))</f>
        <v>ذكريا</v>
      </c>
      <c r="E49" s="16">
        <f>IF($A49="", "", IFERROR(VLOOKUP($A49, Stock_New!$A:$M, 6, FALSE), ""))</f>
        <v>48</v>
      </c>
      <c r="F49" s="159">
        <v>50.0</v>
      </c>
      <c r="G49" s="163">
        <v>0.0</v>
      </c>
      <c r="H49" s="17">
        <v>50.0</v>
      </c>
      <c r="I49" s="164" t="s">
        <v>72</v>
      </c>
      <c r="J49" s="5" t="s">
        <v>72</v>
      </c>
      <c r="K49" s="5" t="s">
        <v>1761</v>
      </c>
      <c r="L49" s="16"/>
      <c r="M49" s="165" t="s">
        <v>1625</v>
      </c>
      <c r="N49" s="61"/>
      <c r="O49" s="166"/>
      <c r="P49" s="167"/>
    </row>
    <row r="50" ht="22.5" customHeight="1">
      <c r="A50" s="168" t="s">
        <v>48</v>
      </c>
      <c r="B50" s="15" t="str">
        <f>IF(A50="","",IFERROR(VLOOKUP(A50, Stock_New!A:M, 2, FALSE),""))</f>
        <v>بوكيه</v>
      </c>
      <c r="C50" s="156">
        <v>1.0</v>
      </c>
      <c r="D50" s="15" t="str">
        <f>IF(A50="","",IFERROR(VLOOKUP(A50, Stock_New!A:M, 3, FALSE),""))</f>
        <v>ذكريا</v>
      </c>
      <c r="E50" s="16">
        <f>IF($A50="", "", IFERROR(VLOOKUP($A50, Stock_New!$A:$M, 6, FALSE), ""))</f>
        <v>44.4</v>
      </c>
      <c r="F50" s="165">
        <v>50.0</v>
      </c>
      <c r="G50" s="50">
        <v>0.0</v>
      </c>
      <c r="H50" s="17">
        <v>50.0</v>
      </c>
      <c r="I50" s="158" t="s">
        <v>72</v>
      </c>
      <c r="J50" s="5" t="s">
        <v>72</v>
      </c>
      <c r="K50" s="5" t="s">
        <v>1764</v>
      </c>
      <c r="L50" s="16"/>
      <c r="M50" s="159" t="s">
        <v>1625</v>
      </c>
      <c r="N50" s="67"/>
      <c r="O50" s="160"/>
      <c r="P50" s="169"/>
    </row>
    <row r="51" ht="22.5" customHeight="1">
      <c r="A51" s="170" t="s">
        <v>55</v>
      </c>
      <c r="B51" s="15" t="str">
        <f>IF(A51="","",IFERROR(VLOOKUP(A51, Stock_New!A:M, 2, FALSE),""))</f>
        <v>شجر</v>
      </c>
      <c r="C51" s="162">
        <v>1.0</v>
      </c>
      <c r="D51" s="15" t="str">
        <f>IF(A51="","",IFERROR(VLOOKUP(A51, Stock_New!A:M, 3, FALSE),""))</f>
        <v>ذكريا</v>
      </c>
      <c r="E51" s="16">
        <f>IF($A51="", "", IFERROR(VLOOKUP($A51, Stock_New!$A:$M, 6, FALSE), ""))</f>
        <v>234</v>
      </c>
      <c r="F51" s="159">
        <v>220.0</v>
      </c>
      <c r="G51" s="163">
        <v>0.1</v>
      </c>
      <c r="H51" s="17">
        <v>219.78</v>
      </c>
      <c r="I51" s="164" t="s">
        <v>72</v>
      </c>
      <c r="J51" s="5" t="s">
        <v>72</v>
      </c>
      <c r="K51" s="5" t="s">
        <v>1765</v>
      </c>
      <c r="L51" s="16"/>
      <c r="M51" s="165" t="s">
        <v>1625</v>
      </c>
      <c r="N51" s="61"/>
      <c r="O51" s="166"/>
      <c r="P51" s="167"/>
    </row>
    <row r="52" ht="22.5" customHeight="1">
      <c r="A52" s="168" t="s">
        <v>194</v>
      </c>
      <c r="B52" s="15" t="str">
        <f>IF(A52="","",IFERROR(VLOOKUP(A52, Stock_New!A:M, 2, FALSE),""))</f>
        <v>بوتات</v>
      </c>
      <c r="C52" s="156">
        <v>1.0</v>
      </c>
      <c r="D52" s="15" t="str">
        <f>IF(A52="","",IFERROR(VLOOKUP(A52, Stock_New!A:M, 3, FALSE),""))</f>
        <v>ذكريا</v>
      </c>
      <c r="E52" s="16">
        <f>IF($A52="", "", IFERROR(VLOOKUP($A52, Stock_New!$A:$M, 6, FALSE), ""))</f>
        <v>197</v>
      </c>
      <c r="F52" s="165">
        <v>220.0</v>
      </c>
      <c r="G52" s="50">
        <v>0.1</v>
      </c>
      <c r="H52" s="17">
        <v>219.78</v>
      </c>
      <c r="I52" s="158" t="s">
        <v>72</v>
      </c>
      <c r="J52" s="5" t="s">
        <v>72</v>
      </c>
      <c r="K52" s="5" t="s">
        <v>1766</v>
      </c>
      <c r="L52" s="16"/>
      <c r="M52" s="159" t="s">
        <v>1625</v>
      </c>
      <c r="N52" s="67"/>
      <c r="O52" s="160"/>
      <c r="P52" s="169"/>
    </row>
    <row r="53" ht="22.5" customHeight="1">
      <c r="A53" s="170" t="s">
        <v>198</v>
      </c>
      <c r="B53" s="15" t="str">
        <f>IF(A53="","",IFERROR(VLOOKUP(A53, Stock_New!A:M, 2, FALSE),""))</f>
        <v>بوكيه</v>
      </c>
      <c r="C53" s="162">
        <v>3.0</v>
      </c>
      <c r="D53" s="15" t="str">
        <f>IF(A53="","",IFERROR(VLOOKUP(A53, Stock_New!A:M, 3, FALSE),""))</f>
        <v>ذكريا</v>
      </c>
      <c r="E53" s="16">
        <f>IF($A53="", "", IFERROR(VLOOKUP($A53, Stock_New!$A:$M, 6, FALSE), ""))</f>
        <v>66</v>
      </c>
      <c r="F53" s="159">
        <v>75.0</v>
      </c>
      <c r="G53" s="163">
        <v>0.1</v>
      </c>
      <c r="H53" s="17">
        <v>224.79</v>
      </c>
      <c r="I53" s="164" t="s">
        <v>72</v>
      </c>
      <c r="J53" s="5" t="s">
        <v>72</v>
      </c>
      <c r="K53" s="5" t="s">
        <v>1769</v>
      </c>
      <c r="L53" s="16"/>
      <c r="M53" s="165" t="s">
        <v>1661</v>
      </c>
      <c r="N53" s="61"/>
      <c r="O53" s="166"/>
      <c r="P53" s="167"/>
    </row>
    <row r="54" ht="22.5" customHeight="1">
      <c r="A54" s="168" t="s">
        <v>48</v>
      </c>
      <c r="B54" s="15" t="str">
        <f>IF(A54="","",IFERROR(VLOOKUP(A54, Stock_New!A:M, 2, FALSE),""))</f>
        <v>بوكيه</v>
      </c>
      <c r="C54" s="156">
        <v>3.0</v>
      </c>
      <c r="D54" s="15" t="str">
        <f>IF(A54="","",IFERROR(VLOOKUP(A54, Stock_New!A:M, 3, FALSE),""))</f>
        <v>ذكريا</v>
      </c>
      <c r="E54" s="16">
        <f>IF($A54="", "", IFERROR(VLOOKUP($A54, Stock_New!$A:$M, 6, FALSE), ""))</f>
        <v>44.4</v>
      </c>
      <c r="F54" s="165">
        <v>50.0</v>
      </c>
      <c r="G54" s="50">
        <v>0.1</v>
      </c>
      <c r="H54" s="17">
        <v>149.85</v>
      </c>
      <c r="I54" s="158" t="s">
        <v>72</v>
      </c>
      <c r="J54" s="5" t="s">
        <v>72</v>
      </c>
      <c r="K54" s="5" t="s">
        <v>1772</v>
      </c>
      <c r="L54" s="16"/>
      <c r="M54" s="159" t="s">
        <v>1661</v>
      </c>
      <c r="N54" s="67"/>
      <c r="O54" s="160"/>
      <c r="P54" s="169"/>
    </row>
    <row r="55" ht="22.5" customHeight="1">
      <c r="A55" s="170" t="s">
        <v>204</v>
      </c>
      <c r="B55" s="15" t="str">
        <f>IF(A55="","",IFERROR(VLOOKUP(A55, Stock_New!A:M, 2, FALSE),""))</f>
        <v>بوكيه</v>
      </c>
      <c r="C55" s="162">
        <v>1.0</v>
      </c>
      <c r="D55" s="15" t="str">
        <f>IF(A55="","",IFERROR(VLOOKUP(A55, Stock_New!A:M, 3, FALSE),""))</f>
        <v>ذكريا</v>
      </c>
      <c r="E55" s="16">
        <f>IF($A55="", "", IFERROR(VLOOKUP($A55, Stock_New!$A:$M, 6, FALSE), ""))</f>
        <v>132</v>
      </c>
      <c r="F55" s="159">
        <v>210.0</v>
      </c>
      <c r="G55" s="163">
        <v>0.1</v>
      </c>
      <c r="H55" s="17">
        <v>209.79</v>
      </c>
      <c r="I55" s="164" t="s">
        <v>72</v>
      </c>
      <c r="J55" s="5" t="s">
        <v>72</v>
      </c>
      <c r="K55" s="5" t="s">
        <v>1773</v>
      </c>
      <c r="L55" s="16"/>
      <c r="M55" s="165" t="s">
        <v>1809</v>
      </c>
      <c r="N55" s="61"/>
      <c r="O55" s="166"/>
      <c r="P55" s="167"/>
    </row>
    <row r="56" ht="22.5" customHeight="1">
      <c r="A56" s="168" t="s">
        <v>144</v>
      </c>
      <c r="B56" s="15" t="str">
        <f>IF(A56="","",IFERROR(VLOOKUP(A56, Stock_New!A:M, 2, FALSE),""))</f>
        <v>كهربائيات</v>
      </c>
      <c r="C56" s="156">
        <v>1.0</v>
      </c>
      <c r="D56" s="15" t="str">
        <f>IF(A56="","",IFERROR(VLOOKUP(A56, Stock_New!A:M, 3, FALSE),""))</f>
        <v>شركة البطل</v>
      </c>
      <c r="E56" s="16">
        <f>IF($A56="", "", IFERROR(VLOOKUP($A56, Stock_New!$A:$M, 6, FALSE), ""))</f>
        <v>144</v>
      </c>
      <c r="F56" s="165">
        <v>220.0</v>
      </c>
      <c r="G56" s="50">
        <v>0.1</v>
      </c>
      <c r="H56" s="17">
        <v>219.78</v>
      </c>
      <c r="I56" s="158" t="s">
        <v>72</v>
      </c>
      <c r="J56" s="5" t="s">
        <v>72</v>
      </c>
      <c r="K56" s="5" t="s">
        <v>1776</v>
      </c>
      <c r="L56" s="16"/>
      <c r="M56" s="47" t="s">
        <v>1818</v>
      </c>
      <c r="N56" s="200">
        <f t="shared" ref="N56:N59" si="2">1750-500-300-300-400-250</f>
        <v>0</v>
      </c>
      <c r="O56" s="201"/>
      <c r="P56" s="202"/>
    </row>
    <row r="57" ht="22.5" customHeight="1">
      <c r="A57" s="170" t="s">
        <v>194</v>
      </c>
      <c r="B57" s="15" t="str">
        <f>IF(A57="","",IFERROR(VLOOKUP(A57, Stock_New!A:M, 2, FALSE),""))</f>
        <v>بوتات</v>
      </c>
      <c r="C57" s="162">
        <v>2.0</v>
      </c>
      <c r="D57" s="15" t="str">
        <f>IF(A57="","",IFERROR(VLOOKUP(A57, Stock_New!A:M, 3, FALSE),""))</f>
        <v>ذكريا</v>
      </c>
      <c r="E57" s="16">
        <f>IF($A57="", "", IFERROR(VLOOKUP($A57, Stock_New!$A:$M, 6, FALSE), ""))</f>
        <v>197</v>
      </c>
      <c r="F57" s="159">
        <v>220.0</v>
      </c>
      <c r="G57" s="163">
        <v>0.1</v>
      </c>
      <c r="H57" s="17">
        <v>439.56</v>
      </c>
      <c r="I57" s="164" t="s">
        <v>72</v>
      </c>
      <c r="J57" s="5" t="s">
        <v>72</v>
      </c>
      <c r="K57" s="5" t="s">
        <v>1777</v>
      </c>
      <c r="L57" s="16"/>
      <c r="M57" s="43" t="s">
        <v>1818</v>
      </c>
      <c r="N57" s="200">
        <f t="shared" si="2"/>
        <v>0</v>
      </c>
      <c r="O57" s="203"/>
      <c r="P57" s="204"/>
    </row>
    <row r="58" ht="22.5" customHeight="1">
      <c r="A58" s="168" t="s">
        <v>212</v>
      </c>
      <c r="B58" s="15" t="str">
        <f>IF(A58="","",IFERROR(VLOOKUP(A58, Stock_New!A:M, 2, FALSE),""))</f>
        <v>شجر</v>
      </c>
      <c r="C58" s="156">
        <v>1.0</v>
      </c>
      <c r="D58" s="15" t="str">
        <f>IF(A58="","",IFERROR(VLOOKUP(A58, Stock_New!A:M, 3, FALSE),""))</f>
        <v>ذكريا</v>
      </c>
      <c r="E58" s="16">
        <f>IF($A58="", "", IFERROR(VLOOKUP($A58, Stock_New!$A:$M, 6, FALSE), ""))</f>
        <v>390</v>
      </c>
      <c r="F58" s="165">
        <v>425.0</v>
      </c>
      <c r="G58" s="50">
        <v>0.1</v>
      </c>
      <c r="H58" s="17">
        <v>424.58</v>
      </c>
      <c r="I58" s="158" t="s">
        <v>72</v>
      </c>
      <c r="J58" s="5" t="s">
        <v>72</v>
      </c>
      <c r="K58" s="5" t="s">
        <v>1778</v>
      </c>
      <c r="L58" s="16"/>
      <c r="M58" s="47" t="s">
        <v>1818</v>
      </c>
      <c r="N58" s="200">
        <f t="shared" si="2"/>
        <v>0</v>
      </c>
      <c r="O58" s="201"/>
      <c r="P58" s="202"/>
    </row>
    <row r="59" ht="22.5" customHeight="1">
      <c r="A59" s="170" t="s">
        <v>102</v>
      </c>
      <c r="B59" s="15" t="str">
        <f>IF(A59="","",IFERROR(VLOOKUP(A59, Stock_New!A:M, 2, FALSE),""))</f>
        <v>شجر</v>
      </c>
      <c r="C59" s="162">
        <v>1.0</v>
      </c>
      <c r="D59" s="15" t="str">
        <f>IF(A59="","",IFERROR(VLOOKUP(A59, Stock_New!A:M, 3, FALSE),""))</f>
        <v>ذكريا</v>
      </c>
      <c r="E59" s="16">
        <f>IF($A59="", "", IFERROR(VLOOKUP($A59, Stock_New!$A:$M, 6, FALSE), ""))</f>
        <v>675</v>
      </c>
      <c r="F59" s="159">
        <v>715.0</v>
      </c>
      <c r="G59" s="163">
        <v>0.1</v>
      </c>
      <c r="H59" s="17">
        <v>714.29</v>
      </c>
      <c r="I59" s="164" t="s">
        <v>72</v>
      </c>
      <c r="J59" s="5" t="s">
        <v>72</v>
      </c>
      <c r="K59" s="5" t="s">
        <v>1781</v>
      </c>
      <c r="L59" s="16"/>
      <c r="M59" s="43" t="s">
        <v>1818</v>
      </c>
      <c r="N59" s="200">
        <f t="shared" si="2"/>
        <v>0</v>
      </c>
      <c r="O59" s="203"/>
      <c r="P59" s="204"/>
    </row>
    <row r="60" ht="22.5" customHeight="1">
      <c r="A60" s="168" t="s">
        <v>221</v>
      </c>
      <c r="B60" s="15" t="str">
        <f>IF(A60="","",IFERROR(VLOOKUP(A60, Stock_New!A:M, 2, FALSE),""))</f>
        <v>بوكيه</v>
      </c>
      <c r="C60" s="156">
        <v>1.0</v>
      </c>
      <c r="D60" s="15" t="str">
        <f>IF(A60="","",IFERROR(VLOOKUP(A60, Stock_New!A:M, 3, FALSE),""))</f>
        <v>ذكريا</v>
      </c>
      <c r="E60" s="16">
        <f>IF($A60="", "", IFERROR(VLOOKUP($A60, Stock_New!$A:$M, 6, FALSE), ""))</f>
        <v>282</v>
      </c>
      <c r="F60" s="165">
        <v>350.0</v>
      </c>
      <c r="G60" s="50">
        <v>0.1</v>
      </c>
      <c r="H60" s="17">
        <v>349.65</v>
      </c>
      <c r="I60" s="158" t="s">
        <v>72</v>
      </c>
      <c r="J60" s="5" t="s">
        <v>72</v>
      </c>
      <c r="K60" s="5" t="s">
        <v>1784</v>
      </c>
      <c r="L60" s="16"/>
      <c r="M60" s="159" t="s">
        <v>1661</v>
      </c>
      <c r="N60" s="67"/>
      <c r="O60" s="160"/>
      <c r="P60" s="169"/>
    </row>
    <row r="61" ht="22.5" customHeight="1">
      <c r="A61" s="170" t="s">
        <v>225</v>
      </c>
      <c r="B61" s="15" t="str">
        <f>IF(A61="","",IFERROR(VLOOKUP(A61, Stock_New!A:M, 2, FALSE),""))</f>
        <v>شجر</v>
      </c>
      <c r="C61" s="162">
        <v>1.0</v>
      </c>
      <c r="D61" s="15" t="str">
        <f>IF(A61="","",IFERROR(VLOOKUP(A61, Stock_New!A:M, 3, FALSE),""))</f>
        <v>ذكريا</v>
      </c>
      <c r="E61" s="16">
        <f>IF($A61="", "", IFERROR(VLOOKUP($A61, Stock_New!$A:$M, 6, FALSE), ""))</f>
        <v>192</v>
      </c>
      <c r="F61" s="159">
        <v>200.0</v>
      </c>
      <c r="G61" s="163">
        <v>0.0</v>
      </c>
      <c r="H61" s="17">
        <v>200.0</v>
      </c>
      <c r="I61" s="164" t="s">
        <v>72</v>
      </c>
      <c r="J61" s="5" t="s">
        <v>72</v>
      </c>
      <c r="K61" s="5" t="s">
        <v>1787</v>
      </c>
      <c r="L61" s="16"/>
      <c r="M61" s="165" t="s">
        <v>1661</v>
      </c>
      <c r="N61" s="61"/>
      <c r="O61" s="166"/>
      <c r="P61" s="167"/>
    </row>
    <row r="62" ht="22.5" customHeight="1">
      <c r="A62" s="168" t="s">
        <v>230</v>
      </c>
      <c r="B62" s="15" t="str">
        <f>IF(A62="","",IFERROR(VLOOKUP(A62, Stock_New!A:M, 2, FALSE),""))</f>
        <v>شجر</v>
      </c>
      <c r="C62" s="156">
        <v>1.0</v>
      </c>
      <c r="D62" s="15" t="str">
        <f>IF(A62="","",IFERROR(VLOOKUP(A62, Stock_New!A:M, 3, FALSE),""))</f>
        <v>ذكريا</v>
      </c>
      <c r="E62" s="16">
        <f>IF($A62="", "", IFERROR(VLOOKUP($A62, Stock_New!$A:$M, 6, FALSE), ""))</f>
        <v>372</v>
      </c>
      <c r="F62" s="165">
        <v>450.0</v>
      </c>
      <c r="G62" s="50">
        <v>0.0</v>
      </c>
      <c r="H62" s="17">
        <v>450.0</v>
      </c>
      <c r="I62" s="158" t="s">
        <v>72</v>
      </c>
      <c r="J62" s="5" t="s">
        <v>72</v>
      </c>
      <c r="K62" s="5" t="s">
        <v>1790</v>
      </c>
      <c r="L62" s="16"/>
      <c r="M62" s="159" t="s">
        <v>1661</v>
      </c>
      <c r="N62" s="67"/>
      <c r="O62" s="160"/>
      <c r="P62" s="169"/>
    </row>
    <row r="63" ht="22.5" customHeight="1">
      <c r="A63" s="170" t="s">
        <v>194</v>
      </c>
      <c r="B63" s="15" t="str">
        <f>IF(A63="","",IFERROR(VLOOKUP(A63, Stock_New!A:M, 2, FALSE),""))</f>
        <v>بوتات</v>
      </c>
      <c r="C63" s="162">
        <v>2.0</v>
      </c>
      <c r="D63" s="15" t="str">
        <f>IF(A63="","",IFERROR(VLOOKUP(A63, Stock_New!A:M, 3, FALSE),""))</f>
        <v>ذكريا</v>
      </c>
      <c r="E63" s="16">
        <f>IF($A63="", "", IFERROR(VLOOKUP($A63, Stock_New!$A:$M, 6, FALSE), ""))</f>
        <v>197</v>
      </c>
      <c r="F63" s="159">
        <v>220.0</v>
      </c>
      <c r="G63" s="163">
        <v>0.0</v>
      </c>
      <c r="H63" s="17">
        <v>440.0</v>
      </c>
      <c r="I63" s="164" t="s">
        <v>72</v>
      </c>
      <c r="J63" s="5" t="s">
        <v>72</v>
      </c>
      <c r="K63" s="5" t="s">
        <v>1793</v>
      </c>
      <c r="L63" s="16"/>
      <c r="M63" s="165" t="s">
        <v>1661</v>
      </c>
      <c r="N63" s="61"/>
      <c r="O63" s="166"/>
      <c r="P63" s="167"/>
    </row>
    <row r="64" ht="22.5" customHeight="1">
      <c r="A64" s="168" t="s">
        <v>234</v>
      </c>
      <c r="B64" s="15" t="str">
        <f>IF(A64="","",IFERROR(VLOOKUP(A64, Stock_New!A:M, 2, FALSE),""))</f>
        <v>خزف</v>
      </c>
      <c r="C64" s="156">
        <v>1.0</v>
      </c>
      <c r="D64" s="15" t="str">
        <f>IF(A64="","",IFERROR(VLOOKUP(A64, Stock_New!A:M, 3, FALSE),""))</f>
        <v>ذكريا</v>
      </c>
      <c r="E64" s="16">
        <f>IF($A64="", "", IFERROR(VLOOKUP($A64, Stock_New!$A:$M, 6, FALSE), ""))</f>
        <v>198</v>
      </c>
      <c r="F64" s="165">
        <v>335.0</v>
      </c>
      <c r="G64" s="50">
        <v>0.0</v>
      </c>
      <c r="H64" s="17">
        <v>335.0</v>
      </c>
      <c r="I64" s="158" t="s">
        <v>72</v>
      </c>
      <c r="J64" s="5" t="s">
        <v>72</v>
      </c>
      <c r="K64" s="5" t="s">
        <v>1794</v>
      </c>
      <c r="L64" s="16"/>
      <c r="M64" s="159" t="s">
        <v>1661</v>
      </c>
      <c r="N64" s="67"/>
      <c r="O64" s="160"/>
      <c r="P64" s="169"/>
    </row>
    <row r="65" ht="22.5" customHeight="1">
      <c r="A65" s="170" t="s">
        <v>241</v>
      </c>
      <c r="B65" s="15" t="str">
        <f>IF(A65="","",IFERROR(VLOOKUP(A65, Stock_New!A:M, 2, FALSE),""))</f>
        <v>بوكيه</v>
      </c>
      <c r="C65" s="162">
        <v>1.0</v>
      </c>
      <c r="D65" s="15" t="str">
        <f>IF(A65="","",IFERROR(VLOOKUP(A65, Stock_New!A:M, 3, FALSE),""))</f>
        <v>ذكريا</v>
      </c>
      <c r="E65" s="16">
        <f>IF($A65="", "", IFERROR(VLOOKUP($A65, Stock_New!$A:$M, 6, FALSE), ""))</f>
        <v>270</v>
      </c>
      <c r="F65" s="159">
        <v>300.0</v>
      </c>
      <c r="G65" s="163">
        <v>0.0</v>
      </c>
      <c r="H65" s="17">
        <v>300.0</v>
      </c>
      <c r="I65" s="164" t="s">
        <v>72</v>
      </c>
      <c r="J65" s="5" t="s">
        <v>72</v>
      </c>
      <c r="K65" s="5" t="s">
        <v>1797</v>
      </c>
      <c r="L65" s="16"/>
      <c r="M65" s="165" t="s">
        <v>1661</v>
      </c>
      <c r="N65" s="61"/>
      <c r="O65" s="166"/>
      <c r="P65" s="167"/>
    </row>
    <row r="66" ht="22.5" customHeight="1">
      <c r="A66" s="168" t="s">
        <v>244</v>
      </c>
      <c r="B66" s="15" t="str">
        <f>IF(A66="","",IFERROR(VLOOKUP(A66, Stock_New!A:M, 2, FALSE),""))</f>
        <v>شجر</v>
      </c>
      <c r="C66" s="156">
        <v>1.0</v>
      </c>
      <c r="D66" s="15" t="str">
        <f>IF(A66="","",IFERROR(VLOOKUP(A66, Stock_New!A:M, 3, FALSE),""))</f>
        <v>ذكريا</v>
      </c>
      <c r="E66" s="16">
        <f>IF($A66="", "", IFERROR(VLOOKUP($A66, Stock_New!$A:$M, 6, FALSE), ""))</f>
        <v>252</v>
      </c>
      <c r="F66" s="165">
        <v>264.0</v>
      </c>
      <c r="G66" s="50">
        <v>0.0</v>
      </c>
      <c r="H66" s="17">
        <v>264.0</v>
      </c>
      <c r="I66" s="158" t="s">
        <v>72</v>
      </c>
      <c r="J66" s="5" t="s">
        <v>72</v>
      </c>
      <c r="K66" s="5" t="s">
        <v>1800</v>
      </c>
      <c r="L66" s="16"/>
      <c r="M66" s="159" t="s">
        <v>1661</v>
      </c>
      <c r="N66" s="67"/>
      <c r="O66" s="160"/>
      <c r="P66" s="169"/>
    </row>
    <row r="67" ht="22.5" customHeight="1">
      <c r="A67" s="170" t="s">
        <v>133</v>
      </c>
      <c r="B67" s="15" t="str">
        <f>IF(A67="","",IFERROR(VLOOKUP(A67, Stock_New!A:M, 2, FALSE),""))</f>
        <v>بوتات</v>
      </c>
      <c r="C67" s="162">
        <v>1.0</v>
      </c>
      <c r="D67" s="15" t="str">
        <f>IF(A67="","",IFERROR(VLOOKUP(A67, Stock_New!A:M, 3, FALSE),""))</f>
        <v>ذكريا</v>
      </c>
      <c r="E67" s="16">
        <f>IF($A67="", "", IFERROR(VLOOKUP($A67, Stock_New!$A:$M, 6, FALSE), ""))</f>
        <v>162</v>
      </c>
      <c r="F67" s="159">
        <v>175.0</v>
      </c>
      <c r="G67" s="163">
        <v>0.0</v>
      </c>
      <c r="H67" s="17">
        <v>175.0</v>
      </c>
      <c r="I67" s="164" t="s">
        <v>72</v>
      </c>
      <c r="J67" s="5" t="s">
        <v>72</v>
      </c>
      <c r="K67" s="5" t="s">
        <v>1803</v>
      </c>
      <c r="L67" s="16"/>
      <c r="M67" s="165" t="s">
        <v>1661</v>
      </c>
      <c r="N67" s="61"/>
      <c r="O67" s="166"/>
      <c r="P67" s="167"/>
    </row>
    <row r="68" ht="22.5" customHeight="1">
      <c r="A68" s="69" t="s">
        <v>250</v>
      </c>
      <c r="B68" s="15" t="str">
        <f>IF(A68="","",IFERROR(VLOOKUP(A68, Stock_New!A:M, 2, FALSE),""))</f>
        <v>شجر</v>
      </c>
      <c r="C68" s="156">
        <v>1.0</v>
      </c>
      <c r="D68" s="15" t="str">
        <f>IF(A68="","",IFERROR(VLOOKUP(A68, Stock_New!A:M, 3, FALSE),""))</f>
        <v>ذكريا</v>
      </c>
      <c r="E68" s="16">
        <f>IF($A68="", "", IFERROR(VLOOKUP($A68, Stock_New!$A:$M, 6, FALSE), ""))</f>
        <v>174</v>
      </c>
      <c r="F68" s="165">
        <v>200.0</v>
      </c>
      <c r="G68" s="50">
        <v>0.0</v>
      </c>
      <c r="H68" s="17">
        <v>200.0</v>
      </c>
      <c r="I68" s="158">
        <v>45881.0</v>
      </c>
      <c r="J68" s="5" t="s">
        <v>72</v>
      </c>
      <c r="K68" s="5" t="s">
        <v>1905</v>
      </c>
      <c r="L68" s="16"/>
      <c r="M68" s="159" t="s">
        <v>1661</v>
      </c>
      <c r="N68" s="67"/>
      <c r="O68" s="160"/>
      <c r="P68" s="169"/>
    </row>
    <row r="69" ht="22.5" customHeight="1">
      <c r="A69" s="170" t="s">
        <v>255</v>
      </c>
      <c r="B69" s="15" t="str">
        <f>IF(A69="","",IFERROR(VLOOKUP(A69, Stock_New!A:M, 2, FALSE),""))</f>
        <v>بوتات</v>
      </c>
      <c r="C69" s="162">
        <v>1.0</v>
      </c>
      <c r="D69" s="15" t="str">
        <f>IF(A69="","",IFERROR(VLOOKUP(A69, Stock_New!A:M, 3, FALSE),""))</f>
        <v>manufactured</v>
      </c>
      <c r="E69" s="16">
        <f>IF($A69="", "", IFERROR(VLOOKUP($A69, Stock_New!$A:$M, 6, FALSE), ""))</f>
        <v>27.3</v>
      </c>
      <c r="F69" s="159">
        <v>50.0</v>
      </c>
      <c r="G69" s="163">
        <v>0.0</v>
      </c>
      <c r="H69" s="17">
        <v>50.0</v>
      </c>
      <c r="I69" s="164">
        <v>45881.0</v>
      </c>
      <c r="J69" s="5" t="s">
        <v>72</v>
      </c>
      <c r="K69" s="5" t="s">
        <v>1804</v>
      </c>
      <c r="L69" s="16"/>
      <c r="M69" s="165" t="s">
        <v>1661</v>
      </c>
      <c r="N69" s="61"/>
      <c r="O69" s="166"/>
      <c r="P69" s="167"/>
    </row>
    <row r="70" ht="22.5" customHeight="1">
      <c r="A70" s="168" t="s">
        <v>48</v>
      </c>
      <c r="B70" s="15" t="str">
        <f>IF(A70="","",IFERROR(VLOOKUP(A70, Stock_New!A:M, 2, FALSE),""))</f>
        <v>بوكيه</v>
      </c>
      <c r="C70" s="156">
        <v>3.0</v>
      </c>
      <c r="D70" s="15" t="str">
        <f>IF(A70="","",IFERROR(VLOOKUP(A70, Stock_New!A:M, 3, FALSE),""))</f>
        <v>ذكريا</v>
      </c>
      <c r="E70" s="16">
        <f>IF($A70="", "", IFERROR(VLOOKUP($A70, Stock_New!$A:$M, 6, FALSE), ""))</f>
        <v>44.4</v>
      </c>
      <c r="F70" s="165">
        <v>50.0</v>
      </c>
      <c r="G70" s="50">
        <v>0.0</v>
      </c>
      <c r="H70" s="17">
        <v>150.0</v>
      </c>
      <c r="I70" s="158">
        <v>45894.0</v>
      </c>
      <c r="J70" s="5" t="s">
        <v>72</v>
      </c>
      <c r="K70" s="5" t="s">
        <v>1807</v>
      </c>
      <c r="L70" s="16"/>
      <c r="M70" s="159" t="s">
        <v>1661</v>
      </c>
      <c r="N70" s="67"/>
      <c r="O70" s="160"/>
      <c r="P70" s="169"/>
    </row>
    <row r="71" ht="22.5" customHeight="1">
      <c r="A71" s="170" t="s">
        <v>172</v>
      </c>
      <c r="B71" s="15" t="str">
        <f>IF(A71="","",IFERROR(VLOOKUP(A71, Stock_New!A:M, 2, FALSE),""))</f>
        <v>بوكيه</v>
      </c>
      <c r="C71" s="162">
        <v>1.0</v>
      </c>
      <c r="D71" s="15" t="str">
        <f>IF(A71="","",IFERROR(VLOOKUP(A71, Stock_New!A:M, 3, FALSE),""))</f>
        <v>ذكريا</v>
      </c>
      <c r="E71" s="16">
        <f>IF($A71="", "", IFERROR(VLOOKUP($A71, Stock_New!$A:$M, 6, FALSE), ""))</f>
        <v>33.84</v>
      </c>
      <c r="F71" s="159">
        <v>40.0</v>
      </c>
      <c r="G71" s="163">
        <v>0.0</v>
      </c>
      <c r="H71" s="17">
        <v>40.0</v>
      </c>
      <c r="I71" s="164">
        <v>45894.0</v>
      </c>
      <c r="J71" s="5" t="s">
        <v>72</v>
      </c>
      <c r="K71" s="5" t="s">
        <v>1808</v>
      </c>
      <c r="L71" s="16"/>
      <c r="M71" s="165" t="s">
        <v>1661</v>
      </c>
      <c r="N71" s="61"/>
      <c r="O71" s="166"/>
      <c r="P71" s="167"/>
    </row>
    <row r="72" ht="22.5" customHeight="1">
      <c r="A72" s="168" t="s">
        <v>260</v>
      </c>
      <c r="B72" s="15" t="str">
        <f>IF(A72="","",IFERROR(VLOOKUP(A72, Stock_New!A:M, 2, FALSE),""))</f>
        <v>سيلفرات</v>
      </c>
      <c r="C72" s="156">
        <v>1.0</v>
      </c>
      <c r="D72" s="15" t="str">
        <f>IF(A72="","",IFERROR(VLOOKUP(A72, Stock_New!A:M, 3, FALSE),""))</f>
        <v>ذكريا</v>
      </c>
      <c r="E72" s="16">
        <f>IF($A72="", "", IFERROR(VLOOKUP($A72, Stock_New!$A:$M, 6, FALSE), ""))</f>
        <v>204</v>
      </c>
      <c r="F72" s="165">
        <v>230.0</v>
      </c>
      <c r="G72" s="50">
        <v>0.0</v>
      </c>
      <c r="H72" s="17">
        <v>230.0</v>
      </c>
      <c r="I72" s="158">
        <v>45896.0</v>
      </c>
      <c r="J72" s="5" t="s">
        <v>72</v>
      </c>
      <c r="K72" s="5" t="s">
        <v>1810</v>
      </c>
      <c r="L72" s="16"/>
      <c r="M72" s="159" t="s">
        <v>1661</v>
      </c>
      <c r="N72" s="67"/>
      <c r="O72" s="160"/>
      <c r="P72" s="169"/>
    </row>
    <row r="73" ht="22.5" customHeight="1">
      <c r="A73" s="170" t="s">
        <v>88</v>
      </c>
      <c r="B73" s="15" t="str">
        <f>IF(A73="","",IFERROR(VLOOKUP(A73, Stock_New!A:M, 2, FALSE),""))</f>
        <v>سيلفرات</v>
      </c>
      <c r="C73" s="162">
        <v>1.0</v>
      </c>
      <c r="D73" s="15" t="str">
        <f>IF(A73="","",IFERROR(VLOOKUP(A73, Stock_New!A:M, 3, FALSE),""))</f>
        <v>ذكريا</v>
      </c>
      <c r="E73" s="16">
        <f>IF($A73="", "", IFERROR(VLOOKUP($A73, Stock_New!$A:$M, 6, FALSE), ""))</f>
        <v>690</v>
      </c>
      <c r="F73" s="159">
        <v>700.0</v>
      </c>
      <c r="G73" s="163">
        <v>0.0</v>
      </c>
      <c r="H73" s="17">
        <v>700.0</v>
      </c>
      <c r="I73" s="175">
        <v>45898.0</v>
      </c>
      <c r="J73" s="5" t="s">
        <v>72</v>
      </c>
      <c r="K73" s="5" t="s">
        <v>1813</v>
      </c>
      <c r="L73" s="16"/>
      <c r="M73" s="165" t="s">
        <v>1661</v>
      </c>
      <c r="N73" s="61"/>
      <c r="O73" s="166"/>
      <c r="P73" s="167"/>
    </row>
    <row r="74" ht="22.5" customHeight="1">
      <c r="A74" s="168" t="s">
        <v>268</v>
      </c>
      <c r="B74" s="15" t="str">
        <f>IF(A74="","",IFERROR(VLOOKUP(A74, Stock_New!A:M, 2, FALSE),""))</f>
        <v>سيلفرات</v>
      </c>
      <c r="C74" s="156">
        <v>1.0</v>
      </c>
      <c r="D74" s="15" t="str">
        <f>IF(A74="","",IFERROR(VLOOKUP(A74, Stock_New!A:M, 3, FALSE),""))</f>
        <v>شركة حسين علي</v>
      </c>
      <c r="E74" s="16">
        <f>IF($A74="", "", IFERROR(VLOOKUP($A74, Stock_New!$A:$M, 6, FALSE), ""))</f>
        <v>214.5</v>
      </c>
      <c r="F74" s="165">
        <v>205.0</v>
      </c>
      <c r="G74" s="50">
        <v>0.0</v>
      </c>
      <c r="H74" s="17">
        <v>205.0</v>
      </c>
      <c r="I74" s="176">
        <v>45898.0</v>
      </c>
      <c r="J74" s="5" t="s">
        <v>72</v>
      </c>
      <c r="K74" s="5" t="s">
        <v>1816</v>
      </c>
      <c r="L74" s="16"/>
      <c r="M74" s="67"/>
      <c r="N74" s="67"/>
      <c r="O74" s="160"/>
      <c r="P74" s="169"/>
    </row>
    <row r="75" ht="22.5" customHeight="1">
      <c r="A75" s="170" t="s">
        <v>101</v>
      </c>
      <c r="B75" s="15" t="str">
        <f>IF(A75="","",IFERROR(VLOOKUP(A75, Stock_New!A:M, 2, FALSE),""))</f>
        <v>سيلفرات</v>
      </c>
      <c r="C75" s="162">
        <v>2.0</v>
      </c>
      <c r="D75" s="15" t="str">
        <f>IF(A75="","",IFERROR(VLOOKUP(A75, Stock_New!A:M, 3, FALSE),""))</f>
        <v>ذكريا</v>
      </c>
      <c r="E75" s="16">
        <f>IF($A75="", "", IFERROR(VLOOKUP($A75, Stock_New!$A:$M, 6, FALSE), ""))</f>
        <v>210</v>
      </c>
      <c r="F75" s="159">
        <v>210.0</v>
      </c>
      <c r="G75" s="163">
        <v>0.0</v>
      </c>
      <c r="H75" s="17">
        <v>420.0</v>
      </c>
      <c r="I75" s="175">
        <v>45898.0</v>
      </c>
      <c r="J75" s="5" t="s">
        <v>72</v>
      </c>
      <c r="K75" s="5" t="s">
        <v>1820</v>
      </c>
      <c r="L75" s="16"/>
      <c r="M75" s="61"/>
      <c r="N75" s="61"/>
      <c r="O75" s="166"/>
      <c r="P75" s="167"/>
    </row>
    <row r="76" ht="22.5" customHeight="1">
      <c r="A76" s="168" t="s">
        <v>144</v>
      </c>
      <c r="B76" s="15" t="str">
        <f>IF(A76="","",IFERROR(VLOOKUP(A76, Stock_New!A:M, 2, FALSE),""))</f>
        <v>كهربائيات</v>
      </c>
      <c r="C76" s="156">
        <v>2.0</v>
      </c>
      <c r="D76" s="15" t="str">
        <f>IF(A76="","",IFERROR(VLOOKUP(A76, Stock_New!A:M, 3, FALSE),""))</f>
        <v>شركة البطل</v>
      </c>
      <c r="E76" s="16">
        <f>IF($A76="", "", IFERROR(VLOOKUP($A76, Stock_New!$A:$M, 6, FALSE), ""))</f>
        <v>144</v>
      </c>
      <c r="F76" s="165">
        <v>210.0</v>
      </c>
      <c r="G76" s="50">
        <v>0.0</v>
      </c>
      <c r="H76" s="17">
        <v>420.0</v>
      </c>
      <c r="I76" s="176">
        <v>45898.0</v>
      </c>
      <c r="J76" s="5" t="s">
        <v>72</v>
      </c>
      <c r="K76" s="5" t="s">
        <v>1821</v>
      </c>
      <c r="L76" s="16"/>
      <c r="M76" s="67"/>
      <c r="N76" s="67"/>
      <c r="O76" s="160"/>
      <c r="P76" s="169"/>
    </row>
    <row r="77" ht="22.5" customHeight="1">
      <c r="A77" s="170" t="s">
        <v>264</v>
      </c>
      <c r="B77" s="15" t="str">
        <f>IF(A77="","",IFERROR(VLOOKUP(A77, Stock_New!A:M, 2, FALSE),""))</f>
        <v>بوكيه</v>
      </c>
      <c r="C77" s="162">
        <v>1.0</v>
      </c>
      <c r="D77" s="15" t="str">
        <f>IF(A77="","",IFERROR(VLOOKUP(A77, Stock_New!A:M, 3, FALSE),""))</f>
        <v>ذكريا</v>
      </c>
      <c r="E77" s="16">
        <f>IF($A77="", "", IFERROR(VLOOKUP($A77, Stock_New!$A:$M, 6, FALSE), ""))</f>
        <v>372</v>
      </c>
      <c r="F77" s="159">
        <v>375.0</v>
      </c>
      <c r="G77" s="163">
        <v>0.07</v>
      </c>
      <c r="H77" s="17">
        <v>374.74</v>
      </c>
      <c r="I77" s="175">
        <v>45899.0</v>
      </c>
      <c r="J77" s="5" t="s">
        <v>72</v>
      </c>
      <c r="K77" s="5" t="s">
        <v>1822</v>
      </c>
      <c r="L77" s="16"/>
      <c r="M77" s="61"/>
      <c r="N77" s="61"/>
      <c r="O77" s="166"/>
      <c r="P77" s="167"/>
    </row>
    <row r="78" ht="22.5" customHeight="1">
      <c r="A78" s="168" t="s">
        <v>144</v>
      </c>
      <c r="B78" s="15" t="str">
        <f>IF(A78="","",IFERROR(VLOOKUP(A78, Stock_New!A:M, 2, FALSE),""))</f>
        <v>كهربائيات</v>
      </c>
      <c r="C78" s="156">
        <v>2.0</v>
      </c>
      <c r="D78" s="15" t="str">
        <f>IF(A78="","",IFERROR(VLOOKUP(A78, Stock_New!A:M, 3, FALSE),""))</f>
        <v>شركة البطل</v>
      </c>
      <c r="E78" s="16">
        <f>IF($A78="", "", IFERROR(VLOOKUP($A78, Stock_New!$A:$M, 6, FALSE), ""))</f>
        <v>144</v>
      </c>
      <c r="F78" s="165">
        <v>210.0</v>
      </c>
      <c r="G78" s="50">
        <v>0.07</v>
      </c>
      <c r="H78" s="17">
        <v>419.7</v>
      </c>
      <c r="I78" s="176">
        <v>45899.0</v>
      </c>
      <c r="J78" s="5" t="s">
        <v>72</v>
      </c>
      <c r="K78" s="5" t="s">
        <v>1825</v>
      </c>
      <c r="L78" s="16"/>
      <c r="M78" s="67"/>
      <c r="N78" s="67"/>
      <c r="O78" s="160"/>
      <c r="P78" s="169"/>
    </row>
    <row r="79" ht="22.5" customHeight="1">
      <c r="A79" s="170" t="s">
        <v>156</v>
      </c>
      <c r="B79" s="15" t="str">
        <f>IF(A79="","",IFERROR(VLOOKUP(A79, Stock_New!A:M, 2, FALSE),""))</f>
        <v>بوكيه</v>
      </c>
      <c r="C79" s="162">
        <v>1.0</v>
      </c>
      <c r="D79" s="15" t="str">
        <f>IF(A79="","",IFERROR(VLOOKUP(A79, Stock_New!A:M, 3, FALSE),""))</f>
        <v>ذكريا</v>
      </c>
      <c r="E79" s="16">
        <f>IF($A79="", "", IFERROR(VLOOKUP($A79, Stock_New!$A:$M, 6, FALSE), ""))</f>
        <v>135</v>
      </c>
      <c r="F79" s="159">
        <v>185.0</v>
      </c>
      <c r="G79" s="163">
        <v>0.07</v>
      </c>
      <c r="H79" s="16">
        <f>(1-Sales_New!$G79)*Sales_New!$F79*Sales_New!$C79</f>
        <v>172.05</v>
      </c>
      <c r="I79" s="175">
        <v>45899.0</v>
      </c>
      <c r="J79" s="5" t="s">
        <v>1612</v>
      </c>
      <c r="K79" s="16"/>
      <c r="L79" s="16"/>
      <c r="M79" s="61"/>
      <c r="N79" s="61"/>
      <c r="O79" s="166"/>
      <c r="P79" s="167"/>
    </row>
    <row r="80" ht="22.5" customHeight="1">
      <c r="A80" s="168" t="s">
        <v>274</v>
      </c>
      <c r="B80" s="15" t="str">
        <f>IF(A80="","",IFERROR(VLOOKUP(A80, Stock_New!A:M, 2, FALSE),""))</f>
        <v>شجر</v>
      </c>
      <c r="C80" s="156">
        <v>1.0</v>
      </c>
      <c r="D80" s="15" t="str">
        <f>IF(A80="","",IFERROR(VLOOKUP(A80, Stock_New!A:M, 3, FALSE),""))</f>
        <v>ذكريا</v>
      </c>
      <c r="E80" s="16">
        <f>IF($A80="", "", IFERROR(VLOOKUP($A80, Stock_New!$A:$M, 6, FALSE), ""))</f>
        <v>300</v>
      </c>
      <c r="F80" s="165">
        <v>300.0</v>
      </c>
      <c r="G80" s="50">
        <v>0.07</v>
      </c>
      <c r="H80" s="17">
        <v>299.79</v>
      </c>
      <c r="I80" s="176">
        <v>45899.0</v>
      </c>
      <c r="J80" s="5" t="s">
        <v>72</v>
      </c>
      <c r="K80" s="5" t="s">
        <v>1826</v>
      </c>
      <c r="L80" s="16"/>
      <c r="M80" s="67"/>
      <c r="N80" s="67"/>
      <c r="O80" s="160"/>
      <c r="P80" s="169"/>
    </row>
    <row r="81" ht="22.5" customHeight="1">
      <c r="A81" s="170" t="s">
        <v>232</v>
      </c>
      <c r="B81" s="15" t="str">
        <f>IF(A81="","",IFERROR(VLOOKUP(A81, Stock_New!A:M, 2, FALSE),""))</f>
        <v>شجر</v>
      </c>
      <c r="C81" s="162">
        <v>1.0</v>
      </c>
      <c r="D81" s="15" t="str">
        <f>IF(A81="","",IFERROR(VLOOKUP(A81, Stock_New!A:M, 3, FALSE),""))</f>
        <v>ذكريا</v>
      </c>
      <c r="E81" s="16">
        <f>IF($A81="", "", IFERROR(VLOOKUP($A81, Stock_New!$A:$M, 6, FALSE), ""))</f>
        <v>390</v>
      </c>
      <c r="F81" s="159">
        <v>390.0</v>
      </c>
      <c r="G81" s="163">
        <v>0.07</v>
      </c>
      <c r="H81" s="17">
        <v>389.73</v>
      </c>
      <c r="I81" s="175">
        <v>45899.0</v>
      </c>
      <c r="J81" s="5" t="s">
        <v>72</v>
      </c>
      <c r="K81" s="5" t="s">
        <v>1829</v>
      </c>
      <c r="L81" s="16"/>
      <c r="M81" s="61"/>
      <c r="N81" s="61"/>
      <c r="O81" s="166"/>
      <c r="P81" s="167"/>
    </row>
    <row r="82" ht="22.5" customHeight="1">
      <c r="A82" s="168" t="s">
        <v>165</v>
      </c>
      <c r="B82" s="15" t="str">
        <f>IF(A82="","",IFERROR(VLOOKUP(A82, Stock_New!A:M, 2, FALSE),""))</f>
        <v>بوتات</v>
      </c>
      <c r="C82" s="156">
        <v>1.0</v>
      </c>
      <c r="D82" s="15" t="str">
        <f>IF(A82="","",IFERROR(VLOOKUP(A82, Stock_New!A:M, 3, FALSE),""))</f>
        <v>ذكريا</v>
      </c>
      <c r="E82" s="16">
        <f>IF($A82="", "", IFERROR(VLOOKUP($A82, Stock_New!$A:$M, 6, FALSE), ""))</f>
        <v>106.88</v>
      </c>
      <c r="F82" s="165">
        <v>150.0</v>
      </c>
      <c r="G82" s="50">
        <v>0.07</v>
      </c>
      <c r="H82" s="17">
        <v>149.89</v>
      </c>
      <c r="I82" s="176">
        <v>45899.0</v>
      </c>
      <c r="J82" s="5" t="s">
        <v>72</v>
      </c>
      <c r="K82" s="5" t="s">
        <v>1832</v>
      </c>
      <c r="L82" s="16"/>
      <c r="M82" s="67"/>
      <c r="N82" s="67"/>
      <c r="O82" s="160"/>
      <c r="P82" s="169"/>
    </row>
    <row r="83" ht="22.5" customHeight="1">
      <c r="A83" s="170" t="s">
        <v>133</v>
      </c>
      <c r="B83" s="15" t="str">
        <f>IF(A83="","",IFERROR(VLOOKUP(A83, Stock_New!A:M, 2, FALSE),""))</f>
        <v>بوتات</v>
      </c>
      <c r="C83" s="162">
        <v>1.0</v>
      </c>
      <c r="D83" s="15" t="str">
        <f>IF(A83="","",IFERROR(VLOOKUP(A83, Stock_New!A:M, 3, FALSE),""))</f>
        <v>ذكريا</v>
      </c>
      <c r="E83" s="16">
        <f>IF($A83="", "", IFERROR(VLOOKUP($A83, Stock_New!$A:$M, 6, FALSE), ""))</f>
        <v>162</v>
      </c>
      <c r="F83" s="159">
        <v>160.0</v>
      </c>
      <c r="G83" s="163">
        <v>0.07</v>
      </c>
      <c r="H83" s="17">
        <v>159.89</v>
      </c>
      <c r="I83" s="175">
        <v>45899.0</v>
      </c>
      <c r="J83" s="5" t="s">
        <v>72</v>
      </c>
      <c r="K83" s="5" t="s">
        <v>1835</v>
      </c>
      <c r="L83" s="16"/>
      <c r="M83" s="61"/>
      <c r="N83" s="61"/>
      <c r="O83" s="166"/>
      <c r="P83" s="167"/>
    </row>
    <row r="84" ht="22.5" customHeight="1">
      <c r="A84" s="168" t="s">
        <v>48</v>
      </c>
      <c r="B84" s="15" t="str">
        <f>IF(A84="","",IFERROR(VLOOKUP(A84, Stock_New!A:M, 2, FALSE),""))</f>
        <v>بوكيه</v>
      </c>
      <c r="C84" s="156">
        <v>2.0</v>
      </c>
      <c r="D84" s="15" t="str">
        <f>IF(A84="","",IFERROR(VLOOKUP(A84, Stock_New!A:M, 3, FALSE),""))</f>
        <v>ذكريا</v>
      </c>
      <c r="E84" s="16">
        <f>IF($A84="", "", IFERROR(VLOOKUP($A84, Stock_New!$A:$M, 6, FALSE), ""))</f>
        <v>44.4</v>
      </c>
      <c r="F84" s="165">
        <v>50.0</v>
      </c>
      <c r="G84" s="50">
        <v>0.0</v>
      </c>
      <c r="H84" s="17">
        <v>100.0</v>
      </c>
      <c r="I84" s="176">
        <v>45901.0</v>
      </c>
      <c r="J84" s="5" t="s">
        <v>72</v>
      </c>
      <c r="K84" s="5" t="s">
        <v>1836</v>
      </c>
      <c r="L84" s="16"/>
      <c r="M84" s="67"/>
      <c r="N84" s="67"/>
      <c r="O84" s="160"/>
      <c r="P84" s="169"/>
    </row>
    <row r="85" ht="22.5" customHeight="1">
      <c r="A85" s="170" t="s">
        <v>287</v>
      </c>
      <c r="B85" s="15" t="str">
        <f>IF(A85="","",IFERROR(VLOOKUP(A85, Stock_New!A:M, 2, FALSE),""))</f>
        <v>بوكيه</v>
      </c>
      <c r="C85" s="162">
        <v>2.0</v>
      </c>
      <c r="D85" s="15" t="str">
        <f>IF(A85="","",IFERROR(VLOOKUP(A85, Stock_New!A:M, 3, FALSE),""))</f>
        <v>ذكريا</v>
      </c>
      <c r="E85" s="16">
        <f>IF($A85="", "", IFERROR(VLOOKUP($A85, Stock_New!$A:$M, 6, FALSE), ""))</f>
        <v>54</v>
      </c>
      <c r="F85" s="159">
        <v>70.0</v>
      </c>
      <c r="G85" s="163">
        <v>0.0</v>
      </c>
      <c r="H85" s="17">
        <v>140.0</v>
      </c>
      <c r="I85" s="175">
        <v>45901.0</v>
      </c>
      <c r="J85" s="5" t="s">
        <v>72</v>
      </c>
      <c r="K85" s="5" t="s">
        <v>1837</v>
      </c>
      <c r="L85" s="16"/>
      <c r="M85" s="61"/>
      <c r="N85" s="61"/>
      <c r="O85" s="166"/>
      <c r="P85" s="167"/>
    </row>
    <row r="86" ht="22.5" customHeight="1">
      <c r="A86" s="168" t="s">
        <v>171</v>
      </c>
      <c r="B86" s="15" t="str">
        <f>IF(A86="","",IFERROR(VLOOKUP(A86, Stock_New!A:M, 2, FALSE),""))</f>
        <v>بوكيه</v>
      </c>
      <c r="C86" s="156">
        <v>1.0</v>
      </c>
      <c r="D86" s="15" t="str">
        <f>IF(A86="","",IFERROR(VLOOKUP(A86, Stock_New!A:M, 3, FALSE),""))</f>
        <v>ذكريا</v>
      </c>
      <c r="E86" s="16">
        <f>IF($A86="", "", IFERROR(VLOOKUP($A86, Stock_New!$A:$M, 6, FALSE), ""))</f>
        <v>462</v>
      </c>
      <c r="F86" s="165">
        <v>490.0</v>
      </c>
      <c r="G86" s="50">
        <v>0.0</v>
      </c>
      <c r="H86" s="17">
        <v>490.0</v>
      </c>
      <c r="I86" s="176">
        <v>45901.0</v>
      </c>
      <c r="J86" s="5" t="s">
        <v>72</v>
      </c>
      <c r="K86" s="5" t="s">
        <v>1840</v>
      </c>
      <c r="L86" s="16"/>
      <c r="M86" s="67"/>
      <c r="N86" s="67"/>
      <c r="O86" s="160"/>
      <c r="P86" s="169"/>
    </row>
    <row r="87" ht="22.5" customHeight="1">
      <c r="A87" s="170" t="s">
        <v>55</v>
      </c>
      <c r="B87" s="15" t="str">
        <f>IF(A87="","",IFERROR(VLOOKUP(A87, Stock_New!A:M, 2, FALSE),""))</f>
        <v>شجر</v>
      </c>
      <c r="C87" s="162">
        <v>1.0</v>
      </c>
      <c r="D87" s="15" t="str">
        <f>IF(A87="","",IFERROR(VLOOKUP(A87, Stock_New!A:M, 3, FALSE),""))</f>
        <v>ذكريا</v>
      </c>
      <c r="E87" s="16">
        <f>IF($A87="", "", IFERROR(VLOOKUP($A87, Stock_New!$A:$M, 6, FALSE), ""))</f>
        <v>234</v>
      </c>
      <c r="F87" s="159">
        <v>210.0</v>
      </c>
      <c r="G87" s="163">
        <v>0.0</v>
      </c>
      <c r="H87" s="17">
        <v>210.0</v>
      </c>
      <c r="I87" s="175">
        <v>45901.0</v>
      </c>
      <c r="J87" s="5" t="s">
        <v>72</v>
      </c>
      <c r="K87" s="5" t="s">
        <v>1843</v>
      </c>
      <c r="L87" s="16"/>
      <c r="M87" s="61"/>
      <c r="N87" s="61"/>
      <c r="O87" s="166"/>
      <c r="P87" s="167"/>
    </row>
    <row r="88" ht="22.5" customHeight="1">
      <c r="A88" s="168" t="s">
        <v>194</v>
      </c>
      <c r="B88" s="15" t="str">
        <f>IF(A88="","",IFERROR(VLOOKUP(A88, Stock_New!A:M, 2, FALSE),""))</f>
        <v>بوتات</v>
      </c>
      <c r="C88" s="156">
        <v>1.0</v>
      </c>
      <c r="D88" s="15" t="str">
        <f>IF(A88="","",IFERROR(VLOOKUP(A88, Stock_New!A:M, 3, FALSE),""))</f>
        <v>ذكريا</v>
      </c>
      <c r="E88" s="16">
        <f>IF($A88="", "", IFERROR(VLOOKUP($A88, Stock_New!$A:$M, 6, FALSE), ""))</f>
        <v>197</v>
      </c>
      <c r="F88" s="165">
        <v>210.0</v>
      </c>
      <c r="G88" s="50">
        <v>0.0</v>
      </c>
      <c r="H88" s="17">
        <v>210.0</v>
      </c>
      <c r="I88" s="176">
        <v>45901.0</v>
      </c>
      <c r="J88" s="5" t="s">
        <v>72</v>
      </c>
      <c r="K88" s="5" t="s">
        <v>1844</v>
      </c>
      <c r="L88" s="16"/>
      <c r="M88" s="67"/>
      <c r="N88" s="67"/>
      <c r="O88" s="160"/>
      <c r="P88" s="169"/>
    </row>
    <row r="89" ht="22.5" customHeight="1">
      <c r="A89" s="69" t="s">
        <v>250</v>
      </c>
      <c r="B89" s="15" t="str">
        <f>IF(A89="","",IFERROR(VLOOKUP(A89, Stock_New!A:M, 2, FALSE),""))</f>
        <v>شجر</v>
      </c>
      <c r="C89" s="162">
        <v>1.0</v>
      </c>
      <c r="D89" s="15" t="str">
        <f>IF(A89="","",IFERROR(VLOOKUP(A89, Stock_New!A:M, 3, FALSE),""))</f>
        <v>ذكريا</v>
      </c>
      <c r="E89" s="16">
        <f>IF($A89="", "", IFERROR(VLOOKUP($A89, Stock_New!$A:$M, 6, FALSE), ""))</f>
        <v>174</v>
      </c>
      <c r="F89" s="159">
        <v>175.0</v>
      </c>
      <c r="G89" s="163">
        <v>0.0</v>
      </c>
      <c r="H89" s="17">
        <v>175.0</v>
      </c>
      <c r="I89" s="175">
        <v>45901.0</v>
      </c>
      <c r="J89" s="5" t="s">
        <v>72</v>
      </c>
      <c r="K89" s="5" t="s">
        <v>2043</v>
      </c>
      <c r="L89" s="16"/>
      <c r="M89" s="61"/>
      <c r="N89" s="61"/>
      <c r="O89" s="166"/>
      <c r="P89" s="167"/>
    </row>
    <row r="90" ht="22.5" customHeight="1">
      <c r="A90" s="168" t="s">
        <v>165</v>
      </c>
      <c r="B90" s="15" t="str">
        <f>IF(A90="","",IFERROR(VLOOKUP(A90, Stock_New!A:M, 2, FALSE),""))</f>
        <v>بوتات</v>
      </c>
      <c r="C90" s="156">
        <v>1.0</v>
      </c>
      <c r="D90" s="15" t="str">
        <f>IF(A90="","",IFERROR(VLOOKUP(A90, Stock_New!A:M, 3, FALSE),""))</f>
        <v>ذكريا</v>
      </c>
      <c r="E90" s="16">
        <f>IF($A90="", "", IFERROR(VLOOKUP($A90, Stock_New!$A:$M, 6, FALSE), ""))</f>
        <v>106.88</v>
      </c>
      <c r="F90" s="165">
        <v>115.0</v>
      </c>
      <c r="G90" s="50">
        <v>0.0</v>
      </c>
      <c r="H90" s="17">
        <v>115.0</v>
      </c>
      <c r="I90" s="176">
        <v>45901.0</v>
      </c>
      <c r="J90" s="5" t="s">
        <v>72</v>
      </c>
      <c r="K90" s="5" t="s">
        <v>1845</v>
      </c>
      <c r="L90" s="16"/>
      <c r="M90" s="67"/>
      <c r="N90" s="67"/>
      <c r="O90" s="160"/>
      <c r="P90" s="169"/>
    </row>
    <row r="91" ht="22.5" customHeight="1">
      <c r="A91" s="170" t="s">
        <v>172</v>
      </c>
      <c r="B91" s="15" t="str">
        <f>IF(A91="","",IFERROR(VLOOKUP(A91, Stock_New!A:M, 2, FALSE),""))</f>
        <v>بوكيه</v>
      </c>
      <c r="C91" s="162">
        <v>1.0</v>
      </c>
      <c r="D91" s="15" t="str">
        <f>IF(A91="","",IFERROR(VLOOKUP(A91, Stock_New!A:M, 3, FALSE),""))</f>
        <v>ذكريا</v>
      </c>
      <c r="E91" s="16">
        <f>IF($A91="", "", IFERROR(VLOOKUP($A91, Stock_New!$A:$M, 6, FALSE), ""))</f>
        <v>33.84</v>
      </c>
      <c r="F91" s="159">
        <v>40.0</v>
      </c>
      <c r="G91" s="163">
        <v>0.0</v>
      </c>
      <c r="H91" s="17">
        <v>40.0</v>
      </c>
      <c r="I91" s="175">
        <v>45905.0</v>
      </c>
      <c r="J91" s="5" t="s">
        <v>72</v>
      </c>
      <c r="K91" s="5" t="s">
        <v>1846</v>
      </c>
      <c r="L91" s="16"/>
      <c r="M91" s="61"/>
      <c r="N91" s="61"/>
      <c r="O91" s="166"/>
      <c r="P91" s="167"/>
    </row>
    <row r="92" ht="22.5" customHeight="1">
      <c r="A92" s="168" t="s">
        <v>48</v>
      </c>
      <c r="B92" s="15" t="str">
        <f>IF(A92="","",IFERROR(VLOOKUP(A92, Stock_New!A:M, 2, FALSE),""))</f>
        <v>بوكيه</v>
      </c>
      <c r="C92" s="156">
        <v>2.0</v>
      </c>
      <c r="D92" s="15" t="str">
        <f>IF(A92="","",IFERROR(VLOOKUP(A92, Stock_New!A:M, 3, FALSE),""))</f>
        <v>ذكريا</v>
      </c>
      <c r="E92" s="16">
        <f>IF($A92="", "", IFERROR(VLOOKUP($A92, Stock_New!$A:$M, 6, FALSE), ""))</f>
        <v>44.4</v>
      </c>
      <c r="F92" s="165">
        <v>50.0</v>
      </c>
      <c r="G92" s="50">
        <v>0.0</v>
      </c>
      <c r="H92" s="17">
        <v>100.0</v>
      </c>
      <c r="I92" s="176">
        <v>45905.0</v>
      </c>
      <c r="J92" s="5" t="s">
        <v>72</v>
      </c>
      <c r="K92" s="5" t="s">
        <v>1847</v>
      </c>
      <c r="L92" s="16"/>
      <c r="M92" s="67"/>
      <c r="N92" s="67"/>
      <c r="O92" s="160"/>
      <c r="P92" s="169"/>
    </row>
    <row r="93" ht="22.5" customHeight="1">
      <c r="A93" s="170" t="s">
        <v>79</v>
      </c>
      <c r="B93" s="15" t="str">
        <f>IF(A93="","",IFERROR(VLOOKUP(A93, Stock_New!A:M, 2, FALSE),""))</f>
        <v>خزف</v>
      </c>
      <c r="C93" s="162">
        <v>1.0</v>
      </c>
      <c r="D93" s="15" t="str">
        <f>IF(A93="","",IFERROR(VLOOKUP(A93, Stock_New!A:M, 3, FALSE),""))</f>
        <v>ذكريا</v>
      </c>
      <c r="E93" s="16">
        <f>IF($A93="", "", IFERROR(VLOOKUP($A93, Stock_New!$A:$M, 6, FALSE), ""))</f>
        <v>72</v>
      </c>
      <c r="F93" s="159">
        <v>95.0</v>
      </c>
      <c r="G93" s="163">
        <v>0.0</v>
      </c>
      <c r="H93" s="17">
        <v>95.0</v>
      </c>
      <c r="I93" s="175">
        <v>45905.0</v>
      </c>
      <c r="J93" s="5" t="s">
        <v>72</v>
      </c>
      <c r="K93" s="5" t="s">
        <v>1848</v>
      </c>
      <c r="L93" s="16"/>
      <c r="M93" s="61"/>
      <c r="N93" s="61"/>
      <c r="O93" s="166"/>
      <c r="P93" s="167"/>
    </row>
    <row r="94" ht="22.5" customHeight="1">
      <c r="A94" s="168" t="s">
        <v>294</v>
      </c>
      <c r="B94" s="15" t="str">
        <f>IF(A94="","",IFERROR(VLOOKUP(A94, Stock_New!A:M, 2, FALSE),""))</f>
        <v>بوكيه</v>
      </c>
      <c r="C94" s="156">
        <v>1.0</v>
      </c>
      <c r="D94" s="15" t="str">
        <f>IF(A94="","",IFERROR(VLOOKUP(A94, Stock_New!A:M, 3, FALSE),""))</f>
        <v>ذكريا</v>
      </c>
      <c r="E94" s="16">
        <f>IF($A94="", "", IFERROR(VLOOKUP($A94, Stock_New!$A:$M, 6, FALSE), ""))</f>
        <v>96</v>
      </c>
      <c r="F94" s="165">
        <v>120.0</v>
      </c>
      <c r="G94" s="50">
        <v>0.0</v>
      </c>
      <c r="H94" s="17">
        <v>120.0</v>
      </c>
      <c r="I94" s="176">
        <v>45906.0</v>
      </c>
      <c r="J94" s="5" t="s">
        <v>72</v>
      </c>
      <c r="K94" s="5" t="s">
        <v>1849</v>
      </c>
      <c r="L94" s="16"/>
      <c r="M94" s="67"/>
      <c r="N94" s="67"/>
      <c r="O94" s="160"/>
      <c r="P94" s="169"/>
    </row>
    <row r="95" ht="22.5" customHeight="1">
      <c r="A95" s="170" t="s">
        <v>235</v>
      </c>
      <c r="B95" s="15" t="str">
        <f>IF(A95="","",IFERROR(VLOOKUP(A95, Stock_New!A:M, 2, FALSE),""))</f>
        <v>خزف</v>
      </c>
      <c r="C95" s="162">
        <v>1.0</v>
      </c>
      <c r="D95" s="15" t="str">
        <f>IF(A95="","",IFERROR(VLOOKUP(A95, Stock_New!A:M, 3, FALSE),""))</f>
        <v>ذكريا</v>
      </c>
      <c r="E95" s="16">
        <f>IF($A95="", "", IFERROR(VLOOKUP($A95, Stock_New!$A:$M, 6, FALSE), ""))</f>
        <v>90</v>
      </c>
      <c r="F95" s="159">
        <v>95.0</v>
      </c>
      <c r="G95" s="163">
        <v>0.0</v>
      </c>
      <c r="H95" s="17">
        <v>95.0</v>
      </c>
      <c r="I95" s="175">
        <v>45906.0</v>
      </c>
      <c r="J95" s="5" t="s">
        <v>72</v>
      </c>
      <c r="K95" s="5" t="s">
        <v>1852</v>
      </c>
      <c r="L95" s="16"/>
      <c r="M95" s="61"/>
      <c r="N95" s="61"/>
      <c r="O95" s="166"/>
      <c r="P95" s="167"/>
    </row>
    <row r="96" ht="22.5" customHeight="1">
      <c r="A96" s="168" t="s">
        <v>302</v>
      </c>
      <c r="B96" s="15" t="str">
        <f>IF(A96="","",IFERROR(VLOOKUP(A96, Stock_New!A:M, 2, FALSE),""))</f>
        <v>بلاستيك</v>
      </c>
      <c r="C96" s="156">
        <v>3.0</v>
      </c>
      <c r="D96" s="15" t="str">
        <f>IF(A96="","",IFERROR(VLOOKUP(A96, Stock_New!A:M, 3, FALSE),""))</f>
        <v>ذكريا</v>
      </c>
      <c r="E96" s="16">
        <f>IF($A96="", "", IFERROR(VLOOKUP($A96, Stock_New!$A:$M, 6, FALSE), ""))</f>
        <v>21.6</v>
      </c>
      <c r="F96" s="165">
        <v>25.0</v>
      </c>
      <c r="G96" s="50">
        <v>0.0</v>
      </c>
      <c r="H96" s="17">
        <v>75.0</v>
      </c>
      <c r="I96" s="176">
        <v>6702391.0</v>
      </c>
      <c r="J96" s="5" t="s">
        <v>72</v>
      </c>
      <c r="K96" s="5" t="s">
        <v>1855</v>
      </c>
      <c r="L96" s="16"/>
      <c r="M96" s="67"/>
      <c r="N96" s="67"/>
      <c r="O96" s="160"/>
      <c r="P96" s="169"/>
    </row>
    <row r="97" ht="22.5" customHeight="1">
      <c r="A97" s="35" t="s">
        <v>306</v>
      </c>
      <c r="B97" s="15" t="str">
        <f>IF(A97="","",IFERROR(VLOOKUP(A97, Stock_New!A:M, 2, FALSE),""))</f>
        <v>ورد لوحدة</v>
      </c>
      <c r="C97" s="205">
        <v>2.0</v>
      </c>
      <c r="D97" s="15" t="str">
        <f>IF(A97="","",IFERROR(VLOOKUP(A97, Stock_New!A:M, 3, FALSE),""))</f>
        <v>شركة الفرسان</v>
      </c>
      <c r="E97" s="16">
        <f>IF($A97="", "", IFERROR(VLOOKUP($A97, Stock_New!$A:$M, 6, FALSE), ""))</f>
        <v>11</v>
      </c>
      <c r="F97" s="29">
        <v>25.0</v>
      </c>
      <c r="G97" s="30">
        <v>0.0</v>
      </c>
      <c r="H97" s="17">
        <v>50.0</v>
      </c>
      <c r="I97" s="206">
        <v>6702451.0</v>
      </c>
      <c r="J97" s="5" t="s">
        <v>72</v>
      </c>
      <c r="K97" s="5" t="s">
        <v>1858</v>
      </c>
      <c r="L97" s="16"/>
      <c r="M97" s="61"/>
      <c r="N97" s="61"/>
      <c r="O97" s="166"/>
      <c r="P97" s="167"/>
    </row>
    <row r="98" ht="22.5" customHeight="1">
      <c r="A98" s="32" t="s">
        <v>311</v>
      </c>
      <c r="B98" s="15" t="str">
        <f>IF(A98="","",IFERROR(VLOOKUP(A98, Stock_New!A:M, 2, FALSE),""))</f>
        <v>ورد لوحده</v>
      </c>
      <c r="C98" s="207">
        <v>1.0</v>
      </c>
      <c r="D98" s="15" t="str">
        <f>IF(A98="","",IFERROR(VLOOKUP(A98, Stock_New!A:M, 3, FALSE),""))</f>
        <v>ذكريا</v>
      </c>
      <c r="E98" s="16">
        <f>IF($A98="", "", IFERROR(VLOOKUP($A98, Stock_New!$A:$M, 6, FALSE), ""))</f>
        <v>180</v>
      </c>
      <c r="F98" s="22">
        <v>170.0</v>
      </c>
      <c r="G98" s="24">
        <v>0.0</v>
      </c>
      <c r="H98" s="17">
        <v>170.0</v>
      </c>
      <c r="I98" s="208">
        <v>45908.0</v>
      </c>
      <c r="J98" s="5" t="s">
        <v>72</v>
      </c>
      <c r="K98" s="5" t="s">
        <v>1861</v>
      </c>
      <c r="L98" s="16"/>
      <c r="M98" s="67"/>
      <c r="N98" s="67"/>
      <c r="O98" s="160"/>
      <c r="P98" s="169"/>
    </row>
    <row r="99" ht="22.5" customHeight="1">
      <c r="A99" s="28" t="s">
        <v>198</v>
      </c>
      <c r="B99" s="15" t="str">
        <f>IF(A99="","",IFERROR(VLOOKUP(A99, Stock_New!A:M, 2, FALSE),""))</f>
        <v>بوكيه</v>
      </c>
      <c r="C99" s="205">
        <v>1.0</v>
      </c>
      <c r="D99" s="15" t="str">
        <f>IF(A99="","",IFERROR(VLOOKUP(A99, Stock_New!A:M, 3, FALSE),""))</f>
        <v>ذكريا</v>
      </c>
      <c r="E99" s="16">
        <f>IF($A99="", "", IFERROR(VLOOKUP($A99, Stock_New!$A:$M, 6, FALSE), ""))</f>
        <v>66</v>
      </c>
      <c r="F99" s="29">
        <v>70.0</v>
      </c>
      <c r="G99" s="30">
        <v>0.0</v>
      </c>
      <c r="H99" s="17">
        <v>70.0</v>
      </c>
      <c r="I99" s="206">
        <v>45908.0</v>
      </c>
      <c r="J99" s="5" t="s">
        <v>72</v>
      </c>
      <c r="K99" s="5" t="s">
        <v>1864</v>
      </c>
      <c r="L99" s="16"/>
      <c r="M99" s="61"/>
      <c r="N99" s="61"/>
      <c r="O99" s="166"/>
      <c r="P99" s="167"/>
    </row>
    <row r="100" ht="22.5" customHeight="1">
      <c r="A100" s="32" t="s">
        <v>48</v>
      </c>
      <c r="B100" s="15" t="str">
        <f>IF(A100="","",IFERROR(VLOOKUP(A100, Stock_New!A:M, 2, FALSE),""))</f>
        <v>بوكيه</v>
      </c>
      <c r="C100" s="207">
        <v>2.0</v>
      </c>
      <c r="D100" s="15" t="str">
        <f>IF(A100="","",IFERROR(VLOOKUP(A100, Stock_New!A:M, 3, FALSE),""))</f>
        <v>ذكريا</v>
      </c>
      <c r="E100" s="16">
        <f>IF($A100="", "", IFERROR(VLOOKUP($A100, Stock_New!$A:$M, 6, FALSE), ""))</f>
        <v>44.4</v>
      </c>
      <c r="F100" s="22">
        <v>50.0</v>
      </c>
      <c r="G100" s="24">
        <v>0.0</v>
      </c>
      <c r="H100" s="17">
        <v>100.0</v>
      </c>
      <c r="I100" s="208">
        <v>45909.0</v>
      </c>
      <c r="J100" s="5" t="s">
        <v>72</v>
      </c>
      <c r="K100" s="5" t="s">
        <v>1865</v>
      </c>
      <c r="L100" s="16"/>
      <c r="M100" s="67"/>
      <c r="N100" s="67"/>
      <c r="O100" s="160"/>
      <c r="P100" s="169"/>
    </row>
    <row r="101" ht="22.5" customHeight="1">
      <c r="A101" s="28" t="s">
        <v>317</v>
      </c>
      <c r="B101" s="15" t="str">
        <f>IF(A101="","",IFERROR(VLOOKUP(A101, Stock_New!A:M, 2, FALSE),""))</f>
        <v>بوكيه</v>
      </c>
      <c r="C101" s="205">
        <v>1.0</v>
      </c>
      <c r="D101" s="15" t="str">
        <f>IF(A101="","",IFERROR(VLOOKUP(A101, Stock_New!A:M, 3, FALSE),""))</f>
        <v>ذكريا</v>
      </c>
      <c r="E101" s="16">
        <f>IF($A101="", "", IFERROR(VLOOKUP($A101, Stock_New!$A:$M, 6, FALSE), ""))</f>
        <v>150</v>
      </c>
      <c r="F101" s="29">
        <v>220.0</v>
      </c>
      <c r="G101" s="30">
        <v>0.0</v>
      </c>
      <c r="H101" s="17">
        <v>220.0</v>
      </c>
      <c r="I101" s="206">
        <v>45909.0</v>
      </c>
      <c r="J101" s="5" t="s">
        <v>72</v>
      </c>
      <c r="K101" s="5" t="s">
        <v>1866</v>
      </c>
      <c r="L101" s="16"/>
      <c r="M101" s="61"/>
      <c r="N101" s="61"/>
      <c r="O101" s="166"/>
      <c r="P101" s="167"/>
    </row>
    <row r="102" ht="22.5" customHeight="1">
      <c r="A102" s="32" t="s">
        <v>186</v>
      </c>
      <c r="B102" s="15" t="str">
        <f>IF(A102="","",IFERROR(VLOOKUP(A102, Stock_New!A:M, 2, FALSE),""))</f>
        <v>شجر</v>
      </c>
      <c r="C102" s="207">
        <v>2.0</v>
      </c>
      <c r="D102" s="15" t="str">
        <f>IF(A102="","",IFERROR(VLOOKUP(A102, Stock_New!A:M, 3, FALSE),""))</f>
        <v>ذكريا</v>
      </c>
      <c r="E102" s="16">
        <f>IF($A102="", "", IFERROR(VLOOKUP($A102, Stock_New!$A:$M, 6, FALSE), ""))</f>
        <v>100.8</v>
      </c>
      <c r="F102" s="22">
        <v>110.0</v>
      </c>
      <c r="G102" s="24">
        <v>0.0</v>
      </c>
      <c r="H102" s="17">
        <v>220.0</v>
      </c>
      <c r="I102" s="208">
        <v>45909.0</v>
      </c>
      <c r="J102" s="5" t="s">
        <v>72</v>
      </c>
      <c r="K102" s="5" t="s">
        <v>1869</v>
      </c>
      <c r="L102" s="16"/>
      <c r="M102" s="67"/>
      <c r="N102" s="67"/>
      <c r="O102" s="160"/>
      <c r="P102" s="169"/>
    </row>
    <row r="103" ht="22.5" customHeight="1">
      <c r="A103" s="28" t="s">
        <v>255</v>
      </c>
      <c r="B103" s="15" t="str">
        <f>IF(A103="","",IFERROR(VLOOKUP(A103, Stock_New!A:M, 2, FALSE),""))</f>
        <v>بوتات</v>
      </c>
      <c r="C103" s="205">
        <v>2.0</v>
      </c>
      <c r="D103" s="15" t="str">
        <f>IF(A103="","",IFERROR(VLOOKUP(A103, Stock_New!A:M, 3, FALSE),""))</f>
        <v>manufactured</v>
      </c>
      <c r="E103" s="16">
        <f>IF($A103="", "", IFERROR(VLOOKUP($A103, Stock_New!$A:$M, 6, FALSE), ""))</f>
        <v>27.3</v>
      </c>
      <c r="F103" s="29">
        <v>50.0</v>
      </c>
      <c r="G103" s="30">
        <v>0.0</v>
      </c>
      <c r="H103" s="17">
        <v>100.0</v>
      </c>
      <c r="I103" s="206">
        <v>45909.0</v>
      </c>
      <c r="J103" s="5" t="s">
        <v>72</v>
      </c>
      <c r="K103" s="5" t="s">
        <v>1872</v>
      </c>
      <c r="L103" s="16"/>
      <c r="M103" s="61"/>
      <c r="N103" s="61"/>
      <c r="O103" s="166"/>
      <c r="P103" s="167"/>
    </row>
    <row r="104" ht="22.5" customHeight="1">
      <c r="A104" s="32" t="s">
        <v>329</v>
      </c>
      <c r="B104" s="15" t="str">
        <f>IF(A104="","",IFERROR(VLOOKUP(A104, Stock_New!A:M, 2, FALSE),""))</f>
        <v>بوكيه</v>
      </c>
      <c r="C104" s="207">
        <v>1.0</v>
      </c>
      <c r="D104" s="15" t="str">
        <f>IF(A104="","",IFERROR(VLOOKUP(A104, Stock_New!A:M, 3, FALSE),""))</f>
        <v>ذكريا</v>
      </c>
      <c r="E104" s="16">
        <f>IF($A104="", "", IFERROR(VLOOKUP($A104, Stock_New!$A:$M, 6, FALSE), ""))</f>
        <v>132</v>
      </c>
      <c r="F104" s="22">
        <v>190.0</v>
      </c>
      <c r="G104" s="24">
        <v>0.0</v>
      </c>
      <c r="H104" s="17">
        <v>190.0</v>
      </c>
      <c r="I104" s="208">
        <v>45909.0</v>
      </c>
      <c r="J104" s="5" t="s">
        <v>72</v>
      </c>
      <c r="K104" s="5" t="s">
        <v>1873</v>
      </c>
      <c r="L104" s="16"/>
      <c r="M104" s="67"/>
      <c r="N104" s="67"/>
      <c r="O104" s="160"/>
      <c r="P104" s="169"/>
    </row>
    <row r="105" ht="22.5" customHeight="1">
      <c r="A105" s="35" t="s">
        <v>48</v>
      </c>
      <c r="B105" s="15" t="str">
        <f>IF(A105="","",IFERROR(VLOOKUP(A105, Stock_New!A:M, 2, FALSE),""))</f>
        <v>بوكيه</v>
      </c>
      <c r="C105" s="209">
        <v>1.0</v>
      </c>
      <c r="D105" s="15" t="str">
        <f>IF(A105="","",IFERROR(VLOOKUP(A105, Stock_New!A:M, 3, FALSE),""))</f>
        <v>ذكريا</v>
      </c>
      <c r="E105" s="16">
        <f>IF($A105="", "", IFERROR(VLOOKUP($A105, Stock_New!$A:$M, 6, FALSE), ""))</f>
        <v>44.4</v>
      </c>
      <c r="F105" s="58">
        <v>50.0</v>
      </c>
      <c r="G105" s="41">
        <v>0.0</v>
      </c>
      <c r="H105" s="17">
        <v>50.0</v>
      </c>
      <c r="I105" s="39"/>
      <c r="J105" s="5" t="s">
        <v>72</v>
      </c>
      <c r="K105" s="5" t="s">
        <v>1876</v>
      </c>
      <c r="L105" s="16"/>
      <c r="M105" s="61"/>
      <c r="N105" s="61"/>
      <c r="O105" s="166"/>
      <c r="P105" s="167"/>
    </row>
    <row r="106" ht="22.5" customHeight="1">
      <c r="A106" s="53" t="s">
        <v>172</v>
      </c>
      <c r="B106" s="15" t="str">
        <f>IF(A106="","",IFERROR(VLOOKUP(A106, Stock_New!A:M, 2, FALSE),""))</f>
        <v>بوكيه</v>
      </c>
      <c r="C106" s="210">
        <v>1.0</v>
      </c>
      <c r="D106" s="15" t="str">
        <f>IF(A106="","",IFERROR(VLOOKUP(A106, Stock_New!A:M, 3, FALSE),""))</f>
        <v>ذكريا</v>
      </c>
      <c r="E106" s="16">
        <f>IF($A106="", "", IFERROR(VLOOKUP($A106, Stock_New!$A:$M, 6, FALSE), ""))</f>
        <v>33.84</v>
      </c>
      <c r="F106" s="54">
        <v>40.0</v>
      </c>
      <c r="G106" s="55">
        <v>0.0</v>
      </c>
      <c r="H106" s="17">
        <v>40.0</v>
      </c>
      <c r="I106" s="64"/>
      <c r="J106" s="5" t="s">
        <v>72</v>
      </c>
      <c r="K106" s="5" t="s">
        <v>1877</v>
      </c>
      <c r="L106" s="16"/>
      <c r="M106" s="67"/>
      <c r="N106" s="67"/>
      <c r="O106" s="160"/>
      <c r="P106" s="169"/>
    </row>
    <row r="107" ht="22.5" customHeight="1">
      <c r="A107" s="35" t="s">
        <v>104</v>
      </c>
      <c r="B107" s="15" t="str">
        <f>IF(A107="","",IFERROR(VLOOKUP(A107, Stock_New!A:M, 2, FALSE),""))</f>
        <v>بوكيه</v>
      </c>
      <c r="C107" s="209">
        <v>1.0</v>
      </c>
      <c r="D107" s="15" t="str">
        <f>IF(A107="","",IFERROR(VLOOKUP(A107, Stock_New!A:M, 3, FALSE),""))</f>
        <v>ذكريا</v>
      </c>
      <c r="E107" s="16">
        <f>IF($A107="", "", IFERROR(VLOOKUP($A107, Stock_New!$A:$M, 6, FALSE), ""))</f>
        <v>216</v>
      </c>
      <c r="F107" s="58">
        <v>235.0</v>
      </c>
      <c r="G107" s="41">
        <v>0.07</v>
      </c>
      <c r="H107" s="17">
        <v>234.84</v>
      </c>
      <c r="I107" s="39"/>
      <c r="J107" s="5" t="s">
        <v>72</v>
      </c>
      <c r="K107" s="5" t="s">
        <v>1878</v>
      </c>
      <c r="L107" s="16"/>
      <c r="M107" s="61"/>
      <c r="N107" s="61"/>
      <c r="O107" s="166"/>
      <c r="P107" s="167"/>
    </row>
    <row r="108" ht="22.5" customHeight="1">
      <c r="A108" s="53" t="s">
        <v>66</v>
      </c>
      <c r="B108" s="15" t="str">
        <f>IF(A108="","",IFERROR(VLOOKUP(A108, Stock_New!A:M, 2, FALSE),""))</f>
        <v>بوكيه</v>
      </c>
      <c r="C108" s="210">
        <v>1.0</v>
      </c>
      <c r="D108" s="15" t="str">
        <f>IF(A108="","",IFERROR(VLOOKUP(A108, Stock_New!A:M, 3, FALSE),""))</f>
        <v>ذكريا</v>
      </c>
      <c r="E108" s="16">
        <f>IF($A108="", "", IFERROR(VLOOKUP($A108, Stock_New!$A:$M, 6, FALSE), ""))</f>
        <v>204</v>
      </c>
      <c r="F108" s="54">
        <v>295.0</v>
      </c>
      <c r="G108" s="55">
        <v>0.07</v>
      </c>
      <c r="H108" s="16">
        <f>(1-Sales_New!$G108)*Sales_New!$F108*Sales_New!$C108</f>
        <v>274.35</v>
      </c>
      <c r="I108" s="64"/>
      <c r="J108" s="5" t="s">
        <v>1612</v>
      </c>
      <c r="K108" s="16"/>
      <c r="L108" s="16"/>
      <c r="M108" s="67"/>
      <c r="N108" s="67"/>
      <c r="O108" s="160"/>
      <c r="P108" s="169"/>
    </row>
    <row r="109" ht="22.5" customHeight="1">
      <c r="A109" s="35" t="s">
        <v>264</v>
      </c>
      <c r="B109" s="15" t="str">
        <f>IF(A109="","",IFERROR(VLOOKUP(A109, Stock_New!A:M, 2, FALSE),""))</f>
        <v>بوكيه</v>
      </c>
      <c r="C109" s="209">
        <v>1.0</v>
      </c>
      <c r="D109" s="15" t="str">
        <f>IF(A109="","",IFERROR(VLOOKUP(A109, Stock_New!A:M, 3, FALSE),""))</f>
        <v>ذكريا</v>
      </c>
      <c r="E109" s="16">
        <f>IF($A109="", "", IFERROR(VLOOKUP($A109, Stock_New!$A:$M, 6, FALSE), ""))</f>
        <v>372</v>
      </c>
      <c r="F109" s="58">
        <v>430.0</v>
      </c>
      <c r="G109" s="41">
        <v>0.07</v>
      </c>
      <c r="H109" s="16">
        <f>(1-Sales_New!$G109)*Sales_New!$F109*Sales_New!$C109</f>
        <v>399.9</v>
      </c>
      <c r="I109" s="39"/>
      <c r="J109" s="5" t="s">
        <v>1612</v>
      </c>
      <c r="K109" s="16"/>
      <c r="L109" s="16"/>
      <c r="M109" s="61"/>
      <c r="N109" s="61"/>
      <c r="O109" s="166"/>
      <c r="P109" s="167"/>
    </row>
    <row r="110" ht="22.5" customHeight="1">
      <c r="A110" s="53" t="s">
        <v>128</v>
      </c>
      <c r="B110" s="15" t="str">
        <f>IF(A110="","",IFERROR(VLOOKUP(A110, Stock_New!A:M, 2, FALSE),""))</f>
        <v>شجر</v>
      </c>
      <c r="C110" s="210">
        <v>1.0</v>
      </c>
      <c r="D110" s="15" t="str">
        <f>IF(A110="","",IFERROR(VLOOKUP(A110, Stock_New!A:M, 3, FALSE),""))</f>
        <v>ذكريا</v>
      </c>
      <c r="E110" s="16">
        <f>IF($A110="", "", IFERROR(VLOOKUP($A110, Stock_New!$A:$M, 6, FALSE), ""))</f>
        <v>330</v>
      </c>
      <c r="F110" s="54">
        <v>330.0</v>
      </c>
      <c r="G110" s="55">
        <v>0.07</v>
      </c>
      <c r="H110" s="17">
        <v>329.77</v>
      </c>
      <c r="I110" s="64"/>
      <c r="J110" s="5" t="s">
        <v>72</v>
      </c>
      <c r="K110" s="5" t="s">
        <v>1881</v>
      </c>
      <c r="L110" s="16"/>
      <c r="M110" s="67"/>
      <c r="N110" s="67"/>
      <c r="O110" s="160"/>
      <c r="P110" s="169"/>
    </row>
    <row r="111" ht="22.5" customHeight="1">
      <c r="A111" s="35" t="s">
        <v>194</v>
      </c>
      <c r="B111" s="15" t="str">
        <f>IF(A111="","",IFERROR(VLOOKUP(A111, Stock_New!A:M, 2, FALSE),""))</f>
        <v>بوتات</v>
      </c>
      <c r="C111" s="209">
        <v>1.0</v>
      </c>
      <c r="D111" s="15" t="str">
        <f>IF(A111="","",IFERROR(VLOOKUP(A111, Stock_New!A:M, 3, FALSE),""))</f>
        <v>ذكريا</v>
      </c>
      <c r="E111" s="16">
        <f>IF($A111="", "", IFERROR(VLOOKUP($A111, Stock_New!$A:$M, 6, FALSE), ""))</f>
        <v>197</v>
      </c>
      <c r="F111" s="58">
        <v>220.0</v>
      </c>
      <c r="G111" s="41">
        <v>0.07</v>
      </c>
      <c r="H111" s="17">
        <v>219.85</v>
      </c>
      <c r="I111" s="39"/>
      <c r="J111" s="5" t="s">
        <v>72</v>
      </c>
      <c r="K111" s="5" t="s">
        <v>1884</v>
      </c>
      <c r="L111" s="16"/>
      <c r="M111" s="61"/>
      <c r="N111" s="61"/>
      <c r="O111" s="166"/>
      <c r="P111" s="167"/>
    </row>
    <row r="112" ht="22.5" customHeight="1">
      <c r="A112" s="53" t="s">
        <v>55</v>
      </c>
      <c r="B112" s="15" t="str">
        <f>IF(A112="","",IFERROR(VLOOKUP(A112, Stock_New!A:M, 2, FALSE),""))</f>
        <v>شجر</v>
      </c>
      <c r="C112" s="210">
        <v>1.0</v>
      </c>
      <c r="D112" s="15" t="str">
        <f>IF(A112="","",IFERROR(VLOOKUP(A112, Stock_New!A:M, 3, FALSE),""))</f>
        <v>ذكريا</v>
      </c>
      <c r="E112" s="16">
        <f>IF($A112="", "", IFERROR(VLOOKUP($A112, Stock_New!$A:$M, 6, FALSE), ""))</f>
        <v>234</v>
      </c>
      <c r="F112" s="54">
        <v>220.0</v>
      </c>
      <c r="G112" s="55">
        <v>0.07</v>
      </c>
      <c r="H112" s="17">
        <v>219.85</v>
      </c>
      <c r="I112" s="64"/>
      <c r="J112" s="5" t="s">
        <v>72</v>
      </c>
      <c r="K112" s="5" t="s">
        <v>1885</v>
      </c>
      <c r="L112" s="16"/>
      <c r="M112" s="67"/>
      <c r="N112" s="67"/>
      <c r="O112" s="160"/>
      <c r="P112" s="169"/>
    </row>
    <row r="113" ht="22.5" customHeight="1">
      <c r="A113" s="35" t="s">
        <v>194</v>
      </c>
      <c r="B113" s="15" t="str">
        <f>IF(A113="","",IFERROR(VLOOKUP(A113, Stock_New!A:M, 2, FALSE),""))</f>
        <v>بوتات</v>
      </c>
      <c r="C113" s="209">
        <v>1.0</v>
      </c>
      <c r="D113" s="15" t="str">
        <f>IF(A113="","",IFERROR(VLOOKUP(A113, Stock_New!A:M, 3, FALSE),""))</f>
        <v>ذكريا</v>
      </c>
      <c r="E113" s="16">
        <f>IF($A113="", "", IFERROR(VLOOKUP($A113, Stock_New!$A:$M, 6, FALSE), ""))</f>
        <v>197</v>
      </c>
      <c r="F113" s="58">
        <v>210.0</v>
      </c>
      <c r="G113" s="41">
        <v>0.07</v>
      </c>
      <c r="H113" s="17">
        <v>209.85</v>
      </c>
      <c r="I113" s="39"/>
      <c r="J113" s="5" t="s">
        <v>72</v>
      </c>
      <c r="K113" s="5" t="s">
        <v>1886</v>
      </c>
      <c r="L113" s="16"/>
      <c r="M113" s="61"/>
      <c r="N113" s="61"/>
      <c r="O113" s="166"/>
      <c r="P113" s="167"/>
    </row>
    <row r="114" ht="22.5" customHeight="1">
      <c r="A114" s="53" t="s">
        <v>158</v>
      </c>
      <c r="B114" s="15" t="str">
        <f>IF(A114="","",IFERROR(VLOOKUP(A114, Stock_New!A:M, 2, FALSE),""))</f>
        <v>شجر</v>
      </c>
      <c r="C114" s="210">
        <v>1.0</v>
      </c>
      <c r="D114" s="15" t="str">
        <f>IF(A114="","",IFERROR(VLOOKUP(A114, Stock_New!A:M, 3, FALSE),""))</f>
        <v>ذكريا</v>
      </c>
      <c r="E114" s="16">
        <f>IF($A114="", "", IFERROR(VLOOKUP($A114, Stock_New!$A:$M, 6, FALSE), ""))</f>
        <v>480</v>
      </c>
      <c r="F114" s="54">
        <v>480.0</v>
      </c>
      <c r="G114" s="62"/>
      <c r="H114" s="17">
        <v>480.0</v>
      </c>
      <c r="I114" s="212">
        <v>45919.0</v>
      </c>
      <c r="J114" s="5" t="s">
        <v>72</v>
      </c>
      <c r="K114" s="5" t="s">
        <v>1887</v>
      </c>
      <c r="L114" s="16"/>
      <c r="M114" s="67"/>
      <c r="N114" s="67"/>
      <c r="O114" s="160"/>
      <c r="P114" s="169"/>
    </row>
    <row r="115" ht="22.5" customHeight="1">
      <c r="A115" s="35" t="s">
        <v>194</v>
      </c>
      <c r="B115" s="15" t="str">
        <f>IF(A115="","",IFERROR(VLOOKUP(A115, Stock_New!A:M, 2, FALSE),""))</f>
        <v>بوتات</v>
      </c>
      <c r="C115" s="209">
        <v>1.0</v>
      </c>
      <c r="D115" s="15" t="str">
        <f>IF(A115="","",IFERROR(VLOOKUP(A115, Stock_New!A:M, 3, FALSE),""))</f>
        <v>ذكريا</v>
      </c>
      <c r="E115" s="16">
        <f>IF($A115="", "", IFERROR(VLOOKUP($A115, Stock_New!$A:$M, 6, FALSE), ""))</f>
        <v>197</v>
      </c>
      <c r="F115" s="58">
        <v>210.0</v>
      </c>
      <c r="G115" s="68"/>
      <c r="H115" s="17">
        <v>210.0</v>
      </c>
      <c r="I115" s="213">
        <v>45919.0</v>
      </c>
      <c r="J115" s="5" t="s">
        <v>72</v>
      </c>
      <c r="K115" s="5" t="s">
        <v>1890</v>
      </c>
      <c r="L115" s="16"/>
      <c r="M115" s="61"/>
      <c r="N115" s="61"/>
      <c r="O115" s="166"/>
      <c r="P115" s="167"/>
    </row>
    <row r="116" ht="22.5" customHeight="1">
      <c r="A116" s="53" t="s">
        <v>214</v>
      </c>
      <c r="B116" s="15" t="str">
        <f>IF(A116="","",IFERROR(VLOOKUP(A116, Stock_New!A:M, 2, FALSE),""))</f>
        <v>سيلفرات</v>
      </c>
      <c r="C116" s="210">
        <v>1.0</v>
      </c>
      <c r="D116" s="15" t="str">
        <f>IF(A116="","",IFERROR(VLOOKUP(A116, Stock_New!A:M, 3, FALSE),""))</f>
        <v>ذكريا</v>
      </c>
      <c r="E116" s="16">
        <f>IF($A116="", "", IFERROR(VLOOKUP($A116, Stock_New!$A:$M, 6, FALSE), ""))</f>
        <v>246</v>
      </c>
      <c r="F116" s="54">
        <v>275.0</v>
      </c>
      <c r="G116" s="55">
        <v>0.1</v>
      </c>
      <c r="H116" s="17">
        <v>274.73</v>
      </c>
      <c r="I116" s="212">
        <v>45919.0</v>
      </c>
      <c r="J116" s="5" t="s">
        <v>72</v>
      </c>
      <c r="K116" s="5" t="s">
        <v>1891</v>
      </c>
      <c r="L116" s="16"/>
      <c r="M116" s="67"/>
      <c r="N116" s="67"/>
      <c r="O116" s="160"/>
      <c r="P116" s="169"/>
    </row>
    <row r="117" ht="22.5" customHeight="1">
      <c r="A117" s="35" t="s">
        <v>351</v>
      </c>
      <c r="B117" s="15" t="str">
        <f>IF(A117="","",IFERROR(VLOOKUP(A117, Stock_New!A:M, 2, FALSE),""))</f>
        <v>سيلفرات</v>
      </c>
      <c r="C117" s="209">
        <v>2.0</v>
      </c>
      <c r="D117" s="15" t="str">
        <f>IF(A117="","",IFERROR(VLOOKUP(A117, Stock_New!A:M, 3, FALSE),""))</f>
        <v>ذكريا</v>
      </c>
      <c r="E117" s="16">
        <f>IF($A117="", "", IFERROR(VLOOKUP($A117, Stock_New!$A:$M, 6, FALSE), ""))</f>
        <v>144</v>
      </c>
      <c r="F117" s="58">
        <v>180.0</v>
      </c>
      <c r="G117" s="41">
        <v>0.1</v>
      </c>
      <c r="H117" s="17">
        <v>359.64</v>
      </c>
      <c r="I117" s="213">
        <v>45919.0</v>
      </c>
      <c r="J117" s="5" t="s">
        <v>72</v>
      </c>
      <c r="K117" s="5" t="s">
        <v>1894</v>
      </c>
      <c r="L117" s="16"/>
      <c r="M117" s="61"/>
      <c r="N117" s="61"/>
      <c r="O117" s="166"/>
      <c r="P117" s="167"/>
    </row>
    <row r="118" ht="22.5" customHeight="1">
      <c r="A118" s="69" t="s">
        <v>250</v>
      </c>
      <c r="B118" s="15" t="str">
        <f>IF(A118="","",IFERROR(VLOOKUP(A118, Stock_New!A:M, 2, FALSE),""))</f>
        <v>شجر</v>
      </c>
      <c r="C118" s="210">
        <v>1.0</v>
      </c>
      <c r="D118" s="15" t="str">
        <f>IF(A118="","",IFERROR(VLOOKUP(A118, Stock_New!A:M, 3, FALSE),""))</f>
        <v>ذكريا</v>
      </c>
      <c r="E118" s="16">
        <f>IF($A118="", "", IFERROR(VLOOKUP($A118, Stock_New!$A:$M, 6, FALSE), ""))</f>
        <v>174</v>
      </c>
      <c r="F118" s="54">
        <v>200.0</v>
      </c>
      <c r="G118" s="55">
        <v>0.0</v>
      </c>
      <c r="H118" s="17">
        <v>200.0</v>
      </c>
      <c r="I118" s="212">
        <v>45919.0</v>
      </c>
      <c r="J118" s="5" t="s">
        <v>72</v>
      </c>
      <c r="K118" s="5" t="s">
        <v>2081</v>
      </c>
      <c r="L118" s="16"/>
      <c r="M118" s="67"/>
      <c r="N118" s="67"/>
      <c r="O118" s="160"/>
      <c r="P118" s="169"/>
    </row>
    <row r="119" ht="22.5" customHeight="1">
      <c r="A119" s="35" t="s">
        <v>255</v>
      </c>
      <c r="B119" s="15" t="str">
        <f>IF(A119="","",IFERROR(VLOOKUP(A119, Stock_New!A:M, 2, FALSE),""))</f>
        <v>بوتات</v>
      </c>
      <c r="C119" s="209">
        <v>1.0</v>
      </c>
      <c r="D119" s="15" t="str">
        <f>IF(A119="","",IFERROR(VLOOKUP(A119, Stock_New!A:M, 3, FALSE),""))</f>
        <v>manufactured</v>
      </c>
      <c r="E119" s="16">
        <f>IF($A119="", "", IFERROR(VLOOKUP($A119, Stock_New!$A:$M, 6, FALSE), ""))</f>
        <v>27.3</v>
      </c>
      <c r="F119" s="58">
        <v>45.0</v>
      </c>
      <c r="G119" s="41">
        <v>0.0</v>
      </c>
      <c r="H119" s="17">
        <v>45.0</v>
      </c>
      <c r="I119" s="213">
        <v>45919.0</v>
      </c>
      <c r="J119" s="5" t="s">
        <v>72</v>
      </c>
      <c r="K119" s="5" t="s">
        <v>1897</v>
      </c>
      <c r="L119" s="16"/>
      <c r="M119" s="61"/>
      <c r="N119" s="61"/>
      <c r="O119" s="166"/>
      <c r="P119" s="167"/>
    </row>
    <row r="120" ht="22.5" customHeight="1">
      <c r="A120" s="40" t="s">
        <v>144</v>
      </c>
      <c r="B120" s="15" t="str">
        <f>IF(A120="","",IFERROR(VLOOKUP(A120, Stock_New!A:M, 2, FALSE),""))</f>
        <v>كهربائيات</v>
      </c>
      <c r="C120" s="210">
        <v>3.0</v>
      </c>
      <c r="D120" s="15"/>
      <c r="E120" s="16">
        <f>IF($A120="", "", IFERROR(VLOOKUP($A120, Stock_New!$A:$M, 6, FALSE), ""))</f>
        <v>144</v>
      </c>
      <c r="F120" s="54">
        <v>200.0</v>
      </c>
      <c r="G120" s="55">
        <v>0.1</v>
      </c>
      <c r="H120" s="17">
        <v>599.4</v>
      </c>
      <c r="I120" s="212">
        <v>45919.0</v>
      </c>
      <c r="J120" s="5" t="s">
        <v>72</v>
      </c>
      <c r="K120" s="5" t="s">
        <v>1898</v>
      </c>
      <c r="L120" s="16"/>
      <c r="M120" s="67"/>
      <c r="N120" s="67"/>
      <c r="O120" s="160"/>
      <c r="P120" s="169"/>
    </row>
    <row r="121" ht="22.5" customHeight="1">
      <c r="A121" s="35" t="s">
        <v>79</v>
      </c>
      <c r="B121" s="15" t="str">
        <f>IF(A121="","",IFERROR(VLOOKUP(A121, Stock_New!A:M, 2, FALSE),""))</f>
        <v>خزف</v>
      </c>
      <c r="C121" s="209">
        <v>1.0</v>
      </c>
      <c r="D121" s="15" t="str">
        <f>IF(A121="","",IFERROR(VLOOKUP(A121, Stock_New!A:M, 3, FALSE),""))</f>
        <v>ذكريا</v>
      </c>
      <c r="E121" s="16">
        <f>IF($A121="", "", IFERROR(VLOOKUP($A121, Stock_New!$A:$M, 6, FALSE), ""))</f>
        <v>72</v>
      </c>
      <c r="F121" s="58">
        <v>95.0</v>
      </c>
      <c r="G121" s="41">
        <v>0.1</v>
      </c>
      <c r="H121" s="17">
        <v>94.91</v>
      </c>
      <c r="I121" s="213">
        <v>45919.0</v>
      </c>
      <c r="J121" s="5" t="s">
        <v>72</v>
      </c>
      <c r="K121" s="5" t="s">
        <v>1899</v>
      </c>
      <c r="L121" s="16"/>
      <c r="M121" s="61"/>
      <c r="N121" s="61"/>
      <c r="O121" s="166"/>
      <c r="P121" s="167"/>
    </row>
    <row r="122" ht="22.5" customHeight="1">
      <c r="A122" s="53" t="s">
        <v>357</v>
      </c>
      <c r="B122" s="15" t="str">
        <f>IF(A122="","",IFERROR(VLOOKUP(A122, Stock_New!A:M, 2, FALSE),""))</f>
        <v>ورد لوحده</v>
      </c>
      <c r="C122" s="210">
        <v>1.0</v>
      </c>
      <c r="D122" s="15" t="str">
        <f>IF(A122="","",IFERROR(VLOOKUP(A122, Stock_New!A:M, 3, FALSE),""))</f>
        <v>ذكريا</v>
      </c>
      <c r="E122" s="16">
        <f>IF($A122="", "", IFERROR(VLOOKUP($A122, Stock_New!$A:$M, 6, FALSE), ""))</f>
        <v>270</v>
      </c>
      <c r="F122" s="54">
        <v>290.0</v>
      </c>
      <c r="G122" s="55">
        <v>0.0</v>
      </c>
      <c r="H122" s="17">
        <v>290.0</v>
      </c>
      <c r="I122" s="212">
        <v>45919.0</v>
      </c>
      <c r="J122" s="5" t="s">
        <v>72</v>
      </c>
      <c r="K122" s="5" t="s">
        <v>1900</v>
      </c>
      <c r="L122" s="16"/>
      <c r="M122" s="67"/>
      <c r="N122" s="67"/>
      <c r="O122" s="160"/>
      <c r="P122" s="169"/>
    </row>
    <row r="123" ht="22.5" customHeight="1">
      <c r="A123" s="35" t="s">
        <v>297</v>
      </c>
      <c r="B123" s="15" t="str">
        <f>IF(A123="","",IFERROR(VLOOKUP(A123, Stock_New!A:M, 2, FALSE),""))</f>
        <v>ورد لوحده</v>
      </c>
      <c r="C123" s="209">
        <v>1.0</v>
      </c>
      <c r="D123" s="15" t="str">
        <f>IF(A123="","",IFERROR(VLOOKUP(A123, Stock_New!A:M, 3, FALSE),""))</f>
        <v>ذكريا</v>
      </c>
      <c r="E123" s="16">
        <f>IF($A123="", "", IFERROR(VLOOKUP($A123, Stock_New!$A:$M, 6, FALSE), ""))</f>
        <v>36</v>
      </c>
      <c r="F123" s="58">
        <v>60.0</v>
      </c>
      <c r="G123" s="41">
        <v>0.0</v>
      </c>
      <c r="H123" s="17">
        <v>60.0</v>
      </c>
      <c r="I123" s="213">
        <v>45919.0</v>
      </c>
      <c r="J123" s="5" t="s">
        <v>72</v>
      </c>
      <c r="K123" s="5" t="s">
        <v>1903</v>
      </c>
      <c r="L123" s="16"/>
      <c r="M123" s="61"/>
      <c r="N123" s="61"/>
      <c r="O123" s="166"/>
      <c r="P123" s="167"/>
    </row>
    <row r="124" ht="22.5" customHeight="1">
      <c r="A124" s="53" t="s">
        <v>357</v>
      </c>
      <c r="B124" s="15" t="str">
        <f>IF(A124="","",IFERROR(VLOOKUP(A124, Stock_New!A:M, 2, FALSE),""))</f>
        <v>ورد لوحده</v>
      </c>
      <c r="C124" s="210">
        <v>1.0</v>
      </c>
      <c r="D124" s="15" t="str">
        <f>IF(A124="","",IFERROR(VLOOKUP(A124, Stock_New!A:M, 3, FALSE),""))</f>
        <v>ذكريا</v>
      </c>
      <c r="E124" s="16">
        <f>IF($A124="", "", IFERROR(VLOOKUP($A124, Stock_New!$A:$M, 6, FALSE), ""))</f>
        <v>270</v>
      </c>
      <c r="F124" s="54">
        <v>290.0</v>
      </c>
      <c r="G124" s="55">
        <v>0.0</v>
      </c>
      <c r="H124" s="17">
        <v>290.0</v>
      </c>
      <c r="I124" s="25">
        <v>45904.0</v>
      </c>
      <c r="J124" s="5" t="s">
        <v>72</v>
      </c>
      <c r="K124" s="5" t="s">
        <v>1907</v>
      </c>
      <c r="L124" s="16"/>
      <c r="M124" s="67"/>
      <c r="N124" s="67"/>
      <c r="O124" s="160"/>
      <c r="P124" s="169"/>
    </row>
    <row r="125" ht="22.5" customHeight="1">
      <c r="A125" s="35" t="s">
        <v>297</v>
      </c>
      <c r="B125" s="15" t="str">
        <f>IF(A125="","",IFERROR(VLOOKUP(A125, Stock_New!A:M, 2, FALSE),""))</f>
        <v>ورد لوحده</v>
      </c>
      <c r="C125" s="209">
        <v>1.0</v>
      </c>
      <c r="D125" s="15" t="str">
        <f>IF(A125="","",IFERROR(VLOOKUP(A125, Stock_New!A:M, 3, FALSE),""))</f>
        <v>ذكريا</v>
      </c>
      <c r="E125" s="16">
        <f>IF($A125="", "", IFERROR(VLOOKUP($A125, Stock_New!$A:$M, 6, FALSE), ""))</f>
        <v>36</v>
      </c>
      <c r="F125" s="58">
        <v>60.0</v>
      </c>
      <c r="G125" s="41">
        <v>0.0</v>
      </c>
      <c r="H125" s="17">
        <v>60.0</v>
      </c>
      <c r="I125" s="31">
        <v>45904.0</v>
      </c>
      <c r="J125" s="5" t="s">
        <v>72</v>
      </c>
      <c r="K125" s="5" t="s">
        <v>1908</v>
      </c>
      <c r="L125" s="16"/>
      <c r="M125" s="61"/>
      <c r="N125" s="61"/>
      <c r="O125" s="166"/>
      <c r="P125" s="167"/>
    </row>
    <row r="126" ht="22.5" customHeight="1">
      <c r="A126" s="53" t="s">
        <v>221</v>
      </c>
      <c r="B126" s="15" t="str">
        <f>IF(A126="","",IFERROR(VLOOKUP(A126, Stock_New!A:M, 2, FALSE),""))</f>
        <v>بوكيه</v>
      </c>
      <c r="C126" s="210">
        <v>1.0</v>
      </c>
      <c r="D126" s="15" t="str">
        <f>IF(A126="","",IFERROR(VLOOKUP(A126, Stock_New!A:M, 3, FALSE),""))</f>
        <v>ذكريا</v>
      </c>
      <c r="E126" s="16">
        <f>IF($A126="", "", IFERROR(VLOOKUP($A126, Stock_New!$A:$M, 6, FALSE), ""))</f>
        <v>282</v>
      </c>
      <c r="F126" s="54">
        <v>350.0</v>
      </c>
      <c r="G126" s="55">
        <v>0.0</v>
      </c>
      <c r="H126" s="17">
        <v>350.0</v>
      </c>
      <c r="I126" s="212">
        <v>45924.0</v>
      </c>
      <c r="J126" s="5" t="s">
        <v>72</v>
      </c>
      <c r="K126" s="5" t="s">
        <v>1909</v>
      </c>
      <c r="L126" s="16"/>
      <c r="M126" s="67"/>
      <c r="N126" s="67"/>
      <c r="O126" s="160"/>
      <c r="P126" s="169"/>
    </row>
    <row r="127" ht="22.5" customHeight="1">
      <c r="A127" s="35" t="s">
        <v>366</v>
      </c>
      <c r="B127" s="15" t="str">
        <f>IF(A127="","",IFERROR(VLOOKUP(A127, Stock_New!A:M, 2, FALSE),""))</f>
        <v>سيلفرات</v>
      </c>
      <c r="C127" s="209">
        <v>1.0</v>
      </c>
      <c r="D127" s="15" t="str">
        <f>IF(A127="","",IFERROR(VLOOKUP(A127, Stock_New!A:M, 3, FALSE),""))</f>
        <v>ذكريا</v>
      </c>
      <c r="E127" s="16">
        <f>IF($A127="", "", IFERROR(VLOOKUP($A127, Stock_New!$A:$M, 6, FALSE), ""))</f>
        <v>168</v>
      </c>
      <c r="F127" s="58">
        <v>220.0</v>
      </c>
      <c r="G127" s="41">
        <v>0.0</v>
      </c>
      <c r="H127" s="17">
        <v>220.0</v>
      </c>
      <c r="I127" s="213">
        <v>45924.0</v>
      </c>
      <c r="J127" s="5" t="s">
        <v>72</v>
      </c>
      <c r="K127" s="5" t="s">
        <v>1910</v>
      </c>
      <c r="L127" s="16"/>
      <c r="M127" s="61"/>
      <c r="N127" s="61"/>
      <c r="O127" s="166"/>
      <c r="P127" s="167"/>
    </row>
    <row r="128" ht="22.5" customHeight="1">
      <c r="A128" s="53" t="s">
        <v>322</v>
      </c>
      <c r="B128" s="15" t="str">
        <f>IF(A128="","",IFERROR(VLOOKUP(A128, Stock_New!A:M, 2, FALSE),""))</f>
        <v>خزف</v>
      </c>
      <c r="C128" s="210">
        <v>1.0</v>
      </c>
      <c r="D128" s="15" t="str">
        <f>IF(A128="","",IFERROR(VLOOKUP(A128, Stock_New!A:M, 3, FALSE),""))</f>
        <v>ذكريا</v>
      </c>
      <c r="E128" s="16">
        <f>IF($A128="", "", IFERROR(VLOOKUP($A128, Stock_New!$A:$M, 6, FALSE), ""))</f>
        <v>90</v>
      </c>
      <c r="F128" s="54">
        <v>100.0</v>
      </c>
      <c r="G128" s="55">
        <v>0.0</v>
      </c>
      <c r="H128" s="17">
        <v>100.0</v>
      </c>
      <c r="I128" s="212">
        <v>45924.0</v>
      </c>
      <c r="J128" s="5" t="s">
        <v>72</v>
      </c>
      <c r="K128" s="5" t="s">
        <v>1913</v>
      </c>
      <c r="L128" s="16"/>
      <c r="M128" s="67"/>
      <c r="N128" s="67"/>
      <c r="O128" s="160"/>
      <c r="P128" s="169"/>
    </row>
    <row r="129" ht="22.5" customHeight="1">
      <c r="A129" s="35" t="s">
        <v>144</v>
      </c>
      <c r="B129" s="15" t="str">
        <f>IF(A129="","",IFERROR(VLOOKUP(A129, Stock_New!A:M, 2, FALSE),""))</f>
        <v>كهربائيات</v>
      </c>
      <c r="C129" s="209">
        <v>2.0</v>
      </c>
      <c r="D129" s="15"/>
      <c r="E129" s="16">
        <f>IF($A129="", "", IFERROR(VLOOKUP($A129, Stock_New!$A:$M, 6, FALSE), ""))</f>
        <v>144</v>
      </c>
      <c r="F129" s="58">
        <v>200.0</v>
      </c>
      <c r="G129" s="41">
        <v>0.0</v>
      </c>
      <c r="H129" s="17">
        <v>400.0</v>
      </c>
      <c r="I129" s="213" t="s">
        <v>321</v>
      </c>
      <c r="J129" s="5" t="s">
        <v>72</v>
      </c>
      <c r="K129" s="5" t="s">
        <v>1916</v>
      </c>
      <c r="L129" s="16"/>
      <c r="M129" s="61"/>
      <c r="N129" s="61"/>
      <c r="O129" s="166"/>
      <c r="P129" s="167"/>
    </row>
    <row r="130" ht="22.5" customHeight="1">
      <c r="A130" s="53" t="s">
        <v>319</v>
      </c>
      <c r="B130" s="15" t="str">
        <f>IF(A130="","",IFERROR(VLOOKUP(A130, Stock_New!A:M, 2, FALSE),""))</f>
        <v>بوتات</v>
      </c>
      <c r="C130" s="210">
        <v>1.0</v>
      </c>
      <c r="D130" s="15" t="str">
        <f>IF(A130="","",IFERROR(VLOOKUP(A130, Stock_New!A:M, 3, FALSE),""))</f>
        <v>ذكريا</v>
      </c>
      <c r="E130" s="16">
        <f>IF($A130="", "", IFERROR(VLOOKUP($A130, Stock_New!$A:$M, 6, FALSE), ""))</f>
        <v>330</v>
      </c>
      <c r="F130" s="54">
        <v>400.0</v>
      </c>
      <c r="G130" s="55">
        <v>0.0</v>
      </c>
      <c r="H130" s="17">
        <v>400.0</v>
      </c>
      <c r="I130" s="212" t="s">
        <v>321</v>
      </c>
      <c r="J130" s="5" t="s">
        <v>72</v>
      </c>
      <c r="K130" s="5" t="s">
        <v>1917</v>
      </c>
      <c r="L130" s="16"/>
      <c r="M130" s="67"/>
      <c r="N130" s="67"/>
      <c r="O130" s="160"/>
      <c r="P130" s="214">
        <v>3375.0</v>
      </c>
    </row>
    <row r="131" ht="22.5" customHeight="1">
      <c r="A131" s="35" t="s">
        <v>268</v>
      </c>
      <c r="B131" s="15" t="str">
        <f>IF(A131="","",IFERROR(VLOOKUP(A131, Stock_New!A:M, 2, FALSE),""))</f>
        <v>سيلفرات</v>
      </c>
      <c r="C131" s="209">
        <v>1.0</v>
      </c>
      <c r="D131" s="15" t="str">
        <f>IF(A131="","",IFERROR(VLOOKUP(A131, Stock_New!A:M, 3, FALSE),""))</f>
        <v>شركة حسين علي</v>
      </c>
      <c r="E131" s="16">
        <f>IF($A131="", "", IFERROR(VLOOKUP($A131, Stock_New!$A:$M, 6, FALSE), ""))</f>
        <v>214.5</v>
      </c>
      <c r="F131" s="58">
        <v>200.0</v>
      </c>
      <c r="G131" s="41">
        <v>0.0</v>
      </c>
      <c r="H131" s="17">
        <v>200.0</v>
      </c>
      <c r="I131" s="213" t="s">
        <v>321</v>
      </c>
      <c r="J131" s="5" t="s">
        <v>72</v>
      </c>
      <c r="K131" s="5" t="s">
        <v>1920</v>
      </c>
      <c r="L131" s="16"/>
      <c r="M131" s="43" t="s">
        <v>1818</v>
      </c>
      <c r="N131" s="54">
        <f t="shared" ref="N131:N140" si="3">2335-150</f>
        <v>2185</v>
      </c>
      <c r="O131" s="166"/>
      <c r="P131" s="167">
        <f>3375-500</f>
        <v>2875</v>
      </c>
    </row>
    <row r="132" ht="22.5" customHeight="1">
      <c r="A132" s="53" t="s">
        <v>379</v>
      </c>
      <c r="B132" s="15" t="str">
        <f>IF(A132="","",IFERROR(VLOOKUP(A132, Stock_New!A:M, 2, FALSE),""))</f>
        <v>ورد لوحده</v>
      </c>
      <c r="C132" s="210">
        <v>1.0</v>
      </c>
      <c r="D132" s="15" t="str">
        <f>IF(A132="","",IFERROR(VLOOKUP(A132, Stock_New!A:M, 3, FALSE),""))</f>
        <v>ذكريا</v>
      </c>
      <c r="E132" s="16">
        <f>IF($A132="", "", IFERROR(VLOOKUP($A132, Stock_New!$A:$M, 6, FALSE), ""))</f>
        <v>186</v>
      </c>
      <c r="F132" s="54">
        <v>200.0</v>
      </c>
      <c r="G132" s="55">
        <v>0.0</v>
      </c>
      <c r="H132" s="17">
        <v>200.0</v>
      </c>
      <c r="I132" s="212" t="s">
        <v>321</v>
      </c>
      <c r="J132" s="5" t="s">
        <v>72</v>
      </c>
      <c r="K132" s="5" t="s">
        <v>1921</v>
      </c>
      <c r="L132" s="16"/>
      <c r="M132" s="47" t="s">
        <v>1818</v>
      </c>
      <c r="N132" s="54">
        <f t="shared" si="3"/>
        <v>2185</v>
      </c>
      <c r="O132" s="160"/>
      <c r="P132" s="169"/>
    </row>
    <row r="133" ht="22.5" customHeight="1">
      <c r="A133" s="35" t="s">
        <v>376</v>
      </c>
      <c r="B133" s="15" t="str">
        <f>IF(A133="","",IFERROR(VLOOKUP(A133, Stock_New!A:M, 2, FALSE),""))</f>
        <v>ورد لوحده</v>
      </c>
      <c r="C133" s="209">
        <v>2.0</v>
      </c>
      <c r="D133" s="15" t="str">
        <f>IF(A133="","",IFERROR(VLOOKUP(A133, Stock_New!A:M, 3, FALSE),""))</f>
        <v>ذكريا</v>
      </c>
      <c r="E133" s="16">
        <f>IF($A133="", "", IFERROR(VLOOKUP($A133, Stock_New!$A:$M, 6, FALSE), ""))</f>
        <v>132</v>
      </c>
      <c r="F133" s="58">
        <v>130.0</v>
      </c>
      <c r="G133" s="41">
        <v>0.0</v>
      </c>
      <c r="H133" s="17">
        <v>260.0</v>
      </c>
      <c r="I133" s="213" t="s">
        <v>321</v>
      </c>
      <c r="J133" s="5" t="s">
        <v>72</v>
      </c>
      <c r="K133" s="5" t="s">
        <v>1924</v>
      </c>
      <c r="L133" s="16"/>
      <c r="M133" s="43" t="s">
        <v>1818</v>
      </c>
      <c r="N133" s="54">
        <f t="shared" si="3"/>
        <v>2185</v>
      </c>
      <c r="O133" s="166"/>
      <c r="P133" s="167"/>
    </row>
    <row r="134" ht="22.5" customHeight="1">
      <c r="A134" s="53" t="s">
        <v>246</v>
      </c>
      <c r="B134" s="15" t="str">
        <f>IF(A134="","",IFERROR(VLOOKUP(A134, Stock_New!A:M, 2, FALSE),""))</f>
        <v>سيلفرات</v>
      </c>
      <c r="C134" s="210">
        <v>1.0</v>
      </c>
      <c r="D134" s="15" t="str">
        <f>IF(A134="","",IFERROR(VLOOKUP(A134, Stock_New!A:M, 3, FALSE),""))</f>
        <v>ذكريا</v>
      </c>
      <c r="E134" s="16">
        <f>IF($A134="", "", IFERROR(VLOOKUP($A134, Stock_New!$A:$M, 6, FALSE), ""))</f>
        <v>390</v>
      </c>
      <c r="F134" s="54">
        <v>350.0</v>
      </c>
      <c r="G134" s="55">
        <v>0.0</v>
      </c>
      <c r="H134" s="17">
        <v>350.0</v>
      </c>
      <c r="I134" s="212" t="s">
        <v>321</v>
      </c>
      <c r="J134" s="5" t="s">
        <v>72</v>
      </c>
      <c r="K134" s="5" t="s">
        <v>1927</v>
      </c>
      <c r="L134" s="16"/>
      <c r="M134" s="47" t="s">
        <v>1818</v>
      </c>
      <c r="N134" s="54">
        <f t="shared" si="3"/>
        <v>2185</v>
      </c>
      <c r="O134" s="160"/>
      <c r="P134" s="169"/>
    </row>
    <row r="135" ht="22.5" customHeight="1">
      <c r="A135" s="35" t="s">
        <v>297</v>
      </c>
      <c r="B135" s="15" t="str">
        <f>IF(A135="","",IFERROR(VLOOKUP(A135, Stock_New!A:M, 2, FALSE),""))</f>
        <v>ورد لوحده</v>
      </c>
      <c r="C135" s="209">
        <v>1.0</v>
      </c>
      <c r="D135" s="15" t="str">
        <f>IF(A135="","",IFERROR(VLOOKUP(A135, Stock_New!A:M, 3, FALSE),""))</f>
        <v>ذكريا</v>
      </c>
      <c r="E135" s="16">
        <f>IF($A135="", "", IFERROR(VLOOKUP($A135, Stock_New!$A:$M, 6, FALSE), ""))</f>
        <v>36</v>
      </c>
      <c r="F135" s="58">
        <v>40.0</v>
      </c>
      <c r="G135" s="41">
        <v>0.0</v>
      </c>
      <c r="H135" s="17">
        <v>40.0</v>
      </c>
      <c r="I135" s="213" t="s">
        <v>321</v>
      </c>
      <c r="J135" s="5" t="s">
        <v>72</v>
      </c>
      <c r="K135" s="5" t="s">
        <v>1930</v>
      </c>
      <c r="L135" s="16"/>
      <c r="M135" s="43" t="s">
        <v>1818</v>
      </c>
      <c r="N135" s="54">
        <f t="shared" si="3"/>
        <v>2185</v>
      </c>
      <c r="O135" s="166"/>
      <c r="P135" s="167"/>
    </row>
    <row r="136" ht="22.5" customHeight="1">
      <c r="A136" s="53" t="s">
        <v>144</v>
      </c>
      <c r="B136" s="15" t="str">
        <f>IF(A136="","",IFERROR(VLOOKUP(A136, Stock_New!A:M, 2, FALSE),""))</f>
        <v>كهربائيات</v>
      </c>
      <c r="C136" s="210">
        <v>1.0</v>
      </c>
      <c r="D136" s="15"/>
      <c r="E136" s="16">
        <f>IF($A136="", "", IFERROR(VLOOKUP($A136, Stock_New!$A:$M, 6, FALSE), ""))</f>
        <v>144</v>
      </c>
      <c r="F136" s="54">
        <v>200.0</v>
      </c>
      <c r="G136" s="55">
        <v>0.0</v>
      </c>
      <c r="H136" s="17">
        <v>200.0</v>
      </c>
      <c r="I136" s="212">
        <v>45757.0</v>
      </c>
      <c r="J136" s="5" t="s">
        <v>72</v>
      </c>
      <c r="K136" s="5" t="s">
        <v>1931</v>
      </c>
      <c r="L136" s="16"/>
      <c r="M136" s="47" t="s">
        <v>1818</v>
      </c>
      <c r="N136" s="54">
        <f t="shared" si="3"/>
        <v>2185</v>
      </c>
      <c r="O136" s="160"/>
      <c r="P136" s="169"/>
    </row>
    <row r="137" ht="22.5" customHeight="1">
      <c r="A137" s="35" t="s">
        <v>287</v>
      </c>
      <c r="B137" s="15" t="str">
        <f>IF(A137="","",IFERROR(VLOOKUP(A137, Stock_New!A:M, 2, FALSE),""))</f>
        <v>بوكيه</v>
      </c>
      <c r="C137" s="209">
        <v>1.0</v>
      </c>
      <c r="D137" s="15" t="str">
        <f>IF(A137="","",IFERROR(VLOOKUP(A137, Stock_New!A:M, 3, FALSE),""))</f>
        <v>ذكريا</v>
      </c>
      <c r="E137" s="16">
        <f>IF($A137="", "", IFERROR(VLOOKUP($A137, Stock_New!$A:$M, 6, FALSE), ""))</f>
        <v>54</v>
      </c>
      <c r="F137" s="58">
        <v>60.0</v>
      </c>
      <c r="G137" s="41">
        <v>0.0</v>
      </c>
      <c r="H137" s="17">
        <v>60.0</v>
      </c>
      <c r="I137" s="213">
        <v>45757.0</v>
      </c>
      <c r="J137" s="5" t="s">
        <v>72</v>
      </c>
      <c r="K137" s="5" t="s">
        <v>1932</v>
      </c>
      <c r="L137" s="16"/>
      <c r="M137" s="43" t="s">
        <v>1818</v>
      </c>
      <c r="N137" s="54">
        <f t="shared" si="3"/>
        <v>2185</v>
      </c>
      <c r="O137" s="166"/>
      <c r="P137" s="167"/>
    </row>
    <row r="138" ht="22.5" customHeight="1">
      <c r="A138" s="53" t="s">
        <v>173</v>
      </c>
      <c r="B138" s="15" t="str">
        <f>IF(A138="","",IFERROR(VLOOKUP(A138, Stock_New!A:M, 2, FALSE),""))</f>
        <v>خزف</v>
      </c>
      <c r="C138" s="210">
        <v>1.0</v>
      </c>
      <c r="D138" s="15" t="str">
        <f>IF(A138="","",IFERROR(VLOOKUP(A138, Stock_New!A:M, 3, FALSE),""))</f>
        <v>ذكريا</v>
      </c>
      <c r="E138" s="16">
        <f>IF($A138="", "", IFERROR(VLOOKUP($A138, Stock_New!$A:$M, 6, FALSE), ""))</f>
        <v>54</v>
      </c>
      <c r="F138" s="54">
        <v>60.0</v>
      </c>
      <c r="G138" s="55">
        <v>0.0</v>
      </c>
      <c r="H138" s="17">
        <v>60.0</v>
      </c>
      <c r="I138" s="212">
        <v>45757.0</v>
      </c>
      <c r="J138" s="5" t="s">
        <v>72</v>
      </c>
      <c r="K138" s="5" t="s">
        <v>1933</v>
      </c>
      <c r="L138" s="16"/>
      <c r="M138" s="47" t="s">
        <v>1818</v>
      </c>
      <c r="N138" s="54">
        <f t="shared" si="3"/>
        <v>2185</v>
      </c>
      <c r="O138" s="160"/>
      <c r="P138" s="169"/>
    </row>
    <row r="139" ht="22.5" customHeight="1">
      <c r="A139" s="35" t="s">
        <v>392</v>
      </c>
      <c r="B139" s="15" t="str">
        <f>IF(A139="","",IFERROR(VLOOKUP(A139, Stock_New!A:M, 2, FALSE),""))</f>
        <v>شجر</v>
      </c>
      <c r="C139" s="209">
        <v>1.0</v>
      </c>
      <c r="D139" s="15" t="str">
        <f>IF(A139="","",IFERROR(VLOOKUP(A139, Stock_New!A:M, 3, FALSE),""))</f>
        <v>ذكريا</v>
      </c>
      <c r="E139" s="16">
        <f>IF($A139="", "", IFERROR(VLOOKUP($A139, Stock_New!$A:$M, 6, FALSE), ""))</f>
        <v>78</v>
      </c>
      <c r="F139" s="58">
        <v>95.0</v>
      </c>
      <c r="G139" s="41">
        <v>0.0</v>
      </c>
      <c r="H139" s="17">
        <v>95.0</v>
      </c>
      <c r="I139" s="213">
        <v>45757.0</v>
      </c>
      <c r="J139" s="5" t="s">
        <v>72</v>
      </c>
      <c r="K139" s="5" t="s">
        <v>1936</v>
      </c>
      <c r="L139" s="16"/>
      <c r="M139" s="43" t="s">
        <v>1818</v>
      </c>
      <c r="N139" s="54">
        <f t="shared" si="3"/>
        <v>2185</v>
      </c>
      <c r="O139" s="215" t="s">
        <v>2422</v>
      </c>
      <c r="P139" s="216"/>
    </row>
    <row r="140" ht="22.5" customHeight="1">
      <c r="A140" s="217" t="s">
        <v>282</v>
      </c>
      <c r="B140" s="15" t="str">
        <f>IF(A140="","",IFERROR(VLOOKUP(A140, Stock_New!A:M, 2, FALSE),""))</f>
        <v/>
      </c>
      <c r="C140" s="218">
        <v>1.0</v>
      </c>
      <c r="D140" s="15" t="str">
        <f>IF(A140="","",IFERROR(VLOOKUP(A140, Stock_New!A:M, 3, FALSE),""))</f>
        <v/>
      </c>
      <c r="E140" s="16" t="str">
        <f>IF($A140="", "", IFERROR(VLOOKUP($A140, Stock_New!$A:$M, 6, FALSE), ""))</f>
        <v/>
      </c>
      <c r="F140" s="43">
        <v>235.0</v>
      </c>
      <c r="G140" s="55">
        <v>0.0</v>
      </c>
      <c r="H140" s="17">
        <v>235.0</v>
      </c>
      <c r="I140" s="212">
        <v>45971.0</v>
      </c>
      <c r="J140" s="5" t="s">
        <v>72</v>
      </c>
      <c r="K140" s="5" t="s">
        <v>1939</v>
      </c>
      <c r="L140" s="16"/>
      <c r="M140" s="47" t="s">
        <v>1818</v>
      </c>
      <c r="N140" s="54">
        <f t="shared" si="3"/>
        <v>2185</v>
      </c>
      <c r="O140" s="160"/>
      <c r="P140" s="169"/>
    </row>
    <row r="141" ht="22.5" customHeight="1">
      <c r="A141" s="46" t="s">
        <v>194</v>
      </c>
      <c r="B141" s="15" t="str">
        <f>IF(A141="","",IFERROR(VLOOKUP(A141, Stock_New!A:M, 2, FALSE),""))</f>
        <v>بوتات</v>
      </c>
      <c r="C141" s="219">
        <v>1.0</v>
      </c>
      <c r="D141" s="15" t="str">
        <f>IF(A141="","",IFERROR(VLOOKUP(A141, Stock_New!A:M, 3, FALSE),""))</f>
        <v>ذكريا</v>
      </c>
      <c r="E141" s="16">
        <f>IF($A141="", "", IFERROR(VLOOKUP($A141, Stock_New!$A:$M, 6, FALSE), ""))</f>
        <v>197</v>
      </c>
      <c r="F141" s="47">
        <v>195.0</v>
      </c>
      <c r="G141" s="41">
        <v>0.0</v>
      </c>
      <c r="H141" s="17">
        <v>195.0</v>
      </c>
      <c r="I141" s="213">
        <v>45971.0</v>
      </c>
      <c r="J141" s="5" t="s">
        <v>72</v>
      </c>
      <c r="K141" s="5" t="s">
        <v>1942</v>
      </c>
      <c r="L141" s="16"/>
      <c r="M141" s="61"/>
      <c r="N141" s="61"/>
      <c r="O141" s="166"/>
      <c r="P141" s="167"/>
    </row>
    <row r="142" ht="22.5" customHeight="1">
      <c r="A142" s="42" t="s">
        <v>366</v>
      </c>
      <c r="B142" s="15" t="str">
        <f>IF(A142="","",IFERROR(VLOOKUP(A142, Stock_New!A:M, 2, FALSE),""))</f>
        <v>سيلفرات</v>
      </c>
      <c r="C142" s="218">
        <v>1.0</v>
      </c>
      <c r="D142" s="15" t="str">
        <f>IF(A142="","",IFERROR(VLOOKUP(A142, Stock_New!A:M, 3, FALSE),""))</f>
        <v>ذكريا</v>
      </c>
      <c r="E142" s="16">
        <f>IF($A142="", "", IFERROR(VLOOKUP($A142, Stock_New!$A:$M, 6, FALSE), ""))</f>
        <v>168</v>
      </c>
      <c r="F142" s="43">
        <v>180.0</v>
      </c>
      <c r="G142" s="55">
        <v>0.0</v>
      </c>
      <c r="H142" s="17">
        <v>180.0</v>
      </c>
      <c r="I142" s="212">
        <v>45971.0</v>
      </c>
      <c r="J142" s="5" t="s">
        <v>72</v>
      </c>
      <c r="K142" s="5" t="s">
        <v>1943</v>
      </c>
      <c r="L142" s="16"/>
      <c r="M142" s="67"/>
      <c r="N142" s="67"/>
      <c r="O142" s="160"/>
      <c r="P142" s="169"/>
    </row>
    <row r="143" ht="22.5" customHeight="1">
      <c r="A143" s="46" t="s">
        <v>74</v>
      </c>
      <c r="B143" s="15" t="str">
        <f>IF(A143="","",IFERROR(VLOOKUP(A143, Stock_New!A:M, 2, FALSE),""))</f>
        <v>سيلفرات</v>
      </c>
      <c r="C143" s="219">
        <v>1.0</v>
      </c>
      <c r="D143" s="15" t="str">
        <f>IF(A143="","",IFERROR(VLOOKUP(A143, Stock_New!A:M, 3, FALSE),""))</f>
        <v>ذكريا</v>
      </c>
      <c r="E143" s="16">
        <f>IF($A143="", "", IFERROR(VLOOKUP($A143, Stock_New!$A:$M, 6, FALSE), ""))</f>
        <v>144</v>
      </c>
      <c r="F143" s="47">
        <v>180.0</v>
      </c>
      <c r="G143" s="41">
        <v>0.0</v>
      </c>
      <c r="H143" s="17">
        <v>180.0</v>
      </c>
      <c r="I143" s="213">
        <v>45971.0</v>
      </c>
      <c r="J143" s="5" t="s">
        <v>72</v>
      </c>
      <c r="K143" s="5" t="s">
        <v>1944</v>
      </c>
      <c r="L143" s="16"/>
      <c r="M143" s="61"/>
      <c r="N143" s="61"/>
      <c r="O143" s="166"/>
      <c r="P143" s="167"/>
    </row>
    <row r="144" ht="22.5" customHeight="1">
      <c r="A144" s="42" t="s">
        <v>153</v>
      </c>
      <c r="B144" s="15" t="str">
        <f>IF(A144="","",IFERROR(VLOOKUP(A144, Stock_New!A:M, 2, FALSE),""))</f>
        <v>سيلفرات</v>
      </c>
      <c r="C144" s="218">
        <v>1.0</v>
      </c>
      <c r="D144" s="15" t="str">
        <f>IF(A144="","",IFERROR(VLOOKUP(A144, Stock_New!A:M, 3, FALSE),""))</f>
        <v>ذكريا</v>
      </c>
      <c r="E144" s="16">
        <f>IF($A144="", "", IFERROR(VLOOKUP($A144, Stock_New!$A:$M, 6, FALSE), ""))</f>
        <v>254</v>
      </c>
      <c r="F144" s="43">
        <v>260.0</v>
      </c>
      <c r="G144" s="55">
        <v>0.0</v>
      </c>
      <c r="H144" s="17">
        <v>260.0</v>
      </c>
      <c r="I144" s="212">
        <v>45971.0</v>
      </c>
      <c r="J144" s="5" t="s">
        <v>72</v>
      </c>
      <c r="K144" s="5" t="s">
        <v>1945</v>
      </c>
      <c r="L144" s="16"/>
      <c r="M144" s="67"/>
      <c r="N144" s="67"/>
      <c r="O144" s="160"/>
      <c r="P144" s="169"/>
    </row>
    <row r="145" ht="22.5" customHeight="1">
      <c r="A145" s="46" t="s">
        <v>168</v>
      </c>
      <c r="B145" s="15" t="str">
        <f>IF(A145="","",IFERROR(VLOOKUP(A145, Stock_New!A:M, 2, FALSE),""))</f>
        <v>خزف</v>
      </c>
      <c r="C145" s="219">
        <v>1.0</v>
      </c>
      <c r="D145" s="15" t="str">
        <f>IF(A145="","",IFERROR(VLOOKUP(A145, Stock_New!A:M, 3, FALSE),""))</f>
        <v>شركة حسين علي</v>
      </c>
      <c r="E145" s="16">
        <f>IF($A145="", "", IFERROR(VLOOKUP($A145, Stock_New!$A:$M, 6, FALSE), ""))</f>
        <v>132</v>
      </c>
      <c r="F145" s="47">
        <v>200.0</v>
      </c>
      <c r="G145" s="41">
        <v>0.0</v>
      </c>
      <c r="H145" s="17">
        <v>200.0</v>
      </c>
      <c r="I145" s="213">
        <v>45971.0</v>
      </c>
      <c r="J145" s="5" t="s">
        <v>72</v>
      </c>
      <c r="K145" s="5" t="s">
        <v>1946</v>
      </c>
      <c r="L145" s="16"/>
      <c r="M145" s="61"/>
      <c r="N145" s="61"/>
      <c r="O145" s="166"/>
      <c r="P145" s="167"/>
    </row>
    <row r="146" ht="22.5" customHeight="1">
      <c r="A146" s="42" t="s">
        <v>404</v>
      </c>
      <c r="B146" s="15" t="str">
        <f>IF(A146="","",IFERROR(VLOOKUP(A146, Stock_New!A:M, 2, FALSE),""))</f>
        <v>بوتات</v>
      </c>
      <c r="C146" s="218">
        <v>1.0</v>
      </c>
      <c r="D146" s="15" t="str">
        <f>IF(A146="","",IFERROR(VLOOKUP(A146, Stock_New!A:M, 3, FALSE),""))</f>
        <v>ذكريا</v>
      </c>
      <c r="E146" s="16">
        <f>IF($A146="", "", IFERROR(VLOOKUP($A146, Stock_New!$A:$M, 6, FALSE), ""))</f>
        <v>90</v>
      </c>
      <c r="F146" s="43">
        <v>90.0</v>
      </c>
      <c r="G146" s="55">
        <v>0.0</v>
      </c>
      <c r="H146" s="17">
        <v>90.0</v>
      </c>
      <c r="I146" s="212">
        <v>45971.0</v>
      </c>
      <c r="J146" s="5" t="s">
        <v>72</v>
      </c>
      <c r="K146" s="5" t="s">
        <v>1949</v>
      </c>
      <c r="L146" s="16"/>
      <c r="M146" s="67"/>
      <c r="N146" s="67"/>
      <c r="O146" s="160"/>
      <c r="P146" s="169"/>
    </row>
    <row r="147" ht="22.5" customHeight="1">
      <c r="A147" s="46" t="s">
        <v>409</v>
      </c>
      <c r="B147" s="15" t="str">
        <f>IF(A147="","",IFERROR(VLOOKUP(A147, Stock_New!A:M, 2, FALSE),""))</f>
        <v>ورد لوحده</v>
      </c>
      <c r="C147" s="219">
        <f>1/2</f>
        <v>0.5</v>
      </c>
      <c r="D147" s="15" t="str">
        <f>IF(A147="","",IFERROR(VLOOKUP(A147, Stock_New!A:M, 3, FALSE),""))</f>
        <v>ذكريا</v>
      </c>
      <c r="E147" s="16">
        <f>IF($A147="", "", IFERROR(VLOOKUP($A147, Stock_New!$A:$M, 6, FALSE), ""))</f>
        <v>114</v>
      </c>
      <c r="F147" s="220">
        <v>120.0</v>
      </c>
      <c r="G147" s="41">
        <v>0.0</v>
      </c>
      <c r="H147" s="17">
        <v>60.0</v>
      </c>
      <c r="I147" s="213">
        <v>45971.0</v>
      </c>
      <c r="J147" s="5" t="s">
        <v>72</v>
      </c>
      <c r="K147" s="5" t="s">
        <v>1952</v>
      </c>
      <c r="L147" s="16"/>
      <c r="M147" s="61"/>
      <c r="N147" s="61"/>
      <c r="O147" s="166"/>
      <c r="P147" s="167"/>
    </row>
    <row r="148" ht="22.5" customHeight="1">
      <c r="A148" s="53" t="s">
        <v>101</v>
      </c>
      <c r="B148" s="15" t="str">
        <f>IF(A148="","",IFERROR(VLOOKUP(A148, Stock_New!A:M, 2, FALSE),""))</f>
        <v>سيلفرات</v>
      </c>
      <c r="C148" s="210">
        <v>2.0</v>
      </c>
      <c r="D148" s="15" t="str">
        <f>IF(A148="","",IFERROR(VLOOKUP(A148, Stock_New!A:M, 3, FALSE),""))</f>
        <v>ذكريا</v>
      </c>
      <c r="E148" s="16">
        <f>IF($A148="", "", IFERROR(VLOOKUP($A148, Stock_New!$A:$M, 6, FALSE), ""))</f>
        <v>210</v>
      </c>
      <c r="F148" s="54">
        <v>210.0</v>
      </c>
      <c r="G148" s="62"/>
      <c r="H148" s="16">
        <f>(1-Sales_New!$G148)*Sales_New!$F148*Sales_New!$C148</f>
        <v>420</v>
      </c>
      <c r="I148" s="212">
        <v>45945.0</v>
      </c>
      <c r="J148" s="5" t="s">
        <v>1612</v>
      </c>
      <c r="K148" s="16"/>
      <c r="L148" s="16"/>
      <c r="M148" s="67"/>
      <c r="N148" s="67"/>
      <c r="O148" s="160"/>
      <c r="P148" s="169"/>
    </row>
    <row r="149" ht="22.5" customHeight="1">
      <c r="A149" s="221" t="s">
        <v>153</v>
      </c>
      <c r="B149" s="15" t="str">
        <f>IF(A149="","",IFERROR(VLOOKUP(A149, Stock_New!A:M, 2, FALSE),""))</f>
        <v>سيلفرات</v>
      </c>
      <c r="C149" s="209">
        <v>1.0</v>
      </c>
      <c r="D149" s="15" t="str">
        <f>IF(A149="","",IFERROR(VLOOKUP(A149, Stock_New!A:M, 3, FALSE),""))</f>
        <v>ذكريا</v>
      </c>
      <c r="E149" s="16">
        <f>IF($A149="", "", IFERROR(VLOOKUP($A149, Stock_New!$A:$M, 6, FALSE), ""))</f>
        <v>254</v>
      </c>
      <c r="F149" s="58">
        <v>260.0</v>
      </c>
      <c r="G149" s="68"/>
      <c r="H149" s="17">
        <v>260.0</v>
      </c>
      <c r="I149" s="213">
        <v>45945.0</v>
      </c>
      <c r="J149" s="5" t="s">
        <v>72</v>
      </c>
      <c r="K149" s="5" t="s">
        <v>1955</v>
      </c>
      <c r="L149" s="16"/>
      <c r="M149" s="61"/>
      <c r="N149" s="61"/>
      <c r="O149" s="166"/>
      <c r="P149" s="167"/>
    </row>
    <row r="150" ht="22.5" customHeight="1">
      <c r="A150" s="53" t="s">
        <v>404</v>
      </c>
      <c r="B150" s="15" t="str">
        <f>IF(A150="","",IFERROR(VLOOKUP(A150, Stock_New!A:M, 2, FALSE),""))</f>
        <v>بوتات</v>
      </c>
      <c r="C150" s="210">
        <v>1.0</v>
      </c>
      <c r="D150" s="15" t="str">
        <f>IF(A150="","",IFERROR(VLOOKUP(A150, Stock_New!A:M, 3, FALSE),""))</f>
        <v>ذكريا</v>
      </c>
      <c r="E150" s="16">
        <f>IF($A150="", "", IFERROR(VLOOKUP($A150, Stock_New!$A:$M, 6, FALSE), ""))</f>
        <v>90</v>
      </c>
      <c r="F150" s="54">
        <v>90.0</v>
      </c>
      <c r="G150" s="62"/>
      <c r="H150" s="17">
        <v>90.0</v>
      </c>
      <c r="I150" s="212">
        <v>45945.0</v>
      </c>
      <c r="J150" s="5" t="s">
        <v>72</v>
      </c>
      <c r="K150" s="5" t="s">
        <v>1956</v>
      </c>
      <c r="L150" s="16"/>
      <c r="M150" s="67"/>
      <c r="N150" s="67"/>
      <c r="O150" s="160"/>
      <c r="P150" s="169"/>
    </row>
    <row r="151" ht="22.5" customHeight="1">
      <c r="A151" s="35" t="s">
        <v>416</v>
      </c>
      <c r="B151" s="15" t="str">
        <f>IF(A151="","",IFERROR(VLOOKUP(A151, Stock_New!A:M, 2, FALSE),""))</f>
        <v>ورد لوحده</v>
      </c>
      <c r="C151" s="209">
        <v>1.0</v>
      </c>
      <c r="D151" s="15" t="str">
        <f>IF(A151="","",IFERROR(VLOOKUP(A151, Stock_New!A:M, 3, FALSE),""))</f>
        <v>ذكريا</v>
      </c>
      <c r="E151" s="16">
        <f>IF($A151="", "", IFERROR(VLOOKUP($A151, Stock_New!$A:$M, 6, FALSE), ""))</f>
        <v>36</v>
      </c>
      <c r="F151" s="58">
        <v>35.0</v>
      </c>
      <c r="G151" s="68"/>
      <c r="H151" s="17">
        <v>35.0</v>
      </c>
      <c r="I151" s="213">
        <v>45945.0</v>
      </c>
      <c r="J151" s="5" t="s">
        <v>72</v>
      </c>
      <c r="K151" s="5" t="s">
        <v>1957</v>
      </c>
      <c r="L151" s="16"/>
      <c r="M151" s="61"/>
      <c r="N151" s="61"/>
      <c r="O151" s="166"/>
      <c r="P151" s="167"/>
    </row>
    <row r="152" ht="22.5" customHeight="1">
      <c r="A152" s="53" t="s">
        <v>74</v>
      </c>
      <c r="B152" s="15" t="str">
        <f>IF(A152="","",IFERROR(VLOOKUP(A152, Stock_New!A:M, 2, FALSE),""))</f>
        <v>سيلفرات</v>
      </c>
      <c r="C152" s="210">
        <v>1.0</v>
      </c>
      <c r="D152" s="15" t="str">
        <f>IF(A152="","",IFERROR(VLOOKUP(A152, Stock_New!A:M, 3, FALSE),""))</f>
        <v>ذكريا</v>
      </c>
      <c r="E152" s="16">
        <f>IF($A152="", "", IFERROR(VLOOKUP($A152, Stock_New!$A:$M, 6, FALSE), ""))</f>
        <v>144</v>
      </c>
      <c r="F152" s="54">
        <v>150.0</v>
      </c>
      <c r="G152" s="62"/>
      <c r="H152" s="17">
        <v>150.0</v>
      </c>
      <c r="I152" s="212">
        <v>45945.0</v>
      </c>
      <c r="J152" s="5" t="s">
        <v>72</v>
      </c>
      <c r="K152" s="5" t="s">
        <v>1960</v>
      </c>
      <c r="L152" s="16"/>
      <c r="M152" s="67"/>
      <c r="N152" s="67"/>
      <c r="O152" s="160"/>
      <c r="P152" s="169"/>
    </row>
    <row r="153" ht="22.5" customHeight="1">
      <c r="A153" s="69" t="s">
        <v>421</v>
      </c>
      <c r="B153" s="15" t="str">
        <f>IF(A153="","",IFERROR(VLOOKUP(A153, Stock_New!A:M, 2, FALSE),""))</f>
        <v/>
      </c>
      <c r="C153" s="209">
        <v>1.0</v>
      </c>
      <c r="D153" s="15" t="str">
        <f>IF(A153="","",IFERROR(VLOOKUP(A153, Stock_New!A:M, 3, FALSE),""))</f>
        <v/>
      </c>
      <c r="E153" s="16" t="str">
        <f>IF($A153="", "", IFERROR(VLOOKUP($A153, Stock_New!$A:$M, 6, FALSE), ""))</f>
        <v/>
      </c>
      <c r="F153" s="58">
        <v>180.0</v>
      </c>
      <c r="G153" s="68"/>
      <c r="H153" s="16">
        <f>(1-Sales_New!$G153)*Sales_New!$F153*Sales_New!$C153</f>
        <v>180</v>
      </c>
      <c r="I153" s="213">
        <v>45945.0</v>
      </c>
      <c r="J153" s="5" t="s">
        <v>2548</v>
      </c>
      <c r="K153" s="5"/>
      <c r="L153" s="16"/>
      <c r="M153" s="61"/>
      <c r="N153" s="61"/>
      <c r="O153" s="166"/>
      <c r="P153" s="167"/>
    </row>
    <row r="154" ht="22.5" customHeight="1">
      <c r="A154" s="53" t="s">
        <v>255</v>
      </c>
      <c r="B154" s="15" t="str">
        <f>IF(A154="","",IFERROR(VLOOKUP(A154, Stock_New!A:M, 2, FALSE),""))</f>
        <v>بوتات</v>
      </c>
      <c r="C154" s="210">
        <v>1.0</v>
      </c>
      <c r="D154" s="15" t="str">
        <f>IF(A154="","",IFERROR(VLOOKUP(A154, Stock_New!A:M, 3, FALSE),""))</f>
        <v>manufactured</v>
      </c>
      <c r="E154" s="16">
        <f>IF($A154="", "", IFERROR(VLOOKUP($A154, Stock_New!$A:$M, 6, FALSE), ""))</f>
        <v>27.3</v>
      </c>
      <c r="F154" s="54">
        <v>50.0</v>
      </c>
      <c r="G154" s="62"/>
      <c r="H154" s="17">
        <v>50.0</v>
      </c>
      <c r="I154" s="212">
        <v>45945.0</v>
      </c>
      <c r="J154" s="5" t="s">
        <v>72</v>
      </c>
      <c r="K154" s="5" t="s">
        <v>1961</v>
      </c>
      <c r="L154" s="16"/>
      <c r="M154" s="67"/>
      <c r="N154" s="67"/>
      <c r="O154" s="160"/>
      <c r="P154" s="169"/>
    </row>
    <row r="155" ht="22.5" customHeight="1">
      <c r="A155" s="35" t="s">
        <v>81</v>
      </c>
      <c r="B155" s="15" t="str">
        <f>IF(A155="","",IFERROR(VLOOKUP(A155, Stock_New!A:M, 2, FALSE),""))</f>
        <v>سيلفرات</v>
      </c>
      <c r="C155" s="209">
        <v>1.0</v>
      </c>
      <c r="D155" s="15" t="str">
        <f>IF(A155="","",IFERROR(VLOOKUP(A155, Stock_New!A:M, 3, FALSE),""))</f>
        <v>ذكريا</v>
      </c>
      <c r="E155" s="16">
        <f>IF($A155="", "", IFERROR(VLOOKUP($A155, Stock_New!$A:$M, 6, FALSE), ""))</f>
        <v>750</v>
      </c>
      <c r="F155" s="58">
        <v>800.0</v>
      </c>
      <c r="G155" s="68"/>
      <c r="H155" s="17">
        <v>800.0</v>
      </c>
      <c r="I155" s="213">
        <v>45945.0</v>
      </c>
      <c r="J155" s="5" t="s">
        <v>72</v>
      </c>
      <c r="K155" s="5" t="s">
        <v>1962</v>
      </c>
      <c r="L155" s="16"/>
      <c r="M155" s="61"/>
      <c r="N155" s="61"/>
      <c r="O155" s="166"/>
      <c r="P155" s="167"/>
    </row>
    <row r="156" ht="22.5" customHeight="1">
      <c r="A156" s="53" t="s">
        <v>294</v>
      </c>
      <c r="B156" s="15" t="str">
        <f>IF(A156="","",IFERROR(VLOOKUP(A156, Stock_New!A:M, 2, FALSE),""))</f>
        <v>بوكيه</v>
      </c>
      <c r="C156" s="210">
        <v>1.0</v>
      </c>
      <c r="D156" s="15" t="str">
        <f>IF(A156="","",IFERROR(VLOOKUP(A156, Stock_New!A:M, 3, FALSE),""))</f>
        <v>ذكريا</v>
      </c>
      <c r="E156" s="16">
        <f>IF($A156="", "", IFERROR(VLOOKUP($A156, Stock_New!$A:$M, 6, FALSE), ""))</f>
        <v>96</v>
      </c>
      <c r="F156" s="54">
        <v>100.0</v>
      </c>
      <c r="G156" s="62"/>
      <c r="H156" s="17">
        <v>100.0</v>
      </c>
      <c r="I156" s="212">
        <v>45945.0</v>
      </c>
      <c r="J156" s="5" t="s">
        <v>72</v>
      </c>
      <c r="K156" s="5" t="s">
        <v>1965</v>
      </c>
      <c r="L156" s="16"/>
      <c r="M156" s="67"/>
      <c r="N156" s="67"/>
      <c r="O156" s="160"/>
      <c r="P156" s="169"/>
    </row>
    <row r="157" ht="22.5" customHeight="1">
      <c r="A157" s="35" t="s">
        <v>428</v>
      </c>
      <c r="B157" s="15" t="str">
        <f>IF(A157="","",IFERROR(VLOOKUP(A157, Stock_New!A:M, 2, FALSE),""))</f>
        <v>بوكيه</v>
      </c>
      <c r="C157" s="209">
        <v>1.0</v>
      </c>
      <c r="D157" s="15" t="str">
        <f>IF(A157="","",IFERROR(VLOOKUP(A157, Stock_New!A:M, 3, FALSE),""))</f>
        <v>ذكريا</v>
      </c>
      <c r="E157" s="16">
        <f>IF($A157="", "", IFERROR(VLOOKUP($A157, Stock_New!$A:$M, 6, FALSE), ""))</f>
        <v>210</v>
      </c>
      <c r="F157" s="58">
        <v>250.0</v>
      </c>
      <c r="G157" s="68"/>
      <c r="H157" s="17">
        <v>250.0</v>
      </c>
      <c r="I157" s="213">
        <v>45945.0</v>
      </c>
      <c r="J157" s="5" t="s">
        <v>72</v>
      </c>
      <c r="K157" s="5" t="s">
        <v>1966</v>
      </c>
      <c r="L157" s="16"/>
      <c r="M157" s="61"/>
      <c r="N157" s="61"/>
      <c r="O157" s="166"/>
      <c r="P157" s="167"/>
    </row>
    <row r="158" ht="22.5" customHeight="1">
      <c r="A158" s="53" t="s">
        <v>144</v>
      </c>
      <c r="B158" s="15" t="str">
        <f>IF(A158="","",IFERROR(VLOOKUP(A158, Stock_New!A:M, 2, FALSE),""))</f>
        <v>كهربائيات</v>
      </c>
      <c r="C158" s="210">
        <v>1.0</v>
      </c>
      <c r="D158" s="15"/>
      <c r="E158" s="16">
        <f>IF($A158="", "", IFERROR(VLOOKUP($A158, Stock_New!$A:$M, 6, FALSE), ""))</f>
        <v>144</v>
      </c>
      <c r="F158" s="54">
        <v>175.0</v>
      </c>
      <c r="G158" s="55">
        <f t="shared" ref="G158:G164" si="4">7/100</f>
        <v>0.07</v>
      </c>
      <c r="H158" s="17">
        <v>174.88</v>
      </c>
      <c r="I158" s="212">
        <v>45952.0</v>
      </c>
      <c r="J158" s="5" t="s">
        <v>72</v>
      </c>
      <c r="K158" s="5" t="s">
        <v>1969</v>
      </c>
      <c r="L158" s="16"/>
      <c r="M158" s="67"/>
      <c r="N158" s="67"/>
      <c r="O158" s="160"/>
      <c r="P158" s="169"/>
    </row>
    <row r="159" ht="22.5" customHeight="1">
      <c r="A159" s="35" t="s">
        <v>433</v>
      </c>
      <c r="B159" s="15" t="str">
        <f>IF(A159="","",IFERROR(VLOOKUP(A159, Stock_New!A:M, 2, FALSE),""))</f>
        <v>بوكيه</v>
      </c>
      <c r="C159" s="209">
        <v>1.0</v>
      </c>
      <c r="D159" s="15" t="str">
        <f>IF(A159="","",IFERROR(VLOOKUP(A159, Stock_New!A:M, 3, FALSE),""))</f>
        <v>ذكريا</v>
      </c>
      <c r="E159" s="16">
        <f>IF($A159="", "", IFERROR(VLOOKUP($A159, Stock_New!$A:$M, 6, FALSE), ""))</f>
        <v>132</v>
      </c>
      <c r="F159" s="58">
        <v>160.0</v>
      </c>
      <c r="G159" s="41">
        <f t="shared" si="4"/>
        <v>0.07</v>
      </c>
      <c r="H159" s="17">
        <v>159.89</v>
      </c>
      <c r="I159" s="213">
        <v>47048.0</v>
      </c>
      <c r="J159" s="5" t="s">
        <v>72</v>
      </c>
      <c r="K159" s="5" t="s">
        <v>1970</v>
      </c>
      <c r="L159" s="16"/>
      <c r="M159" s="61"/>
      <c r="N159" s="61"/>
      <c r="O159" s="166"/>
      <c r="P159" s="167"/>
    </row>
    <row r="160" ht="22.5" customHeight="1">
      <c r="A160" s="53" t="s">
        <v>104</v>
      </c>
      <c r="B160" s="15" t="str">
        <f>IF(A160="","",IFERROR(VLOOKUP(A160, Stock_New!A:M, 2, FALSE),""))</f>
        <v>بوكيه</v>
      </c>
      <c r="C160" s="222"/>
      <c r="D160" s="15" t="str">
        <f>IF(A160="","",IFERROR(VLOOKUP(A160, Stock_New!A:M, 3, FALSE),""))</f>
        <v>ذكريا</v>
      </c>
      <c r="E160" s="16">
        <f>IF($A160="", "", IFERROR(VLOOKUP($A160, Stock_New!$A:$M, 6, FALSE), ""))</f>
        <v>216</v>
      </c>
      <c r="F160" s="54">
        <v>255.0</v>
      </c>
      <c r="G160" s="55">
        <f t="shared" si="4"/>
        <v>0.07</v>
      </c>
      <c r="H160" s="16">
        <f>(1-Sales_New!$G160)*Sales_New!$F160*Sales_New!$C160</f>
        <v>0</v>
      </c>
      <c r="I160" s="212">
        <v>47048.0</v>
      </c>
      <c r="J160" s="5" t="s">
        <v>782</v>
      </c>
      <c r="K160" s="16"/>
      <c r="L160" s="16"/>
      <c r="M160" s="67"/>
      <c r="N160" s="67"/>
      <c r="O160" s="160"/>
      <c r="P160" s="169"/>
    </row>
    <row r="161" ht="22.5" customHeight="1">
      <c r="A161" s="35" t="s">
        <v>255</v>
      </c>
      <c r="B161" s="15" t="str">
        <f>IF(A161="","",IFERROR(VLOOKUP(A161, Stock_New!A:M, 2, FALSE),""))</f>
        <v>بوتات</v>
      </c>
      <c r="C161" s="209">
        <v>2.0</v>
      </c>
      <c r="D161" s="15" t="str">
        <f>IF(A161="","",IFERROR(VLOOKUP(A161, Stock_New!A:M, 3, FALSE),""))</f>
        <v>manufactured</v>
      </c>
      <c r="E161" s="16">
        <f>IF($A161="", "", IFERROR(VLOOKUP($A161, Stock_New!$A:$M, 6, FALSE), ""))</f>
        <v>27.3</v>
      </c>
      <c r="F161" s="58">
        <v>50.0</v>
      </c>
      <c r="G161" s="41">
        <f t="shared" si="4"/>
        <v>0.07</v>
      </c>
      <c r="H161" s="17">
        <v>99.94</v>
      </c>
      <c r="I161" s="213">
        <v>47048.0</v>
      </c>
      <c r="J161" s="5" t="s">
        <v>72</v>
      </c>
      <c r="K161" s="5" t="s">
        <v>1973</v>
      </c>
      <c r="L161" s="16"/>
      <c r="M161" s="61"/>
      <c r="N161" s="61"/>
      <c r="O161" s="166"/>
      <c r="P161" s="167"/>
    </row>
    <row r="162" ht="22.5" customHeight="1">
      <c r="A162" s="53" t="s">
        <v>357</v>
      </c>
      <c r="B162" s="15" t="str">
        <f>IF(A162="","",IFERROR(VLOOKUP(A162, Stock_New!A:M, 2, FALSE),""))</f>
        <v>ورد لوحده</v>
      </c>
      <c r="C162" s="210">
        <v>1.0</v>
      </c>
      <c r="D162" s="15" t="str">
        <f>IF(A162="","",IFERROR(VLOOKUP(A162, Stock_New!A:M, 3, FALSE),""))</f>
        <v>ذكريا</v>
      </c>
      <c r="E162" s="16">
        <f>IF($A162="", "", IFERROR(VLOOKUP($A162, Stock_New!$A:$M, 6, FALSE), ""))</f>
        <v>270</v>
      </c>
      <c r="F162" s="54">
        <v>270.0</v>
      </c>
      <c r="G162" s="55">
        <f t="shared" si="4"/>
        <v>0.07</v>
      </c>
      <c r="H162" s="17">
        <v>269.81</v>
      </c>
      <c r="I162" s="212">
        <v>47048.0</v>
      </c>
      <c r="J162" s="5" t="s">
        <v>72</v>
      </c>
      <c r="K162" s="5" t="s">
        <v>1974</v>
      </c>
      <c r="L162" s="16"/>
      <c r="M162" s="67"/>
      <c r="N162" s="67"/>
      <c r="O162" s="160"/>
      <c r="P162" s="169"/>
    </row>
    <row r="163" ht="22.5" customHeight="1">
      <c r="A163" s="35" t="s">
        <v>297</v>
      </c>
      <c r="B163" s="15" t="str">
        <f>IF(A163="","",IFERROR(VLOOKUP(A163, Stock_New!A:M, 2, FALSE),""))</f>
        <v>ورد لوحده</v>
      </c>
      <c r="C163" s="209">
        <f>1/2</f>
        <v>0.5</v>
      </c>
      <c r="D163" s="15" t="str">
        <f>IF(A163="","",IFERROR(VLOOKUP(A163, Stock_New!A:M, 3, FALSE),""))</f>
        <v>ذكريا</v>
      </c>
      <c r="E163" s="16">
        <f>IF($A163="", "", IFERROR(VLOOKUP($A163, Stock_New!$A:$M, 6, FALSE), ""))</f>
        <v>36</v>
      </c>
      <c r="F163" s="58">
        <v>40.0</v>
      </c>
      <c r="G163" s="41">
        <f t="shared" si="4"/>
        <v>0.07</v>
      </c>
      <c r="H163" s="17">
        <v>19.99</v>
      </c>
      <c r="I163" s="213">
        <v>47048.0</v>
      </c>
      <c r="J163" s="5" t="s">
        <v>72</v>
      </c>
      <c r="K163" s="5" t="s">
        <v>1975</v>
      </c>
      <c r="L163" s="16"/>
      <c r="M163" s="61"/>
      <c r="N163" s="61"/>
      <c r="O163" s="166"/>
      <c r="P163" s="167"/>
    </row>
    <row r="164" ht="22.5" customHeight="1">
      <c r="A164" s="53" t="s">
        <v>439</v>
      </c>
      <c r="B164" s="15" t="str">
        <f>IF(A164="","",IFERROR(VLOOKUP(A164, Stock_New!A:M, 2, FALSE),""))</f>
        <v>ورد لوحده</v>
      </c>
      <c r="C164" s="210">
        <v>1.0</v>
      </c>
      <c r="D164" s="15" t="str">
        <f>IF(A164="","",IFERROR(VLOOKUP(A164, Stock_New!A:M, 3, FALSE),""))</f>
        <v/>
      </c>
      <c r="E164" s="16">
        <f>IF($A164="", "", IFERROR(VLOOKUP($A164, Stock_New!$A:$M, 6, FALSE), ""))</f>
        <v>162</v>
      </c>
      <c r="F164" s="54">
        <v>180.0</v>
      </c>
      <c r="G164" s="55">
        <f t="shared" si="4"/>
        <v>0.07</v>
      </c>
      <c r="H164" s="17">
        <v>179.87</v>
      </c>
      <c r="I164" s="212">
        <v>47048.0</v>
      </c>
      <c r="J164" s="5" t="s">
        <v>72</v>
      </c>
      <c r="K164" s="5" t="s">
        <v>2099</v>
      </c>
      <c r="L164" s="16"/>
      <c r="M164" s="67"/>
      <c r="N164" s="67"/>
      <c r="O164" s="160"/>
      <c r="P164" s="169"/>
    </row>
    <row r="165" ht="22.5" customHeight="1">
      <c r="A165" s="35" t="s">
        <v>187</v>
      </c>
      <c r="B165" s="15" t="str">
        <f>IF(A165="","",IFERROR(VLOOKUP(A165, Stock_New!A:M, 2, FALSE),""))</f>
        <v>سيلفرات</v>
      </c>
      <c r="C165" s="209">
        <v>1.0</v>
      </c>
      <c r="D165" s="15" t="str">
        <f>IF(A165="","",IFERROR(VLOOKUP(A165, Stock_New!A:M, 3, FALSE),""))</f>
        <v>شركة التقوى</v>
      </c>
      <c r="E165" s="16">
        <f>IF($A165="", "", IFERROR(VLOOKUP($A165, Stock_New!$A:$M, 6, FALSE), ""))</f>
        <v>420</v>
      </c>
      <c r="F165" s="58">
        <v>630.0</v>
      </c>
      <c r="G165" s="68"/>
      <c r="H165" s="17">
        <v>630.0</v>
      </c>
      <c r="I165" s="213">
        <v>45957.0</v>
      </c>
      <c r="J165" s="5" t="s">
        <v>72</v>
      </c>
      <c r="K165" s="5" t="s">
        <v>1976</v>
      </c>
      <c r="L165" s="16"/>
      <c r="M165" s="61"/>
      <c r="N165" s="61"/>
      <c r="O165" s="166"/>
      <c r="P165" s="167"/>
    </row>
    <row r="166" ht="22.5" customHeight="1">
      <c r="A166" s="53" t="s">
        <v>449</v>
      </c>
      <c r="B166" s="15" t="str">
        <f>IF(A166="","",IFERROR(VLOOKUP(A166, Stock_New!A:M, 2, FALSE),""))</f>
        <v>خزف</v>
      </c>
      <c r="C166" s="210">
        <v>1.0</v>
      </c>
      <c r="D166" s="15" t="str">
        <f>IF(A166="","",IFERROR(VLOOKUP(A166, Stock_New!A:M, 3, FALSE),""))</f>
        <v>ذكريا</v>
      </c>
      <c r="E166" s="16">
        <f>IF($A166="", "", IFERROR(VLOOKUP($A166, Stock_New!$A:$M, 6, FALSE), ""))</f>
        <v>162</v>
      </c>
      <c r="F166" s="54">
        <v>162.0</v>
      </c>
      <c r="G166" s="62"/>
      <c r="H166" s="17">
        <v>162.0</v>
      </c>
      <c r="I166" s="212">
        <v>45957.0</v>
      </c>
      <c r="J166" s="5" t="s">
        <v>72</v>
      </c>
      <c r="K166" s="5" t="s">
        <v>1979</v>
      </c>
      <c r="L166" s="16"/>
      <c r="M166" s="67"/>
      <c r="N166" s="67"/>
      <c r="O166" s="160"/>
      <c r="P166" s="169"/>
    </row>
    <row r="167" ht="22.5" customHeight="1">
      <c r="A167" s="35" t="s">
        <v>79</v>
      </c>
      <c r="B167" s="15" t="str">
        <f>IF(A167="","",IFERROR(VLOOKUP(A167, Stock_New!A:M, 2, FALSE),""))</f>
        <v>خزف</v>
      </c>
      <c r="C167" s="209">
        <v>1.0</v>
      </c>
      <c r="D167" s="15" t="str">
        <f>IF(A167="","",IFERROR(VLOOKUP(A167, Stock_New!A:M, 3, FALSE),""))</f>
        <v>ذكريا</v>
      </c>
      <c r="E167" s="16">
        <f>IF($A167="", "", IFERROR(VLOOKUP($A167, Stock_New!$A:$M, 6, FALSE), ""))</f>
        <v>72</v>
      </c>
      <c r="F167" s="58">
        <v>70.0</v>
      </c>
      <c r="G167" s="68"/>
      <c r="H167" s="17">
        <v>70.0</v>
      </c>
      <c r="I167" s="213">
        <v>45957.0</v>
      </c>
      <c r="J167" s="5" t="s">
        <v>72</v>
      </c>
      <c r="K167" s="5" t="s">
        <v>1982</v>
      </c>
      <c r="L167" s="16"/>
      <c r="M167" s="61"/>
      <c r="N167" s="61"/>
      <c r="O167" s="166"/>
      <c r="P167" s="167"/>
    </row>
    <row r="168" ht="22.5" customHeight="1">
      <c r="A168" s="53" t="s">
        <v>144</v>
      </c>
      <c r="B168" s="15" t="str">
        <f>IF(A168="","",IFERROR(VLOOKUP(A168, Stock_New!A:M, 2, FALSE),""))</f>
        <v>كهربائيات</v>
      </c>
      <c r="C168" s="210">
        <v>1.0</v>
      </c>
      <c r="D168" s="15"/>
      <c r="E168" s="16">
        <f>IF($A168="", "", IFERROR(VLOOKUP($A168, Stock_New!$A:$M, 6, FALSE), ""))</f>
        <v>144</v>
      </c>
      <c r="F168" s="54">
        <v>175.0</v>
      </c>
      <c r="G168" s="62"/>
      <c r="H168" s="17">
        <v>175.0</v>
      </c>
      <c r="I168" s="212">
        <v>45957.0</v>
      </c>
      <c r="J168" s="5" t="s">
        <v>72</v>
      </c>
      <c r="K168" s="5" t="s">
        <v>1983</v>
      </c>
      <c r="L168" s="16"/>
      <c r="M168" s="67"/>
      <c r="N168" s="67"/>
      <c r="O168" s="160"/>
      <c r="P168" s="169"/>
    </row>
    <row r="169" ht="22.5" customHeight="1">
      <c r="A169" s="35" t="s">
        <v>172</v>
      </c>
      <c r="B169" s="15" t="str">
        <f>IF(A169="","",IFERROR(VLOOKUP(A169, Stock_New!A:M, 2, FALSE),""))</f>
        <v>بوكيه</v>
      </c>
      <c r="C169" s="209">
        <v>5.0</v>
      </c>
      <c r="D169" s="15" t="str">
        <f>IF(A169="","",IFERROR(VLOOKUP(A169, Stock_New!A:M, 3, FALSE),""))</f>
        <v>ذكريا</v>
      </c>
      <c r="E169" s="16">
        <f>IF($A169="", "", IFERROR(VLOOKUP($A169, Stock_New!$A:$M, 6, FALSE), ""))</f>
        <v>33.84</v>
      </c>
      <c r="F169" s="58">
        <v>30.0</v>
      </c>
      <c r="G169" s="68"/>
      <c r="H169" s="17">
        <v>150.0</v>
      </c>
      <c r="I169" s="213">
        <v>45961.0</v>
      </c>
      <c r="J169" s="5" t="s">
        <v>72</v>
      </c>
      <c r="K169" s="5" t="s">
        <v>1984</v>
      </c>
      <c r="L169" s="16"/>
      <c r="M169" s="61"/>
      <c r="N169" s="61"/>
      <c r="O169" s="166"/>
      <c r="P169" s="167"/>
    </row>
    <row r="170" ht="22.5" customHeight="1">
      <c r="A170" s="53" t="s">
        <v>452</v>
      </c>
      <c r="B170" s="15" t="str">
        <f>IF(A170="","",IFERROR(VLOOKUP(A170, Stock_New!A:M, 2, FALSE),""))</f>
        <v>بوكيه</v>
      </c>
      <c r="C170" s="210">
        <v>3.0</v>
      </c>
      <c r="D170" s="15" t="str">
        <f>IF(A170="","",IFERROR(VLOOKUP(A170, Stock_New!A:M, 3, FALSE),""))</f>
        <v>ذكريا</v>
      </c>
      <c r="E170" s="16">
        <f>IF($A170="", "", IFERROR(VLOOKUP($A170, Stock_New!$A:$M, 6, FALSE), ""))</f>
        <v>19.2</v>
      </c>
      <c r="F170" s="54">
        <v>20.0</v>
      </c>
      <c r="G170" s="62"/>
      <c r="H170" s="17">
        <v>60.0</v>
      </c>
      <c r="I170" s="212">
        <v>45961.0</v>
      </c>
      <c r="J170" s="5" t="s">
        <v>72</v>
      </c>
      <c r="K170" s="5" t="s">
        <v>1985</v>
      </c>
      <c r="L170" s="16"/>
      <c r="M170" s="67"/>
      <c r="N170" s="67"/>
      <c r="O170" s="160"/>
      <c r="P170" s="169"/>
    </row>
    <row r="171" ht="22.5" customHeight="1">
      <c r="A171" s="35" t="s">
        <v>454</v>
      </c>
      <c r="B171" s="15" t="str">
        <f>IF(A171="","",IFERROR(VLOOKUP(A171, Stock_New!A:M, 2, FALSE),""))</f>
        <v>ورد لوحده</v>
      </c>
      <c r="C171" s="209">
        <v>1.0</v>
      </c>
      <c r="D171" s="15" t="str">
        <f>IF(A171="","",IFERROR(VLOOKUP(A171, Stock_New!A:M, 3, FALSE),""))</f>
        <v>ذكريا</v>
      </c>
      <c r="E171" s="16">
        <f>IF($A171="", "", IFERROR(VLOOKUP($A171, Stock_New!$A:$M, 6, FALSE), ""))</f>
        <v>252</v>
      </c>
      <c r="F171" s="58">
        <v>350.0</v>
      </c>
      <c r="G171" s="41">
        <v>0.0</v>
      </c>
      <c r="H171" s="17">
        <v>350.0</v>
      </c>
      <c r="I171" s="213">
        <v>45961.0</v>
      </c>
      <c r="J171" s="5" t="s">
        <v>72</v>
      </c>
      <c r="K171" s="5" t="s">
        <v>1988</v>
      </c>
      <c r="L171" s="16"/>
      <c r="M171" s="61"/>
      <c r="N171" s="61"/>
      <c r="O171" s="166"/>
      <c r="P171" s="167"/>
    </row>
    <row r="172" ht="22.5" customHeight="1">
      <c r="A172" s="35" t="s">
        <v>452</v>
      </c>
      <c r="B172" s="15" t="str">
        <f>IF(A172="","",IFERROR(VLOOKUP(A172, Stock_New!A:M, 2, FALSE),""))</f>
        <v>بوكيه</v>
      </c>
      <c r="C172" s="209">
        <v>2.0</v>
      </c>
      <c r="D172" s="15" t="str">
        <f>IF(A172="","",IFERROR(VLOOKUP(A172, Stock_New!A:M, 3, FALSE),""))</f>
        <v>ذكريا</v>
      </c>
      <c r="E172" s="16">
        <f>IF($A172="", "", IFERROR(VLOOKUP($A172, Stock_New!$A:$M, 6, FALSE), ""))</f>
        <v>19.2</v>
      </c>
      <c r="F172" s="58">
        <v>20.0</v>
      </c>
      <c r="G172" s="68"/>
      <c r="H172" s="17">
        <v>40.0</v>
      </c>
      <c r="I172" s="213">
        <v>45962.0</v>
      </c>
      <c r="J172" s="6" t="s">
        <v>72</v>
      </c>
      <c r="K172" s="6" t="s">
        <v>1991</v>
      </c>
      <c r="L172" s="15"/>
      <c r="M172" s="61"/>
      <c r="N172" s="61"/>
      <c r="O172" s="166"/>
      <c r="P172" s="167"/>
    </row>
    <row r="173" ht="22.5" customHeight="1">
      <c r="A173" s="53" t="s">
        <v>452</v>
      </c>
      <c r="B173" s="15" t="str">
        <f>IF(A173="","",IFERROR(VLOOKUP(A173, Stock_New!A:M, 2, FALSE),""))</f>
        <v>بوكيه</v>
      </c>
      <c r="C173" s="210">
        <v>2.0</v>
      </c>
      <c r="D173" s="15" t="str">
        <f>IF(A173="","",IFERROR(VLOOKUP(A173, Stock_New!A:M, 3, FALSE),""))</f>
        <v>ذكريا</v>
      </c>
      <c r="E173" s="16">
        <f>IF($A173="", "", IFERROR(VLOOKUP($A173, Stock_New!$A:$M, 6, FALSE), ""))</f>
        <v>19.2</v>
      </c>
      <c r="F173" s="54">
        <v>25.0</v>
      </c>
      <c r="G173" s="62"/>
      <c r="H173" s="17">
        <v>50.0</v>
      </c>
      <c r="I173" s="212">
        <v>45962.0</v>
      </c>
      <c r="J173" s="6" t="s">
        <v>72</v>
      </c>
      <c r="K173" s="6" t="s">
        <v>1992</v>
      </c>
      <c r="L173" s="15"/>
      <c r="M173" s="67"/>
      <c r="N173" s="67"/>
      <c r="O173" s="160"/>
      <c r="P173" s="169"/>
    </row>
    <row r="174" ht="22.5" customHeight="1">
      <c r="A174" s="35" t="s">
        <v>172</v>
      </c>
      <c r="B174" s="15" t="str">
        <f>IF(A174="","",IFERROR(VLOOKUP(A174, Stock_New!A:M, 2, FALSE),""))</f>
        <v>بوكيه</v>
      </c>
      <c r="C174" s="209">
        <v>2.0</v>
      </c>
      <c r="D174" s="15" t="str">
        <f>IF(A174="","",IFERROR(VLOOKUP(A174, Stock_New!A:M, 3, FALSE),""))</f>
        <v>ذكريا</v>
      </c>
      <c r="E174" s="16">
        <f>IF($A174="", "", IFERROR(VLOOKUP($A174, Stock_New!$A:$M, 6, FALSE), ""))</f>
        <v>33.84</v>
      </c>
      <c r="F174" s="58">
        <v>40.0</v>
      </c>
      <c r="G174" s="68"/>
      <c r="H174" s="17">
        <v>80.0</v>
      </c>
      <c r="I174" s="213">
        <v>45962.0</v>
      </c>
      <c r="J174" s="6" t="s">
        <v>72</v>
      </c>
      <c r="K174" s="6" t="s">
        <v>1993</v>
      </c>
      <c r="L174" s="15"/>
      <c r="M174" s="61"/>
      <c r="N174" s="61"/>
      <c r="O174" s="166"/>
      <c r="P174" s="167"/>
    </row>
    <row r="175" ht="22.5" customHeight="1">
      <c r="A175" s="53" t="s">
        <v>122</v>
      </c>
      <c r="B175" s="15" t="str">
        <f>IF(A175="","",IFERROR(VLOOKUP(A175, Stock_New!A:M, 2, FALSE),""))</f>
        <v>مطبخ</v>
      </c>
      <c r="C175" s="210">
        <v>1.0</v>
      </c>
      <c r="D175" s="15" t="str">
        <f>IF(A175="","",IFERROR(VLOOKUP(A175, Stock_New!A:M, 3, FALSE),""))</f>
        <v>ذكريا</v>
      </c>
      <c r="E175" s="16">
        <f>IF($A175="", "", IFERROR(VLOOKUP($A175, Stock_New!$A:$M, 6, FALSE), ""))</f>
        <v>360</v>
      </c>
      <c r="F175" s="54">
        <v>380.0</v>
      </c>
      <c r="G175" s="62"/>
      <c r="H175" s="17">
        <v>380.0</v>
      </c>
      <c r="I175" s="212">
        <v>45962.0</v>
      </c>
      <c r="J175" s="6" t="s">
        <v>72</v>
      </c>
      <c r="K175" s="6" t="s">
        <v>1994</v>
      </c>
      <c r="L175" s="15"/>
      <c r="M175" s="67"/>
      <c r="N175" s="67"/>
      <c r="O175" s="160"/>
      <c r="P175" s="169"/>
    </row>
    <row r="176" ht="22.5" customHeight="1">
      <c r="A176" s="35" t="s">
        <v>457</v>
      </c>
      <c r="B176" s="15" t="str">
        <f>IF(A176="","",IFERROR(VLOOKUP(A176, Stock_New!A:M, 2, FALSE),""))</f>
        <v>شمع</v>
      </c>
      <c r="C176" s="209">
        <v>1.0</v>
      </c>
      <c r="D176" s="15" t="str">
        <f>IF(A176="","",IFERROR(VLOOKUP(A176, Stock_New!A:M, 3, FALSE),""))</f>
        <v>ذكريا</v>
      </c>
      <c r="E176" s="16">
        <f>IF($A176="", "", IFERROR(VLOOKUP($A176, Stock_New!$A:$M, 6, FALSE), ""))</f>
        <v>165</v>
      </c>
      <c r="F176" s="58">
        <v>160.0</v>
      </c>
      <c r="G176" s="68"/>
      <c r="H176" s="17">
        <v>160.0</v>
      </c>
      <c r="I176" s="213">
        <v>45962.0</v>
      </c>
      <c r="J176" s="6" t="s">
        <v>72</v>
      </c>
      <c r="K176" s="6" t="s">
        <v>1995</v>
      </c>
      <c r="L176" s="15"/>
      <c r="M176" s="61"/>
      <c r="N176" s="61"/>
      <c r="O176" s="166"/>
      <c r="P176" s="167"/>
    </row>
    <row r="177" ht="22.5" customHeight="1">
      <c r="A177" s="53" t="s">
        <v>457</v>
      </c>
      <c r="B177" s="15" t="str">
        <f>IF(A177="","",IFERROR(VLOOKUP(A177, Stock_New!A:M, 2, FALSE),""))</f>
        <v>شمع</v>
      </c>
      <c r="C177" s="210">
        <v>1.0</v>
      </c>
      <c r="D177" s="15" t="str">
        <f>IF(A177="","",IFERROR(VLOOKUP(A177, Stock_New!A:M, 3, FALSE),""))</f>
        <v>ذكريا</v>
      </c>
      <c r="E177" s="16">
        <f>IF($A177="", "", IFERROR(VLOOKUP($A177, Stock_New!$A:$M, 6, FALSE), ""))</f>
        <v>165</v>
      </c>
      <c r="F177" s="54">
        <v>155.0</v>
      </c>
      <c r="G177" s="62"/>
      <c r="H177" s="17">
        <v>155.0</v>
      </c>
      <c r="I177" s="212">
        <v>45962.0</v>
      </c>
      <c r="J177" s="6" t="s">
        <v>72</v>
      </c>
      <c r="K177" s="6" t="s">
        <v>1998</v>
      </c>
      <c r="L177" s="15"/>
      <c r="M177" s="67"/>
      <c r="N177" s="67"/>
      <c r="O177" s="160"/>
      <c r="P177" s="169"/>
    </row>
    <row r="178" ht="22.5" customHeight="1">
      <c r="A178" s="53" t="s">
        <v>306</v>
      </c>
      <c r="B178" s="15" t="str">
        <f>IF(A178="","",IFERROR(VLOOKUP(A178, Stock_New!A:M, 2, FALSE),""))</f>
        <v>ورد لوحدة</v>
      </c>
      <c r="C178" s="210">
        <v>1.0</v>
      </c>
      <c r="D178" s="15" t="str">
        <f>IF(A178="","",IFERROR(VLOOKUP(A178, Stock_New!A:M, 3, FALSE),""))</f>
        <v>شركة الفرسان</v>
      </c>
      <c r="E178" s="16">
        <f>IF($A178="", "", IFERROR(VLOOKUP($A178, Stock_New!$A:$M, 6, FALSE), ""))</f>
        <v>11</v>
      </c>
      <c r="F178" s="54">
        <v>25.0</v>
      </c>
      <c r="G178" s="55">
        <v>0.0</v>
      </c>
      <c r="H178" s="17">
        <v>25.0</v>
      </c>
      <c r="I178" s="212">
        <v>45965.0</v>
      </c>
      <c r="J178" s="6" t="s">
        <v>72</v>
      </c>
      <c r="K178" s="6" t="s">
        <v>1999</v>
      </c>
      <c r="L178" s="15"/>
      <c r="M178" s="67"/>
      <c r="N178" s="67"/>
      <c r="O178" s="160"/>
      <c r="P178" s="169"/>
    </row>
    <row r="179" ht="22.5" customHeight="1">
      <c r="A179" s="35" t="s">
        <v>55</v>
      </c>
      <c r="B179" s="15" t="str">
        <f>IF(A179="","",IFERROR(VLOOKUP(A179, Stock_New!A:M, 2, FALSE),""))</f>
        <v>شجر</v>
      </c>
      <c r="C179" s="209">
        <v>2.0</v>
      </c>
      <c r="D179" s="15" t="str">
        <f>IF(A179="","",IFERROR(VLOOKUP(A179, Stock_New!A:M, 3, FALSE),""))</f>
        <v>ذكريا</v>
      </c>
      <c r="E179" s="16">
        <f>IF($A179="", "", IFERROR(VLOOKUP($A179, Stock_New!$A:$M, 6, FALSE), ""))</f>
        <v>234</v>
      </c>
      <c r="F179" s="58">
        <v>235.0</v>
      </c>
      <c r="G179" s="41">
        <f>4/100</f>
        <v>0.04</v>
      </c>
      <c r="H179" s="16">
        <f>(1-Sales_New!$G179)*Sales_New!$F179*Sales_New!$C179</f>
        <v>451.2</v>
      </c>
      <c r="I179" s="213">
        <v>45965.0</v>
      </c>
      <c r="J179" s="6" t="s">
        <v>1612</v>
      </c>
      <c r="K179" s="15"/>
      <c r="L179" s="15"/>
      <c r="M179" s="61"/>
      <c r="N179" s="61"/>
      <c r="O179" s="166"/>
      <c r="P179" s="167"/>
    </row>
    <row r="180" ht="22.5" customHeight="1">
      <c r="A180" s="53" t="s">
        <v>194</v>
      </c>
      <c r="B180" s="15" t="str">
        <f>IF(A180="","",IFERROR(VLOOKUP(A180, Stock_New!A:M, 2, FALSE),""))</f>
        <v>بوتات</v>
      </c>
      <c r="C180" s="210">
        <v>2.0</v>
      </c>
      <c r="D180" s="15" t="str">
        <f>IF(A180="","",IFERROR(VLOOKUP(A180, Stock_New!A:M, 3, FALSE),""))</f>
        <v>ذكريا</v>
      </c>
      <c r="E180" s="16">
        <f>IF($A180="", "", IFERROR(VLOOKUP($A180, Stock_New!$A:$M, 6, FALSE), ""))</f>
        <v>197</v>
      </c>
      <c r="F180" s="54">
        <v>200.0</v>
      </c>
      <c r="G180" s="55">
        <v>0.0</v>
      </c>
      <c r="H180" s="17">
        <v>400.0</v>
      </c>
      <c r="I180" s="212">
        <v>45965.0</v>
      </c>
      <c r="J180" s="6" t="s">
        <v>72</v>
      </c>
      <c r="K180" s="6" t="s">
        <v>2000</v>
      </c>
      <c r="L180" s="15"/>
      <c r="M180" s="67"/>
      <c r="N180" s="67"/>
      <c r="O180" s="160"/>
      <c r="P180" s="169"/>
    </row>
    <row r="181" ht="22.5" customHeight="1">
      <c r="A181" s="53" t="s">
        <v>464</v>
      </c>
      <c r="B181" s="15" t="str">
        <f>IF(A181="","",IFERROR(VLOOKUP(A181, Stock_New!A:M, 2, FALSE),""))</f>
        <v>بوكيه</v>
      </c>
      <c r="C181" s="210">
        <v>1.0</v>
      </c>
      <c r="D181" s="15" t="str">
        <f>IF(A181="","",IFERROR(VLOOKUP(A181, Stock_New!A:M, 3, FALSE),""))</f>
        <v>ذكريا</v>
      </c>
      <c r="E181" s="16">
        <f>IF($A181="", "", IFERROR(VLOOKUP($A181, Stock_New!$A:$M, 6, FALSE), ""))</f>
        <v>162</v>
      </c>
      <c r="F181" s="54">
        <v>180.0</v>
      </c>
      <c r="G181" s="62"/>
      <c r="H181" s="17">
        <v>180.0</v>
      </c>
      <c r="I181" s="212">
        <v>45968.0</v>
      </c>
      <c r="J181" s="6" t="s">
        <v>72</v>
      </c>
      <c r="K181" s="6" t="s">
        <v>2001</v>
      </c>
      <c r="L181" s="15"/>
      <c r="M181" s="67"/>
      <c r="N181" s="67"/>
      <c r="O181" s="160"/>
      <c r="P181" s="169"/>
    </row>
    <row r="182" ht="22.5" customHeight="1">
      <c r="A182" s="35" t="s">
        <v>255</v>
      </c>
      <c r="B182" s="15" t="str">
        <f>IF(A182="","",IFERROR(VLOOKUP(A182, Stock_New!A:M, 2, FALSE),""))</f>
        <v>بوتات</v>
      </c>
      <c r="C182" s="209">
        <v>1.0</v>
      </c>
      <c r="D182" s="15" t="str">
        <f>IF(A182="","",IFERROR(VLOOKUP(A182, Stock_New!A:M, 3, FALSE),""))</f>
        <v>manufactured</v>
      </c>
      <c r="E182" s="16">
        <f>IF($A182="", "", IFERROR(VLOOKUP($A182, Stock_New!$A:$M, 6, FALSE), ""))</f>
        <v>27.3</v>
      </c>
      <c r="F182" s="58">
        <v>50.0</v>
      </c>
      <c r="G182" s="68"/>
      <c r="H182" s="17">
        <v>50.0</v>
      </c>
      <c r="I182" s="213">
        <v>45968.0</v>
      </c>
      <c r="J182" s="6" t="s">
        <v>72</v>
      </c>
      <c r="K182" s="6" t="s">
        <v>2004</v>
      </c>
      <c r="L182" s="15"/>
      <c r="M182" s="61"/>
      <c r="N182" s="61"/>
      <c r="O182" s="166"/>
      <c r="P182" s="167"/>
    </row>
    <row r="183" ht="22.5" customHeight="1">
      <c r="A183" s="35" t="s">
        <v>452</v>
      </c>
      <c r="B183" s="15" t="str">
        <f>IF(A183="","",IFERROR(VLOOKUP(A183, Stock_New!A:M, 2, FALSE),""))</f>
        <v>بوكيه</v>
      </c>
      <c r="C183" s="209">
        <v>5.0</v>
      </c>
      <c r="D183" s="15" t="str">
        <f>IF(A183="","",IFERROR(VLOOKUP(A183, Stock_New!A:M, 3, FALSE),""))</f>
        <v>ذكريا</v>
      </c>
      <c r="E183" s="16">
        <f>IF($A183="", "", IFERROR(VLOOKUP($A183, Stock_New!$A:$M, 6, FALSE), ""))</f>
        <v>19.2</v>
      </c>
      <c r="F183" s="58">
        <v>20.0</v>
      </c>
      <c r="G183" s="68"/>
      <c r="H183" s="17">
        <v>100.0</v>
      </c>
      <c r="I183" s="213">
        <v>45968.0</v>
      </c>
      <c r="J183" s="6" t="s">
        <v>72</v>
      </c>
      <c r="K183" s="6" t="s">
        <v>2005</v>
      </c>
      <c r="L183" s="15"/>
      <c r="M183" s="61"/>
      <c r="N183" s="61"/>
      <c r="O183" s="166"/>
      <c r="P183" s="167"/>
    </row>
    <row r="184" ht="22.5" customHeight="1">
      <c r="A184" s="53" t="s">
        <v>467</v>
      </c>
      <c r="B184" s="16" t="str">
        <f>IF(A184="","",IFERROR(VLOOKUP(A184, Stock_New!A:M, 2, FALSE),""))</f>
        <v>ورد لوحده</v>
      </c>
      <c r="C184" s="210">
        <v>1.0</v>
      </c>
      <c r="D184" s="16" t="str">
        <f>IF(A184="","",IFERROR(VLOOKUP(A184, Stock_New!A:M, 3, FALSE),""))</f>
        <v>ذكريا</v>
      </c>
      <c r="E184" s="16">
        <f>IF($A184="", "", IFERROR(VLOOKUP($A184, Stock_New!$A:$M, 6, FALSE), ""))</f>
        <v>126</v>
      </c>
      <c r="F184" s="54">
        <v>125.0</v>
      </c>
      <c r="G184" s="62"/>
      <c r="H184" s="17">
        <v>125.0</v>
      </c>
      <c r="I184" s="212">
        <v>45968.0</v>
      </c>
      <c r="J184" s="5" t="s">
        <v>72</v>
      </c>
      <c r="K184" s="5" t="s">
        <v>2006</v>
      </c>
      <c r="L184" s="16"/>
      <c r="M184" s="67"/>
      <c r="N184" s="67"/>
      <c r="O184" s="160"/>
      <c r="P184" s="169"/>
    </row>
    <row r="185" ht="22.5" customHeight="1">
      <c r="A185" s="35" t="s">
        <v>255</v>
      </c>
      <c r="B185" s="16" t="str">
        <f>IF(A185="","",IFERROR(VLOOKUP(A185, Stock_New!A:M, 2, FALSE),""))</f>
        <v>بوتات</v>
      </c>
      <c r="C185" s="209">
        <v>1.0</v>
      </c>
      <c r="D185" s="16" t="str">
        <f>IF(A185="","",IFERROR(VLOOKUP(A185, Stock_New!A:M, 3, FALSE),""))</f>
        <v>manufactured</v>
      </c>
      <c r="E185" s="16">
        <f>IF($A185="", "", IFERROR(VLOOKUP($A185, Stock_New!$A:$M, 6, FALSE), ""))</f>
        <v>27.3</v>
      </c>
      <c r="F185" s="58">
        <v>50.0</v>
      </c>
      <c r="G185" s="68"/>
      <c r="H185" s="17">
        <v>50.0</v>
      </c>
      <c r="I185" s="213">
        <v>45968.0</v>
      </c>
      <c r="J185" s="5" t="s">
        <v>72</v>
      </c>
      <c r="K185" s="5" t="s">
        <v>2009</v>
      </c>
      <c r="L185" s="16"/>
      <c r="M185" s="61"/>
      <c r="N185" s="61"/>
      <c r="O185" s="166"/>
      <c r="P185" s="167"/>
    </row>
    <row r="186" ht="22.5" customHeight="1">
      <c r="A186" s="35" t="s">
        <v>470</v>
      </c>
      <c r="B186" s="16" t="str">
        <f>IF(A186="","",IFERROR(VLOOKUP(A186, Stock_New!A:M, 2, FALSE),""))</f>
        <v>ورد لوحده</v>
      </c>
      <c r="C186" s="209">
        <v>2.0</v>
      </c>
      <c r="D186" s="16" t="str">
        <f>IF(A186="","",IFERROR(VLOOKUP(A186, Stock_New!A:M, 3, FALSE),""))</f>
        <v>ذكريا</v>
      </c>
      <c r="E186" s="16">
        <f>IF($A186="", "", IFERROR(VLOOKUP($A186, Stock_New!$A:$M, 6, FALSE), ""))</f>
        <v>90</v>
      </c>
      <c r="F186" s="58">
        <v>100.0</v>
      </c>
      <c r="G186" s="41">
        <f t="shared" ref="G186:G194" si="5">5/100</f>
        <v>0.05</v>
      </c>
      <c r="H186" s="17">
        <v>199.9</v>
      </c>
      <c r="I186" s="213">
        <v>45970.0</v>
      </c>
      <c r="J186" s="5" t="s">
        <v>72</v>
      </c>
      <c r="K186" s="5" t="s">
        <v>2010</v>
      </c>
      <c r="L186" s="16"/>
      <c r="M186" s="61"/>
      <c r="N186" s="61"/>
      <c r="O186" s="166"/>
      <c r="P186" s="167"/>
    </row>
    <row r="187" ht="22.5" customHeight="1">
      <c r="A187" s="53" t="s">
        <v>255</v>
      </c>
      <c r="B187" s="16" t="str">
        <f>IF(A187="","",IFERROR(VLOOKUP(A187, Stock_New!A:M, 2, FALSE),""))</f>
        <v>بوتات</v>
      </c>
      <c r="C187" s="210">
        <v>1.0</v>
      </c>
      <c r="D187" s="16" t="str">
        <f>IF(A187="","",IFERROR(VLOOKUP(A187, Stock_New!A:M, 3, FALSE),""))</f>
        <v>manufactured</v>
      </c>
      <c r="E187" s="16">
        <f>IF($A187="", "", IFERROR(VLOOKUP($A187, Stock_New!$A:$M, 6, FALSE), ""))</f>
        <v>27.3</v>
      </c>
      <c r="F187" s="54">
        <v>50.0</v>
      </c>
      <c r="G187" s="55">
        <f t="shared" si="5"/>
        <v>0.05</v>
      </c>
      <c r="H187" s="17">
        <v>49.98</v>
      </c>
      <c r="I187" s="212">
        <v>45970.0</v>
      </c>
      <c r="J187" s="5" t="s">
        <v>72</v>
      </c>
      <c r="K187" s="5" t="s">
        <v>2013</v>
      </c>
      <c r="L187" s="16"/>
      <c r="M187" s="47"/>
      <c r="N187" s="58"/>
      <c r="O187" s="160"/>
      <c r="P187" s="169"/>
    </row>
    <row r="188" ht="22.5" customHeight="1">
      <c r="A188" s="35" t="s">
        <v>374</v>
      </c>
      <c r="B188" s="16" t="str">
        <f>IF(A188="","",IFERROR(VLOOKUP(A188, Stock_New!A:M, 2, FALSE),""))</f>
        <v>شجر</v>
      </c>
      <c r="C188" s="209">
        <v>1.0</v>
      </c>
      <c r="D188" s="16" t="str">
        <f>IF(A188="","",IFERROR(VLOOKUP(A188, Stock_New!A:M, 3, FALSE),""))</f>
        <v>ذكريا</v>
      </c>
      <c r="E188" s="16">
        <f>IF($A188="", "", IFERROR(VLOOKUP($A188, Stock_New!$A:$M, 6, FALSE), ""))</f>
        <v>282</v>
      </c>
      <c r="F188" s="58">
        <v>285.0</v>
      </c>
      <c r="G188" s="41">
        <f t="shared" si="5"/>
        <v>0.05</v>
      </c>
      <c r="H188" s="17">
        <v>284.86</v>
      </c>
      <c r="I188" s="213">
        <v>45970.0</v>
      </c>
      <c r="J188" s="5" t="s">
        <v>72</v>
      </c>
      <c r="K188" s="5" t="s">
        <v>2014</v>
      </c>
      <c r="L188" s="16"/>
      <c r="M188" s="43"/>
      <c r="N188" s="54"/>
      <c r="O188" s="166"/>
      <c r="P188" s="167"/>
    </row>
    <row r="189" ht="22.5" customHeight="1">
      <c r="A189" s="53" t="s">
        <v>274</v>
      </c>
      <c r="B189" s="16" t="str">
        <f>IF(A189="","",IFERROR(VLOOKUP(A189, Stock_New!A:M, 2, FALSE),""))</f>
        <v>شجر</v>
      </c>
      <c r="C189" s="210">
        <v>1.0</v>
      </c>
      <c r="D189" s="16" t="str">
        <f>IF(A189="","",IFERROR(VLOOKUP(A189, Stock_New!A:M, 3, FALSE),""))</f>
        <v>ذكريا</v>
      </c>
      <c r="E189" s="16">
        <f>IF($A189="", "", IFERROR(VLOOKUP($A189, Stock_New!$A:$M, 6, FALSE), ""))</f>
        <v>300</v>
      </c>
      <c r="F189" s="54">
        <v>280.0</v>
      </c>
      <c r="G189" s="55">
        <f t="shared" si="5"/>
        <v>0.05</v>
      </c>
      <c r="H189" s="16">
        <f>(1-Sales_New!$G189)*Sales_New!$F189*Sales_New!$C189</f>
        <v>266</v>
      </c>
      <c r="I189" s="212">
        <v>45970.0</v>
      </c>
      <c r="J189" s="5" t="s">
        <v>1612</v>
      </c>
      <c r="K189" s="16"/>
      <c r="L189" s="16"/>
      <c r="M189" s="47"/>
      <c r="N189" s="58"/>
      <c r="O189" s="160"/>
      <c r="P189" s="169"/>
    </row>
    <row r="190" ht="22.5" customHeight="1">
      <c r="A190" s="35" t="s">
        <v>194</v>
      </c>
      <c r="B190" s="16" t="str">
        <f>IF(A190="","",IFERROR(VLOOKUP(A190, Stock_New!A:M, 2, FALSE),""))</f>
        <v>بوتات</v>
      </c>
      <c r="C190" s="209">
        <v>2.0</v>
      </c>
      <c r="D190" s="16" t="str">
        <f>IF(A190="","",IFERROR(VLOOKUP(A190, Stock_New!A:M, 3, FALSE),""))</f>
        <v>ذكريا</v>
      </c>
      <c r="E190" s="16">
        <f>IF($A190="", "", IFERROR(VLOOKUP($A190, Stock_New!$A:$M, 6, FALSE), ""))</f>
        <v>197</v>
      </c>
      <c r="F190" s="58">
        <v>200.0</v>
      </c>
      <c r="G190" s="41">
        <f t="shared" si="5"/>
        <v>0.05</v>
      </c>
      <c r="H190" s="17">
        <v>399.8</v>
      </c>
      <c r="I190" s="213">
        <v>45970.0</v>
      </c>
      <c r="J190" s="5" t="s">
        <v>72</v>
      </c>
      <c r="K190" s="5" t="s">
        <v>2017</v>
      </c>
      <c r="L190" s="16"/>
      <c r="M190" s="43"/>
      <c r="N190" s="54"/>
      <c r="O190" s="166"/>
      <c r="P190" s="167"/>
    </row>
    <row r="191" ht="22.5" customHeight="1">
      <c r="A191" s="53" t="s">
        <v>478</v>
      </c>
      <c r="B191" s="16" t="str">
        <f>IF(A191="","",IFERROR(VLOOKUP(A191, Stock_New!A:M, 2, FALSE),""))</f>
        <v>لوح</v>
      </c>
      <c r="C191" s="210">
        <v>1.0</v>
      </c>
      <c r="D191" s="16" t="str">
        <f>IF(A191="","",IFERROR(VLOOKUP(A191, Stock_New!A:M, 3, FALSE),""))</f>
        <v>ذكريا</v>
      </c>
      <c r="E191" s="16">
        <f>IF($A191="", "", IFERROR(VLOOKUP($A191, Stock_New!$A:$M, 6, FALSE), ""))</f>
        <v>108</v>
      </c>
      <c r="F191" s="54">
        <v>135.0</v>
      </c>
      <c r="G191" s="55">
        <f t="shared" si="5"/>
        <v>0.05</v>
      </c>
      <c r="H191" s="17">
        <v>134.93</v>
      </c>
      <c r="I191" s="212">
        <v>45970.0</v>
      </c>
      <c r="J191" s="5" t="s">
        <v>72</v>
      </c>
      <c r="K191" s="5" t="s">
        <v>2018</v>
      </c>
      <c r="L191" s="16"/>
      <c r="M191" s="47"/>
      <c r="N191" s="58"/>
      <c r="O191" s="160"/>
      <c r="P191" s="169"/>
    </row>
    <row r="192" ht="22.5" customHeight="1">
      <c r="A192" s="35" t="s">
        <v>144</v>
      </c>
      <c r="B192" s="16" t="str">
        <f>IF(A192="","",IFERROR(VLOOKUP(A192, Stock_New!A:M, 2, FALSE),""))</f>
        <v>كهربائيات</v>
      </c>
      <c r="C192" s="209">
        <v>1.0</v>
      </c>
      <c r="D192" s="16" t="str">
        <f>IF(A192="","",IFERROR(VLOOKUP(A192, Stock_New!A:M, 3, FALSE),""))</f>
        <v>شركة البطل</v>
      </c>
      <c r="E192" s="16">
        <f>IF($A192="", "", IFERROR(VLOOKUP($A192, Stock_New!$A:$M, 6, FALSE), ""))</f>
        <v>144</v>
      </c>
      <c r="F192" s="58">
        <v>175.0</v>
      </c>
      <c r="G192" s="41">
        <f t="shared" si="5"/>
        <v>0.05</v>
      </c>
      <c r="H192" s="17">
        <v>174.91</v>
      </c>
      <c r="I192" s="213">
        <v>45970.0</v>
      </c>
      <c r="J192" s="5" t="s">
        <v>72</v>
      </c>
      <c r="K192" s="5" t="s">
        <v>2892</v>
      </c>
      <c r="L192" s="16"/>
      <c r="M192" s="43"/>
      <c r="N192" s="54"/>
      <c r="O192" s="166"/>
      <c r="P192" s="167"/>
    </row>
    <row r="193" ht="22.5" customHeight="1">
      <c r="A193" s="53" t="s">
        <v>397</v>
      </c>
      <c r="B193" s="16" t="str">
        <f>IF(A193="","",IFERROR(VLOOKUP(A193, Stock_New!A:M, 2, FALSE),""))</f>
        <v>بوكيه</v>
      </c>
      <c r="C193" s="210">
        <v>1.0</v>
      </c>
      <c r="D193" s="16" t="str">
        <f>IF(A193="","",IFERROR(VLOOKUP(A193, Stock_New!A:M, 3, FALSE),""))</f>
        <v>ذكريا</v>
      </c>
      <c r="E193" s="16">
        <f>IF($A193="", "", IFERROR(VLOOKUP($A193, Stock_New!$A:$M, 6, FALSE), ""))</f>
        <v>258</v>
      </c>
      <c r="F193" s="54">
        <v>280.0</v>
      </c>
      <c r="G193" s="55">
        <f t="shared" si="5"/>
        <v>0.05</v>
      </c>
      <c r="H193" s="17">
        <v>279.86</v>
      </c>
      <c r="I193" s="212">
        <v>45970.0</v>
      </c>
      <c r="J193" s="5" t="s">
        <v>72</v>
      </c>
      <c r="K193" s="5" t="s">
        <v>2021</v>
      </c>
      <c r="L193" s="16"/>
      <c r="M193" s="47"/>
      <c r="N193" s="58"/>
      <c r="O193" s="160"/>
      <c r="P193" s="169"/>
    </row>
    <row r="194" ht="22.5" customHeight="1">
      <c r="A194" s="35" t="s">
        <v>487</v>
      </c>
      <c r="B194" s="16" t="str">
        <f>IF(A194="","",IFERROR(VLOOKUP(A194, Stock_New!A:M, 2, FALSE),""))</f>
        <v>سيلفرات</v>
      </c>
      <c r="C194" s="209">
        <v>1.0</v>
      </c>
      <c r="D194" s="16" t="str">
        <f>IF(A194="","",IFERROR(VLOOKUP(A194, Stock_New!A:M, 3, FALSE),""))</f>
        <v>شركة الهضبة</v>
      </c>
      <c r="E194" s="16">
        <f>IF($A194="", "", IFERROR(VLOOKUP($A194, Stock_New!$A:$M, 6, FALSE), ""))</f>
        <v>114</v>
      </c>
      <c r="F194" s="58">
        <v>120.0</v>
      </c>
      <c r="G194" s="41">
        <f t="shared" si="5"/>
        <v>0.05</v>
      </c>
      <c r="H194" s="17">
        <v>119.94</v>
      </c>
      <c r="I194" s="213">
        <v>45970.0</v>
      </c>
      <c r="J194" s="5" t="s">
        <v>72</v>
      </c>
      <c r="K194" s="5" t="s">
        <v>2024</v>
      </c>
      <c r="L194" s="16"/>
      <c r="M194" s="43"/>
      <c r="N194" s="54"/>
      <c r="O194" s="166"/>
      <c r="P194" s="167"/>
    </row>
    <row r="195" ht="22.5" customHeight="1">
      <c r="A195" s="35" t="s">
        <v>194</v>
      </c>
      <c r="B195" s="16" t="str">
        <f>IF(A195="","",IFERROR(VLOOKUP(A195, Stock_New!A:M, 2, FALSE),""))</f>
        <v>بوتات</v>
      </c>
      <c r="C195" s="209">
        <v>1.0</v>
      </c>
      <c r="D195" s="16" t="str">
        <f>IF(A195="","",IFERROR(VLOOKUP(A195, Stock_New!A:M, 3, FALSE),""))</f>
        <v>ذكريا</v>
      </c>
      <c r="E195" s="16">
        <f>IF($A195="", "", IFERROR(VLOOKUP($A195, Stock_New!$A:$M, 6, FALSE), ""))</f>
        <v>197</v>
      </c>
      <c r="F195" s="58">
        <v>200.0</v>
      </c>
      <c r="G195" s="41">
        <f t="shared" ref="G195:G200" si="6">7/100</f>
        <v>0.07</v>
      </c>
      <c r="H195" s="17">
        <v>199.86</v>
      </c>
      <c r="I195" s="213">
        <v>45975.0</v>
      </c>
      <c r="J195" s="5" t="s">
        <v>72</v>
      </c>
      <c r="K195" s="5" t="s">
        <v>2027</v>
      </c>
      <c r="L195" s="16"/>
      <c r="M195" s="61"/>
      <c r="N195" s="61"/>
      <c r="O195" s="166"/>
      <c r="P195" s="167"/>
    </row>
    <row r="196" ht="22.5" customHeight="1">
      <c r="A196" s="53" t="s">
        <v>250</v>
      </c>
      <c r="B196" s="16" t="str">
        <f>IF(A196="","",IFERROR(VLOOKUP(A196, Stock_New!A:M, 2, FALSE),""))</f>
        <v>شجر</v>
      </c>
      <c r="C196" s="210">
        <v>1.0</v>
      </c>
      <c r="D196" s="16" t="str">
        <f>IF(A196="","",IFERROR(VLOOKUP(A196, Stock_New!A:M, 3, FALSE),""))</f>
        <v>ذكريا</v>
      </c>
      <c r="E196" s="16">
        <f>IF($A196="", "", IFERROR(VLOOKUP($A196, Stock_New!$A:$M, 6, FALSE), ""))</f>
        <v>174</v>
      </c>
      <c r="F196" s="54">
        <v>175.0</v>
      </c>
      <c r="G196" s="55">
        <f t="shared" si="6"/>
        <v>0.07</v>
      </c>
      <c r="H196" s="17">
        <v>174.88</v>
      </c>
      <c r="I196" s="212">
        <v>45975.0</v>
      </c>
      <c r="J196" s="5" t="s">
        <v>72</v>
      </c>
      <c r="K196" s="5" t="s">
        <v>2028</v>
      </c>
      <c r="L196" s="16"/>
      <c r="M196" s="58" t="s">
        <v>2923</v>
      </c>
      <c r="N196" s="58">
        <f t="shared" ref="N196:N198" si="7">650-50+120-500+400+75</f>
        <v>695</v>
      </c>
      <c r="O196" s="223"/>
      <c r="P196" s="190"/>
    </row>
    <row r="197" ht="22.5" customHeight="1">
      <c r="A197" s="35" t="s">
        <v>144</v>
      </c>
      <c r="B197" s="16" t="str">
        <f>IF(A197="","",IFERROR(VLOOKUP(A197, Stock_New!A:M, 2, FALSE),""))</f>
        <v>كهربائيات</v>
      </c>
      <c r="C197" s="209">
        <v>2.0</v>
      </c>
      <c r="D197" s="16" t="str">
        <f>IF(A197="","",IFERROR(VLOOKUP(A197, Stock_New!A:M, 3, FALSE),""))</f>
        <v>شركة البطل</v>
      </c>
      <c r="E197" s="16">
        <f>IF($A197="", "", IFERROR(VLOOKUP($A197, Stock_New!$A:$M, 6, FALSE), ""))</f>
        <v>144</v>
      </c>
      <c r="F197" s="58">
        <v>175.0</v>
      </c>
      <c r="G197" s="41">
        <f t="shared" si="6"/>
        <v>0.07</v>
      </c>
      <c r="H197" s="17">
        <v>349.76</v>
      </c>
      <c r="I197" s="213">
        <v>45975.0</v>
      </c>
      <c r="J197" s="5" t="s">
        <v>72</v>
      </c>
      <c r="K197" s="5" t="s">
        <v>2936</v>
      </c>
      <c r="L197" s="16"/>
      <c r="M197" s="54" t="s">
        <v>2923</v>
      </c>
      <c r="N197" s="58">
        <f t="shared" si="7"/>
        <v>695</v>
      </c>
      <c r="O197" s="215"/>
      <c r="P197" s="216"/>
    </row>
    <row r="198" ht="22.5" customHeight="1">
      <c r="A198" s="53" t="s">
        <v>268</v>
      </c>
      <c r="B198" s="16" t="str">
        <f>IF(A198="","",IFERROR(VLOOKUP(A198, Stock_New!A:M, 2, FALSE),""))</f>
        <v>سيلفرات</v>
      </c>
      <c r="C198" s="210">
        <v>1.0</v>
      </c>
      <c r="D198" s="16" t="str">
        <f>IF(A198="","",IFERROR(VLOOKUP(A198, Stock_New!A:M, 3, FALSE),""))</f>
        <v>شركة حسين علي</v>
      </c>
      <c r="E198" s="16">
        <f>IF($A198="", "", IFERROR(VLOOKUP($A198, Stock_New!$A:$M, 6, FALSE), ""))</f>
        <v>214.5</v>
      </c>
      <c r="F198" s="54">
        <v>200.0</v>
      </c>
      <c r="G198" s="55">
        <f t="shared" si="6"/>
        <v>0.07</v>
      </c>
      <c r="H198" s="17">
        <v>199.86</v>
      </c>
      <c r="I198" s="212">
        <v>45975.0</v>
      </c>
      <c r="J198" s="5" t="s">
        <v>72</v>
      </c>
      <c r="K198" s="5" t="s">
        <v>2031</v>
      </c>
      <c r="L198" s="16"/>
      <c r="M198" s="58" t="s">
        <v>2923</v>
      </c>
      <c r="N198" s="58">
        <f t="shared" si="7"/>
        <v>695</v>
      </c>
      <c r="O198" s="223"/>
      <c r="P198" s="190"/>
    </row>
    <row r="199" ht="22.5" customHeight="1">
      <c r="A199" s="53" t="s">
        <v>489</v>
      </c>
      <c r="B199" s="16" t="str">
        <f>IF(A199="","",IFERROR(VLOOKUP(A199, Stock_New!A:M, 2, FALSE),""))</f>
        <v>ورد لوحده</v>
      </c>
      <c r="C199" s="210">
        <v>1.0</v>
      </c>
      <c r="D199" s="16" t="str">
        <f>IF(A199="","",IFERROR(VLOOKUP(A199, Stock_New!A:M, 3, FALSE),""))</f>
        <v>ذكريا</v>
      </c>
      <c r="E199" s="16">
        <f>IF($A199="", "", IFERROR(VLOOKUP($A199, Stock_New!$A:$M, 6, FALSE), ""))</f>
        <v>210</v>
      </c>
      <c r="F199" s="54">
        <v>200.0</v>
      </c>
      <c r="G199" s="55">
        <f t="shared" si="6"/>
        <v>0.07</v>
      </c>
      <c r="H199" s="5">
        <v>199.86</v>
      </c>
      <c r="I199" s="212">
        <v>45975.0</v>
      </c>
      <c r="J199" s="5" t="s">
        <v>72</v>
      </c>
      <c r="K199" s="5" t="s">
        <v>2032</v>
      </c>
      <c r="L199" s="16"/>
      <c r="M199" s="67"/>
      <c r="N199" s="58">
        <f>650-50+120-500</f>
        <v>220</v>
      </c>
      <c r="O199" s="160"/>
      <c r="P199" s="169"/>
    </row>
    <row r="200" ht="22.5" customHeight="1">
      <c r="A200" s="118" t="s">
        <v>492</v>
      </c>
      <c r="B200" s="16" t="str">
        <f>IF(A200="","",IFERROR(VLOOKUP(A200, Stock_New!A:M, 2, FALSE),""))</f>
        <v>ورد لوحده</v>
      </c>
      <c r="C200" s="209">
        <v>5.0</v>
      </c>
      <c r="D200" s="16" t="str">
        <f>IF(A200="","",IFERROR(VLOOKUP(A200, Stock_New!A:M, 3, FALSE),""))</f>
        <v/>
      </c>
      <c r="E200" s="16">
        <f>IF($A200="", "", IFERROR(VLOOKUP($A200, Stock_New!$A:$M, 6, FALSE), ""))</f>
        <v>25</v>
      </c>
      <c r="F200" s="58">
        <v>25.0</v>
      </c>
      <c r="G200" s="41">
        <f t="shared" si="6"/>
        <v>0.07</v>
      </c>
      <c r="H200" s="17">
        <v>124.9</v>
      </c>
      <c r="I200" s="213">
        <v>45975.0</v>
      </c>
      <c r="J200" s="5" t="s">
        <v>72</v>
      </c>
      <c r="K200" s="5" t="s">
        <v>2082</v>
      </c>
      <c r="L200" s="16"/>
      <c r="M200" s="54" t="s">
        <v>2923</v>
      </c>
      <c r="N200" s="58">
        <f t="shared" ref="N200:N202" si="8">650-50+120-500+400+75</f>
        <v>695</v>
      </c>
      <c r="O200" s="166"/>
      <c r="P200" s="167"/>
    </row>
    <row r="201" ht="22.5" customHeight="1">
      <c r="A201" s="224" t="s">
        <v>496</v>
      </c>
      <c r="B201" s="16" t="str">
        <f>IF(A201="","",IFERROR(VLOOKUP(A201, Stock_New!A:M, 2, FALSE),""))</f>
        <v>شمع</v>
      </c>
      <c r="C201" s="225">
        <v>1.0</v>
      </c>
      <c r="D201" s="16" t="str">
        <f>IF(A201="","",IFERROR(VLOOKUP(A201, Stock_New!A:M, 3, FALSE),""))</f>
        <v>سنتر محمد رشدي</v>
      </c>
      <c r="E201" s="16">
        <f>IF($A201="", "", IFERROR(VLOOKUP($A201, Stock_New!$A:$M, 6, FALSE), ""))</f>
        <v>8.64</v>
      </c>
      <c r="F201" s="226">
        <v>75.0</v>
      </c>
      <c r="G201" s="227">
        <v>0.0</v>
      </c>
      <c r="H201" s="17">
        <v>75.0</v>
      </c>
      <c r="I201" s="64"/>
      <c r="J201" s="5" t="s">
        <v>72</v>
      </c>
      <c r="K201" s="5" t="s">
        <v>2246</v>
      </c>
      <c r="L201" s="16"/>
      <c r="M201" s="58" t="s">
        <v>2923</v>
      </c>
      <c r="N201" s="58">
        <f t="shared" si="8"/>
        <v>695</v>
      </c>
      <c r="O201" s="160"/>
      <c r="P201" s="169"/>
    </row>
    <row r="202" ht="22.5" customHeight="1">
      <c r="A202" s="35" t="s">
        <v>412</v>
      </c>
      <c r="B202" s="16" t="str">
        <f>IF(A202="","",IFERROR(VLOOKUP(A202, Stock_New!A:M, 2, FALSE),""))</f>
        <v>سيلفرات</v>
      </c>
      <c r="C202" s="209">
        <v>1.0</v>
      </c>
      <c r="D202" s="16" t="str">
        <f>IF(A202="","",IFERROR(VLOOKUP(A202, Stock_New!A:M, 3, FALSE),""))</f>
        <v>ذكريا</v>
      </c>
      <c r="E202" s="16">
        <f>IF($A202="", "", IFERROR(VLOOKUP($A202, Stock_New!$A:$M, 6, FALSE), ""))</f>
        <v>234</v>
      </c>
      <c r="F202" s="58">
        <v>240.0</v>
      </c>
      <c r="G202" s="227">
        <v>0.0</v>
      </c>
      <c r="H202" s="17">
        <v>240.0</v>
      </c>
      <c r="I202" s="213">
        <v>45976.0</v>
      </c>
      <c r="J202" s="5" t="s">
        <v>72</v>
      </c>
      <c r="K202" s="5" t="s">
        <v>2035</v>
      </c>
      <c r="L202" s="16"/>
      <c r="M202" s="58" t="s">
        <v>2923</v>
      </c>
      <c r="N202" s="228">
        <f t="shared" si="8"/>
        <v>695</v>
      </c>
      <c r="O202" s="166"/>
      <c r="P202" s="167"/>
    </row>
    <row r="203" ht="22.5" customHeight="1">
      <c r="A203" s="53" t="s">
        <v>416</v>
      </c>
      <c r="B203" s="16" t="str">
        <f>IF(A203="","",IFERROR(VLOOKUP(A203, Stock_New!A:M, 2, FALSE),""))</f>
        <v>ورد لوحده</v>
      </c>
      <c r="C203" s="210">
        <v>1.0</v>
      </c>
      <c r="D203" s="16" t="str">
        <f>IF(A203="","",IFERROR(VLOOKUP(A203, Stock_New!A:M, 3, FALSE),""))</f>
        <v>ذكريا</v>
      </c>
      <c r="E203" s="16">
        <f>IF($A203="", "", IFERROR(VLOOKUP($A203, Stock_New!$A:$M, 6, FALSE), ""))</f>
        <v>36</v>
      </c>
      <c r="F203" s="54">
        <v>40.0</v>
      </c>
      <c r="G203" s="227">
        <v>0.0</v>
      </c>
      <c r="H203" s="17">
        <v>40.0</v>
      </c>
      <c r="I203" s="212">
        <v>45976.0</v>
      </c>
      <c r="J203" s="5" t="s">
        <v>72</v>
      </c>
      <c r="K203" s="5" t="s">
        <v>2038</v>
      </c>
      <c r="L203" s="16"/>
      <c r="M203" s="58" t="s">
        <v>2992</v>
      </c>
      <c r="N203" s="58">
        <f t="shared" ref="N203:N209" si="9">900-150-100-50-100-50-100-100</f>
        <v>250</v>
      </c>
      <c r="O203" s="223" t="s">
        <v>2994</v>
      </c>
      <c r="P203" s="190"/>
    </row>
    <row r="204" ht="22.5" customHeight="1">
      <c r="A204" s="66"/>
      <c r="B204" s="16" t="str">
        <f>IF(A204="","",IFERROR(VLOOKUP(A204, Stock_New!A:M, 2, FALSE),""))</f>
        <v/>
      </c>
      <c r="C204" s="209">
        <v>3.0</v>
      </c>
      <c r="D204" s="16" t="str">
        <f>IF(A204="","",IFERROR(VLOOKUP(A204, Stock_New!A:M, 3, FALSE),""))</f>
        <v/>
      </c>
      <c r="E204" s="16" t="str">
        <f>IF($A204="", "", IFERROR(VLOOKUP($A204, Stock_New!$A:$M, 6, FALSE), ""))</f>
        <v/>
      </c>
      <c r="F204" s="58">
        <v>25.0</v>
      </c>
      <c r="G204" s="227">
        <v>0.0</v>
      </c>
      <c r="H204" s="16">
        <f>(1-Sales_New!$G204)*Sales_New!$F204*Sales_New!$C204</f>
        <v>75</v>
      </c>
      <c r="I204" s="213">
        <v>45976.0</v>
      </c>
      <c r="J204" s="5" t="s">
        <v>782</v>
      </c>
      <c r="K204" s="16"/>
      <c r="L204" s="16"/>
      <c r="M204" s="54" t="s">
        <v>2992</v>
      </c>
      <c r="N204" s="58">
        <f t="shared" si="9"/>
        <v>250</v>
      </c>
      <c r="O204" s="215" t="s">
        <v>2994</v>
      </c>
      <c r="P204" s="216"/>
    </row>
    <row r="205" ht="22.5" customHeight="1">
      <c r="A205" s="53" t="s">
        <v>172</v>
      </c>
      <c r="B205" s="16" t="str">
        <f>IF(A205="","",IFERROR(VLOOKUP(A205, Stock_New!A:M, 2, FALSE),""))</f>
        <v>بوكيه</v>
      </c>
      <c r="C205" s="210">
        <v>2.0</v>
      </c>
      <c r="D205" s="16" t="str">
        <f>IF(A205="","",IFERROR(VLOOKUP(A205, Stock_New!A:M, 3, FALSE),""))</f>
        <v>ذكريا</v>
      </c>
      <c r="E205" s="16">
        <f>IF($A205="", "", IFERROR(VLOOKUP($A205, Stock_New!$A:$M, 6, FALSE), ""))</f>
        <v>33.84</v>
      </c>
      <c r="F205" s="54">
        <v>40.0</v>
      </c>
      <c r="G205" s="227">
        <v>0.0</v>
      </c>
      <c r="H205" s="17">
        <v>80.0</v>
      </c>
      <c r="I205" s="212">
        <v>45976.0</v>
      </c>
      <c r="J205" s="5" t="s">
        <v>72</v>
      </c>
      <c r="K205" s="5" t="s">
        <v>2039</v>
      </c>
      <c r="L205" s="16"/>
      <c r="M205" s="58" t="s">
        <v>2992</v>
      </c>
      <c r="N205" s="58">
        <f t="shared" si="9"/>
        <v>250</v>
      </c>
      <c r="O205" s="223" t="s">
        <v>2994</v>
      </c>
      <c r="P205" s="190"/>
    </row>
    <row r="206" ht="22.5" customHeight="1">
      <c r="A206" s="35" t="s">
        <v>404</v>
      </c>
      <c r="B206" s="16" t="str">
        <f>IF(A206="","",IFERROR(VLOOKUP(A206, Stock_New!A:M, 2, FALSE),""))</f>
        <v>بوتات</v>
      </c>
      <c r="C206" s="209">
        <v>1.0</v>
      </c>
      <c r="D206" s="16" t="str">
        <f>IF(A206="","",IFERROR(VLOOKUP(A206, Stock_New!A:M, 3, FALSE),""))</f>
        <v>ذكريا</v>
      </c>
      <c r="E206" s="16">
        <f>IF($A206="", "", IFERROR(VLOOKUP($A206, Stock_New!$A:$M, 6, FALSE), ""))</f>
        <v>90</v>
      </c>
      <c r="F206" s="58">
        <v>100.0</v>
      </c>
      <c r="G206" s="227">
        <v>0.0</v>
      </c>
      <c r="H206" s="17">
        <v>100.0</v>
      </c>
      <c r="I206" s="213">
        <v>45976.0</v>
      </c>
      <c r="J206" s="5" t="s">
        <v>72</v>
      </c>
      <c r="K206" s="5" t="s">
        <v>2040</v>
      </c>
      <c r="L206" s="16"/>
      <c r="M206" s="54" t="s">
        <v>2992</v>
      </c>
      <c r="N206" s="58">
        <f t="shared" si="9"/>
        <v>250</v>
      </c>
      <c r="O206" s="215" t="s">
        <v>2994</v>
      </c>
      <c r="P206" s="216"/>
    </row>
    <row r="207" ht="22.5" customHeight="1">
      <c r="A207" s="53" t="s">
        <v>357</v>
      </c>
      <c r="B207" s="16" t="str">
        <f>IF(A207="","",IFERROR(VLOOKUP(A207, Stock_New!A:M, 2, FALSE),""))</f>
        <v>ورد لوحده</v>
      </c>
      <c r="C207" s="210">
        <v>1.0</v>
      </c>
      <c r="D207" s="16" t="str">
        <f>IF(A207="","",IFERROR(VLOOKUP(A207, Stock_New!A:M, 3, FALSE),""))</f>
        <v>ذكريا</v>
      </c>
      <c r="E207" s="16">
        <f>IF($A207="", "", IFERROR(VLOOKUP($A207, Stock_New!$A:$M, 6, FALSE), ""))</f>
        <v>270</v>
      </c>
      <c r="F207" s="54">
        <v>350.0</v>
      </c>
      <c r="G207" s="227">
        <v>0.0</v>
      </c>
      <c r="H207" s="17">
        <v>350.0</v>
      </c>
      <c r="I207" s="212">
        <v>45976.0</v>
      </c>
      <c r="J207" s="5" t="s">
        <v>72</v>
      </c>
      <c r="K207" s="5" t="s">
        <v>2041</v>
      </c>
      <c r="L207" s="16"/>
      <c r="M207" s="58" t="s">
        <v>2992</v>
      </c>
      <c r="N207" s="58">
        <f t="shared" si="9"/>
        <v>250</v>
      </c>
      <c r="O207" s="223" t="s">
        <v>2994</v>
      </c>
      <c r="P207" s="190"/>
    </row>
    <row r="208" ht="22.5" customHeight="1">
      <c r="A208" s="35" t="s">
        <v>297</v>
      </c>
      <c r="B208" s="16" t="str">
        <f>IF(A208="","",IFERROR(VLOOKUP(A208, Stock_New!A:M, 2, FALSE),""))</f>
        <v>ورد لوحده</v>
      </c>
      <c r="C208" s="209">
        <f>1/2</f>
        <v>0.5</v>
      </c>
      <c r="D208" s="16" t="str">
        <f>IF(A208="","",IFERROR(VLOOKUP(A208, Stock_New!A:M, 3, FALSE),""))</f>
        <v>ذكريا</v>
      </c>
      <c r="E208" s="16">
        <f>IF($A208="", "", IFERROR(VLOOKUP($A208, Stock_New!$A:$M, 6, FALSE), ""))</f>
        <v>36</v>
      </c>
      <c r="F208" s="58">
        <v>60.0</v>
      </c>
      <c r="G208" s="227">
        <v>0.0</v>
      </c>
      <c r="H208" s="17">
        <v>30.0</v>
      </c>
      <c r="I208" s="213">
        <v>45976.0</v>
      </c>
      <c r="J208" s="5" t="s">
        <v>72</v>
      </c>
      <c r="K208" s="5" t="s">
        <v>2042</v>
      </c>
      <c r="L208" s="16"/>
      <c r="M208" s="54" t="s">
        <v>2992</v>
      </c>
      <c r="N208" s="58">
        <f t="shared" si="9"/>
        <v>250</v>
      </c>
      <c r="O208" s="215" t="s">
        <v>2994</v>
      </c>
      <c r="P208" s="216"/>
    </row>
    <row r="209" ht="22.5" customHeight="1">
      <c r="A209" s="53" t="s">
        <v>505</v>
      </c>
      <c r="B209" s="16" t="str">
        <f>IF(A209="","",IFERROR(VLOOKUP(A209, Stock_New!A:M, 2, FALSE),""))</f>
        <v>مطبخ</v>
      </c>
      <c r="C209" s="210">
        <v>1.0</v>
      </c>
      <c r="D209" s="16" t="str">
        <f>IF(A209="","",IFERROR(VLOOKUP(A209, Stock_New!A:M, 3, FALSE),""))</f>
        <v>احمد اشرف جاليري</v>
      </c>
      <c r="E209" s="16">
        <f>IF($A209="", "", IFERROR(VLOOKUP($A209, Stock_New!$A:$M, 6, FALSE), ""))</f>
        <v>198</v>
      </c>
      <c r="F209" s="54">
        <v>175.0</v>
      </c>
      <c r="G209" s="227">
        <v>0.0</v>
      </c>
      <c r="H209" s="17">
        <v>175.0</v>
      </c>
      <c r="I209" s="212">
        <v>45976.0</v>
      </c>
      <c r="J209" s="5" t="s">
        <v>72</v>
      </c>
      <c r="K209" s="5" t="s">
        <v>2044</v>
      </c>
      <c r="L209" s="16"/>
      <c r="M209" s="58" t="s">
        <v>2992</v>
      </c>
      <c r="N209" s="58">
        <f t="shared" si="9"/>
        <v>250</v>
      </c>
      <c r="O209" s="190"/>
      <c r="P209" s="190"/>
    </row>
    <row r="210" ht="22.5" customHeight="1">
      <c r="A210" s="35" t="s">
        <v>122</v>
      </c>
      <c r="B210" s="16" t="str">
        <f>IF(A210="","",IFERROR(VLOOKUP(A210, Stock_New!A:M, 2, FALSE),""))</f>
        <v>مطبخ</v>
      </c>
      <c r="C210" s="209">
        <v>1.0</v>
      </c>
      <c r="D210" s="16" t="str">
        <f>IF(A210="","",IFERROR(VLOOKUP(A210, Stock_New!A:M, 3, FALSE),""))</f>
        <v>ذكريا</v>
      </c>
      <c r="E210" s="16">
        <f>IF($A210="", "", IFERROR(VLOOKUP($A210, Stock_New!$A:$M, 6, FALSE), ""))</f>
        <v>360</v>
      </c>
      <c r="F210" s="58">
        <v>400.0</v>
      </c>
      <c r="G210" s="227">
        <v>0.0</v>
      </c>
      <c r="H210" s="16">
        <f>(1-Sales_New!$G210)*Sales_New!$F210*Sales_New!$C210</f>
        <v>400</v>
      </c>
      <c r="I210" s="213">
        <v>45981.0</v>
      </c>
      <c r="J210" s="5" t="s">
        <v>1612</v>
      </c>
      <c r="K210" s="16"/>
      <c r="L210" s="16"/>
      <c r="M210" s="16"/>
      <c r="N210" s="16"/>
      <c r="O210" s="16"/>
      <c r="P210" s="16"/>
    </row>
    <row r="211" ht="22.5" customHeight="1">
      <c r="A211" s="53" t="s">
        <v>470</v>
      </c>
      <c r="B211" s="16" t="str">
        <f>IF(A211="","",IFERROR(VLOOKUP(A211, Stock_New!A:M, 2, FALSE),""))</f>
        <v>ورد لوحده</v>
      </c>
      <c r="C211" s="210">
        <v>2.0</v>
      </c>
      <c r="D211" s="16" t="str">
        <f>IF(A211="","",IFERROR(VLOOKUP(A211, Stock_New!A:M, 3, FALSE),""))</f>
        <v>ذكريا</v>
      </c>
      <c r="E211" s="16">
        <f>IF($A211="", "", IFERROR(VLOOKUP($A211, Stock_New!$A:$M, 6, FALSE), ""))</f>
        <v>90</v>
      </c>
      <c r="F211" s="54">
        <v>100.0</v>
      </c>
      <c r="G211" s="227">
        <v>0.0</v>
      </c>
      <c r="H211" s="17">
        <v>200.0</v>
      </c>
      <c r="I211" s="212">
        <v>45981.0</v>
      </c>
      <c r="J211" s="5" t="s">
        <v>72</v>
      </c>
      <c r="K211" s="5" t="s">
        <v>2047</v>
      </c>
      <c r="L211" s="16"/>
      <c r="M211" s="16"/>
      <c r="N211" s="16"/>
      <c r="O211" s="16"/>
      <c r="P211" s="16"/>
    </row>
    <row r="212" ht="22.5" customHeight="1">
      <c r="A212" s="35" t="s">
        <v>255</v>
      </c>
      <c r="B212" s="16" t="str">
        <f>IF(A212="","",IFERROR(VLOOKUP(A212, Stock_New!A:M, 2, FALSE),""))</f>
        <v>بوتات</v>
      </c>
      <c r="C212" s="209">
        <v>1.0</v>
      </c>
      <c r="D212" s="16" t="str">
        <f>IF(A212="","",IFERROR(VLOOKUP(A212, Stock_New!A:M, 3, FALSE),""))</f>
        <v>manufactured</v>
      </c>
      <c r="E212" s="16">
        <f>IF($A212="", "", IFERROR(VLOOKUP($A212, Stock_New!$A:$M, 6, FALSE), ""))</f>
        <v>27.3</v>
      </c>
      <c r="F212" s="58">
        <v>50.0</v>
      </c>
      <c r="G212" s="227">
        <v>0.0</v>
      </c>
      <c r="H212" s="17">
        <v>50.0</v>
      </c>
      <c r="I212" s="213">
        <v>45981.0</v>
      </c>
      <c r="J212" s="5" t="s">
        <v>72</v>
      </c>
      <c r="K212" s="5" t="s">
        <v>2048</v>
      </c>
      <c r="L212" s="16"/>
      <c r="M212" s="16"/>
      <c r="N212" s="16"/>
      <c r="O212" s="16"/>
      <c r="P212" s="16"/>
    </row>
    <row r="213" ht="22.5" customHeight="1">
      <c r="A213" s="53" t="s">
        <v>470</v>
      </c>
      <c r="B213" s="16" t="str">
        <f>IF(A213="","",IFERROR(VLOOKUP(A213, Stock_New!A:M, 2, FALSE),""))</f>
        <v>ورد لوحده</v>
      </c>
      <c r="C213" s="210">
        <v>1.0</v>
      </c>
      <c r="D213" s="16" t="str">
        <f>IF(A213="","",IFERROR(VLOOKUP(A213, Stock_New!A:M, 3, FALSE),""))</f>
        <v>ذكريا</v>
      </c>
      <c r="E213" s="16">
        <f>IF($A213="", "", IFERROR(VLOOKUP($A213, Stock_New!$A:$M, 6, FALSE), ""))</f>
        <v>90</v>
      </c>
      <c r="F213" s="54">
        <v>120.0</v>
      </c>
      <c r="G213" s="227">
        <v>0.0</v>
      </c>
      <c r="H213" s="17">
        <v>120.0</v>
      </c>
      <c r="I213" s="212">
        <v>45981.0</v>
      </c>
      <c r="J213" s="5" t="s">
        <v>72</v>
      </c>
      <c r="K213" s="5" t="s">
        <v>2049</v>
      </c>
      <c r="L213" s="16"/>
      <c r="M213" s="16"/>
      <c r="N213" s="16"/>
      <c r="O213" s="16"/>
      <c r="P213" s="16"/>
    </row>
    <row r="214" ht="22.5" customHeight="1">
      <c r="A214" s="66"/>
      <c r="B214" s="16" t="str">
        <f>IF(A214="","",IFERROR(VLOOKUP(A214, Stock_New!A:M, 2, FALSE),""))</f>
        <v/>
      </c>
      <c r="C214" s="229"/>
      <c r="D214" s="16" t="str">
        <f>IF(A214="","",IFERROR(VLOOKUP(A214, Stock_New!A:M, 3, FALSE),""))</f>
        <v/>
      </c>
      <c r="E214" s="16" t="str">
        <f>IF($A214="", "", IFERROR(VLOOKUP($A214, Stock_New!$A:$M, 6, FALSE), ""))</f>
        <v/>
      </c>
      <c r="F214" s="67"/>
      <c r="G214" s="227">
        <v>0.0</v>
      </c>
      <c r="H214" s="16">
        <f>(1-Sales_New!$G214)*Sales_New!$F214*Sales_New!$C214</f>
        <v>0</v>
      </c>
      <c r="I214" s="39"/>
      <c r="J214" s="5" t="s">
        <v>782</v>
      </c>
      <c r="K214" s="16"/>
      <c r="L214" s="16"/>
      <c r="M214" s="16"/>
      <c r="N214" s="16"/>
      <c r="O214" s="16"/>
      <c r="P214" s="16"/>
    </row>
    <row r="215" ht="22.5" customHeight="1">
      <c r="A215" s="53" t="s">
        <v>194</v>
      </c>
      <c r="B215" s="16" t="str">
        <f>IF(A215="","",IFERROR(VLOOKUP(A215, Stock_New!A:M, 2, FALSE),""))</f>
        <v>بوتات</v>
      </c>
      <c r="C215" s="210">
        <v>1.0</v>
      </c>
      <c r="D215" s="16" t="str">
        <f>IF(A215="","",IFERROR(VLOOKUP(A215, Stock_New!A:M, 3, FALSE),""))</f>
        <v>ذكريا</v>
      </c>
      <c r="E215" s="16">
        <f>IF($A215="", "", IFERROR(VLOOKUP($A215, Stock_New!$A:$M, 6, FALSE), ""))</f>
        <v>197</v>
      </c>
      <c r="F215" s="54">
        <v>200.0</v>
      </c>
      <c r="G215" s="227">
        <v>0.0</v>
      </c>
      <c r="H215" s="17">
        <v>200.0</v>
      </c>
      <c r="I215" s="212">
        <v>45363.0</v>
      </c>
      <c r="J215" s="5" t="s">
        <v>72</v>
      </c>
      <c r="K215" s="5" t="s">
        <v>2050</v>
      </c>
      <c r="L215" s="16"/>
      <c r="M215" s="16"/>
      <c r="N215" s="16"/>
      <c r="O215" s="16"/>
      <c r="P215" s="16"/>
    </row>
    <row r="216" ht="22.5" customHeight="1">
      <c r="A216" s="35" t="s">
        <v>225</v>
      </c>
      <c r="B216" s="16" t="str">
        <f>IF(A216="","",IFERROR(VLOOKUP(A216, Stock_New!A:M, 2, FALSE),""))</f>
        <v>شجر</v>
      </c>
      <c r="C216" s="209">
        <v>1.0</v>
      </c>
      <c r="D216" s="16" t="str">
        <f>IF(A216="","",IFERROR(VLOOKUP(A216, Stock_New!A:M, 3, FALSE),""))</f>
        <v>ذكريا</v>
      </c>
      <c r="E216" s="16">
        <f>IF($A216="", "", IFERROR(VLOOKUP($A216, Stock_New!$A:$M, 6, FALSE), ""))</f>
        <v>192</v>
      </c>
      <c r="F216" s="58">
        <v>200.0</v>
      </c>
      <c r="G216" s="227">
        <v>0.0</v>
      </c>
      <c r="H216" s="17">
        <v>200.0</v>
      </c>
      <c r="I216" s="213">
        <v>45363.0</v>
      </c>
      <c r="J216" s="5" t="s">
        <v>72</v>
      </c>
      <c r="K216" s="5" t="s">
        <v>2051</v>
      </c>
      <c r="L216" s="16"/>
      <c r="M216" s="16"/>
      <c r="N216" s="16"/>
      <c r="O216" s="16"/>
      <c r="P216" s="16"/>
    </row>
    <row r="217" ht="22.5" customHeight="1">
      <c r="A217" s="60"/>
      <c r="B217" s="16" t="str">
        <f>IF(A217="","",IFERROR(VLOOKUP(A217, Stock_New!A:M, 2, FALSE),""))</f>
        <v/>
      </c>
      <c r="C217" s="222"/>
      <c r="D217" s="16" t="str">
        <f>IF(A217="","",IFERROR(VLOOKUP(A217, Stock_New!A:M, 3, FALSE),""))</f>
        <v/>
      </c>
      <c r="E217" s="16" t="str">
        <f>IF($A217="", "", IFERROR(VLOOKUP($A217, Stock_New!$A:$M, 6, FALSE), ""))</f>
        <v/>
      </c>
      <c r="F217" s="61"/>
      <c r="G217" s="227">
        <v>0.0</v>
      </c>
      <c r="H217" s="16">
        <f>(1-Sales_New!$G217)*Sales_New!$F217*Sales_New!$C217</f>
        <v>0</v>
      </c>
      <c r="I217" s="64"/>
      <c r="J217" s="5" t="s">
        <v>782</v>
      </c>
      <c r="K217" s="16"/>
      <c r="L217" s="16"/>
      <c r="M217" s="16"/>
      <c r="N217" s="16"/>
      <c r="O217" s="16"/>
      <c r="P217" s="16"/>
    </row>
    <row r="218" ht="22.5" customHeight="1">
      <c r="A218" s="35" t="s">
        <v>144</v>
      </c>
      <c r="B218" s="16" t="str">
        <f>IF(A218="","",IFERROR(VLOOKUP(A218, Stock_New!A:M, 2, FALSE),""))</f>
        <v>كهربائيات</v>
      </c>
      <c r="C218" s="230">
        <v>1.0</v>
      </c>
      <c r="D218" s="16" t="str">
        <f>IF(A218="","",IFERROR(VLOOKUP(A218, Stock_New!A:M, 3, FALSE),""))</f>
        <v>شركة البطل</v>
      </c>
      <c r="E218" s="16">
        <f>IF($A218="", "", IFERROR(VLOOKUP($A218, Stock_New!$A:$M, 6, FALSE), ""))</f>
        <v>144</v>
      </c>
      <c r="F218" s="58">
        <v>175.0</v>
      </c>
      <c r="G218" s="227">
        <v>0.0</v>
      </c>
      <c r="H218" s="17">
        <v>175.0</v>
      </c>
      <c r="I218" s="213">
        <v>45982.0</v>
      </c>
      <c r="J218" s="5" t="s">
        <v>72</v>
      </c>
      <c r="K218" s="5" t="s">
        <v>3096</v>
      </c>
      <c r="L218" s="16"/>
      <c r="M218" s="16"/>
      <c r="N218" s="16"/>
      <c r="O218" s="16"/>
      <c r="P218" s="16"/>
    </row>
    <row r="219" ht="22.5" customHeight="1">
      <c r="A219" s="53" t="s">
        <v>470</v>
      </c>
      <c r="B219" s="16" t="str">
        <f>IF(A219="","",IFERROR(VLOOKUP(A219, Stock_New!A:M, 2, FALSE),""))</f>
        <v>ورد لوحده</v>
      </c>
      <c r="C219" s="231">
        <v>2.0</v>
      </c>
      <c r="D219" s="16" t="str">
        <f>IF(A219="","",IFERROR(VLOOKUP(A219, Stock_New!A:M, 3, FALSE),""))</f>
        <v>ذكريا</v>
      </c>
      <c r="E219" s="16">
        <f>IF($A219="", "", IFERROR(VLOOKUP($A219, Stock_New!$A:$M, 6, FALSE), ""))</f>
        <v>90</v>
      </c>
      <c r="F219" s="54">
        <v>100.0</v>
      </c>
      <c r="G219" s="227">
        <v>0.0</v>
      </c>
      <c r="H219" s="17">
        <v>200.0</v>
      </c>
      <c r="I219" s="212">
        <v>45982.0</v>
      </c>
      <c r="J219" s="5" t="s">
        <v>72</v>
      </c>
      <c r="K219" s="5" t="s">
        <v>2052</v>
      </c>
      <c r="L219" s="16"/>
      <c r="M219" s="16"/>
      <c r="N219" s="16"/>
      <c r="O219" s="16"/>
      <c r="P219" s="16"/>
    </row>
    <row r="220" ht="22.5" customHeight="1">
      <c r="A220" s="35" t="s">
        <v>255</v>
      </c>
      <c r="B220" s="16" t="str">
        <f>IF(A220="","",IFERROR(VLOOKUP(A220, Stock_New!A:M, 2, FALSE),""))</f>
        <v>بوتات</v>
      </c>
      <c r="C220" s="230">
        <v>1.0</v>
      </c>
      <c r="D220" s="16" t="str">
        <f>IF(A220="","",IFERROR(VLOOKUP(A220, Stock_New!A:M, 3, FALSE),""))</f>
        <v>manufactured</v>
      </c>
      <c r="E220" s="16">
        <f>IF($A220="", "", IFERROR(VLOOKUP($A220, Stock_New!$A:$M, 6, FALSE), ""))</f>
        <v>27.3</v>
      </c>
      <c r="F220" s="58">
        <v>50.0</v>
      </c>
      <c r="G220" s="227">
        <v>0.0</v>
      </c>
      <c r="H220" s="17">
        <v>50.0</v>
      </c>
      <c r="I220" s="213">
        <v>45982.0</v>
      </c>
      <c r="J220" s="5" t="s">
        <v>72</v>
      </c>
      <c r="K220" s="5" t="s">
        <v>2053</v>
      </c>
      <c r="L220" s="16"/>
      <c r="M220" s="16"/>
      <c r="N220" s="16"/>
      <c r="O220" s="16"/>
      <c r="P220" s="16"/>
    </row>
    <row r="221" ht="22.5" customHeight="1">
      <c r="A221" s="53" t="s">
        <v>206</v>
      </c>
      <c r="B221" s="16" t="str">
        <f>IF(A221="","",IFERROR(VLOOKUP(A221, Stock_New!A:M, 2, FALSE),""))</f>
        <v>سيلفرات</v>
      </c>
      <c r="C221" s="231">
        <v>1.0</v>
      </c>
      <c r="D221" s="16" t="str">
        <f>IF(A221="","",IFERROR(VLOOKUP(A221, Stock_New!A:M, 3, FALSE),""))</f>
        <v>ذكريا</v>
      </c>
      <c r="E221" s="16">
        <f>IF($A221="", "", IFERROR(VLOOKUP($A221, Stock_New!$A:$M, 6, FALSE), ""))</f>
        <v>186</v>
      </c>
      <c r="F221" s="54">
        <v>185.0</v>
      </c>
      <c r="G221" s="227">
        <v>0.0</v>
      </c>
      <c r="H221" s="17">
        <v>185.0</v>
      </c>
      <c r="I221" s="212">
        <v>45982.0</v>
      </c>
      <c r="J221" s="5" t="s">
        <v>72</v>
      </c>
      <c r="K221" s="5" t="s">
        <v>2054</v>
      </c>
      <c r="L221" s="16"/>
      <c r="M221" s="16"/>
      <c r="N221" s="16"/>
      <c r="O221" s="16"/>
      <c r="P221" s="16"/>
    </row>
    <row r="222" ht="22.5" customHeight="1">
      <c r="A222" s="35" t="s">
        <v>392</v>
      </c>
      <c r="B222" s="16" t="str">
        <f>IF(A222="","",IFERROR(VLOOKUP(A222, Stock_New!A:M, 2, FALSE),""))</f>
        <v>شجر</v>
      </c>
      <c r="C222" s="230">
        <v>1.0</v>
      </c>
      <c r="D222" s="16" t="str">
        <f>IF(A222="","",IFERROR(VLOOKUP(A222, Stock_New!A:M, 3, FALSE),""))</f>
        <v>ذكريا</v>
      </c>
      <c r="E222" s="16">
        <f>IF($A222="", "", IFERROR(VLOOKUP($A222, Stock_New!$A:$M, 6, FALSE), ""))</f>
        <v>78</v>
      </c>
      <c r="F222" s="58">
        <v>95.0</v>
      </c>
      <c r="G222" s="227">
        <v>0.0</v>
      </c>
      <c r="H222" s="17">
        <v>95.0</v>
      </c>
      <c r="I222" s="213">
        <v>45982.0</v>
      </c>
      <c r="J222" s="5" t="s">
        <v>72</v>
      </c>
      <c r="K222" s="5" t="s">
        <v>2057</v>
      </c>
      <c r="L222" s="16"/>
      <c r="M222" s="16"/>
      <c r="N222" s="16"/>
      <c r="O222" s="16"/>
      <c r="P222" s="16"/>
    </row>
    <row r="223" ht="22.5" customHeight="1">
      <c r="A223" s="53" t="s">
        <v>511</v>
      </c>
      <c r="B223" s="16" t="str">
        <f>IF(A223="","",IFERROR(VLOOKUP(A223, Stock_New!A:M, 2, FALSE),""))</f>
        <v>خزف</v>
      </c>
      <c r="C223" s="210">
        <v>1.0</v>
      </c>
      <c r="D223" s="16" t="str">
        <f>IF(A223="","",IFERROR(VLOOKUP(A223, Stock_New!A:M, 3, FALSE),""))</f>
        <v>ذكريا</v>
      </c>
      <c r="E223" s="16">
        <f>IF($A223="", "", IFERROR(VLOOKUP($A223, Stock_New!$A:$M, 6, FALSE), ""))</f>
        <v>48</v>
      </c>
      <c r="F223" s="54">
        <v>50.0</v>
      </c>
      <c r="G223" s="227">
        <v>0.0</v>
      </c>
      <c r="H223" s="17">
        <v>50.0</v>
      </c>
      <c r="I223" s="212">
        <v>45982.0</v>
      </c>
      <c r="J223" s="5" t="s">
        <v>72</v>
      </c>
      <c r="K223" s="5" t="s">
        <v>2058</v>
      </c>
      <c r="L223" s="16"/>
      <c r="M223" s="16"/>
      <c r="N223" s="16"/>
      <c r="O223" s="16"/>
      <c r="P223" s="16"/>
    </row>
    <row r="224" ht="22.5" customHeight="1">
      <c r="A224" s="35" t="s">
        <v>454</v>
      </c>
      <c r="B224" s="16" t="str">
        <f>IF(A224="","",IFERROR(VLOOKUP(A224, Stock_New!A:M, 2, FALSE),""))</f>
        <v>ورد لوحده</v>
      </c>
      <c r="C224" s="209">
        <f>1/2</f>
        <v>0.5</v>
      </c>
      <c r="D224" s="16" t="str">
        <f>IF(A224="","",IFERROR(VLOOKUP(A224, Stock_New!A:M, 3, FALSE),""))</f>
        <v>ذكريا</v>
      </c>
      <c r="E224" s="16">
        <f>IF($A224="", "", IFERROR(VLOOKUP($A224, Stock_New!$A:$M, 6, FALSE), ""))</f>
        <v>252</v>
      </c>
      <c r="F224" s="58">
        <v>290.0</v>
      </c>
      <c r="G224" s="227">
        <v>0.0</v>
      </c>
      <c r="H224" s="17">
        <v>145.0</v>
      </c>
      <c r="I224" s="213">
        <v>45982.0</v>
      </c>
      <c r="J224" s="5" t="s">
        <v>72</v>
      </c>
      <c r="K224" s="5" t="s">
        <v>2061</v>
      </c>
      <c r="L224" s="16"/>
      <c r="M224" s="16"/>
      <c r="N224" s="16"/>
      <c r="O224" s="16"/>
      <c r="P224" s="16"/>
    </row>
    <row r="225" ht="22.5" customHeight="1">
      <c r="A225" s="60"/>
      <c r="B225" s="16" t="str">
        <f>IF(A225="","",IFERROR(VLOOKUP(A225, Stock_New!A:M, 2, FALSE),""))</f>
        <v/>
      </c>
      <c r="C225" s="222"/>
      <c r="D225" s="16" t="str">
        <f>IF(A225="","",IFERROR(VLOOKUP(A225, Stock_New!A:M, 3, FALSE),""))</f>
        <v/>
      </c>
      <c r="E225" s="16" t="str">
        <f>IF($A225="", "", IFERROR(VLOOKUP($A225, Stock_New!$A:$M, 6, FALSE), ""))</f>
        <v/>
      </c>
      <c r="F225" s="61"/>
      <c r="G225" s="227">
        <v>0.0</v>
      </c>
      <c r="H225" s="16">
        <f>(1-Sales_New!$G225)*Sales_New!$F225*Sales_New!$C225</f>
        <v>0</v>
      </c>
      <c r="I225" s="64"/>
      <c r="J225" s="5" t="s">
        <v>782</v>
      </c>
      <c r="K225" s="16"/>
      <c r="L225" s="16"/>
      <c r="M225" s="16"/>
      <c r="N225" s="16"/>
      <c r="O225" s="16"/>
      <c r="P225" s="16"/>
    </row>
    <row r="226" ht="22.5" customHeight="1">
      <c r="A226" s="35" t="s">
        <v>48</v>
      </c>
      <c r="B226" s="16" t="str">
        <f>IF(A226="","",IFERROR(VLOOKUP(A226, Stock_New!A:M, 2, FALSE),""))</f>
        <v>بوكيه</v>
      </c>
      <c r="C226" s="209">
        <v>1.0</v>
      </c>
      <c r="D226" s="16" t="str">
        <f>IF(A226="","",IFERROR(VLOOKUP(A226, Stock_New!A:M, 3, FALSE),""))</f>
        <v>ذكريا</v>
      </c>
      <c r="E226" s="16">
        <f>IF($A226="", "", IFERROR(VLOOKUP($A226, Stock_New!$A:$M, 6, FALSE), ""))</f>
        <v>44.4</v>
      </c>
      <c r="F226" s="58">
        <v>50.0</v>
      </c>
      <c r="G226" s="227">
        <v>0.0</v>
      </c>
      <c r="H226" s="17">
        <v>50.0</v>
      </c>
      <c r="I226" s="213">
        <v>45983.0</v>
      </c>
      <c r="J226" s="5" t="s">
        <v>72</v>
      </c>
      <c r="K226" s="5" t="s">
        <v>2062</v>
      </c>
      <c r="L226" s="16"/>
      <c r="M226" s="16"/>
      <c r="N226" s="16"/>
      <c r="O226" s="16"/>
      <c r="P226" s="16"/>
    </row>
    <row r="227" ht="22.5" customHeight="1">
      <c r="A227" s="53" t="s">
        <v>172</v>
      </c>
      <c r="B227" s="16" t="str">
        <f>IF(A227="","",IFERROR(VLOOKUP(A227, Stock_New!A:M, 2, FALSE),""))</f>
        <v>بوكيه</v>
      </c>
      <c r="C227" s="210">
        <v>1.0</v>
      </c>
      <c r="D227" s="16" t="str">
        <f>IF(A227="","",IFERROR(VLOOKUP(A227, Stock_New!A:M, 3, FALSE),""))</f>
        <v>ذكريا</v>
      </c>
      <c r="E227" s="16">
        <f>IF($A227="", "", IFERROR(VLOOKUP($A227, Stock_New!$A:$M, 6, FALSE), ""))</f>
        <v>33.84</v>
      </c>
      <c r="F227" s="54">
        <v>40.0</v>
      </c>
      <c r="G227" s="227">
        <v>0.0</v>
      </c>
      <c r="H227" s="17">
        <v>40.0</v>
      </c>
      <c r="I227" s="212">
        <v>45983.0</v>
      </c>
      <c r="J227" s="5" t="s">
        <v>72</v>
      </c>
      <c r="K227" s="5" t="s">
        <v>2063</v>
      </c>
      <c r="L227" s="16"/>
      <c r="M227" s="16"/>
      <c r="N227" s="16"/>
      <c r="O227" s="16"/>
      <c r="P227" s="16"/>
    </row>
    <row r="228" ht="22.5" customHeight="1">
      <c r="A228" s="35" t="s">
        <v>452</v>
      </c>
      <c r="B228" s="16" t="str">
        <f>IF(A228="","",IFERROR(VLOOKUP(A228, Stock_New!A:M, 2, FALSE),""))</f>
        <v>بوكيه</v>
      </c>
      <c r="C228" s="209">
        <v>1.0</v>
      </c>
      <c r="D228" s="16" t="str">
        <f>IF(A228="","",IFERROR(VLOOKUP(A228, Stock_New!A:M, 3, FALSE),""))</f>
        <v>ذكريا</v>
      </c>
      <c r="E228" s="16">
        <f>IF($A228="", "", IFERROR(VLOOKUP($A228, Stock_New!$A:$M, 6, FALSE), ""))</f>
        <v>19.2</v>
      </c>
      <c r="F228" s="58">
        <v>25.0</v>
      </c>
      <c r="G228" s="227">
        <v>0.0</v>
      </c>
      <c r="H228" s="17">
        <v>25.0</v>
      </c>
      <c r="I228" s="213">
        <v>45983.0</v>
      </c>
      <c r="J228" s="5" t="s">
        <v>72</v>
      </c>
      <c r="K228" s="5" t="s">
        <v>2064</v>
      </c>
      <c r="L228" s="16"/>
      <c r="M228" s="16"/>
      <c r="N228" s="16"/>
      <c r="O228" s="16"/>
      <c r="P228" s="16"/>
    </row>
    <row r="229" ht="22.5" customHeight="1">
      <c r="A229" s="60"/>
      <c r="B229" s="16" t="str">
        <f>IF(A229="","",IFERROR(VLOOKUP(A229, Stock_New!A:M, 2, FALSE),""))</f>
        <v/>
      </c>
      <c r="C229" s="222"/>
      <c r="D229" s="16" t="str">
        <f>IF(A229="","",IFERROR(VLOOKUP(A229, Stock_New!A:M, 3, FALSE),""))</f>
        <v/>
      </c>
      <c r="E229" s="16" t="str">
        <f>IF($A229="", "", IFERROR(VLOOKUP($A229, Stock_New!$A:$M, 6, FALSE), ""))</f>
        <v/>
      </c>
      <c r="F229" s="61"/>
      <c r="G229" s="227">
        <v>0.0</v>
      </c>
      <c r="H229" s="16">
        <f>(1-Sales_New!$G229)*Sales_New!$F229*Sales_New!$C229</f>
        <v>0</v>
      </c>
      <c r="I229" s="212">
        <v>45983.0</v>
      </c>
      <c r="J229" s="5" t="s">
        <v>782</v>
      </c>
      <c r="K229" s="16"/>
      <c r="L229" s="16"/>
      <c r="M229" s="16"/>
      <c r="N229" s="16"/>
      <c r="O229" s="16"/>
      <c r="P229" s="16"/>
    </row>
    <row r="230" ht="22.5" customHeight="1">
      <c r="A230" s="35" t="s">
        <v>48</v>
      </c>
      <c r="B230" s="16" t="str">
        <f>IF(A230="","",IFERROR(VLOOKUP(A230, Stock_New!A:M, 2, FALSE),""))</f>
        <v>بوكيه</v>
      </c>
      <c r="C230" s="230">
        <v>3.0</v>
      </c>
      <c r="D230" s="16" t="str">
        <f>IF(A230="","",IFERROR(VLOOKUP(A230, Stock_New!A:M, 3, FALSE),""))</f>
        <v>ذكريا</v>
      </c>
      <c r="E230" s="16">
        <f>IF($A230="", "", IFERROR(VLOOKUP($A230, Stock_New!$A:$M, 6, FALSE), ""))</f>
        <v>44.4</v>
      </c>
      <c r="F230" s="232">
        <v>45.0</v>
      </c>
      <c r="G230" s="227">
        <v>0.0</v>
      </c>
      <c r="H230" s="17">
        <v>135.0</v>
      </c>
      <c r="I230" s="213">
        <v>45983.0</v>
      </c>
      <c r="J230" s="5" t="s">
        <v>72</v>
      </c>
      <c r="K230" s="5" t="s">
        <v>2065</v>
      </c>
      <c r="L230" s="16"/>
      <c r="M230" s="16"/>
      <c r="N230" s="16"/>
      <c r="O230" s="16"/>
      <c r="P230" s="16"/>
    </row>
    <row r="231" ht="22.5" customHeight="1">
      <c r="A231" s="53" t="s">
        <v>172</v>
      </c>
      <c r="B231" s="16" t="str">
        <f>IF(A231="","",IFERROR(VLOOKUP(A231, Stock_New!A:M, 2, FALSE),""))</f>
        <v>بوكيه</v>
      </c>
      <c r="C231" s="231">
        <v>2.0</v>
      </c>
      <c r="D231" s="16" t="str">
        <f>IF(A231="","",IFERROR(VLOOKUP(A231, Stock_New!A:M, 3, FALSE),""))</f>
        <v>ذكريا</v>
      </c>
      <c r="E231" s="16">
        <f>IF($A231="", "", IFERROR(VLOOKUP($A231, Stock_New!$A:$M, 6, FALSE), ""))</f>
        <v>33.84</v>
      </c>
      <c r="F231" s="59">
        <v>40.0</v>
      </c>
      <c r="G231" s="227">
        <v>0.0</v>
      </c>
      <c r="H231" s="17">
        <v>80.0</v>
      </c>
      <c r="I231" s="212">
        <v>45983.0</v>
      </c>
      <c r="J231" s="5" t="s">
        <v>72</v>
      </c>
      <c r="K231" s="5" t="s">
        <v>2066</v>
      </c>
      <c r="L231" s="16"/>
      <c r="M231" s="16"/>
      <c r="N231" s="16"/>
      <c r="O231" s="16"/>
      <c r="P231" s="16"/>
    </row>
    <row r="232" ht="22.5" customHeight="1">
      <c r="A232" s="35" t="s">
        <v>404</v>
      </c>
      <c r="B232" s="16" t="str">
        <f>IF(A232="","",IFERROR(VLOOKUP(A232, Stock_New!A:M, 2, FALSE),""))</f>
        <v>بوتات</v>
      </c>
      <c r="C232" s="230">
        <v>1.0</v>
      </c>
      <c r="D232" s="16" t="str">
        <f>IF(A232="","",IFERROR(VLOOKUP(A232, Stock_New!A:M, 3, FALSE),""))</f>
        <v>ذكريا</v>
      </c>
      <c r="E232" s="16">
        <f>IF($A232="", "", IFERROR(VLOOKUP($A232, Stock_New!$A:$M, 6, FALSE), ""))</f>
        <v>90</v>
      </c>
      <c r="F232" s="232">
        <v>100.0</v>
      </c>
      <c r="G232" s="227">
        <v>0.0</v>
      </c>
      <c r="H232" s="17">
        <v>100.0</v>
      </c>
      <c r="I232" s="213">
        <v>45983.0</v>
      </c>
      <c r="J232" s="5" t="s">
        <v>72</v>
      </c>
      <c r="K232" s="5" t="s">
        <v>2067</v>
      </c>
      <c r="L232" s="16"/>
      <c r="M232" s="16"/>
      <c r="N232" s="16"/>
      <c r="O232" s="16"/>
      <c r="P232" s="16"/>
    </row>
    <row r="233" ht="22.5" customHeight="1">
      <c r="A233" s="217" t="s">
        <v>515</v>
      </c>
      <c r="B233" s="16" t="str">
        <f>IF(A233="","",IFERROR(VLOOKUP(A233, Stock_New!A:M, 2, FALSE),""))</f>
        <v>ورد لوحده</v>
      </c>
      <c r="C233" s="231">
        <v>1.0</v>
      </c>
      <c r="D233" s="16" t="str">
        <f>IF(A233="","",IFERROR(VLOOKUP(A233, Stock_New!A:M, 3, FALSE),""))</f>
        <v>ذكريا</v>
      </c>
      <c r="E233" s="16">
        <f>IF($A233="", "", IFERROR(VLOOKUP($A233, Stock_New!$A:$M, 6, FALSE), ""))</f>
        <v>60</v>
      </c>
      <c r="F233" s="59">
        <v>60.0</v>
      </c>
      <c r="G233" s="227">
        <v>0.0</v>
      </c>
      <c r="H233" s="17">
        <v>60.0</v>
      </c>
      <c r="I233" s="212">
        <v>45983.0</v>
      </c>
      <c r="J233" s="5" t="s">
        <v>72</v>
      </c>
      <c r="K233" s="5" t="s">
        <v>2068</v>
      </c>
      <c r="L233" s="16"/>
      <c r="M233" s="16"/>
      <c r="N233" s="16"/>
      <c r="O233" s="16"/>
      <c r="P233" s="16"/>
    </row>
    <row r="234" ht="22.5" customHeight="1">
      <c r="A234" s="35" t="s">
        <v>287</v>
      </c>
      <c r="B234" s="16" t="str">
        <f>IF(A234="","",IFERROR(VLOOKUP(A234, Stock_New!A:M, 2, FALSE),""))</f>
        <v>بوكيه</v>
      </c>
      <c r="C234" s="230">
        <v>1.0</v>
      </c>
      <c r="D234" s="16" t="str">
        <f>IF(A234="","",IFERROR(VLOOKUP(A234, Stock_New!A:M, 3, FALSE),""))</f>
        <v>ذكريا</v>
      </c>
      <c r="E234" s="16">
        <f>IF($A234="", "", IFERROR(VLOOKUP($A234, Stock_New!$A:$M, 6, FALSE), ""))</f>
        <v>54</v>
      </c>
      <c r="F234" s="232">
        <v>55.0</v>
      </c>
      <c r="G234" s="227">
        <v>0.0</v>
      </c>
      <c r="H234" s="17">
        <v>55.0</v>
      </c>
      <c r="I234" s="213">
        <v>45983.0</v>
      </c>
      <c r="J234" s="5" t="s">
        <v>72</v>
      </c>
      <c r="K234" s="5" t="s">
        <v>2071</v>
      </c>
      <c r="L234" s="16"/>
      <c r="M234" s="16"/>
      <c r="N234" s="16"/>
      <c r="O234" s="16"/>
      <c r="P234" s="16"/>
    </row>
    <row r="235" ht="22.5" customHeight="1">
      <c r="A235" s="53" t="s">
        <v>470</v>
      </c>
      <c r="B235" s="16" t="str">
        <f>IF(A235="","",IFERROR(VLOOKUP(A235, Stock_New!A:M, 2, FALSE),""))</f>
        <v>ورد لوحده</v>
      </c>
      <c r="C235" s="231">
        <v>1.0</v>
      </c>
      <c r="D235" s="16" t="str">
        <f>IF(A235="","",IFERROR(VLOOKUP(A235, Stock_New!A:M, 3, FALSE),""))</f>
        <v>ذكريا</v>
      </c>
      <c r="E235" s="16">
        <f>IF($A235="", "", IFERROR(VLOOKUP($A235, Stock_New!$A:$M, 6, FALSE), ""))</f>
        <v>90</v>
      </c>
      <c r="F235" s="59">
        <v>120.0</v>
      </c>
      <c r="G235" s="227">
        <v>0.0</v>
      </c>
      <c r="H235" s="17">
        <v>120.0</v>
      </c>
      <c r="I235" s="212">
        <v>45983.0</v>
      </c>
      <c r="J235" s="5" t="s">
        <v>72</v>
      </c>
      <c r="K235" s="5" t="s">
        <v>2072</v>
      </c>
      <c r="L235" s="16"/>
      <c r="M235" s="16"/>
      <c r="N235" s="16"/>
      <c r="O235" s="16"/>
      <c r="P235" s="16"/>
    </row>
    <row r="236" ht="22.5" customHeight="1">
      <c r="A236" s="66"/>
      <c r="B236" s="16" t="str">
        <f>IF(A236="","",IFERROR(VLOOKUP(A236, Stock_New!A:M, 2, FALSE),""))</f>
        <v/>
      </c>
      <c r="C236" s="229"/>
      <c r="D236" s="16" t="str">
        <f>IF(A236="","",IFERROR(VLOOKUP(A236, Stock_New!A:M, 3, FALSE),""))</f>
        <v/>
      </c>
      <c r="E236" s="16" t="str">
        <f>IF($A236="", "", IFERROR(VLOOKUP($A236, Stock_New!$A:$M, 6, FALSE), ""))</f>
        <v/>
      </c>
      <c r="F236" s="67"/>
      <c r="G236" s="227">
        <v>0.0</v>
      </c>
      <c r="H236" s="16">
        <f>(1-Sales_New!$G236)*Sales_New!$F236*Sales_New!$C236</f>
        <v>0</v>
      </c>
      <c r="I236" s="39"/>
      <c r="J236" s="5" t="s">
        <v>782</v>
      </c>
      <c r="K236" s="16"/>
      <c r="L236" s="16"/>
      <c r="M236" s="16"/>
      <c r="N236" s="16"/>
      <c r="O236" s="16"/>
      <c r="P236" s="16"/>
    </row>
    <row r="237" ht="22.5" customHeight="1">
      <c r="A237" s="53" t="s">
        <v>392</v>
      </c>
      <c r="B237" s="16" t="str">
        <f>IF(A237="","",IFERROR(VLOOKUP(A237, Stock_New!A:M, 2, FALSE),""))</f>
        <v>شجر</v>
      </c>
      <c r="C237" s="210">
        <v>1.0</v>
      </c>
      <c r="D237" s="16" t="str">
        <f>IF(A237="","",IFERROR(VLOOKUP(A237, Stock_New!A:M, 3, FALSE),""))</f>
        <v>ذكريا</v>
      </c>
      <c r="E237" s="16">
        <f>IF($A237="", "", IFERROR(VLOOKUP($A237, Stock_New!$A:$M, 6, FALSE), ""))</f>
        <v>78</v>
      </c>
      <c r="F237" s="54">
        <v>95.0</v>
      </c>
      <c r="G237" s="227">
        <v>0.0</v>
      </c>
      <c r="H237" s="17">
        <v>95.0</v>
      </c>
      <c r="I237" s="212">
        <v>45989.0</v>
      </c>
      <c r="J237" s="5" t="s">
        <v>72</v>
      </c>
      <c r="K237" s="5" t="s">
        <v>2073</v>
      </c>
      <c r="L237" s="16"/>
      <c r="M237" s="16"/>
      <c r="N237" s="16"/>
      <c r="O237" s="16"/>
      <c r="P237" s="16"/>
    </row>
    <row r="238" ht="22.5" customHeight="1">
      <c r="A238" s="35" t="s">
        <v>449</v>
      </c>
      <c r="B238" s="16" t="str">
        <f>IF(A238="","",IFERROR(VLOOKUP(A238, Stock_New!A:M, 2, FALSE),""))</f>
        <v>خزف</v>
      </c>
      <c r="C238" s="230">
        <v>1.0</v>
      </c>
      <c r="D238" s="16" t="str">
        <f>IF(A238="","",IFERROR(VLOOKUP(A238, Stock_New!A:M, 3, FALSE),""))</f>
        <v>ذكريا</v>
      </c>
      <c r="E238" s="16">
        <f>IF($A238="", "", IFERROR(VLOOKUP($A238, Stock_New!$A:$M, 6, FALSE), ""))</f>
        <v>162</v>
      </c>
      <c r="F238" s="232">
        <v>225.0</v>
      </c>
      <c r="G238" s="227">
        <v>0.0</v>
      </c>
      <c r="H238" s="17">
        <v>225.0</v>
      </c>
      <c r="I238" s="213">
        <v>45989.0</v>
      </c>
      <c r="J238" s="5" t="s">
        <v>72</v>
      </c>
      <c r="K238" s="5" t="s">
        <v>2074</v>
      </c>
      <c r="L238" s="16"/>
      <c r="M238" s="16"/>
      <c r="N238" s="16"/>
      <c r="O238" s="16"/>
      <c r="P238" s="16"/>
    </row>
    <row r="239" ht="22.5" customHeight="1">
      <c r="A239" s="53" t="s">
        <v>206</v>
      </c>
      <c r="B239" s="16" t="str">
        <f>IF(A239="","",IFERROR(VLOOKUP(A239, Stock_New!A:M, 2, FALSE),""))</f>
        <v>سيلفرات</v>
      </c>
      <c r="C239" s="231">
        <v>1.0</v>
      </c>
      <c r="D239" s="16" t="str">
        <f>IF(A239="","",IFERROR(VLOOKUP(A239, Stock_New!A:M, 3, FALSE),""))</f>
        <v>ذكريا</v>
      </c>
      <c r="E239" s="16">
        <f>IF($A239="", "", IFERROR(VLOOKUP($A239, Stock_New!$A:$M, 6, FALSE), ""))</f>
        <v>186</v>
      </c>
      <c r="F239" s="59">
        <v>190.0</v>
      </c>
      <c r="G239" s="227">
        <v>0.0</v>
      </c>
      <c r="H239" s="17">
        <v>190.0</v>
      </c>
      <c r="I239" s="212">
        <v>45989.0</v>
      </c>
      <c r="J239" s="5" t="s">
        <v>72</v>
      </c>
      <c r="K239" s="5" t="s">
        <v>2075</v>
      </c>
      <c r="L239" s="16"/>
      <c r="M239" s="16"/>
      <c r="N239" s="16"/>
      <c r="O239" s="16"/>
      <c r="P239" s="16"/>
    </row>
    <row r="240" ht="22.5" customHeight="1">
      <c r="A240" s="35" t="s">
        <v>214</v>
      </c>
      <c r="B240" s="16" t="str">
        <f>IF(A240="","",IFERROR(VLOOKUP(A240, Stock_New!A:M, 2, FALSE),""))</f>
        <v>سيلفرات</v>
      </c>
      <c r="C240" s="230">
        <v>1.0</v>
      </c>
      <c r="D240" s="16" t="str">
        <f>IF(A240="","",IFERROR(VLOOKUP(A240, Stock_New!A:M, 3, FALSE),""))</f>
        <v>ذكريا</v>
      </c>
      <c r="E240" s="16">
        <f>IF($A240="", "", IFERROR(VLOOKUP($A240, Stock_New!$A:$M, 6, FALSE), ""))</f>
        <v>246</v>
      </c>
      <c r="F240" s="232">
        <v>250.0</v>
      </c>
      <c r="G240" s="227">
        <v>0.0</v>
      </c>
      <c r="H240" s="17">
        <v>250.0</v>
      </c>
      <c r="I240" s="213">
        <v>45989.0</v>
      </c>
      <c r="J240" s="5" t="s">
        <v>72</v>
      </c>
      <c r="K240" s="5" t="s">
        <v>2076</v>
      </c>
      <c r="L240" s="16"/>
      <c r="M240" s="16"/>
      <c r="N240" s="16"/>
      <c r="O240" s="16"/>
      <c r="P240" s="16"/>
    </row>
    <row r="241" ht="22.5" customHeight="1">
      <c r="A241" s="53" t="s">
        <v>101</v>
      </c>
      <c r="B241" s="16" t="str">
        <f>IF(A241="","",IFERROR(VLOOKUP(A241, Stock_New!A:M, 2, FALSE),""))</f>
        <v>سيلفرات</v>
      </c>
      <c r="C241" s="231">
        <v>1.0</v>
      </c>
      <c r="D241" s="16" t="str">
        <f>IF(A241="","",IFERROR(VLOOKUP(A241, Stock_New!A:M, 3, FALSE),""))</f>
        <v>ذكريا</v>
      </c>
      <c r="E241" s="16">
        <f>IF($A241="", "", IFERROR(VLOOKUP($A241, Stock_New!$A:$M, 6, FALSE), ""))</f>
        <v>210</v>
      </c>
      <c r="F241" s="59">
        <v>175.0</v>
      </c>
      <c r="G241" s="227">
        <v>0.0</v>
      </c>
      <c r="H241" s="16">
        <f>(1-Sales_New!$G241)*Sales_New!$F241*Sales_New!$C241</f>
        <v>175</v>
      </c>
      <c r="I241" s="212">
        <v>45989.0</v>
      </c>
      <c r="J241" s="5" t="s">
        <v>1612</v>
      </c>
      <c r="K241" s="16"/>
      <c r="L241" s="16"/>
      <c r="M241" s="16"/>
      <c r="N241" s="16"/>
      <c r="O241" s="16"/>
      <c r="P241" s="16"/>
    </row>
    <row r="242" ht="22.5" customHeight="1">
      <c r="A242" s="66"/>
      <c r="B242" s="16" t="str">
        <f>IF(A242="","",IFERROR(VLOOKUP(A242, Stock_New!A:M, 2, FALSE),""))</f>
        <v/>
      </c>
      <c r="C242" s="229"/>
      <c r="D242" s="16" t="str">
        <f>IF(A242="","",IFERROR(VLOOKUP(A242, Stock_New!A:M, 3, FALSE),""))</f>
        <v/>
      </c>
      <c r="E242" s="16" t="str">
        <f>IF($A242="", "", IFERROR(VLOOKUP($A242, Stock_New!$A:$M, 6, FALSE), ""))</f>
        <v/>
      </c>
      <c r="F242" s="67"/>
      <c r="G242" s="227">
        <v>0.0</v>
      </c>
      <c r="H242" s="16">
        <f>(1-Sales_New!$G242)*Sales_New!$F242*Sales_New!$C242</f>
        <v>0</v>
      </c>
      <c r="I242" s="39"/>
      <c r="J242" s="5" t="s">
        <v>782</v>
      </c>
      <c r="K242" s="16"/>
      <c r="L242" s="16"/>
      <c r="M242" s="16"/>
      <c r="N242" s="16"/>
      <c r="O242" s="16"/>
      <c r="P242" s="16"/>
    </row>
    <row r="243" ht="22.5" customHeight="1">
      <c r="A243" s="53" t="s">
        <v>70</v>
      </c>
      <c r="B243" s="16" t="str">
        <f>IF(A243="","",IFERROR(VLOOKUP(A243, Stock_New!A:M, 2, FALSE),""))</f>
        <v>مطبخ</v>
      </c>
      <c r="C243" s="210">
        <v>1.0</v>
      </c>
      <c r="D243" s="16" t="str">
        <f>IF(A243="","",IFERROR(VLOOKUP(A243, Stock_New!A:M, 3, FALSE),""))</f>
        <v>ذكريا</v>
      </c>
      <c r="E243" s="16">
        <f>IF($A243="", "", IFERROR(VLOOKUP($A243, Stock_New!$A:$M, 6, FALSE), ""))</f>
        <v>90</v>
      </c>
      <c r="F243" s="54">
        <v>95.0</v>
      </c>
      <c r="G243" s="227">
        <v>0.0</v>
      </c>
      <c r="H243" s="16">
        <f>(1-Sales_New!$G243)*Sales_New!$F243*Sales_New!$C243</f>
        <v>95</v>
      </c>
      <c r="I243" s="212">
        <v>45992.0</v>
      </c>
      <c r="J243" s="5" t="s">
        <v>1612</v>
      </c>
      <c r="K243" s="16"/>
      <c r="L243" s="16"/>
      <c r="M243" s="16"/>
      <c r="N243" s="16"/>
      <c r="O243" s="16"/>
      <c r="P243" s="16"/>
    </row>
    <row r="244" ht="22.5" customHeight="1">
      <c r="A244" s="35" t="s">
        <v>487</v>
      </c>
      <c r="B244" s="16" t="str">
        <f>IF(A244="","",IFERROR(VLOOKUP(A244, Stock_New!A:M, 2, FALSE),""))</f>
        <v>سيلفرات</v>
      </c>
      <c r="C244" s="209">
        <v>1.0</v>
      </c>
      <c r="D244" s="16" t="str">
        <f>IF(A244="","",IFERROR(VLOOKUP(A244, Stock_New!A:M, 3, FALSE),""))</f>
        <v>شركة الهضبة</v>
      </c>
      <c r="E244" s="16">
        <f>IF($A244="", "", IFERROR(VLOOKUP($A244, Stock_New!$A:$M, 6, FALSE), ""))</f>
        <v>114</v>
      </c>
      <c r="F244" s="58">
        <v>120.0</v>
      </c>
      <c r="G244" s="227">
        <v>0.0</v>
      </c>
      <c r="H244" s="17">
        <v>120.0</v>
      </c>
      <c r="I244" s="213">
        <v>45992.0</v>
      </c>
      <c r="J244" s="5" t="s">
        <v>72</v>
      </c>
      <c r="K244" s="5" t="s">
        <v>2077</v>
      </c>
      <c r="L244" s="16"/>
      <c r="M244" s="16"/>
      <c r="N244" s="16"/>
      <c r="O244" s="16"/>
      <c r="P244" s="16"/>
    </row>
    <row r="245" ht="22.5" customHeight="1">
      <c r="A245" s="60"/>
      <c r="B245" s="16" t="str">
        <f>IF(A245="","",IFERROR(VLOOKUP(A245, Stock_New!A:M, 2, FALSE),""))</f>
        <v/>
      </c>
      <c r="C245" s="222"/>
      <c r="D245" s="16" t="str">
        <f>IF(A245="","",IFERROR(VLOOKUP(A245, Stock_New!A:M, 3, FALSE),""))</f>
        <v/>
      </c>
      <c r="E245" s="16" t="str">
        <f>IF($A245="", "", IFERROR(VLOOKUP($A245, Stock_New!$A:$M, 6, FALSE), ""))</f>
        <v/>
      </c>
      <c r="F245" s="61"/>
      <c r="G245" s="62"/>
      <c r="H245" s="16">
        <f>(1-Sales_New!$G245)*Sales_New!$F245*Sales_New!$C245</f>
        <v>0</v>
      </c>
      <c r="I245" s="64"/>
      <c r="J245" s="5" t="s">
        <v>782</v>
      </c>
      <c r="K245" s="16"/>
      <c r="L245" s="16"/>
      <c r="M245" s="16"/>
      <c r="N245" s="16"/>
      <c r="O245" s="16"/>
      <c r="P245" s="16"/>
    </row>
    <row r="246" ht="22.5" customHeight="1">
      <c r="A246" s="35" t="s">
        <v>172</v>
      </c>
      <c r="B246" s="16" t="str">
        <f>IF(A246="","",IFERROR(VLOOKUP(A246, Stock_New!A:M, 2, FALSE),""))</f>
        <v>بوكيه</v>
      </c>
      <c r="C246" s="209">
        <v>3.0</v>
      </c>
      <c r="D246" s="16" t="str">
        <f>IF(A246="","",IFERROR(VLOOKUP(A246, Stock_New!A:M, 3, FALSE),""))</f>
        <v>ذكريا</v>
      </c>
      <c r="E246" s="16">
        <f>IF($A246="", "", IFERROR(VLOOKUP($A246, Stock_New!$A:$M, 6, FALSE), ""))</f>
        <v>33.84</v>
      </c>
      <c r="F246" s="58">
        <v>40.0</v>
      </c>
      <c r="G246" s="68"/>
      <c r="H246" s="17">
        <v>120.0</v>
      </c>
      <c r="I246" s="213">
        <v>45992.0</v>
      </c>
      <c r="J246" s="5" t="s">
        <v>72</v>
      </c>
      <c r="K246" s="5" t="s">
        <v>2078</v>
      </c>
      <c r="L246" s="16"/>
      <c r="M246" s="16"/>
      <c r="N246" s="16"/>
      <c r="O246" s="16"/>
      <c r="P246" s="16"/>
    </row>
    <row r="247" ht="22.5" customHeight="1">
      <c r="A247" s="233"/>
      <c r="B247" s="16" t="str">
        <f>IF(A247="","",IFERROR(VLOOKUP(A247, Stock_New!A:M, 2, FALSE),""))</f>
        <v/>
      </c>
      <c r="C247" s="234"/>
      <c r="D247" s="16" t="str">
        <f>IF(A247="","",IFERROR(VLOOKUP(A247, Stock_New!A:M, 3, FALSE),""))</f>
        <v/>
      </c>
      <c r="E247" s="16" t="str">
        <f>IF($A247="", "", IFERROR(VLOOKUP($A247, Stock_New!$A:$M, 6, FALSE), ""))</f>
        <v/>
      </c>
      <c r="F247" s="61"/>
      <c r="G247" s="62"/>
      <c r="H247" s="16">
        <f>(1-Sales_New!$G247)*Sales_New!$F247*Sales_New!$C247</f>
        <v>0</v>
      </c>
      <c r="I247" s="235"/>
      <c r="J247" s="5" t="s">
        <v>782</v>
      </c>
      <c r="K247" s="16"/>
      <c r="L247" s="16"/>
      <c r="M247" s="16"/>
      <c r="N247" s="16"/>
      <c r="O247" s="16"/>
      <c r="P247" s="16"/>
    </row>
    <row r="248" ht="22.5" customHeight="1">
      <c r="A248" s="138" t="s">
        <v>416</v>
      </c>
      <c r="B248" s="16" t="str">
        <f>IF(A248="","",IFERROR(VLOOKUP(A248, Stock_New!A:M, 2, FALSE),""))</f>
        <v>ورد لوحده</v>
      </c>
      <c r="C248" s="236">
        <v>4.0</v>
      </c>
      <c r="D248" s="16" t="str">
        <f>IF(A248="","",IFERROR(VLOOKUP(A248, Stock_New!A:M, 3, FALSE),""))</f>
        <v>ذكريا</v>
      </c>
      <c r="E248" s="16">
        <f>IF($A248="", "", IFERROR(VLOOKUP($A248, Stock_New!$A:$M, 6, FALSE), ""))</f>
        <v>36</v>
      </c>
      <c r="F248" s="237">
        <v>30.0</v>
      </c>
      <c r="G248" s="68"/>
      <c r="H248" s="17">
        <v>120.0</v>
      </c>
      <c r="I248" s="238">
        <v>45998.0</v>
      </c>
      <c r="J248" s="5" t="s">
        <v>72</v>
      </c>
      <c r="K248" s="5" t="s">
        <v>2085</v>
      </c>
      <c r="L248" s="16"/>
      <c r="M248" s="16"/>
      <c r="N248" s="16"/>
      <c r="O248" s="16"/>
      <c r="P248" s="16"/>
    </row>
    <row r="249" ht="22.5" customHeight="1">
      <c r="A249" s="138" t="s">
        <v>255</v>
      </c>
      <c r="B249" s="16" t="str">
        <f>IF(A249="","",IFERROR(VLOOKUP(A249, Stock_New!A:M, 2, FALSE),""))</f>
        <v>بوتات</v>
      </c>
      <c r="C249" s="236">
        <v>3.0</v>
      </c>
      <c r="D249" s="16" t="str">
        <f>IF(A249="","",IFERROR(VLOOKUP(A249, Stock_New!A:M, 3, FALSE),""))</f>
        <v>manufactured</v>
      </c>
      <c r="E249" s="16">
        <f>IF($A249="", "", IFERROR(VLOOKUP($A249, Stock_New!$A:$M, 6, FALSE), ""))</f>
        <v>27.3</v>
      </c>
      <c r="F249" s="239">
        <v>35.0</v>
      </c>
      <c r="G249" s="240"/>
      <c r="H249" s="17">
        <v>105.0</v>
      </c>
      <c r="I249" s="238">
        <v>45998.0</v>
      </c>
      <c r="J249" s="5" t="s">
        <v>72</v>
      </c>
      <c r="K249" s="5" t="s">
        <v>2086</v>
      </c>
      <c r="L249" s="16"/>
      <c r="M249" s="16"/>
      <c r="N249" s="16"/>
      <c r="O249" s="16"/>
      <c r="P249" s="16"/>
    </row>
    <row r="250" ht="22.5" customHeight="1">
      <c r="A250" s="138" t="s">
        <v>518</v>
      </c>
      <c r="B250" s="16" t="str">
        <f>IF(A250="","",IFERROR(VLOOKUP(A250, Stock_New!A:M, 2, FALSE),""))</f>
        <v>ورد لوحدة</v>
      </c>
      <c r="C250" s="236">
        <v>1.0</v>
      </c>
      <c r="D250" s="16" t="str">
        <f>IF(A250="","",IFERROR(VLOOKUP(A250, Stock_New!A:M, 3, FALSE),""))</f>
        <v>شركة الفرسان</v>
      </c>
      <c r="E250" s="16">
        <f>IF($A250="", "", IFERROR(VLOOKUP($A250, Stock_New!$A:$M, 6, FALSE), ""))</f>
        <v>90</v>
      </c>
      <c r="F250" s="239">
        <v>75.0</v>
      </c>
      <c r="G250" s="240"/>
      <c r="H250" s="17">
        <v>75.0</v>
      </c>
      <c r="I250" s="238">
        <v>45998.0</v>
      </c>
      <c r="J250" s="5" t="s">
        <v>72</v>
      </c>
      <c r="K250" s="5" t="s">
        <v>2087</v>
      </c>
      <c r="L250" s="16"/>
      <c r="M250" s="16"/>
      <c r="N250" s="16"/>
      <c r="O250" s="16"/>
      <c r="P250" s="16"/>
    </row>
    <row r="251" ht="22.5" customHeight="1">
      <c r="A251" s="233"/>
      <c r="B251" s="16" t="str">
        <f>IF(A251="","",IFERROR(VLOOKUP(A251, Stock_New!A:M, 2, FALSE),""))</f>
        <v/>
      </c>
      <c r="C251" s="234"/>
      <c r="D251" s="16" t="str">
        <f>IF(A251="","",IFERROR(VLOOKUP(A251, Stock_New!A:M, 3, FALSE),""))</f>
        <v/>
      </c>
      <c r="E251" s="16" t="str">
        <f>IF($A251="", "", IFERROR(VLOOKUP($A251, Stock_New!$A:$M, 6, FALSE), ""))</f>
        <v/>
      </c>
      <c r="F251" s="167"/>
      <c r="G251" s="240"/>
      <c r="H251" s="16">
        <f>(1-Sales_New!$G251)*Sales_New!$F251*Sales_New!$C251</f>
        <v>0</v>
      </c>
      <c r="I251" s="235"/>
      <c r="J251" s="5" t="s">
        <v>782</v>
      </c>
      <c r="K251" s="16"/>
      <c r="L251" s="16"/>
      <c r="M251" s="16"/>
      <c r="N251" s="16"/>
      <c r="O251" s="16"/>
      <c r="P251" s="16"/>
    </row>
    <row r="252" ht="22.5" customHeight="1">
      <c r="A252" s="53" t="s">
        <v>212</v>
      </c>
      <c r="B252" s="16" t="str">
        <f>IF(A252="","",IFERROR(VLOOKUP(A252, Stock_New!A:M, 2, FALSE),""))</f>
        <v>شجر</v>
      </c>
      <c r="C252" s="236">
        <v>1.0</v>
      </c>
      <c r="D252" s="16" t="str">
        <f>IF(A252="","",IFERROR(VLOOKUP(A252, Stock_New!A:M, 3, FALSE),""))</f>
        <v>ذكريا</v>
      </c>
      <c r="E252" s="16">
        <f>IF($A252="", "", IFERROR(VLOOKUP($A252, Stock_New!$A:$M, 6, FALSE), ""))</f>
        <v>390</v>
      </c>
      <c r="F252" s="59">
        <v>390.0</v>
      </c>
      <c r="G252" s="240">
        <f t="shared" ref="G252:G254" si="10">5/100</f>
        <v>0.05</v>
      </c>
      <c r="H252" s="17">
        <v>390.0</v>
      </c>
      <c r="I252" s="238">
        <v>45999.0</v>
      </c>
      <c r="J252" s="5" t="s">
        <v>72</v>
      </c>
      <c r="K252" s="5" t="s">
        <v>2090</v>
      </c>
      <c r="L252" s="16"/>
      <c r="M252" s="19" t="s">
        <v>3329</v>
      </c>
      <c r="N252" s="16">
        <f>sum(H252:H258)-1385</f>
        <v>209.9</v>
      </c>
      <c r="O252" s="16"/>
      <c r="P252" s="16"/>
    </row>
    <row r="253" ht="22.5" customHeight="1">
      <c r="A253" s="118" t="s">
        <v>83</v>
      </c>
      <c r="B253" s="16" t="str">
        <f>IF(A253="","",IFERROR(VLOOKUP(A253, Stock_New!A:M, 2, FALSE),""))</f>
        <v>شجر</v>
      </c>
      <c r="C253" s="236">
        <v>1.0</v>
      </c>
      <c r="D253" s="16" t="str">
        <f>IF(A253="","",IFERROR(VLOOKUP(A253, Stock_New!A:M, 3, FALSE),""))</f>
        <v>ذكريا</v>
      </c>
      <c r="E253" s="16">
        <f>IF($A253="", "", IFERROR(VLOOKUP($A253, Stock_New!$A:$M, 6, FALSE), ""))</f>
        <v>210</v>
      </c>
      <c r="F253" s="232">
        <v>270.0</v>
      </c>
      <c r="G253" s="240">
        <f t="shared" si="10"/>
        <v>0.05</v>
      </c>
      <c r="H253" s="5">
        <v>245.0</v>
      </c>
      <c r="I253" s="238">
        <v>45999.0</v>
      </c>
      <c r="J253" s="5" t="s">
        <v>72</v>
      </c>
      <c r="K253" s="5" t="s">
        <v>2102</v>
      </c>
      <c r="L253" s="16"/>
      <c r="M253" s="19" t="s">
        <v>3329</v>
      </c>
      <c r="N253" s="16">
        <f>sum(H252:H258)-1385</f>
        <v>209.9</v>
      </c>
      <c r="O253" s="16"/>
      <c r="P253" s="16"/>
    </row>
    <row r="254" ht="22.5" customHeight="1">
      <c r="A254" s="53" t="s">
        <v>165</v>
      </c>
      <c r="B254" s="16" t="str">
        <f>IF(A254="","",IFERROR(VLOOKUP(A254, Stock_New!A:M, 2, FALSE),""))</f>
        <v>بوتات</v>
      </c>
      <c r="C254" s="236">
        <v>2.0</v>
      </c>
      <c r="D254" s="16" t="str">
        <f>IF(A254="","",IFERROR(VLOOKUP(A254, Stock_New!A:M, 3, FALSE),""))</f>
        <v>ذكريا</v>
      </c>
      <c r="E254" s="16">
        <f>IF($A254="", "", IFERROR(VLOOKUP($A254, Stock_New!$A:$M, 6, FALSE), ""))</f>
        <v>106.88</v>
      </c>
      <c r="F254" s="59">
        <v>105.0</v>
      </c>
      <c r="G254" s="240">
        <f t="shared" si="10"/>
        <v>0.05</v>
      </c>
      <c r="H254" s="17">
        <v>209.9</v>
      </c>
      <c r="I254" s="238">
        <v>45999.0</v>
      </c>
      <c r="J254" s="5" t="s">
        <v>72</v>
      </c>
      <c r="K254" s="5" t="s">
        <v>2094</v>
      </c>
      <c r="L254" s="16"/>
      <c r="M254" s="19" t="s">
        <v>3329</v>
      </c>
      <c r="N254" s="16">
        <f>sum(H252:H258)-1385</f>
        <v>209.9</v>
      </c>
      <c r="O254" s="16"/>
      <c r="P254" s="16"/>
    </row>
    <row r="255" ht="22.5" customHeight="1">
      <c r="A255" s="118" t="s">
        <v>464</v>
      </c>
      <c r="B255" s="16" t="str">
        <f>IF(A255="","",IFERROR(VLOOKUP(A255, Stock_New!A:M, 2, FALSE),""))</f>
        <v>بوكيه</v>
      </c>
      <c r="C255" s="236">
        <v>3.0</v>
      </c>
      <c r="D255" s="16" t="str">
        <f>IF(A255="","",IFERROR(VLOOKUP(A255, Stock_New!A:M, 3, FALSE),""))</f>
        <v>ذكريا</v>
      </c>
      <c r="E255" s="16">
        <f>IF($A255="", "", IFERROR(VLOOKUP($A255, Stock_New!$A:$M, 6, FALSE), ""))</f>
        <v>162</v>
      </c>
      <c r="F255" s="232">
        <v>150.0</v>
      </c>
      <c r="G255" s="241">
        <v>0.0</v>
      </c>
      <c r="H255" s="17">
        <v>450.0</v>
      </c>
      <c r="I255" s="238">
        <v>45999.0</v>
      </c>
      <c r="J255" s="5" t="s">
        <v>72</v>
      </c>
      <c r="K255" s="5" t="s">
        <v>2097</v>
      </c>
      <c r="L255" s="16"/>
      <c r="M255" s="19" t="s">
        <v>3329</v>
      </c>
      <c r="N255" s="16">
        <f>sum(H252:H258)-1385</f>
        <v>209.9</v>
      </c>
      <c r="O255" s="16"/>
      <c r="P255" s="16"/>
    </row>
    <row r="256" ht="22.5" customHeight="1">
      <c r="A256" s="53" t="s">
        <v>255</v>
      </c>
      <c r="B256" s="16" t="str">
        <f>IF(A256="","",IFERROR(VLOOKUP(A256, Stock_New!A:M, 2, FALSE),""))</f>
        <v>بوتات</v>
      </c>
      <c r="C256" s="236">
        <v>1.0</v>
      </c>
      <c r="D256" s="16" t="str">
        <f>IF(A256="","",IFERROR(VLOOKUP(A256, Stock_New!A:M, 3, FALSE),""))</f>
        <v>manufactured</v>
      </c>
      <c r="E256" s="16">
        <f>IF($A256="", "", IFERROR(VLOOKUP($A256, Stock_New!$A:$M, 6, FALSE), ""))</f>
        <v>27.3</v>
      </c>
      <c r="F256" s="59">
        <v>50.0</v>
      </c>
      <c r="G256" s="241">
        <v>0.0</v>
      </c>
      <c r="H256" s="17">
        <v>50.0</v>
      </c>
      <c r="I256" s="238">
        <v>45999.0</v>
      </c>
      <c r="J256" s="5" t="s">
        <v>72</v>
      </c>
      <c r="K256" s="5" t="s">
        <v>2095</v>
      </c>
      <c r="L256" s="16"/>
      <c r="M256" s="19" t="s">
        <v>3329</v>
      </c>
      <c r="N256" s="16">
        <f>sum(H252:H258)-1385</f>
        <v>209.9</v>
      </c>
      <c r="O256" s="16"/>
      <c r="P256" s="16"/>
    </row>
    <row r="257" ht="22.5" customHeight="1">
      <c r="A257" s="35" t="s">
        <v>392</v>
      </c>
      <c r="B257" s="16" t="str">
        <f>IF(A257="","",IFERROR(VLOOKUP(A257, Stock_New!A:M, 2, FALSE),""))</f>
        <v>شجر</v>
      </c>
      <c r="C257" s="236">
        <v>2.0</v>
      </c>
      <c r="D257" s="16" t="str">
        <f>IF(A257="","",IFERROR(VLOOKUP(A257, Stock_New!A:M, 3, FALSE),""))</f>
        <v>ذكريا</v>
      </c>
      <c r="E257" s="16">
        <f>IF($A257="", "", IFERROR(VLOOKUP($A257, Stock_New!$A:$M, 6, FALSE), ""))</f>
        <v>78</v>
      </c>
      <c r="F257" s="232">
        <v>95.0</v>
      </c>
      <c r="G257" s="241">
        <v>0.0</v>
      </c>
      <c r="H257" s="17">
        <v>190.0</v>
      </c>
      <c r="I257" s="238">
        <v>45999.0</v>
      </c>
      <c r="J257" s="5" t="s">
        <v>72</v>
      </c>
      <c r="K257" s="5" t="s">
        <v>2096</v>
      </c>
      <c r="L257" s="16"/>
      <c r="M257" s="19" t="s">
        <v>3329</v>
      </c>
      <c r="N257" s="16">
        <f>sum(H252:H258)-1385</f>
        <v>209.9</v>
      </c>
      <c r="O257" s="16"/>
      <c r="P257" s="16"/>
    </row>
    <row r="258" ht="22.5" customHeight="1">
      <c r="A258" s="53" t="s">
        <v>515</v>
      </c>
      <c r="B258" s="16" t="str">
        <f>IF(A258="","",IFERROR(VLOOKUP(A258, Stock_New!A:M, 2, FALSE),""))</f>
        <v>ورد لوحده</v>
      </c>
      <c r="C258" s="236">
        <v>1.0</v>
      </c>
      <c r="D258" s="16" t="str">
        <f>IF(A258="","",IFERROR(VLOOKUP(A258, Stock_New!A:M, 3, FALSE),""))</f>
        <v>ذكريا</v>
      </c>
      <c r="E258" s="16">
        <f>IF($A258="", "", IFERROR(VLOOKUP($A258, Stock_New!$A:$M, 6, FALSE), ""))</f>
        <v>60</v>
      </c>
      <c r="F258" s="59">
        <v>60.0</v>
      </c>
      <c r="G258" s="241">
        <v>0.0</v>
      </c>
      <c r="H258" s="17">
        <v>60.0</v>
      </c>
      <c r="I258" s="238">
        <v>45881.0</v>
      </c>
      <c r="J258" s="5" t="s">
        <v>72</v>
      </c>
      <c r="K258" s="5" t="s">
        <v>2098</v>
      </c>
      <c r="L258" s="16"/>
      <c r="M258" s="16"/>
      <c r="N258" s="16"/>
      <c r="O258" s="15"/>
      <c r="P258" s="16"/>
    </row>
    <row r="259" ht="22.5" customHeight="1">
      <c r="A259" s="242"/>
      <c r="B259" s="16" t="str">
        <f>IF(A259="","",IFERROR(VLOOKUP(A259, Stock_New!A:M, 2, FALSE),""))</f>
        <v/>
      </c>
      <c r="C259" s="236"/>
      <c r="D259" s="16" t="str">
        <f>IF(A259="","",IFERROR(VLOOKUP(A259, Stock_New!A:M, 3, FALSE),""))</f>
        <v/>
      </c>
      <c r="E259" s="16" t="str">
        <f>IF($A259="", "", IFERROR(VLOOKUP($A259, Stock_New!$A:$M, 6, FALSE), ""))</f>
        <v/>
      </c>
      <c r="F259" s="243"/>
      <c r="G259" s="241">
        <v>0.0</v>
      </c>
      <c r="H259" s="17"/>
      <c r="I259" s="238"/>
      <c r="J259" s="5" t="s">
        <v>782</v>
      </c>
      <c r="K259" s="5"/>
      <c r="L259" s="16"/>
      <c r="M259" s="16"/>
      <c r="N259" s="16"/>
      <c r="O259" s="15"/>
      <c r="P259" s="16"/>
    </row>
    <row r="260" ht="22.5" customHeight="1">
      <c r="A260" s="138" t="s">
        <v>530</v>
      </c>
      <c r="B260" s="16" t="str">
        <f>IF(A260="","",IFERROR(VLOOKUP(A260, Stock_New!A:M, 2, FALSE),""))</f>
        <v>كهربائيات</v>
      </c>
      <c r="C260" s="236">
        <v>1.0</v>
      </c>
      <c r="D260" s="16" t="str">
        <f>IF(A260="","",IFERROR(VLOOKUP(A260, Stock_New!A:M, 3, FALSE),""))</f>
        <v>سنتر محمد رشدي</v>
      </c>
      <c r="E260" s="16">
        <f>IF($A260="", "", IFERROR(VLOOKUP($A260, Stock_New!$A:$M, 6, FALSE), ""))</f>
        <v>201</v>
      </c>
      <c r="F260" s="239">
        <v>195.0</v>
      </c>
      <c r="G260" s="241">
        <v>0.0</v>
      </c>
      <c r="H260" s="17">
        <v>195.0</v>
      </c>
      <c r="I260" s="238">
        <v>46005.0</v>
      </c>
      <c r="J260" s="5" t="s">
        <v>72</v>
      </c>
      <c r="K260" s="5" t="s">
        <v>2111</v>
      </c>
      <c r="L260" s="19"/>
      <c r="M260" s="19" t="s">
        <v>3395</v>
      </c>
      <c r="N260" s="6">
        <v>1575.0</v>
      </c>
      <c r="O260" s="19" t="s">
        <v>3397</v>
      </c>
      <c r="P260" s="244"/>
    </row>
    <row r="261" ht="22.5" customHeight="1">
      <c r="A261" s="138" t="s">
        <v>268</v>
      </c>
      <c r="B261" s="16" t="str">
        <f>IF(A261="","",IFERROR(VLOOKUP(A261, Stock_New!A:M, 2, FALSE),""))</f>
        <v>سيلفرات</v>
      </c>
      <c r="C261" s="236">
        <v>1.0</v>
      </c>
      <c r="D261" s="16" t="str">
        <f>IF(A261="","",IFERROR(VLOOKUP(A261, Stock_New!A:M, 3, FALSE),""))</f>
        <v>شركة حسين علي</v>
      </c>
      <c r="E261" s="16">
        <f>IF($A261="", "", IFERROR(VLOOKUP($A261, Stock_New!$A:$M, 6, FALSE), ""))</f>
        <v>214.5</v>
      </c>
      <c r="F261" s="239">
        <v>200.0</v>
      </c>
      <c r="G261" s="241">
        <v>0.0</v>
      </c>
      <c r="H261" s="17">
        <v>200.0</v>
      </c>
      <c r="I261" s="238">
        <v>46005.0</v>
      </c>
      <c r="J261" s="6" t="s">
        <v>72</v>
      </c>
      <c r="K261" s="6" t="s">
        <v>2114</v>
      </c>
      <c r="L261" s="15"/>
      <c r="M261" s="19" t="s">
        <v>3395</v>
      </c>
      <c r="N261" s="6">
        <v>1575.0</v>
      </c>
      <c r="O261" s="19" t="s">
        <v>3397</v>
      </c>
      <c r="P261" s="244"/>
    </row>
    <row r="262" ht="22.5" customHeight="1">
      <c r="A262" s="138" t="s">
        <v>518</v>
      </c>
      <c r="B262" s="16" t="str">
        <f>IF(A262="","",IFERROR(VLOOKUP(A262, Stock_New!A:M, 2, FALSE),""))</f>
        <v>ورد لوحدة</v>
      </c>
      <c r="C262" s="236">
        <v>2.0</v>
      </c>
      <c r="D262" s="16" t="str">
        <f>IF(A262="","",IFERROR(VLOOKUP(A262, Stock_New!A:M, 3, FALSE),""))</f>
        <v>شركة الفرسان</v>
      </c>
      <c r="E262" s="16">
        <f>IF($A262="", "", IFERROR(VLOOKUP($A262, Stock_New!$A:$M, 6, FALSE), ""))</f>
        <v>90</v>
      </c>
      <c r="F262" s="239">
        <v>90.0</v>
      </c>
      <c r="G262" s="241">
        <v>0.0</v>
      </c>
      <c r="H262" s="17">
        <v>180.0</v>
      </c>
      <c r="I262" s="238">
        <v>46005.0</v>
      </c>
      <c r="J262" s="6" t="s">
        <v>72</v>
      </c>
      <c r="K262" s="6" t="s">
        <v>2115</v>
      </c>
      <c r="L262" s="15"/>
      <c r="M262" s="19" t="s">
        <v>3395</v>
      </c>
      <c r="N262" s="6">
        <v>1575.0</v>
      </c>
      <c r="O262" s="19" t="s">
        <v>3397</v>
      </c>
      <c r="P262" s="244"/>
    </row>
    <row r="263" ht="22.5" customHeight="1">
      <c r="A263" s="138" t="s">
        <v>255</v>
      </c>
      <c r="B263" s="16" t="str">
        <f>IF(A263="","",IFERROR(VLOOKUP(A263, Stock_New!A:M, 2, FALSE),""))</f>
        <v>بوتات</v>
      </c>
      <c r="C263" s="236">
        <v>1.0</v>
      </c>
      <c r="D263" s="16" t="str">
        <f>IF(A263="","",IFERROR(VLOOKUP(A263, Stock_New!A:M, 3, FALSE),""))</f>
        <v>manufactured</v>
      </c>
      <c r="E263" s="16">
        <f>IF($A263="", "", IFERROR(VLOOKUP($A263, Stock_New!$A:$M, 6, FALSE), ""))</f>
        <v>27.3</v>
      </c>
      <c r="F263" s="239">
        <v>50.0</v>
      </c>
      <c r="G263" s="241">
        <v>0.0</v>
      </c>
      <c r="H263" s="17">
        <v>50.0</v>
      </c>
      <c r="I263" s="238">
        <v>46005.0</v>
      </c>
      <c r="J263" s="6" t="s">
        <v>72</v>
      </c>
      <c r="K263" s="6" t="s">
        <v>2116</v>
      </c>
      <c r="L263" s="15"/>
      <c r="M263" s="19" t="s">
        <v>3395</v>
      </c>
      <c r="N263" s="6">
        <v>1575.0</v>
      </c>
      <c r="O263" s="19" t="s">
        <v>3397</v>
      </c>
      <c r="P263" s="244"/>
      <c r="Y263" s="245"/>
      <c r="Z263" s="246"/>
      <c r="AA263" s="247" t="s">
        <v>3420</v>
      </c>
      <c r="AB263" s="247" t="s">
        <v>3421</v>
      </c>
      <c r="AC263" s="245">
        <v>0.0</v>
      </c>
      <c r="AD263" s="247" t="s">
        <v>3422</v>
      </c>
    </row>
    <row r="264" ht="22.5" customHeight="1">
      <c r="A264" s="138" t="s">
        <v>172</v>
      </c>
      <c r="B264" s="16" t="str">
        <f>IF(A264="","",IFERROR(VLOOKUP(A264, Stock_New!A:M, 2, FALSE),""))</f>
        <v>بوكيه</v>
      </c>
      <c r="C264" s="236">
        <v>2.0</v>
      </c>
      <c r="D264" s="16" t="str">
        <f>IF(A264="","",IFERROR(VLOOKUP(A264, Stock_New!A:M, 3, FALSE),""))</f>
        <v>ذكريا</v>
      </c>
      <c r="E264" s="16">
        <f>IF($A264="", "", IFERROR(VLOOKUP($A264, Stock_New!$A:$M, 6, FALSE), ""))</f>
        <v>33.84</v>
      </c>
      <c r="F264" s="239">
        <v>40.0</v>
      </c>
      <c r="G264" s="241">
        <v>0.0</v>
      </c>
      <c r="H264" s="17">
        <v>80.0</v>
      </c>
      <c r="I264" s="238">
        <v>46005.0</v>
      </c>
      <c r="J264" s="6" t="s">
        <v>72</v>
      </c>
      <c r="K264" s="6" t="s">
        <v>2117</v>
      </c>
      <c r="L264" s="15"/>
      <c r="M264" s="19" t="s">
        <v>3395</v>
      </c>
      <c r="N264" s="6">
        <v>1575.0</v>
      </c>
      <c r="O264" s="19" t="s">
        <v>3397</v>
      </c>
      <c r="P264" s="244"/>
      <c r="Y264" s="245"/>
      <c r="Z264" s="246"/>
      <c r="AA264" s="247" t="s">
        <v>3420</v>
      </c>
      <c r="AB264" s="247" t="s">
        <v>3421</v>
      </c>
      <c r="AC264" s="245">
        <v>0.0</v>
      </c>
      <c r="AD264" s="247" t="s">
        <v>3422</v>
      </c>
    </row>
    <row r="265" ht="22.5" customHeight="1">
      <c r="A265" s="138" t="s">
        <v>48</v>
      </c>
      <c r="B265" s="16" t="str">
        <f>IF(A265="","",IFERROR(VLOOKUP(A265, Stock_New!A:M, 2, FALSE),""))</f>
        <v>بوكيه</v>
      </c>
      <c r="C265" s="236">
        <v>2.0</v>
      </c>
      <c r="D265" s="16" t="str">
        <f>IF(A265="","",IFERROR(VLOOKUP(A265, Stock_New!A:M, 3, FALSE),""))</f>
        <v>ذكريا</v>
      </c>
      <c r="E265" s="16">
        <f>IF($A265="", "", IFERROR(VLOOKUP($A265, Stock_New!$A:$M, 6, FALSE), ""))</f>
        <v>44.4</v>
      </c>
      <c r="F265" s="239">
        <v>50.0</v>
      </c>
      <c r="G265" s="241">
        <v>0.0</v>
      </c>
      <c r="H265" s="17">
        <v>100.0</v>
      </c>
      <c r="I265" s="238">
        <v>46005.0</v>
      </c>
      <c r="J265" s="6" t="s">
        <v>72</v>
      </c>
      <c r="K265" s="6" t="s">
        <v>2118</v>
      </c>
      <c r="L265" s="15"/>
      <c r="M265" s="19" t="s">
        <v>3395</v>
      </c>
      <c r="N265" s="6">
        <v>1575.0</v>
      </c>
      <c r="O265" s="19" t="s">
        <v>3397</v>
      </c>
      <c r="P265" s="244"/>
      <c r="Y265" s="245"/>
      <c r="Z265" s="246"/>
      <c r="AA265" s="247" t="s">
        <v>3420</v>
      </c>
      <c r="AB265" s="247" t="s">
        <v>3421</v>
      </c>
      <c r="AC265" s="245">
        <v>0.0</v>
      </c>
      <c r="AD265" s="247" t="s">
        <v>3422</v>
      </c>
    </row>
    <row r="266" ht="22.5" customHeight="1">
      <c r="A266" s="138" t="s">
        <v>536</v>
      </c>
      <c r="B266" s="16" t="str">
        <f>IF(A266="","",IFERROR(VLOOKUP(A266, Stock_New!A:M, 2, FALSE),""))</f>
        <v/>
      </c>
      <c r="C266" s="236">
        <v>2.0</v>
      </c>
      <c r="D266" s="16" t="str">
        <f>IF(A266="","",IFERROR(VLOOKUP(A266, Stock_New!A:M, 3, FALSE),""))</f>
        <v/>
      </c>
      <c r="E266" s="16" t="str">
        <f>IF($A266="", "", IFERROR(VLOOKUP($A266, Stock_New!$A:$M, 6, FALSE), ""))</f>
        <v/>
      </c>
      <c r="F266" s="239">
        <v>20.0</v>
      </c>
      <c r="G266" s="241">
        <v>0.0</v>
      </c>
      <c r="H266" s="17">
        <v>40.0</v>
      </c>
      <c r="I266" s="238">
        <v>46005.0</v>
      </c>
      <c r="J266" s="6" t="s">
        <v>72</v>
      </c>
      <c r="K266" s="6" t="s">
        <v>2119</v>
      </c>
      <c r="L266" s="15"/>
      <c r="M266" s="19" t="s">
        <v>3395</v>
      </c>
      <c r="N266" s="6">
        <v>1575.0</v>
      </c>
      <c r="O266" s="19" t="s">
        <v>3397</v>
      </c>
      <c r="P266" s="244"/>
      <c r="Y266" s="245"/>
      <c r="Z266" s="246"/>
      <c r="AA266" s="247" t="s">
        <v>3420</v>
      </c>
      <c r="AB266" s="247" t="s">
        <v>3421</v>
      </c>
      <c r="AC266" s="245">
        <v>0.0</v>
      </c>
      <c r="AD266" s="247" t="s">
        <v>3422</v>
      </c>
    </row>
    <row r="267" ht="22.5" customHeight="1">
      <c r="A267" s="138" t="s">
        <v>540</v>
      </c>
      <c r="B267" s="16" t="str">
        <f>IF(A267="","",IFERROR(VLOOKUP(A267, Stock_New!A:M, 2, FALSE),""))</f>
        <v>شمع</v>
      </c>
      <c r="C267" s="236">
        <v>3.0</v>
      </c>
      <c r="D267" s="16" t="str">
        <f>IF(A267="","",IFERROR(VLOOKUP(A267, Stock_New!A:M, 3, FALSE),""))</f>
        <v>سنتر محمد رشدي</v>
      </c>
      <c r="E267" s="16">
        <f>IF($A267="", "", IFERROR(VLOOKUP($A267, Stock_New!$A:$M, 6, FALSE), ""))</f>
        <v>13.36</v>
      </c>
      <c r="F267" s="239">
        <v>20.0</v>
      </c>
      <c r="G267" s="241">
        <v>0.0</v>
      </c>
      <c r="H267" s="17">
        <v>60.0</v>
      </c>
      <c r="I267" s="238">
        <v>46005.0</v>
      </c>
      <c r="J267" s="6" t="s">
        <v>72</v>
      </c>
      <c r="K267" s="6" t="s">
        <v>2122</v>
      </c>
      <c r="L267" s="15"/>
      <c r="M267" s="19" t="s">
        <v>3395</v>
      </c>
      <c r="N267" s="6">
        <v>1575.0</v>
      </c>
      <c r="O267" s="19" t="s">
        <v>3397</v>
      </c>
      <c r="P267" s="244"/>
      <c r="Y267" s="245"/>
      <c r="Z267" s="246"/>
      <c r="AA267" s="247" t="s">
        <v>3420</v>
      </c>
      <c r="AB267" s="247" t="s">
        <v>3421</v>
      </c>
      <c r="AC267" s="245">
        <v>0.0</v>
      </c>
      <c r="AD267" s="247" t="s">
        <v>3422</v>
      </c>
    </row>
    <row r="268" ht="22.5" customHeight="1">
      <c r="A268" s="138" t="s">
        <v>83</v>
      </c>
      <c r="B268" s="16" t="str">
        <f>IF(A268="","",IFERROR(VLOOKUP(A268, Stock_New!A:M, 2, FALSE),""))</f>
        <v>شجر</v>
      </c>
      <c r="C268" s="236">
        <v>1.0</v>
      </c>
      <c r="D268" s="16" t="str">
        <f>IF(A268="","",IFERROR(VLOOKUP(A268, Stock_New!A:M, 3, FALSE),""))</f>
        <v>ذكريا</v>
      </c>
      <c r="E268" s="16">
        <f>IF($A268="", "", IFERROR(VLOOKUP($A268, Stock_New!$A:$M, 6, FALSE), ""))</f>
        <v>210</v>
      </c>
      <c r="F268" s="239">
        <v>210.0</v>
      </c>
      <c r="G268" s="241">
        <v>0.0</v>
      </c>
      <c r="H268" s="17">
        <v>210.0</v>
      </c>
      <c r="I268" s="238">
        <v>46005.0</v>
      </c>
      <c r="J268" s="6" t="s">
        <v>72</v>
      </c>
      <c r="K268" s="6" t="s">
        <v>2125</v>
      </c>
      <c r="L268" s="15"/>
      <c r="M268" s="19" t="s">
        <v>3395</v>
      </c>
      <c r="N268" s="6">
        <v>1575.0</v>
      </c>
      <c r="O268" s="19" t="s">
        <v>3397</v>
      </c>
      <c r="P268" s="244"/>
      <c r="Y268" s="245"/>
      <c r="Z268" s="246"/>
      <c r="AA268" s="247" t="s">
        <v>3420</v>
      </c>
      <c r="AB268" s="247" t="s">
        <v>3421</v>
      </c>
      <c r="AC268" s="245">
        <v>0.0</v>
      </c>
      <c r="AD268" s="247" t="s">
        <v>3422</v>
      </c>
    </row>
    <row r="269" ht="22.5" customHeight="1">
      <c r="A269" s="138" t="s">
        <v>165</v>
      </c>
      <c r="B269" s="16" t="str">
        <f>IF(A269="","",IFERROR(VLOOKUP(A269, Stock_New!A:M, 2, FALSE),""))</f>
        <v>بوتات</v>
      </c>
      <c r="C269" s="236">
        <v>1.0</v>
      </c>
      <c r="D269" s="16" t="str">
        <f>IF(A269="","",IFERROR(VLOOKUP(A269, Stock_New!A:M, 3, FALSE),""))</f>
        <v>ذكريا</v>
      </c>
      <c r="E269" s="16">
        <f>IF($A269="", "", IFERROR(VLOOKUP($A269, Stock_New!$A:$M, 6, FALSE), ""))</f>
        <v>106.88</v>
      </c>
      <c r="F269" s="239">
        <v>165.0</v>
      </c>
      <c r="G269" s="241">
        <v>0.0</v>
      </c>
      <c r="H269" s="17">
        <v>165.0</v>
      </c>
      <c r="I269" s="238">
        <v>46005.0</v>
      </c>
      <c r="J269" s="6" t="s">
        <v>72</v>
      </c>
      <c r="K269" s="6" t="s">
        <v>2126</v>
      </c>
      <c r="L269" s="15"/>
      <c r="M269" s="19" t="s">
        <v>3395</v>
      </c>
      <c r="N269" s="6">
        <v>1575.0</v>
      </c>
      <c r="O269" s="19" t="s">
        <v>3397</v>
      </c>
      <c r="P269" s="244"/>
      <c r="Y269" s="245"/>
      <c r="Z269" s="246"/>
      <c r="AA269" s="247" t="s">
        <v>3420</v>
      </c>
      <c r="AB269" s="247" t="s">
        <v>3421</v>
      </c>
      <c r="AC269" s="245">
        <v>0.0</v>
      </c>
      <c r="AD269" s="247" t="s">
        <v>3422</v>
      </c>
    </row>
    <row r="270" ht="22.5" customHeight="1">
      <c r="A270" s="138" t="s">
        <v>210</v>
      </c>
      <c r="B270" s="16" t="str">
        <f>IF(A270="","",IFERROR(VLOOKUP(A270, Stock_New!A:M, 2, FALSE),""))</f>
        <v>سيلفرات</v>
      </c>
      <c r="C270" s="236">
        <v>1.0</v>
      </c>
      <c r="D270" s="16" t="str">
        <f>IF(A270="","",IFERROR(VLOOKUP(A270, Stock_New!A:M, 3, FALSE),""))</f>
        <v>ذكريا</v>
      </c>
      <c r="E270" s="16">
        <f>IF($A270="", "", IFERROR(VLOOKUP($A270, Stock_New!$A:$M, 6, FALSE), ""))</f>
        <v>156</v>
      </c>
      <c r="F270" s="239">
        <v>165.0</v>
      </c>
      <c r="G270" s="241">
        <v>0.0</v>
      </c>
      <c r="H270" s="17">
        <v>165.0</v>
      </c>
      <c r="I270" s="238">
        <v>46005.0</v>
      </c>
      <c r="J270" s="6" t="s">
        <v>72</v>
      </c>
      <c r="K270" s="6" t="s">
        <v>2127</v>
      </c>
      <c r="L270" s="15"/>
      <c r="M270" s="19" t="s">
        <v>3395</v>
      </c>
      <c r="N270" s="6">
        <v>1575.0</v>
      </c>
      <c r="O270" s="19" t="s">
        <v>3397</v>
      </c>
      <c r="P270" s="244"/>
      <c r="Y270" s="245"/>
      <c r="Z270" s="246"/>
      <c r="AA270" s="247" t="s">
        <v>3420</v>
      </c>
      <c r="AB270" s="247" t="s">
        <v>3421</v>
      </c>
      <c r="AC270" s="245">
        <v>0.0</v>
      </c>
      <c r="AD270" s="247" t="s">
        <v>3422</v>
      </c>
    </row>
    <row r="271" ht="22.5" customHeight="1">
      <c r="A271" s="138" t="s">
        <v>545</v>
      </c>
      <c r="B271" s="16" t="str">
        <f>IF(A271="","",IFERROR(VLOOKUP(A271, Stock_New!A:M, 2, FALSE),""))</f>
        <v>بوكيه جاهز</v>
      </c>
      <c r="C271" s="236">
        <v>1.0</v>
      </c>
      <c r="D271" s="16" t="str">
        <f>IF(A271="","",IFERROR(VLOOKUP(A271, Stock_New!A:M, 3, FALSE),""))</f>
        <v>تصنيع</v>
      </c>
      <c r="E271" s="16">
        <f>IF($A271="", "", IFERROR(VLOOKUP($A271, Stock_New!$A:$M, 6, FALSE), ""))</f>
        <v>102</v>
      </c>
      <c r="F271" s="239">
        <v>130.0</v>
      </c>
      <c r="G271" s="241">
        <v>0.0</v>
      </c>
      <c r="H271" s="5">
        <v>130.0</v>
      </c>
      <c r="I271" s="238">
        <v>46005.0</v>
      </c>
      <c r="J271" s="6" t="s">
        <v>72</v>
      </c>
      <c r="K271" s="6" t="s">
        <v>2133</v>
      </c>
      <c r="L271" s="15"/>
      <c r="M271" s="19" t="s">
        <v>3395</v>
      </c>
      <c r="N271" s="6">
        <v>1575.0</v>
      </c>
      <c r="O271" s="19" t="s">
        <v>3397</v>
      </c>
      <c r="P271" s="244"/>
      <c r="Y271" s="245"/>
      <c r="Z271" s="246"/>
      <c r="AA271" s="247" t="s">
        <v>3420</v>
      </c>
      <c r="AB271" s="247" t="s">
        <v>3421</v>
      </c>
      <c r="AC271" s="245">
        <v>0.0</v>
      </c>
      <c r="AD271" s="247" t="s">
        <v>3422</v>
      </c>
    </row>
    <row r="272" ht="22.5" customHeight="1">
      <c r="A272" s="138" t="s">
        <v>547</v>
      </c>
      <c r="B272" s="16" t="str">
        <f>IF(A272="","",IFERROR(VLOOKUP(A272, Stock_New!A:M, 2, FALSE),""))</f>
        <v>كهربائيات</v>
      </c>
      <c r="C272" s="236">
        <v>1.0</v>
      </c>
      <c r="D272" s="16" t="str">
        <f>IF(A272="","",IFERROR(VLOOKUP(A272, Stock_New!A:M, 3, FALSE),""))</f>
        <v>سنتر محمد رشدي</v>
      </c>
      <c r="E272" s="16">
        <f>IF($A272="", "", IFERROR(VLOOKUP($A272, Stock_New!$A:$M, 6, FALSE), ""))</f>
        <v>162</v>
      </c>
      <c r="F272" s="239">
        <v>165.0</v>
      </c>
      <c r="G272" s="241">
        <v>0.0</v>
      </c>
      <c r="H272" s="17">
        <v>165.0</v>
      </c>
      <c r="I272" s="238">
        <v>46005.0</v>
      </c>
      <c r="J272" s="6" t="s">
        <v>72</v>
      </c>
      <c r="K272" s="6" t="s">
        <v>2130</v>
      </c>
      <c r="L272" s="15"/>
      <c r="M272" s="10" t="s">
        <v>1625</v>
      </c>
      <c r="N272" s="15"/>
      <c r="O272" s="15"/>
      <c r="P272" s="16"/>
      <c r="Y272" s="245"/>
      <c r="Z272" s="246"/>
      <c r="AA272" s="247" t="s">
        <v>3420</v>
      </c>
      <c r="AB272" s="247" t="s">
        <v>3421</v>
      </c>
      <c r="AC272" s="245">
        <v>0.0</v>
      </c>
      <c r="AD272" s="247" t="s">
        <v>3422</v>
      </c>
    </row>
    <row r="273" ht="22.5" customHeight="1">
      <c r="A273" s="69" t="s">
        <v>549</v>
      </c>
      <c r="B273" s="16" t="str">
        <f>IF(A273="","",IFERROR(VLOOKUP(A273, Stock_New!A:M, 2, FALSE),""))</f>
        <v>بخور</v>
      </c>
      <c r="C273" s="98">
        <v>1.0</v>
      </c>
      <c r="D273" s="16" t="str">
        <f>IF(A273="","",IFERROR(VLOOKUP(A273, Stock_New!A:M, 3, FALSE),""))</f>
        <v>سنتر محمد رشدي</v>
      </c>
      <c r="E273" s="16">
        <f>IF($A273="", "", IFERROR(VLOOKUP($A273, Stock_New!$A:$M, 6, FALSE), ""))</f>
        <v>21</v>
      </c>
      <c r="F273" s="239">
        <v>20.0</v>
      </c>
      <c r="G273" s="241">
        <v>0.0</v>
      </c>
      <c r="H273" s="17">
        <v>20.0</v>
      </c>
      <c r="I273" s="20" t="s">
        <v>904</v>
      </c>
      <c r="J273" s="6" t="s">
        <v>72</v>
      </c>
      <c r="K273" s="6" t="s">
        <v>2136</v>
      </c>
      <c r="L273" s="15"/>
      <c r="M273" s="10" t="s">
        <v>1625</v>
      </c>
      <c r="N273" s="15"/>
      <c r="O273" s="15"/>
      <c r="P273" s="16"/>
      <c r="Y273" s="245"/>
      <c r="Z273" s="246"/>
      <c r="AA273" s="247" t="s">
        <v>3420</v>
      </c>
      <c r="AB273" s="247" t="s">
        <v>3421</v>
      </c>
      <c r="AC273" s="245">
        <v>0.0</v>
      </c>
      <c r="AD273" s="246">
        <f>sum(H260:H271)</f>
        <v>1575</v>
      </c>
    </row>
    <row r="274" ht="22.5" customHeight="1">
      <c r="A274" s="138" t="s">
        <v>536</v>
      </c>
      <c r="B274" s="16" t="str">
        <f>IF(A274="","",IFERROR(VLOOKUP(A274, Stock_New!A:M, 2, FALSE),""))</f>
        <v/>
      </c>
      <c r="C274" s="236">
        <v>3.0</v>
      </c>
      <c r="D274" s="16" t="str">
        <f>IF(A274="","",IFERROR(VLOOKUP(A274, Stock_New!A:M, 3, FALSE),""))</f>
        <v/>
      </c>
      <c r="E274" s="16" t="str">
        <f>IF($A274="", "", IFERROR(VLOOKUP($A274, Stock_New!$A:$M, 6, FALSE), ""))</f>
        <v/>
      </c>
      <c r="F274" s="239">
        <v>20.0</v>
      </c>
      <c r="G274" s="241">
        <v>0.0</v>
      </c>
      <c r="H274" s="17">
        <v>60.0</v>
      </c>
      <c r="I274" s="20" t="s">
        <v>904</v>
      </c>
      <c r="J274" s="5" t="s">
        <v>72</v>
      </c>
      <c r="K274" s="5" t="s">
        <v>2139</v>
      </c>
      <c r="L274" s="16"/>
      <c r="M274" s="10" t="s">
        <v>1625</v>
      </c>
      <c r="N274" s="16"/>
      <c r="O274" s="16"/>
      <c r="P274" s="16"/>
      <c r="Y274" s="245"/>
      <c r="Z274" s="246"/>
      <c r="AA274" s="246"/>
      <c r="AB274" s="246"/>
      <c r="AC274" s="246"/>
      <c r="AD274" s="246"/>
    </row>
    <row r="275" ht="22.5" customHeight="1">
      <c r="A275" s="138" t="s">
        <v>552</v>
      </c>
      <c r="B275" s="16" t="str">
        <f>IF(A275="","",IFERROR(VLOOKUP(A275, Stock_New!A:M, 2, FALSE),""))</f>
        <v>كهربائيات</v>
      </c>
      <c r="C275" s="236">
        <v>1.0</v>
      </c>
      <c r="D275" s="16" t="str">
        <f>IF(A275="","",IFERROR(VLOOKUP(A275, Stock_New!A:M, 3, FALSE),""))</f>
        <v>سنتر محمد رشدي</v>
      </c>
      <c r="E275" s="16">
        <f>IF($A275="", "", IFERROR(VLOOKUP($A275, Stock_New!$A:$M, 6, FALSE), ""))</f>
        <v>160.8</v>
      </c>
      <c r="F275" s="239">
        <v>160.0</v>
      </c>
      <c r="G275" s="241">
        <v>0.0</v>
      </c>
      <c r="H275" s="17">
        <v>160.0</v>
      </c>
      <c r="I275" s="20" t="s">
        <v>904</v>
      </c>
      <c r="J275" s="5" t="s">
        <v>72</v>
      </c>
      <c r="K275" s="5" t="s">
        <v>2140</v>
      </c>
      <c r="L275" s="19" t="s">
        <v>3420</v>
      </c>
      <c r="M275" s="19" t="s">
        <v>3510</v>
      </c>
      <c r="N275" s="16"/>
      <c r="O275" s="16"/>
      <c r="P275" s="16"/>
      <c r="Y275" s="245"/>
      <c r="Z275" s="246"/>
      <c r="AA275" s="247" t="s">
        <v>3420</v>
      </c>
      <c r="AB275" s="247" t="s">
        <v>1625</v>
      </c>
      <c r="AC275" s="245">
        <v>0.0</v>
      </c>
      <c r="AD275" s="246"/>
    </row>
    <row r="276" ht="22.5" customHeight="1">
      <c r="A276" s="138" t="s">
        <v>549</v>
      </c>
      <c r="B276" s="16" t="str">
        <f>IF(A276="","",IFERROR(VLOOKUP(A276, Stock_New!A:M, 2, FALSE),""))</f>
        <v>بخور</v>
      </c>
      <c r="C276" s="236">
        <v>1.0</v>
      </c>
      <c r="D276" s="16" t="str">
        <f>IF(A276="","",IFERROR(VLOOKUP(A276, Stock_New!A:M, 3, FALSE),""))</f>
        <v>سنتر محمد رشدي</v>
      </c>
      <c r="E276" s="16">
        <f>IF($A276="", "", IFERROR(VLOOKUP($A276, Stock_New!$A:$M, 6, FALSE), ""))</f>
        <v>21</v>
      </c>
      <c r="F276" s="239">
        <v>20.0</v>
      </c>
      <c r="G276" s="241">
        <v>0.0</v>
      </c>
      <c r="H276" s="17">
        <v>20.0</v>
      </c>
      <c r="I276" s="20" t="s">
        <v>904</v>
      </c>
      <c r="J276" s="5" t="s">
        <v>72</v>
      </c>
      <c r="K276" s="5" t="s">
        <v>2143</v>
      </c>
      <c r="L276" s="19" t="s">
        <v>3420</v>
      </c>
      <c r="M276" s="19" t="s">
        <v>3510</v>
      </c>
      <c r="N276" s="16"/>
      <c r="O276" s="16"/>
      <c r="P276" s="16"/>
    </row>
    <row r="277" ht="22.5" customHeight="1">
      <c r="A277" s="138" t="s">
        <v>540</v>
      </c>
      <c r="B277" s="16" t="str">
        <f>IF(A277="","",IFERROR(VLOOKUP(A277, Stock_New!A:M, 2, FALSE),""))</f>
        <v>شمع</v>
      </c>
      <c r="C277" s="236">
        <v>1.0</v>
      </c>
      <c r="D277" s="16" t="str">
        <f>IF(A277="","",IFERROR(VLOOKUP(A277, Stock_New!A:M, 3, FALSE),""))</f>
        <v>سنتر محمد رشدي</v>
      </c>
      <c r="E277" s="16">
        <f>IF($A277="", "", IFERROR(VLOOKUP($A277, Stock_New!$A:$M, 6, FALSE), ""))</f>
        <v>13.36</v>
      </c>
      <c r="F277" s="239">
        <v>20.0</v>
      </c>
      <c r="G277" s="241">
        <v>0.0</v>
      </c>
      <c r="H277" s="17">
        <v>20.0</v>
      </c>
      <c r="I277" s="20" t="s">
        <v>904</v>
      </c>
      <c r="J277" s="5" t="s">
        <v>72</v>
      </c>
      <c r="K277" s="5" t="s">
        <v>2144</v>
      </c>
      <c r="L277" s="19" t="s">
        <v>3420</v>
      </c>
      <c r="M277" s="19" t="s">
        <v>3510</v>
      </c>
      <c r="N277" s="16"/>
      <c r="O277" s="16"/>
      <c r="P277" s="16"/>
    </row>
    <row r="278" ht="22.5" customHeight="1">
      <c r="A278" s="138" t="s">
        <v>172</v>
      </c>
      <c r="B278" s="16" t="str">
        <f>IF(A278="","",IFERROR(VLOOKUP(A278, Stock_New!A:M, 2, FALSE),""))</f>
        <v>بوكيه</v>
      </c>
      <c r="C278" s="236">
        <v>1.0</v>
      </c>
      <c r="D278" s="16" t="str">
        <f>IF(A278="","",IFERROR(VLOOKUP(A278, Stock_New!A:M, 3, FALSE),""))</f>
        <v>ذكريا</v>
      </c>
      <c r="E278" s="16">
        <f>IF($A278="", "", IFERROR(VLOOKUP($A278, Stock_New!$A:$M, 6, FALSE), ""))</f>
        <v>33.84</v>
      </c>
      <c r="F278" s="239">
        <v>40.0</v>
      </c>
      <c r="G278" s="241">
        <v>0.0</v>
      </c>
      <c r="H278" s="17">
        <v>40.0</v>
      </c>
      <c r="I278" s="20" t="s">
        <v>904</v>
      </c>
      <c r="J278" s="5" t="s">
        <v>72</v>
      </c>
      <c r="K278" s="5" t="s">
        <v>2145</v>
      </c>
      <c r="L278" s="19" t="s">
        <v>3420</v>
      </c>
      <c r="M278" s="16"/>
      <c r="N278" s="16"/>
      <c r="O278" s="16"/>
      <c r="P278" s="16"/>
    </row>
    <row r="279" ht="22.5" customHeight="1">
      <c r="A279" s="138" t="s">
        <v>452</v>
      </c>
      <c r="B279" s="16" t="str">
        <f>IF(A279="","",IFERROR(VLOOKUP(A279, Stock_New!A:M, 2, FALSE),""))</f>
        <v>بوكيه</v>
      </c>
      <c r="C279" s="236">
        <v>3.0</v>
      </c>
      <c r="D279" s="16" t="str">
        <f>IF(A279="","",IFERROR(VLOOKUP(A279, Stock_New!A:M, 3, FALSE),""))</f>
        <v>ذكريا</v>
      </c>
      <c r="E279" s="16">
        <f>IF($A279="", "", IFERROR(VLOOKUP($A279, Stock_New!$A:$M, 6, FALSE), ""))</f>
        <v>19.2</v>
      </c>
      <c r="F279" s="239">
        <v>20.0</v>
      </c>
      <c r="G279" s="241">
        <v>0.0</v>
      </c>
      <c r="H279" s="17">
        <v>60.0</v>
      </c>
      <c r="I279" s="20" t="s">
        <v>904</v>
      </c>
      <c r="J279" s="5" t="s">
        <v>72</v>
      </c>
      <c r="K279" s="5" t="s">
        <v>2146</v>
      </c>
      <c r="L279" s="19" t="s">
        <v>3420</v>
      </c>
      <c r="M279" s="16"/>
      <c r="N279" s="16"/>
      <c r="O279" s="16"/>
      <c r="P279" s="16"/>
    </row>
    <row r="280" ht="22.5" customHeight="1">
      <c r="A280" s="138" t="s">
        <v>302</v>
      </c>
      <c r="B280" s="16" t="str">
        <f>IF(A280="","",IFERROR(VLOOKUP(A280, Stock_New!A:M, 2, FALSE),""))</f>
        <v>بلاستيك</v>
      </c>
      <c r="C280" s="236">
        <v>3.0</v>
      </c>
      <c r="D280" s="16" t="str">
        <f>IF(A280="","",IFERROR(VLOOKUP(A280, Stock_New!A:M, 3, FALSE),""))</f>
        <v>ذكريا</v>
      </c>
      <c r="E280" s="16">
        <f>IF($A280="", "", IFERROR(VLOOKUP($A280, Stock_New!$A:$M, 6, FALSE), ""))</f>
        <v>21.6</v>
      </c>
      <c r="F280" s="239">
        <v>25.0</v>
      </c>
      <c r="G280" s="241">
        <v>0.0</v>
      </c>
      <c r="H280" s="17">
        <v>75.0</v>
      </c>
      <c r="I280" s="20" t="s">
        <v>3552</v>
      </c>
      <c r="J280" s="5" t="s">
        <v>72</v>
      </c>
      <c r="K280" s="5" t="s">
        <v>2147</v>
      </c>
      <c r="L280" s="19"/>
      <c r="M280" s="16"/>
      <c r="N280" s="16"/>
      <c r="O280" s="16"/>
      <c r="P280" s="16"/>
    </row>
    <row r="281" ht="22.5" customHeight="1">
      <c r="A281" s="138" t="s">
        <v>302</v>
      </c>
      <c r="B281" s="16" t="str">
        <f>IF(A281="","",IFERROR(VLOOKUP(A281, Stock_New!A:M, 2, FALSE),""))</f>
        <v>بلاستيك</v>
      </c>
      <c r="C281" s="236">
        <v>5.0</v>
      </c>
      <c r="D281" s="16" t="str">
        <f>IF(A281="","",IFERROR(VLOOKUP(A281, Stock_New!A:M, 3, FALSE),""))</f>
        <v>ذكريا</v>
      </c>
      <c r="E281" s="16">
        <f>IF($A281="", "", IFERROR(VLOOKUP($A281, Stock_New!$A:$M, 6, FALSE), ""))</f>
        <v>21.6</v>
      </c>
      <c r="F281" s="239">
        <v>25.0</v>
      </c>
      <c r="G281" s="241">
        <v>0.0</v>
      </c>
      <c r="H281" s="17">
        <v>125.0</v>
      </c>
      <c r="I281" s="20" t="s">
        <v>3552</v>
      </c>
      <c r="J281" s="5" t="s">
        <v>72</v>
      </c>
      <c r="K281" s="5" t="s">
        <v>2148</v>
      </c>
      <c r="L281" s="16"/>
      <c r="M281" s="16"/>
      <c r="N281" s="16"/>
      <c r="O281" s="16"/>
      <c r="P281" s="16"/>
    </row>
    <row r="282" ht="22.5" customHeight="1">
      <c r="A282" s="138" t="s">
        <v>392</v>
      </c>
      <c r="B282" s="16" t="str">
        <f>IF(A282="","",IFERROR(VLOOKUP(A282, Stock_New!A:M, 2, FALSE),""))</f>
        <v>شجر</v>
      </c>
      <c r="C282" s="236">
        <v>1.0</v>
      </c>
      <c r="D282" s="16" t="str">
        <f>IF(A282="","",IFERROR(VLOOKUP(A282, Stock_New!A:M, 3, FALSE),""))</f>
        <v>ذكريا</v>
      </c>
      <c r="E282" s="16">
        <f>IF($A282="", "", IFERROR(VLOOKUP($A282, Stock_New!$A:$M, 6, FALSE), ""))</f>
        <v>78</v>
      </c>
      <c r="F282" s="239">
        <v>95.0</v>
      </c>
      <c r="G282" s="241">
        <v>0.0</v>
      </c>
      <c r="H282" s="17">
        <v>95.0</v>
      </c>
      <c r="I282" s="20" t="s">
        <v>3552</v>
      </c>
      <c r="J282" s="5" t="s">
        <v>72</v>
      </c>
      <c r="K282" s="5" t="s">
        <v>2149</v>
      </c>
      <c r="L282" s="16"/>
      <c r="M282" s="16"/>
      <c r="N282" s="16"/>
      <c r="O282" s="16"/>
      <c r="P282" s="16"/>
    </row>
    <row r="283" ht="22.5" customHeight="1">
      <c r="A283" s="138" t="s">
        <v>467</v>
      </c>
      <c r="B283" s="16" t="str">
        <f>IF(A283="","",IFERROR(VLOOKUP(A283, Stock_New!A:M, 2, FALSE),""))</f>
        <v>ورد لوحده</v>
      </c>
      <c r="C283" s="236">
        <v>1.0</v>
      </c>
      <c r="D283" s="16" t="str">
        <f>IF(A283="","",IFERROR(VLOOKUP(A283, Stock_New!A:M, 3, FALSE),""))</f>
        <v>ذكريا</v>
      </c>
      <c r="E283" s="16">
        <f>IF($A283="", "", IFERROR(VLOOKUP($A283, Stock_New!$A:$M, 6, FALSE), ""))</f>
        <v>126</v>
      </c>
      <c r="F283" s="239">
        <v>125.0</v>
      </c>
      <c r="G283" s="241">
        <v>0.0</v>
      </c>
      <c r="H283" s="17">
        <v>125.0</v>
      </c>
      <c r="I283" s="20" t="s">
        <v>3552</v>
      </c>
      <c r="J283" s="5" t="s">
        <v>72</v>
      </c>
      <c r="K283" s="5" t="s">
        <v>2150</v>
      </c>
      <c r="L283" s="16"/>
      <c r="M283" s="16"/>
      <c r="N283" s="16"/>
      <c r="O283" s="16"/>
      <c r="P283" s="16"/>
    </row>
    <row r="284" ht="22.5" customHeight="1">
      <c r="A284" s="138" t="s">
        <v>255</v>
      </c>
      <c r="B284" s="16" t="str">
        <f>IF(A284="","",IFERROR(VLOOKUP(A284, Stock_New!A:M, 2, FALSE),""))</f>
        <v>بوتات</v>
      </c>
      <c r="C284" s="236">
        <v>1.0</v>
      </c>
      <c r="D284" s="16" t="str">
        <f>IF(A284="","",IFERROR(VLOOKUP(A284, Stock_New!A:M, 3, FALSE),""))</f>
        <v>manufactured</v>
      </c>
      <c r="E284" s="16">
        <f>IF($A284="", "", IFERROR(VLOOKUP($A284, Stock_New!$A:$M, 6, FALSE), ""))</f>
        <v>27.3</v>
      </c>
      <c r="F284" s="239">
        <v>50.0</v>
      </c>
      <c r="G284" s="241">
        <v>0.0</v>
      </c>
      <c r="H284" s="17">
        <v>50.0</v>
      </c>
      <c r="I284" s="20" t="s">
        <v>3552</v>
      </c>
      <c r="J284" s="5" t="s">
        <v>72</v>
      </c>
      <c r="K284" s="5" t="s">
        <v>2151</v>
      </c>
      <c r="L284" s="16"/>
      <c r="M284" s="16"/>
      <c r="N284" s="16"/>
      <c r="O284" s="16"/>
      <c r="P284" s="16"/>
    </row>
    <row r="285" ht="22.5" customHeight="1">
      <c r="A285" s="138" t="s">
        <v>235</v>
      </c>
      <c r="B285" s="16" t="str">
        <f>IF(A285="","",IFERROR(VLOOKUP(A285, Stock_New!A:M, 2, FALSE),""))</f>
        <v>خزف</v>
      </c>
      <c r="C285" s="236">
        <v>1.0</v>
      </c>
      <c r="D285" s="16" t="str">
        <f>IF(A285="","",IFERROR(VLOOKUP(A285, Stock_New!A:M, 3, FALSE),""))</f>
        <v>ذكريا</v>
      </c>
      <c r="E285" s="16">
        <f>IF($A285="", "", IFERROR(VLOOKUP($A285, Stock_New!$A:$M, 6, FALSE), ""))</f>
        <v>90</v>
      </c>
      <c r="F285" s="239">
        <v>90.0</v>
      </c>
      <c r="G285" s="240"/>
      <c r="H285" s="17">
        <v>90.0</v>
      </c>
      <c r="I285" s="20" t="s">
        <v>3552</v>
      </c>
      <c r="J285" s="5" t="s">
        <v>72</v>
      </c>
      <c r="K285" s="5" t="s">
        <v>2152</v>
      </c>
      <c r="L285" s="16"/>
      <c r="M285" s="16"/>
      <c r="N285" s="16"/>
      <c r="O285" s="16"/>
      <c r="P285" s="16"/>
    </row>
    <row r="286" ht="22.5" customHeight="1">
      <c r="A286" s="138" t="s">
        <v>172</v>
      </c>
      <c r="B286" s="16" t="str">
        <f>IF(A286="","",IFERROR(VLOOKUP(A286, Stock_New!A:M, 2, FALSE),""))</f>
        <v>بوكيه</v>
      </c>
      <c r="C286" s="236">
        <v>1.0</v>
      </c>
      <c r="D286" s="16" t="str">
        <f>IF(A286="","",IFERROR(VLOOKUP(A286, Stock_New!A:M, 3, FALSE),""))</f>
        <v>ذكريا</v>
      </c>
      <c r="E286" s="16">
        <f>IF($A286="", "", IFERROR(VLOOKUP($A286, Stock_New!$A:$M, 6, FALSE), ""))</f>
        <v>33.84</v>
      </c>
      <c r="F286" s="239">
        <v>40.0</v>
      </c>
      <c r="G286" s="240"/>
      <c r="H286" s="17">
        <v>40.0</v>
      </c>
      <c r="I286" s="20" t="s">
        <v>3552</v>
      </c>
      <c r="J286" s="5" t="s">
        <v>72</v>
      </c>
      <c r="K286" s="5" t="s">
        <v>2153</v>
      </c>
      <c r="L286" s="16"/>
      <c r="M286" s="16"/>
      <c r="N286" s="16"/>
      <c r="O286" s="16"/>
      <c r="P286" s="16"/>
    </row>
    <row r="287" ht="22.5" customHeight="1">
      <c r="A287" s="138" t="s">
        <v>540</v>
      </c>
      <c r="B287" s="16" t="str">
        <f>IF(A287="","",IFERROR(VLOOKUP(A287, Stock_New!A:M, 2, FALSE),""))</f>
        <v>شمع</v>
      </c>
      <c r="C287" s="236">
        <v>1.0</v>
      </c>
      <c r="D287" s="16" t="str">
        <f>IF(A287="","",IFERROR(VLOOKUP(A287, Stock_New!A:M, 3, FALSE),""))</f>
        <v>سنتر محمد رشدي</v>
      </c>
      <c r="E287" s="16">
        <f>IF($A287="", "", IFERROR(VLOOKUP($A287, Stock_New!$A:$M, 6, FALSE), ""))</f>
        <v>13.36</v>
      </c>
      <c r="F287" s="239">
        <v>20.0</v>
      </c>
      <c r="G287" s="240"/>
      <c r="H287" s="17">
        <v>20.0</v>
      </c>
      <c r="I287" s="20" t="s">
        <v>3552</v>
      </c>
      <c r="J287" s="5" t="s">
        <v>72</v>
      </c>
      <c r="K287" s="5" t="s">
        <v>2154</v>
      </c>
      <c r="L287" s="16"/>
      <c r="M287" s="16"/>
      <c r="N287" s="16"/>
      <c r="O287" s="16"/>
      <c r="P287" s="16"/>
    </row>
    <row r="288" ht="22.5" customHeight="1">
      <c r="A288" s="138" t="s">
        <v>172</v>
      </c>
      <c r="B288" s="16" t="str">
        <f>IF(A288="","",IFERROR(VLOOKUP(A288, Stock_New!A:M, 2, FALSE),""))</f>
        <v>بوكيه</v>
      </c>
      <c r="C288" s="236">
        <v>2.0</v>
      </c>
      <c r="D288" s="16" t="str">
        <f>IF(A288="","",IFERROR(VLOOKUP(A288, Stock_New!A:M, 3, FALSE),""))</f>
        <v>ذكريا</v>
      </c>
      <c r="E288" s="16">
        <f>IF($A288="", "", IFERROR(VLOOKUP($A288, Stock_New!$A:$M, 6, FALSE), ""))</f>
        <v>33.84</v>
      </c>
      <c r="F288" s="239">
        <v>40.0</v>
      </c>
      <c r="G288" s="240"/>
      <c r="H288" s="17">
        <v>80.0</v>
      </c>
      <c r="I288" s="235"/>
      <c r="J288" s="5" t="s">
        <v>72</v>
      </c>
      <c r="K288" s="5" t="s">
        <v>3612</v>
      </c>
      <c r="L288" s="16"/>
      <c r="M288" s="16"/>
      <c r="N288" s="16"/>
      <c r="O288" s="16"/>
      <c r="P288" s="16"/>
    </row>
    <row r="289" ht="22.5" customHeight="1">
      <c r="A289" s="138" t="s">
        <v>540</v>
      </c>
      <c r="B289" s="16" t="str">
        <f>IF(A289="","",IFERROR(VLOOKUP(A289, Stock_New!A:M, 2, FALSE),""))</f>
        <v>شمع</v>
      </c>
      <c r="C289" s="236">
        <v>1.0</v>
      </c>
      <c r="D289" s="16" t="str">
        <f>IF(A289="","",IFERROR(VLOOKUP(A289, Stock_New!A:M, 3, FALSE),""))</f>
        <v>سنتر محمد رشدي</v>
      </c>
      <c r="E289" s="16">
        <f>IF($A289="", "", IFERROR(VLOOKUP($A289, Stock_New!$A:$M, 6, FALSE), ""))</f>
        <v>13.36</v>
      </c>
      <c r="F289" s="239">
        <v>20.0</v>
      </c>
      <c r="G289" s="240"/>
      <c r="H289" s="17">
        <v>20.0</v>
      </c>
      <c r="I289" s="238">
        <v>46009.0</v>
      </c>
      <c r="J289" s="5" t="s">
        <v>72</v>
      </c>
      <c r="K289" s="5" t="s">
        <v>3618</v>
      </c>
      <c r="L289" s="16"/>
      <c r="M289" s="16"/>
      <c r="N289" s="16"/>
      <c r="O289" s="16"/>
      <c r="P289" s="16"/>
    </row>
    <row r="290" ht="22.5" customHeight="1">
      <c r="A290" s="138" t="s">
        <v>505</v>
      </c>
      <c r="B290" s="16" t="str">
        <f>IF(A290="","",IFERROR(VLOOKUP(A290, Stock_New!A:M, 2, FALSE),""))</f>
        <v>مطبخ</v>
      </c>
      <c r="C290" s="236">
        <v>1.0</v>
      </c>
      <c r="D290" s="16" t="str">
        <f>IF(A290="","",IFERROR(VLOOKUP(A290, Stock_New!A:M, 3, FALSE),""))</f>
        <v>احمد اشرف جاليري</v>
      </c>
      <c r="E290" s="16">
        <f>IF($A290="", "", IFERROR(VLOOKUP($A290, Stock_New!$A:$M, 6, FALSE), ""))</f>
        <v>198</v>
      </c>
      <c r="F290" s="239">
        <v>175.0</v>
      </c>
      <c r="G290" s="240"/>
      <c r="H290" s="17">
        <v>175.0</v>
      </c>
      <c r="I290" s="238">
        <v>46009.0</v>
      </c>
      <c r="J290" s="5" t="s">
        <v>72</v>
      </c>
      <c r="K290" s="5" t="s">
        <v>3628</v>
      </c>
      <c r="L290" s="16"/>
      <c r="M290" s="16"/>
      <c r="N290" s="16"/>
      <c r="O290" s="16"/>
      <c r="P290" s="16"/>
    </row>
    <row r="291" ht="22.5" customHeight="1">
      <c r="A291" s="138" t="s">
        <v>172</v>
      </c>
      <c r="B291" s="16" t="str">
        <f>IF(A291="","",IFERROR(VLOOKUP(A291, Stock_New!A:M, 2, FALSE),""))</f>
        <v>بوكيه</v>
      </c>
      <c r="C291" s="236">
        <v>1.0</v>
      </c>
      <c r="D291" s="16" t="str">
        <f>IF(A291="","",IFERROR(VLOOKUP(A291, Stock_New!A:M, 3, FALSE),""))</f>
        <v>ذكريا</v>
      </c>
      <c r="E291" s="16">
        <f>IF($A291="", "", IFERROR(VLOOKUP($A291, Stock_New!$A:$M, 6, FALSE), ""))</f>
        <v>33.84</v>
      </c>
      <c r="F291" s="239">
        <v>40.0</v>
      </c>
      <c r="G291" s="240"/>
      <c r="H291" s="17">
        <v>40.0</v>
      </c>
      <c r="I291" s="238">
        <v>46008.0</v>
      </c>
      <c r="J291" s="5" t="s">
        <v>72</v>
      </c>
      <c r="K291" s="5" t="s">
        <v>2155</v>
      </c>
      <c r="L291" s="16"/>
      <c r="M291" s="16"/>
      <c r="N291" s="16"/>
      <c r="O291" s="16"/>
      <c r="P291" s="16"/>
    </row>
    <row r="292" ht="22.5" customHeight="1">
      <c r="A292" s="138" t="s">
        <v>172</v>
      </c>
      <c r="B292" s="16" t="str">
        <f>IF(A292="","",IFERROR(VLOOKUP(A292, Stock_New!A:M, 2, FALSE),""))</f>
        <v>بوكيه</v>
      </c>
      <c r="C292" s="236">
        <v>1.0</v>
      </c>
      <c r="D292" s="16" t="str">
        <f>IF(A292="","",IFERROR(VLOOKUP(A292, Stock_New!A:M, 3, FALSE),""))</f>
        <v>ذكريا</v>
      </c>
      <c r="E292" s="16">
        <f>IF($A292="", "", IFERROR(VLOOKUP($A292, Stock_New!$A:$M, 6, FALSE), ""))</f>
        <v>33.84</v>
      </c>
      <c r="F292" s="239">
        <v>40.0</v>
      </c>
      <c r="G292" s="240"/>
      <c r="H292" s="17">
        <v>40.0</v>
      </c>
      <c r="I292" s="238">
        <v>46008.0</v>
      </c>
      <c r="J292" s="5" t="s">
        <v>72</v>
      </c>
      <c r="K292" s="5" t="s">
        <v>2156</v>
      </c>
      <c r="L292" s="16"/>
      <c r="M292" s="16"/>
      <c r="N292" s="16"/>
      <c r="O292" s="16"/>
      <c r="P292" s="16"/>
    </row>
    <row r="293" ht="22.5" customHeight="1">
      <c r="A293" s="138" t="s">
        <v>555</v>
      </c>
      <c r="B293" s="16" t="str">
        <f>IF(A293="","",IFERROR(VLOOKUP(A293, Stock_New!A:M, 2, FALSE),""))</f>
        <v>كهربائيات</v>
      </c>
      <c r="C293" s="236">
        <v>1.0</v>
      </c>
      <c r="D293" s="16" t="str">
        <f>IF(A293="","",IFERROR(VLOOKUP(A293, Stock_New!A:M, 3, FALSE),""))</f>
        <v>سنتر محمد رشدي</v>
      </c>
      <c r="E293" s="16">
        <f>IF($A293="", "", IFERROR(VLOOKUP($A293, Stock_New!$A:$M, 6, FALSE), ""))</f>
        <v>181.2</v>
      </c>
      <c r="F293" s="239">
        <v>180.0</v>
      </c>
      <c r="G293" s="240"/>
      <c r="H293" s="17">
        <v>180.0</v>
      </c>
      <c r="I293" s="238">
        <v>46009.0</v>
      </c>
      <c r="J293" s="5" t="s">
        <v>72</v>
      </c>
      <c r="K293" s="5" t="s">
        <v>2157</v>
      </c>
      <c r="L293" s="16"/>
      <c r="M293" s="16"/>
      <c r="N293" s="16"/>
      <c r="O293" s="16"/>
      <c r="P293" s="16"/>
    </row>
    <row r="294" ht="22.5" customHeight="1">
      <c r="A294" s="138" t="s">
        <v>558</v>
      </c>
      <c r="B294" s="16" t="str">
        <f>IF(A294="","",IFERROR(VLOOKUP(A294, Stock_New!A:M, 2, FALSE),""))</f>
        <v>كهربائيات</v>
      </c>
      <c r="C294" s="236">
        <v>3.0</v>
      </c>
      <c r="D294" s="16" t="str">
        <f>IF(A294="","",IFERROR(VLOOKUP(A294, Stock_New!A:M, 3, FALSE),""))</f>
        <v>سنتر محمد رشدي</v>
      </c>
      <c r="E294" s="16">
        <f>IF($A294="", "", IFERROR(VLOOKUP($A294, Stock_New!$A:$M, 6, FALSE), ""))</f>
        <v>150</v>
      </c>
      <c r="F294" s="239">
        <v>150.0</v>
      </c>
      <c r="G294" s="240"/>
      <c r="H294" s="17">
        <v>450.0</v>
      </c>
      <c r="I294" s="238">
        <v>46009.0</v>
      </c>
      <c r="J294" s="5" t="s">
        <v>72</v>
      </c>
      <c r="K294" s="5" t="s">
        <v>2160</v>
      </c>
      <c r="L294" s="16"/>
      <c r="M294" s="16"/>
      <c r="N294" s="16"/>
      <c r="O294" s="16"/>
      <c r="P294" s="16"/>
    </row>
    <row r="295" ht="22.5" customHeight="1">
      <c r="A295" s="138" t="s">
        <v>172</v>
      </c>
      <c r="B295" s="16" t="str">
        <f>IF(A295="","",IFERROR(VLOOKUP(A295, Stock_New!A:M, 2, FALSE),""))</f>
        <v>بوكيه</v>
      </c>
      <c r="C295" s="236">
        <v>2.0</v>
      </c>
      <c r="D295" s="16" t="str">
        <f>IF(A295="","",IFERROR(VLOOKUP(A295, Stock_New!A:M, 3, FALSE),""))</f>
        <v>ذكريا</v>
      </c>
      <c r="E295" s="16">
        <f>IF($A295="", "", IFERROR(VLOOKUP($A295, Stock_New!$A:$M, 6, FALSE), ""))</f>
        <v>33.84</v>
      </c>
      <c r="F295" s="239">
        <v>40.0</v>
      </c>
      <c r="G295" s="240"/>
      <c r="H295" s="17">
        <v>80.0</v>
      </c>
      <c r="I295" s="238">
        <v>46009.0</v>
      </c>
      <c r="J295" s="5" t="s">
        <v>72</v>
      </c>
      <c r="K295" s="5" t="s">
        <v>2163</v>
      </c>
      <c r="L295" s="16"/>
      <c r="M295" s="16"/>
      <c r="N295" s="16"/>
      <c r="O295" s="16"/>
      <c r="P295" s="16"/>
    </row>
    <row r="296" ht="22.5" customHeight="1">
      <c r="A296" s="69" t="s">
        <v>401</v>
      </c>
      <c r="B296" s="16" t="str">
        <f>IF(A296="","",IFERROR(VLOOKUP(A296, Stock_New!A:M, 2, FALSE),""))</f>
        <v>بوكيه</v>
      </c>
      <c r="C296" s="236">
        <v>1.0</v>
      </c>
      <c r="D296" s="16" t="str">
        <f>IF(A296="","",IFERROR(VLOOKUP(A296, Stock_New!A:M, 3, FALSE),""))</f>
        <v>ذكريا</v>
      </c>
      <c r="E296" s="16">
        <f>IF($A296="", "", IFERROR(VLOOKUP($A296, Stock_New!$A:$M, 6, FALSE), ""))</f>
        <v>234</v>
      </c>
      <c r="F296" s="239">
        <v>200.0</v>
      </c>
      <c r="G296" s="240"/>
      <c r="H296" s="17">
        <v>200.0</v>
      </c>
      <c r="I296" s="238">
        <v>46011.0</v>
      </c>
      <c r="J296" s="5" t="s">
        <v>72</v>
      </c>
      <c r="K296" s="5" t="s">
        <v>2164</v>
      </c>
      <c r="L296" s="16"/>
      <c r="M296" s="19" t="s">
        <v>3675</v>
      </c>
      <c r="N296" s="5">
        <v>0.0</v>
      </c>
      <c r="O296" s="16"/>
      <c r="P296" s="16"/>
    </row>
    <row r="297" ht="22.5" customHeight="1">
      <c r="A297" s="138" t="s">
        <v>364</v>
      </c>
      <c r="B297" s="16" t="str">
        <f>IF(A297="","",IFERROR(VLOOKUP(A297, Stock_New!A:M, 2, FALSE),""))</f>
        <v>ورد لوحده</v>
      </c>
      <c r="C297" s="236">
        <v>1.0</v>
      </c>
      <c r="D297" s="16" t="str">
        <f>IF(A297="","",IFERROR(VLOOKUP(A297, Stock_New!A:M, 3, FALSE),""))</f>
        <v>ذكريا</v>
      </c>
      <c r="E297" s="16">
        <f>IF($A297="", "", IFERROR(VLOOKUP($A297, Stock_New!$A:$M, 6, FALSE), ""))</f>
        <v>138</v>
      </c>
      <c r="F297" s="239">
        <v>140.0</v>
      </c>
      <c r="G297" s="240"/>
      <c r="H297" s="17">
        <v>140.0</v>
      </c>
      <c r="I297" s="238">
        <v>46011.0</v>
      </c>
      <c r="J297" s="5" t="s">
        <v>72</v>
      </c>
      <c r="K297" s="5" t="s">
        <v>2167</v>
      </c>
      <c r="L297" s="16"/>
      <c r="M297" s="19" t="s">
        <v>3675</v>
      </c>
      <c r="N297" s="5">
        <v>0.0</v>
      </c>
      <c r="O297" s="16"/>
      <c r="P297" s="16"/>
    </row>
    <row r="298" ht="22.5" customHeight="1">
      <c r="A298" s="138" t="s">
        <v>255</v>
      </c>
      <c r="B298" s="16" t="str">
        <f>IF(A298="","",IFERROR(VLOOKUP(A298, Stock_New!A:M, 2, FALSE),""))</f>
        <v>بوتات</v>
      </c>
      <c r="C298" s="236">
        <v>1.0</v>
      </c>
      <c r="D298" s="16" t="str">
        <f>IF(A298="","",IFERROR(VLOOKUP(A298, Stock_New!A:M, 3, FALSE),""))</f>
        <v>manufactured</v>
      </c>
      <c r="E298" s="16">
        <f>IF($A298="", "", IFERROR(VLOOKUP($A298, Stock_New!$A:$M, 6, FALSE), ""))</f>
        <v>27.3</v>
      </c>
      <c r="F298" s="239">
        <v>40.0</v>
      </c>
      <c r="G298" s="240"/>
      <c r="H298" s="17">
        <v>40.0</v>
      </c>
      <c r="I298" s="238">
        <v>46011.0</v>
      </c>
      <c r="J298" s="5" t="s">
        <v>72</v>
      </c>
      <c r="K298" s="5" t="s">
        <v>2170</v>
      </c>
      <c r="L298" s="16"/>
      <c r="M298" s="19" t="s">
        <v>3675</v>
      </c>
      <c r="N298" s="5">
        <v>0.0</v>
      </c>
      <c r="O298" s="16"/>
      <c r="P298" s="16"/>
    </row>
    <row r="299" ht="22.5" customHeight="1">
      <c r="A299" s="138" t="s">
        <v>297</v>
      </c>
      <c r="B299" s="16" t="str">
        <f>IF(A299="","",IFERROR(VLOOKUP(A299, Stock_New!A:M, 2, FALSE),""))</f>
        <v>ورد لوحده</v>
      </c>
      <c r="C299" s="236">
        <f>1/2</f>
        <v>0.5</v>
      </c>
      <c r="D299" s="16" t="str">
        <f>IF(A299="","",IFERROR(VLOOKUP(A299, Stock_New!A:M, 3, FALSE),""))</f>
        <v>ذكريا</v>
      </c>
      <c r="E299" s="16">
        <f>IF($A299="", "", IFERROR(VLOOKUP($A299, Stock_New!$A:$M, 6, FALSE), ""))</f>
        <v>36</v>
      </c>
      <c r="F299" s="239">
        <v>40.0</v>
      </c>
      <c r="G299" s="240"/>
      <c r="H299" s="17">
        <v>20.0</v>
      </c>
      <c r="I299" s="238">
        <v>46011.0</v>
      </c>
      <c r="J299" s="5" t="s">
        <v>72</v>
      </c>
      <c r="K299" s="5" t="s">
        <v>2171</v>
      </c>
      <c r="L299" s="16"/>
      <c r="M299" s="19" t="s">
        <v>3675</v>
      </c>
      <c r="N299" s="5">
        <v>0.0</v>
      </c>
      <c r="O299" s="16"/>
      <c r="P299" s="16"/>
    </row>
    <row r="300" ht="22.5" customHeight="1">
      <c r="A300" s="138" t="s">
        <v>268</v>
      </c>
      <c r="B300" s="16" t="str">
        <f>IF(A300="","",IFERROR(VLOOKUP(A300, Stock_New!A:M, 2, FALSE),""))</f>
        <v>سيلفرات</v>
      </c>
      <c r="C300" s="236">
        <v>1.0</v>
      </c>
      <c r="D300" s="16" t="str">
        <f>IF(A300="","",IFERROR(VLOOKUP(A300, Stock_New!A:M, 3, FALSE),""))</f>
        <v>شركة حسين علي</v>
      </c>
      <c r="E300" s="16">
        <f>IF($A300="", "", IFERROR(VLOOKUP($A300, Stock_New!$A:$M, 6, FALSE), ""))</f>
        <v>214.5</v>
      </c>
      <c r="F300" s="239">
        <v>200.0</v>
      </c>
      <c r="G300" s="240"/>
      <c r="H300" s="17">
        <v>200.0</v>
      </c>
      <c r="I300" s="238">
        <v>46011.0</v>
      </c>
      <c r="J300" s="5" t="s">
        <v>72</v>
      </c>
      <c r="K300" s="5" t="s">
        <v>2172</v>
      </c>
      <c r="L300" s="16"/>
      <c r="M300" s="19" t="s">
        <v>3675</v>
      </c>
      <c r="N300" s="5">
        <v>0.0</v>
      </c>
      <c r="O300" s="16"/>
      <c r="P300" s="16"/>
    </row>
    <row r="301" ht="22.5" customHeight="1">
      <c r="A301" s="138" t="s">
        <v>567</v>
      </c>
      <c r="B301" s="16" t="str">
        <f>IF(A301="","",IFERROR(VLOOKUP(A301, Stock_New!A:M, 2, FALSE),""))</f>
        <v>شمع</v>
      </c>
      <c r="C301" s="236">
        <v>1.0</v>
      </c>
      <c r="D301" s="16" t="str">
        <f>IF(A301="","",IFERROR(VLOOKUP(A301, Stock_New!A:M, 3, FALSE),""))</f>
        <v>سنتر محمد رشدي</v>
      </c>
      <c r="E301" s="16">
        <f>IF($A301="", "", IFERROR(VLOOKUP($A301, Stock_New!$A:$M, 6, FALSE), ""))</f>
        <v>61.2</v>
      </c>
      <c r="F301" s="239">
        <v>70.0</v>
      </c>
      <c r="G301" s="240"/>
      <c r="H301" s="17">
        <v>70.0</v>
      </c>
      <c r="I301" s="235"/>
      <c r="J301" s="5" t="s">
        <v>72</v>
      </c>
      <c r="K301" s="5" t="s">
        <v>2173</v>
      </c>
      <c r="L301" s="16"/>
      <c r="M301" s="19" t="s">
        <v>3715</v>
      </c>
      <c r="N301" s="16"/>
      <c r="O301" s="16"/>
      <c r="P301" s="16"/>
    </row>
    <row r="302" ht="22.5" customHeight="1">
      <c r="A302" s="138" t="s">
        <v>540</v>
      </c>
      <c r="B302" s="16" t="str">
        <f>IF(A302="","",IFERROR(VLOOKUP(A302, Stock_New!A:M, 2, FALSE),""))</f>
        <v>شمع</v>
      </c>
      <c r="C302" s="236">
        <v>4.0</v>
      </c>
      <c r="D302" s="16" t="str">
        <f>IF(A302="","",IFERROR(VLOOKUP(A302, Stock_New!A:M, 3, FALSE),""))</f>
        <v>سنتر محمد رشدي</v>
      </c>
      <c r="E302" s="16">
        <f>IF($A302="", "", IFERROR(VLOOKUP($A302, Stock_New!$A:$M, 6, FALSE), ""))</f>
        <v>13.36</v>
      </c>
      <c r="F302" s="239">
        <v>20.0</v>
      </c>
      <c r="G302" s="240"/>
      <c r="H302" s="17">
        <v>80.0</v>
      </c>
      <c r="I302" s="235"/>
      <c r="J302" s="5" t="s">
        <v>72</v>
      </c>
      <c r="K302" s="5" t="s">
        <v>2176</v>
      </c>
      <c r="L302" s="16"/>
      <c r="M302" s="16"/>
      <c r="N302" s="16"/>
      <c r="O302" s="16"/>
      <c r="P302" s="16"/>
    </row>
    <row r="303" ht="22.5" customHeight="1">
      <c r="A303" s="138" t="s">
        <v>572</v>
      </c>
      <c r="B303" s="16" t="str">
        <f>IF(A303="","",IFERROR(VLOOKUP(A303, Stock_New!A:M, 2, FALSE),""))</f>
        <v>شمع</v>
      </c>
      <c r="C303" s="236">
        <v>2.0</v>
      </c>
      <c r="D303" s="16" t="str">
        <f>IF(A303="","",IFERROR(VLOOKUP(A303, Stock_New!A:M, 3, FALSE),""))</f>
        <v>سنتر محمد رشدي</v>
      </c>
      <c r="E303" s="16">
        <f>IF($A303="", "", IFERROR(VLOOKUP($A303, Stock_New!$A:$M, 6, FALSE), ""))</f>
        <v>5.25</v>
      </c>
      <c r="F303" s="239">
        <v>10.0</v>
      </c>
      <c r="G303" s="240"/>
      <c r="H303" s="17">
        <v>20.0</v>
      </c>
      <c r="I303" s="235"/>
      <c r="J303" s="5" t="s">
        <v>72</v>
      </c>
      <c r="K303" s="5" t="s">
        <v>2177</v>
      </c>
      <c r="L303" s="16"/>
      <c r="M303" s="16"/>
      <c r="N303" s="16"/>
      <c r="O303" s="16"/>
      <c r="P303" s="16"/>
    </row>
    <row r="304" ht="22.5" customHeight="1">
      <c r="A304" s="138" t="s">
        <v>572</v>
      </c>
      <c r="B304" s="16" t="str">
        <f>IF(A304="","",IFERROR(VLOOKUP(A304, Stock_New!A:M, 2, FALSE),""))</f>
        <v>شمع</v>
      </c>
      <c r="C304" s="236">
        <v>1.0</v>
      </c>
      <c r="D304" s="16" t="str">
        <f>IF(A304="","",IFERROR(VLOOKUP(A304, Stock_New!A:M, 3, FALSE),""))</f>
        <v>سنتر محمد رشدي</v>
      </c>
      <c r="E304" s="16">
        <f>IF($A304="", "", IFERROR(VLOOKUP($A304, Stock_New!$A:$M, 6, FALSE), ""))</f>
        <v>5.25</v>
      </c>
      <c r="F304" s="239">
        <v>10.0</v>
      </c>
      <c r="G304" s="240"/>
      <c r="H304" s="17">
        <v>10.0</v>
      </c>
      <c r="I304" s="238">
        <v>46014.0</v>
      </c>
      <c r="J304" s="5" t="s">
        <v>72</v>
      </c>
      <c r="K304" s="5" t="s">
        <v>2180</v>
      </c>
      <c r="L304" s="16"/>
      <c r="M304" s="16"/>
      <c r="N304" s="16"/>
      <c r="O304" s="16"/>
      <c r="P304" s="16"/>
    </row>
    <row r="305" ht="22.5" customHeight="1">
      <c r="A305" s="138" t="s">
        <v>575</v>
      </c>
      <c r="B305" s="16" t="str">
        <f>IF(A305="","",IFERROR(VLOOKUP(A305, Stock_New!A:M, 2, FALSE),""))</f>
        <v>شمع</v>
      </c>
      <c r="C305" s="236">
        <v>3.0</v>
      </c>
      <c r="D305" s="16" t="str">
        <f>IF(A305="","",IFERROR(VLOOKUP(A305, Stock_New!A:M, 3, FALSE),""))</f>
        <v>سنتر محمد رشدي</v>
      </c>
      <c r="E305" s="16">
        <f>IF($A305="", "", IFERROR(VLOOKUP($A305, Stock_New!$A:$M, 6, FALSE), ""))</f>
        <v>5.4</v>
      </c>
      <c r="F305" s="239">
        <v>10.0</v>
      </c>
      <c r="G305" s="240"/>
      <c r="H305" s="17">
        <v>30.0</v>
      </c>
      <c r="I305" s="238">
        <v>46014.0</v>
      </c>
      <c r="J305" s="5" t="s">
        <v>72</v>
      </c>
      <c r="K305" s="5" t="s">
        <v>2181</v>
      </c>
      <c r="L305" s="16"/>
      <c r="M305" s="16"/>
      <c r="N305" s="16"/>
      <c r="O305" s="16"/>
      <c r="P305" s="16"/>
    </row>
    <row r="306" ht="22.5" customHeight="1">
      <c r="A306" s="138" t="s">
        <v>540</v>
      </c>
      <c r="B306" s="16" t="str">
        <f>IF(A306="","",IFERROR(VLOOKUP(A306, Stock_New!A:M, 2, FALSE),""))</f>
        <v>شمع</v>
      </c>
      <c r="C306" s="236">
        <v>2.0</v>
      </c>
      <c r="D306" s="16" t="str">
        <f>IF(A306="","",IFERROR(VLOOKUP(A306, Stock_New!A:M, 3, FALSE),""))</f>
        <v>سنتر محمد رشدي</v>
      </c>
      <c r="E306" s="16">
        <f>IF($A306="", "", IFERROR(VLOOKUP($A306, Stock_New!$A:$M, 6, FALSE), ""))</f>
        <v>13.36</v>
      </c>
      <c r="F306" s="239">
        <v>20.0</v>
      </c>
      <c r="G306" s="240"/>
      <c r="H306" s="17">
        <v>40.0</v>
      </c>
      <c r="I306" s="20" t="s">
        <v>3759</v>
      </c>
      <c r="J306" s="5" t="s">
        <v>72</v>
      </c>
      <c r="K306" s="5" t="s">
        <v>2184</v>
      </c>
      <c r="L306" s="16"/>
      <c r="M306" s="16"/>
      <c r="N306" s="16"/>
      <c r="O306" s="16"/>
      <c r="P306" s="16"/>
    </row>
    <row r="307" ht="22.5" customHeight="1">
      <c r="A307" s="233"/>
      <c r="B307" s="16" t="str">
        <f>IF(A307="","",IFERROR(VLOOKUP(A307, Stock_New!A:M, 2, FALSE),""))</f>
        <v/>
      </c>
      <c r="C307" s="234"/>
      <c r="D307" s="16" t="str">
        <f>IF(A307="","",IFERROR(VLOOKUP(A307, Stock_New!A:M, 3, FALSE),""))</f>
        <v/>
      </c>
      <c r="E307" s="16" t="str">
        <f>IF($A307="", "", IFERROR(VLOOKUP($A307, Stock_New!$A:$M, 6, FALSE), ""))</f>
        <v/>
      </c>
      <c r="F307" s="167"/>
      <c r="G307" s="240"/>
      <c r="H307" s="16">
        <f>(1-Sales_New!$G307)*Sales_New!$F307*Sales_New!$C307</f>
        <v>0</v>
      </c>
      <c r="I307" s="235"/>
      <c r="J307" s="5" t="s">
        <v>782</v>
      </c>
      <c r="K307" s="16"/>
      <c r="L307" s="16"/>
      <c r="M307" s="16"/>
      <c r="N307" s="16"/>
      <c r="O307" s="16"/>
      <c r="P307" s="16"/>
    </row>
    <row r="308" ht="22.5" customHeight="1">
      <c r="A308" s="138" t="s">
        <v>580</v>
      </c>
      <c r="B308" s="16" t="str">
        <f>IF(A308="","",IFERROR(VLOOKUP(A308, Stock_New!A:M, 2, FALSE),""))</f>
        <v>شمع</v>
      </c>
      <c r="C308" s="236">
        <v>1.0</v>
      </c>
      <c r="D308" s="16" t="str">
        <f>IF(A308="","",IFERROR(VLOOKUP(A308, Stock_New!A:M, 3, FALSE),""))</f>
        <v>سنتر محمد رشدي</v>
      </c>
      <c r="E308" s="16">
        <f>IF($A308="", "", IFERROR(VLOOKUP($A308, Stock_New!$A:$M, 6, FALSE), ""))</f>
        <v>52.5</v>
      </c>
      <c r="F308" s="239">
        <v>75.0</v>
      </c>
      <c r="G308" s="240"/>
      <c r="H308" s="17">
        <v>75.0</v>
      </c>
      <c r="I308" s="238">
        <v>46016.0</v>
      </c>
      <c r="J308" s="5" t="s">
        <v>72</v>
      </c>
      <c r="K308" s="5" t="s">
        <v>2185</v>
      </c>
      <c r="L308" s="16"/>
      <c r="M308" s="16"/>
      <c r="N308" s="16"/>
      <c r="O308" s="16"/>
      <c r="P308" s="16"/>
    </row>
    <row r="309" ht="22.5" customHeight="1">
      <c r="A309" s="138" t="s">
        <v>575</v>
      </c>
      <c r="B309" s="16" t="str">
        <f>IF(A309="","",IFERROR(VLOOKUP(A309, Stock_New!A:M, 2, FALSE),""))</f>
        <v>شمع</v>
      </c>
      <c r="C309" s="236">
        <v>1.0</v>
      </c>
      <c r="D309" s="16" t="str">
        <f>IF(A309="","",IFERROR(VLOOKUP(A309, Stock_New!A:M, 3, FALSE),""))</f>
        <v>سنتر محمد رشدي</v>
      </c>
      <c r="E309" s="16">
        <f>IF($A309="", "", IFERROR(VLOOKUP($A309, Stock_New!$A:$M, 6, FALSE), ""))</f>
        <v>5.4</v>
      </c>
      <c r="F309" s="239">
        <v>10.0</v>
      </c>
      <c r="G309" s="240"/>
      <c r="H309" s="17">
        <v>10.0</v>
      </c>
      <c r="I309" s="238">
        <v>46016.0</v>
      </c>
      <c r="J309" s="5" t="s">
        <v>72</v>
      </c>
      <c r="K309" s="5" t="s">
        <v>2188</v>
      </c>
      <c r="L309" s="16"/>
      <c r="M309" s="16"/>
      <c r="N309" s="16"/>
      <c r="O309" s="16"/>
      <c r="P309" s="16"/>
    </row>
    <row r="310" ht="22.5" customHeight="1">
      <c r="A310" s="138" t="s">
        <v>250</v>
      </c>
      <c r="B310" s="16" t="str">
        <f>IF(A310="","",IFERROR(VLOOKUP(A310, Stock_New!A:M, 2, FALSE),""))</f>
        <v>شجر</v>
      </c>
      <c r="C310" s="236">
        <v>1.0</v>
      </c>
      <c r="D310" s="16" t="str">
        <f>IF(A310="","",IFERROR(VLOOKUP(A310, Stock_New!A:M, 3, FALSE),""))</f>
        <v>ذكريا</v>
      </c>
      <c r="E310" s="16">
        <f>IF($A310="", "", IFERROR(VLOOKUP($A310, Stock_New!$A:$M, 6, FALSE), ""))</f>
        <v>174</v>
      </c>
      <c r="F310" s="239">
        <v>190.0</v>
      </c>
      <c r="G310" s="240"/>
      <c r="H310" s="17">
        <v>190.0</v>
      </c>
      <c r="I310" s="238">
        <v>46016.0</v>
      </c>
      <c r="J310" s="5" t="s">
        <v>72</v>
      </c>
      <c r="K310" s="5" t="s">
        <v>2189</v>
      </c>
      <c r="L310" s="16"/>
      <c r="M310" s="16"/>
      <c r="N310" s="16"/>
      <c r="O310" s="16"/>
      <c r="P310" s="16"/>
    </row>
    <row r="311" ht="22.5" customHeight="1">
      <c r="A311" s="138" t="s">
        <v>165</v>
      </c>
      <c r="B311" s="16" t="str">
        <f>IF(A311="","",IFERROR(VLOOKUP(A311, Stock_New!A:M, 2, FALSE),""))</f>
        <v>بوتات</v>
      </c>
      <c r="C311" s="236">
        <v>1.0</v>
      </c>
      <c r="D311" s="16" t="str">
        <f>IF(A311="","",IFERROR(VLOOKUP(A311, Stock_New!A:M, 3, FALSE),""))</f>
        <v>ذكريا</v>
      </c>
      <c r="E311" s="16">
        <f>IF($A311="", "", IFERROR(VLOOKUP($A311, Stock_New!$A:$M, 6, FALSE), ""))</f>
        <v>106.88</v>
      </c>
      <c r="F311" s="239">
        <v>120.0</v>
      </c>
      <c r="G311" s="240"/>
      <c r="H311" s="17">
        <v>120.0</v>
      </c>
      <c r="I311" s="238">
        <v>46016.0</v>
      </c>
      <c r="J311" s="5" t="s">
        <v>72</v>
      </c>
      <c r="K311" s="5" t="s">
        <v>2190</v>
      </c>
      <c r="L311" s="16"/>
      <c r="M311" s="16"/>
      <c r="N311" s="16"/>
      <c r="O311" s="16"/>
      <c r="P311" s="16"/>
    </row>
    <row r="312" ht="22.5" customHeight="1">
      <c r="A312" s="138" t="s">
        <v>306</v>
      </c>
      <c r="B312" s="16" t="str">
        <f>IF(A312="","",IFERROR(VLOOKUP(A312, Stock_New!A:M, 2, FALSE),""))</f>
        <v>ورد لوحدة</v>
      </c>
      <c r="C312" s="236">
        <v>1.0</v>
      </c>
      <c r="D312" s="16" t="str">
        <f>IF(A312="","",IFERROR(VLOOKUP(A312, Stock_New!A:M, 3, FALSE),""))</f>
        <v>شركة الفرسان</v>
      </c>
      <c r="E312" s="16">
        <f>IF($A312="", "", IFERROR(VLOOKUP($A312, Stock_New!$A:$M, 6, FALSE), ""))</f>
        <v>11</v>
      </c>
      <c r="F312" s="239">
        <v>25.0</v>
      </c>
      <c r="G312" s="240"/>
      <c r="H312" s="17">
        <v>25.0</v>
      </c>
      <c r="I312" s="238">
        <v>46016.0</v>
      </c>
      <c r="J312" s="5" t="s">
        <v>72</v>
      </c>
      <c r="K312" s="5" t="s">
        <v>2191</v>
      </c>
      <c r="L312" s="16"/>
      <c r="M312" s="16"/>
      <c r="N312" s="16"/>
      <c r="O312" s="16"/>
      <c r="P312" s="16"/>
    </row>
    <row r="313" ht="22.5" customHeight="1">
      <c r="A313" s="138" t="s">
        <v>584</v>
      </c>
      <c r="B313" s="16" t="str">
        <f>IF(A313="","",IFERROR(VLOOKUP(A313, Stock_New!A:M, 2, FALSE),""))</f>
        <v>بوكيه جاهز</v>
      </c>
      <c r="C313" s="236">
        <v>2.0</v>
      </c>
      <c r="D313" s="16" t="str">
        <f>IF(A313="","",IFERROR(VLOOKUP(A313, Stock_New!A:M, 3, FALSE),""))</f>
        <v>سنتر محمد رشدي</v>
      </c>
      <c r="E313" s="16">
        <f>IF($A313="", "", IFERROR(VLOOKUP($A313, Stock_New!$A:$M, 6, FALSE), ""))</f>
        <v>6</v>
      </c>
      <c r="F313" s="239">
        <v>10.0</v>
      </c>
      <c r="G313" s="240"/>
      <c r="H313" s="17">
        <v>20.0</v>
      </c>
      <c r="I313" s="238">
        <v>46018.0</v>
      </c>
      <c r="J313" s="5" t="s">
        <v>72</v>
      </c>
      <c r="K313" s="5" t="s">
        <v>2192</v>
      </c>
      <c r="L313" s="16"/>
      <c r="M313" s="16"/>
      <c r="N313" s="16"/>
      <c r="O313" s="5">
        <v>0.0</v>
      </c>
      <c r="P313" s="17"/>
    </row>
    <row r="314" ht="22.5" customHeight="1">
      <c r="A314" s="138" t="s">
        <v>588</v>
      </c>
      <c r="B314" s="16" t="str">
        <f>IF(A314="","",IFERROR(VLOOKUP(A314, Stock_New!A:M, 2, FALSE),""))</f>
        <v>ليد</v>
      </c>
      <c r="C314" s="236">
        <v>1.0</v>
      </c>
      <c r="D314" s="16" t="str">
        <f>IF(A314="","",IFERROR(VLOOKUP(A314, Stock_New!A:M, 3, FALSE),""))</f>
        <v>سنتر محمد رشدي</v>
      </c>
      <c r="E314" s="16">
        <f>IF($A314="", "", IFERROR(VLOOKUP($A314, Stock_New!$A:$M, 6, FALSE), ""))</f>
        <v>138</v>
      </c>
      <c r="F314" s="239">
        <v>140.0</v>
      </c>
      <c r="G314" s="240"/>
      <c r="H314" s="17">
        <v>140.0</v>
      </c>
      <c r="I314" s="238">
        <v>46019.0</v>
      </c>
      <c r="J314" s="5" t="s">
        <v>72</v>
      </c>
      <c r="K314" s="5" t="s">
        <v>2195</v>
      </c>
      <c r="L314" s="16"/>
      <c r="M314" s="19" t="s">
        <v>3510</v>
      </c>
      <c r="N314" s="16"/>
      <c r="O314" s="16"/>
      <c r="P314" s="16"/>
    </row>
    <row r="315" ht="22.5" customHeight="1">
      <c r="A315" s="138" t="s">
        <v>497</v>
      </c>
      <c r="B315" s="16" t="str">
        <f>IF(A315="","",IFERROR(VLOOKUP(A315, Stock_New!A:M, 2, FALSE),""))</f>
        <v>ليد</v>
      </c>
      <c r="C315" s="236">
        <v>2.0</v>
      </c>
      <c r="D315" s="16" t="str">
        <f>IF(A315="","",IFERROR(VLOOKUP(A315, Stock_New!A:M, 3, FALSE),""))</f>
        <v>سنتر محمد رشدي</v>
      </c>
      <c r="E315" s="16">
        <f>IF($A315="", "", IFERROR(VLOOKUP($A315, Stock_New!$A:$M, 6, FALSE), ""))</f>
        <v>234</v>
      </c>
      <c r="F315" s="239">
        <v>230.0</v>
      </c>
      <c r="G315" s="240"/>
      <c r="H315" s="17">
        <v>460.0</v>
      </c>
      <c r="I315" s="238">
        <v>46019.0</v>
      </c>
      <c r="J315" s="5" t="s">
        <v>72</v>
      </c>
      <c r="K315" s="5" t="s">
        <v>2198</v>
      </c>
      <c r="L315" s="16"/>
      <c r="M315" s="19" t="s">
        <v>3510</v>
      </c>
      <c r="N315" s="16"/>
      <c r="O315" s="16"/>
      <c r="P315" s="16"/>
    </row>
    <row r="316" ht="22.5" customHeight="1">
      <c r="A316" s="138" t="s">
        <v>596</v>
      </c>
      <c r="B316" s="16" t="str">
        <f>IF(A316="","",IFERROR(VLOOKUP(A316, Stock_New!A:M, 2, FALSE),""))</f>
        <v>مروحة</v>
      </c>
      <c r="C316" s="236">
        <v>1.0</v>
      </c>
      <c r="D316" s="16" t="str">
        <f>IF(A316="","",IFERROR(VLOOKUP(A316, Stock_New!A:M, 3, FALSE),""))</f>
        <v>سنتر محمد رشدي</v>
      </c>
      <c r="E316" s="16">
        <f>IF($A316="", "", IFERROR(VLOOKUP($A316, Stock_New!$A:$M, 6, FALSE), ""))</f>
        <v>21.5</v>
      </c>
      <c r="F316" s="239">
        <v>25.0</v>
      </c>
      <c r="G316" s="240"/>
      <c r="H316" s="17">
        <v>25.0</v>
      </c>
      <c r="I316" s="238">
        <v>46019.0</v>
      </c>
      <c r="J316" s="5" t="s">
        <v>72</v>
      </c>
      <c r="K316" s="5" t="s">
        <v>2201</v>
      </c>
      <c r="L316" s="16"/>
      <c r="M316" s="19" t="s">
        <v>3510</v>
      </c>
      <c r="N316" s="16"/>
      <c r="O316" s="16"/>
      <c r="P316" s="16"/>
    </row>
    <row r="317" ht="22.5" customHeight="1">
      <c r="A317" s="138" t="s">
        <v>601</v>
      </c>
      <c r="B317" s="16" t="str">
        <f>IF(A317="","",IFERROR(VLOOKUP(A317, Stock_New!A:M, 2, FALSE),""))</f>
        <v>مروحة</v>
      </c>
      <c r="C317" s="236">
        <v>1.0</v>
      </c>
      <c r="D317" s="16" t="str">
        <f>IF(A317="","",IFERROR(VLOOKUP(A317, Stock_New!A:M, 3, FALSE),""))</f>
        <v>سنتر محمد رشدي</v>
      </c>
      <c r="E317" s="16">
        <f>IF($A317="", "", IFERROR(VLOOKUP($A317, Stock_New!$A:$M, 6, FALSE), ""))</f>
        <v>21.5</v>
      </c>
      <c r="F317" s="239">
        <v>30.0</v>
      </c>
      <c r="G317" s="240"/>
      <c r="H317" s="17">
        <v>30.0</v>
      </c>
      <c r="I317" s="238">
        <v>46019.0</v>
      </c>
      <c r="J317" s="5" t="s">
        <v>72</v>
      </c>
      <c r="K317" s="5" t="s">
        <v>2204</v>
      </c>
      <c r="L317" s="16"/>
      <c r="M317" s="19" t="s">
        <v>3510</v>
      </c>
      <c r="N317" s="16"/>
      <c r="O317" s="16"/>
      <c r="P317" s="16"/>
    </row>
    <row r="318" ht="22.5" customHeight="1">
      <c r="A318" s="138" t="s">
        <v>452</v>
      </c>
      <c r="B318" s="16" t="str">
        <f>IF(A318="","",IFERROR(VLOOKUP(A318, Stock_New!A:M, 2, FALSE),""))</f>
        <v>بوكيه</v>
      </c>
      <c r="C318" s="236">
        <v>1.0</v>
      </c>
      <c r="D318" s="16" t="str">
        <f>IF(A318="","",IFERROR(VLOOKUP(A318, Stock_New!A:M, 3, FALSE),""))</f>
        <v>ذكريا</v>
      </c>
      <c r="E318" s="16">
        <f>IF($A318="", "", IFERROR(VLOOKUP($A318, Stock_New!$A:$M, 6, FALSE), ""))</f>
        <v>19.2</v>
      </c>
      <c r="F318" s="239">
        <v>20.0</v>
      </c>
      <c r="G318" s="240"/>
      <c r="H318" s="17">
        <v>20.0</v>
      </c>
      <c r="I318" s="20" t="s">
        <v>3848</v>
      </c>
      <c r="J318" s="5" t="s">
        <v>72</v>
      </c>
      <c r="K318" s="5" t="s">
        <v>2207</v>
      </c>
      <c r="L318" s="16"/>
      <c r="M318" s="19" t="s">
        <v>1661</v>
      </c>
      <c r="N318" s="16"/>
      <c r="O318" s="16"/>
      <c r="P318" s="16"/>
    </row>
    <row r="319" ht="22.5" customHeight="1">
      <c r="A319" s="138" t="s">
        <v>34</v>
      </c>
      <c r="B319" s="16" t="str">
        <f>IF(A319="","",IFERROR(VLOOKUP(A319, Stock_New!A:M, 2, FALSE),""))</f>
        <v>شجر</v>
      </c>
      <c r="C319" s="234"/>
      <c r="D319" s="16" t="str">
        <f>IF(A319="","",IFERROR(VLOOKUP(A319, Stock_New!A:M, 3, FALSE),""))</f>
        <v>manufactured</v>
      </c>
      <c r="E319" s="16">
        <f>IF($A319="", "", IFERROR(VLOOKUP($A319, Stock_New!$A:$M, 6, FALSE), ""))</f>
        <v>108</v>
      </c>
      <c r="F319" s="239">
        <v>400.0</v>
      </c>
      <c r="G319" s="240"/>
      <c r="H319" s="16">
        <f>(1-Sales_New!$G319)*Sales_New!$F319*Sales_New!$C319</f>
        <v>0</v>
      </c>
      <c r="I319" s="238" t="s">
        <v>3759</v>
      </c>
      <c r="J319" s="5" t="s">
        <v>782</v>
      </c>
      <c r="K319" s="16"/>
      <c r="L319" s="16"/>
      <c r="M319" s="19" t="s">
        <v>1645</v>
      </c>
      <c r="N319" s="19" t="s">
        <v>3861</v>
      </c>
      <c r="O319" s="16"/>
      <c r="P319" s="16"/>
    </row>
    <row r="320" ht="22.5" customHeight="1">
      <c r="A320" s="138" t="s">
        <v>270</v>
      </c>
      <c r="B320" s="16" t="str">
        <f>IF(A320="","",IFERROR(VLOOKUP(A320, Stock_New!A:M, 2, FALSE),""))</f>
        <v>بوكيه</v>
      </c>
      <c r="C320" s="236">
        <v>1.0</v>
      </c>
      <c r="D320" s="16" t="str">
        <f>IF(A320="","",IFERROR(VLOOKUP(A320, Stock_New!A:M, 3, FALSE),""))</f>
        <v>ذكريا</v>
      </c>
      <c r="E320" s="16">
        <f>IF($A320="", "", IFERROR(VLOOKUP($A320, Stock_New!$A:$M, 6, FALSE), ""))</f>
        <v>135</v>
      </c>
      <c r="F320" s="239">
        <v>150.0</v>
      </c>
      <c r="G320" s="240"/>
      <c r="H320" s="17">
        <v>150.0</v>
      </c>
      <c r="I320" s="238">
        <v>46021.0</v>
      </c>
      <c r="J320" s="5" t="s">
        <v>72</v>
      </c>
      <c r="K320" s="5" t="s">
        <v>2232</v>
      </c>
      <c r="L320" s="16"/>
      <c r="M320" s="16"/>
      <c r="N320" s="16"/>
      <c r="O320" s="16"/>
      <c r="P320" s="16"/>
    </row>
    <row r="321" ht="22.5" customHeight="1">
      <c r="A321" s="138" t="s">
        <v>329</v>
      </c>
      <c r="B321" s="16" t="str">
        <f>IF(A321="","",IFERROR(VLOOKUP(A321, Stock_New!A:M, 2, FALSE),""))</f>
        <v>بوكيه</v>
      </c>
      <c r="C321" s="236">
        <v>1.0</v>
      </c>
      <c r="D321" s="16" t="str">
        <f>IF(A321="","",IFERROR(VLOOKUP(A321, Stock_New!A:M, 3, FALSE),""))</f>
        <v>ذكريا</v>
      </c>
      <c r="E321" s="16">
        <f>IF($A321="", "", IFERROR(VLOOKUP($A321, Stock_New!$A:$M, 6, FALSE), ""))</f>
        <v>132</v>
      </c>
      <c r="F321" s="239">
        <v>170.0</v>
      </c>
      <c r="G321" s="240"/>
      <c r="H321" s="17">
        <v>170.0</v>
      </c>
      <c r="I321" s="238">
        <v>46021.0</v>
      </c>
      <c r="J321" s="5" t="s">
        <v>72</v>
      </c>
      <c r="K321" s="5" t="s">
        <v>3871</v>
      </c>
      <c r="L321" s="16"/>
      <c r="M321" s="16"/>
      <c r="N321" s="16"/>
      <c r="O321" s="16"/>
      <c r="P321" s="16"/>
    </row>
    <row r="322" ht="22.5" customHeight="1">
      <c r="A322" s="138" t="s">
        <v>611</v>
      </c>
      <c r="B322" s="16" t="str">
        <f>IF(A322="","",IFERROR(VLOOKUP(A322, Stock_New!A:M, 2, FALSE),""))</f>
        <v>مجسم</v>
      </c>
      <c r="C322" s="236">
        <v>1.0</v>
      </c>
      <c r="D322" s="16" t="str">
        <f>IF(A322="","",IFERROR(VLOOKUP(A322, Stock_New!A:M, 3, FALSE),""))</f>
        <v>سنتر محمد رشدي</v>
      </c>
      <c r="E322" s="16">
        <f>IF($A322="", "", IFERROR(VLOOKUP($A322, Stock_New!$A:$M, 6, FALSE), ""))</f>
        <v>34.8</v>
      </c>
      <c r="F322" s="239">
        <v>50.0</v>
      </c>
      <c r="G322" s="240"/>
      <c r="H322" s="17">
        <v>50.0</v>
      </c>
      <c r="I322" s="238">
        <v>46021.0</v>
      </c>
      <c r="J322" s="5" t="s">
        <v>72</v>
      </c>
      <c r="K322" s="5" t="s">
        <v>2208</v>
      </c>
      <c r="L322" s="16"/>
      <c r="M322" s="16"/>
      <c r="N322" s="16"/>
      <c r="O322" s="16"/>
      <c r="P322" s="16"/>
    </row>
    <row r="323" ht="22.5" customHeight="1">
      <c r="A323" s="138" t="s">
        <v>614</v>
      </c>
      <c r="B323" s="16" t="str">
        <f>IF(A323="","",IFERROR(VLOOKUP(A323, Stock_New!A:M, 2, FALSE),""))</f>
        <v>كهربائيات</v>
      </c>
      <c r="C323" s="236">
        <v>1.0</v>
      </c>
      <c r="D323" s="16" t="str">
        <f>IF(A323="","",IFERROR(VLOOKUP(A323, Stock_New!A:M, 3, FALSE),""))</f>
        <v>سنتر محمد رشدي</v>
      </c>
      <c r="E323" s="16">
        <f>IF($A323="", "", IFERROR(VLOOKUP($A323, Stock_New!$A:$M, 6, FALSE), ""))</f>
        <v>93.6</v>
      </c>
      <c r="F323" s="239">
        <v>100.0</v>
      </c>
      <c r="G323" s="240"/>
      <c r="H323" s="17">
        <v>100.0</v>
      </c>
      <c r="I323" s="238">
        <v>46021.0</v>
      </c>
      <c r="J323" s="5" t="s">
        <v>72</v>
      </c>
      <c r="K323" s="5" t="s">
        <v>2211</v>
      </c>
      <c r="L323" s="16"/>
      <c r="M323" s="16"/>
      <c r="N323" s="16"/>
      <c r="O323" s="16"/>
      <c r="P323" s="16"/>
    </row>
    <row r="324" ht="22.5" customHeight="1">
      <c r="A324" s="138" t="s">
        <v>48</v>
      </c>
      <c r="B324" s="16" t="str">
        <f>IF(A324="","",IFERROR(VLOOKUP(A324, Stock_New!A:M, 2, FALSE),""))</f>
        <v>بوكيه</v>
      </c>
      <c r="C324" s="236">
        <v>2.0</v>
      </c>
      <c r="D324" s="16" t="str">
        <f>IF(A324="","",IFERROR(VLOOKUP(A324, Stock_New!A:M, 3, FALSE),""))</f>
        <v>ذكريا</v>
      </c>
      <c r="E324" s="16">
        <f>IF($A324="", "", IFERROR(VLOOKUP($A324, Stock_New!$A:$M, 6, FALSE), ""))</f>
        <v>44.4</v>
      </c>
      <c r="F324" s="239">
        <v>50.0</v>
      </c>
      <c r="G324" s="240"/>
      <c r="H324" s="17">
        <v>100.0</v>
      </c>
      <c r="I324" s="238">
        <v>46021.0</v>
      </c>
      <c r="J324" s="5" t="s">
        <v>72</v>
      </c>
      <c r="K324" s="5" t="s">
        <v>2214</v>
      </c>
      <c r="L324" s="16"/>
      <c r="M324" s="16"/>
      <c r="N324" s="16"/>
      <c r="O324" s="16"/>
      <c r="P324" s="16"/>
    </row>
    <row r="325" ht="22.5" customHeight="1">
      <c r="A325" s="138" t="s">
        <v>172</v>
      </c>
      <c r="B325" s="16" t="str">
        <f>IF(A325="","",IFERROR(VLOOKUP(A325, Stock_New!A:M, 2, FALSE),""))</f>
        <v>بوكيه</v>
      </c>
      <c r="C325" s="236">
        <v>1.0</v>
      </c>
      <c r="D325" s="16" t="str">
        <f>IF(A325="","",IFERROR(VLOOKUP(A325, Stock_New!A:M, 3, FALSE),""))</f>
        <v>ذكريا</v>
      </c>
      <c r="E325" s="16">
        <f>IF($A325="", "", IFERROR(VLOOKUP($A325, Stock_New!$A:$M, 6, FALSE), ""))</f>
        <v>33.84</v>
      </c>
      <c r="F325" s="239">
        <v>40.0</v>
      </c>
      <c r="G325" s="240"/>
      <c r="H325" s="17">
        <v>40.0</v>
      </c>
      <c r="I325" s="238">
        <v>46021.0</v>
      </c>
      <c r="J325" s="5" t="s">
        <v>72</v>
      </c>
      <c r="K325" s="5" t="s">
        <v>2216</v>
      </c>
      <c r="L325" s="16"/>
      <c r="M325" s="16"/>
      <c r="N325" s="16"/>
      <c r="O325" s="16"/>
      <c r="P325" s="16"/>
    </row>
    <row r="326" ht="22.5" customHeight="1">
      <c r="A326" s="138" t="s">
        <v>452</v>
      </c>
      <c r="B326" s="16" t="str">
        <f>IF(A326="","",IFERROR(VLOOKUP(A326, Stock_New!A:M, 2, FALSE),""))</f>
        <v>بوكيه</v>
      </c>
      <c r="C326" s="236">
        <v>3.0</v>
      </c>
      <c r="D326" s="16" t="str">
        <f>IF(A326="","",IFERROR(VLOOKUP(A326, Stock_New!A:M, 3, FALSE),""))</f>
        <v>ذكريا</v>
      </c>
      <c r="E326" s="16">
        <f>IF($A326="", "", IFERROR(VLOOKUP($A326, Stock_New!$A:$M, 6, FALSE), ""))</f>
        <v>19.2</v>
      </c>
      <c r="F326" s="239">
        <v>20.0</v>
      </c>
      <c r="G326" s="240"/>
      <c r="H326" s="17">
        <v>60.0</v>
      </c>
      <c r="I326" s="238">
        <v>46021.0</v>
      </c>
      <c r="J326" s="5" t="s">
        <v>72</v>
      </c>
      <c r="K326" s="5" t="s">
        <v>2218</v>
      </c>
      <c r="L326" s="16"/>
      <c r="M326" s="16"/>
      <c r="N326" s="16"/>
      <c r="O326" s="16"/>
      <c r="P326" s="16"/>
    </row>
    <row r="327" ht="22.5" customHeight="1">
      <c r="A327" s="138" t="s">
        <v>74</v>
      </c>
      <c r="B327" s="16" t="str">
        <f>IF(A327="","",IFERROR(VLOOKUP(A327, Stock_New!A:M, 2, FALSE),""))</f>
        <v>سيلفرات</v>
      </c>
      <c r="C327" s="236">
        <v>1.0</v>
      </c>
      <c r="D327" s="16" t="str">
        <f>IF(A327="","",IFERROR(VLOOKUP(A327, Stock_New!A:M, 3, FALSE),""))</f>
        <v>ذكريا</v>
      </c>
      <c r="E327" s="16">
        <f>IF($A327="", "", IFERROR(VLOOKUP($A327, Stock_New!$A:$M, 6, FALSE), ""))</f>
        <v>144</v>
      </c>
      <c r="F327" s="239">
        <v>150.0</v>
      </c>
      <c r="G327" s="240"/>
      <c r="H327" s="17">
        <v>150.0</v>
      </c>
      <c r="I327" s="238">
        <v>46021.0</v>
      </c>
      <c r="J327" s="5" t="s">
        <v>72</v>
      </c>
      <c r="K327" s="5" t="s">
        <v>2224</v>
      </c>
      <c r="L327" s="16"/>
      <c r="M327" s="16"/>
      <c r="N327" s="16"/>
      <c r="O327" s="16"/>
      <c r="P327" s="16"/>
    </row>
    <row r="328" ht="22.5" customHeight="1">
      <c r="A328" s="138" t="s">
        <v>618</v>
      </c>
      <c r="B328" s="16" t="str">
        <f>IF(A328="","",IFERROR(VLOOKUP(A328, Stock_New!A:M, 2, FALSE),""))</f>
        <v>سيلفرات</v>
      </c>
      <c r="C328" s="236">
        <v>1.0</v>
      </c>
      <c r="D328" s="16" t="str">
        <f>IF(A328="","",IFERROR(VLOOKUP(A328, Stock_New!A:M, 3, FALSE),""))</f>
        <v>سنتر محمد رشدي</v>
      </c>
      <c r="E328" s="16">
        <f>IF($A328="", "", IFERROR(VLOOKUP($A328, Stock_New!$A:$M, 6, FALSE), ""))</f>
        <v>169.2</v>
      </c>
      <c r="F328" s="239">
        <v>180.0</v>
      </c>
      <c r="G328" s="240"/>
      <c r="H328" s="17">
        <v>180.0</v>
      </c>
      <c r="I328" s="238">
        <v>46021.0</v>
      </c>
      <c r="J328" s="5" t="s">
        <v>72</v>
      </c>
      <c r="K328" s="5" t="s">
        <v>2226</v>
      </c>
      <c r="L328" s="16"/>
      <c r="M328" s="16"/>
      <c r="N328" s="16"/>
      <c r="O328" s="16"/>
      <c r="P328" s="16"/>
    </row>
    <row r="329" ht="22.5" customHeight="1">
      <c r="A329" s="138" t="s">
        <v>452</v>
      </c>
      <c r="B329" s="16" t="str">
        <f>IF(A329="","",IFERROR(VLOOKUP(A329, Stock_New!A:M, 2, FALSE),""))</f>
        <v>بوكيه</v>
      </c>
      <c r="C329" s="236">
        <v>2.0</v>
      </c>
      <c r="D329" s="16" t="str">
        <f>IF(A329="","",IFERROR(VLOOKUP(A329, Stock_New!A:M, 3, FALSE),""))</f>
        <v>ذكريا</v>
      </c>
      <c r="E329" s="16">
        <f>IF($A329="", "", IFERROR(VLOOKUP($A329, Stock_New!$A:$M, 6, FALSE), ""))</f>
        <v>19.2</v>
      </c>
      <c r="F329" s="239">
        <v>20.0</v>
      </c>
      <c r="G329" s="240"/>
      <c r="H329" s="16">
        <f>(1-Sales_New!$G329)*Sales_New!$F329*Sales_New!$C329</f>
        <v>40</v>
      </c>
      <c r="I329" s="238">
        <v>46021.0</v>
      </c>
      <c r="J329" s="5" t="s">
        <v>72</v>
      </c>
      <c r="K329" s="5" t="s">
        <v>2236</v>
      </c>
      <c r="L329" s="16"/>
      <c r="M329" s="16"/>
      <c r="N329" s="16"/>
      <c r="O329" s="16"/>
      <c r="P329" s="16"/>
    </row>
    <row r="330" ht="22.5" customHeight="1">
      <c r="A330" s="138" t="s">
        <v>625</v>
      </c>
      <c r="B330" s="16" t="str">
        <f>IF(A330="","",IFERROR(VLOOKUP(A330, Stock_New!A:M, 2, FALSE),""))</f>
        <v/>
      </c>
      <c r="C330" s="236">
        <f>0.5</f>
        <v>0.5</v>
      </c>
      <c r="D330" s="16" t="str">
        <f>IF(A330="","",IFERROR(VLOOKUP(A330, Stock_New!A:M, 3, FALSE),""))</f>
        <v>سنتر محمد رشدي</v>
      </c>
      <c r="E330" s="16">
        <f>IF($A330="", "", IFERROR(VLOOKUP($A330, Stock_New!$A:$M, 6, FALSE), ""))</f>
        <v>46.8</v>
      </c>
      <c r="F330" s="239">
        <v>60.0</v>
      </c>
      <c r="G330" s="240"/>
      <c r="H330" s="17">
        <v>30.0</v>
      </c>
      <c r="I330" s="238">
        <v>46387.0</v>
      </c>
      <c r="J330" s="5" t="s">
        <v>72</v>
      </c>
      <c r="K330" s="5" t="s">
        <v>2265</v>
      </c>
      <c r="L330" s="16"/>
      <c r="M330" s="16"/>
      <c r="N330" s="16"/>
      <c r="O330" s="16"/>
      <c r="P330" s="16"/>
    </row>
    <row r="331" ht="22.5" customHeight="1">
      <c r="A331" s="138" t="s">
        <v>584</v>
      </c>
      <c r="B331" s="16" t="str">
        <f>IF(A331="","",IFERROR(VLOOKUP(A331, Stock_New!A:M, 2, FALSE),""))</f>
        <v>بوكيه جاهز</v>
      </c>
      <c r="C331" s="236">
        <v>3.0</v>
      </c>
      <c r="D331" s="16" t="str">
        <f>IF(A331="","",IFERROR(VLOOKUP(A331, Stock_New!A:M, 3, FALSE),""))</f>
        <v>سنتر محمد رشدي</v>
      </c>
      <c r="E331" s="16">
        <f>IF($A331="", "", IFERROR(VLOOKUP($A331, Stock_New!$A:$M, 6, FALSE), ""))</f>
        <v>6</v>
      </c>
      <c r="F331" s="239">
        <v>10.0</v>
      </c>
      <c r="G331" s="240"/>
      <c r="H331" s="16">
        <f>(1-Sales_New!$G331)*Sales_New!$F331*Sales_New!$C331</f>
        <v>30</v>
      </c>
      <c r="I331" s="238">
        <v>46023.0</v>
      </c>
      <c r="J331" s="5" t="s">
        <v>72</v>
      </c>
      <c r="K331" s="5" t="s">
        <v>2238</v>
      </c>
      <c r="L331" s="16"/>
      <c r="M331" s="16"/>
      <c r="N331" s="16"/>
      <c r="O331" s="16"/>
      <c r="P331" s="16"/>
    </row>
    <row r="332" ht="22.5" customHeight="1">
      <c r="A332" s="138" t="s">
        <v>630</v>
      </c>
      <c r="B332" s="16" t="str">
        <f>IF(A332="","",IFERROR(VLOOKUP(A332, Stock_New!A:M, 2, FALSE),""))</f>
        <v>سيلفرات</v>
      </c>
      <c r="C332" s="236">
        <v>1.0</v>
      </c>
      <c r="D332" s="16" t="str">
        <f>IF(A332="","",IFERROR(VLOOKUP(A332, Stock_New!A:M, 3, FALSE),""))</f>
        <v>سنتر محمد رشدي</v>
      </c>
      <c r="E332" s="16">
        <f>IF($A332="", "", IFERROR(VLOOKUP($A332, Stock_New!$A:$M, 6, FALSE), ""))</f>
        <v>192</v>
      </c>
      <c r="F332" s="239">
        <v>200.0</v>
      </c>
      <c r="G332" s="240"/>
      <c r="H332" s="16">
        <f>(1-Sales_New!$G332)*Sales_New!$F332*Sales_New!$C332</f>
        <v>200</v>
      </c>
      <c r="I332" s="238">
        <v>46023.0</v>
      </c>
      <c r="J332" s="5" t="s">
        <v>72</v>
      </c>
      <c r="K332" s="5" t="s">
        <v>2239</v>
      </c>
      <c r="L332" s="16"/>
      <c r="M332" s="16"/>
      <c r="N332" s="16"/>
      <c r="O332" s="16"/>
      <c r="P332" s="16"/>
    </row>
    <row r="333" ht="22.5" customHeight="1">
      <c r="A333" s="138" t="s">
        <v>633</v>
      </c>
      <c r="B333" s="16" t="str">
        <f>IF(A333="","",IFERROR(VLOOKUP(A333, Stock_New!A:M, 2, FALSE),""))</f>
        <v>سيلفرات</v>
      </c>
      <c r="C333" s="236">
        <v>1.0</v>
      </c>
      <c r="D333" s="16" t="str">
        <f>IF(A333="","",IFERROR(VLOOKUP(A333, Stock_New!A:M, 3, FALSE),""))</f>
        <v>سنتر محمد رشدي</v>
      </c>
      <c r="E333" s="16">
        <f>IF($A333="", "", IFERROR(VLOOKUP($A333, Stock_New!$A:$M, 6, FALSE), ""))</f>
        <v>153.6</v>
      </c>
      <c r="F333" s="239">
        <v>170.0</v>
      </c>
      <c r="G333" s="240"/>
      <c r="H333" s="16">
        <f>(1-Sales_New!$G333)*Sales_New!$F333*Sales_New!$C333</f>
        <v>170</v>
      </c>
      <c r="I333" s="238">
        <v>46023.0</v>
      </c>
      <c r="J333" s="5" t="s">
        <v>72</v>
      </c>
      <c r="K333" s="5" t="s">
        <v>2242</v>
      </c>
      <c r="L333" s="16"/>
      <c r="M333" s="16"/>
      <c r="N333" s="16"/>
      <c r="O333" s="16"/>
      <c r="P333" s="16"/>
    </row>
    <row r="334" ht="22.5" customHeight="1">
      <c r="A334" s="138" t="s">
        <v>567</v>
      </c>
      <c r="B334" s="16" t="str">
        <f>IF(A334="","",IFERROR(VLOOKUP(A334, Stock_New!A:M, 2, FALSE),""))</f>
        <v>شمع</v>
      </c>
      <c r="C334" s="236">
        <v>1.0</v>
      </c>
      <c r="D334" s="16" t="str">
        <f>IF(A334="","",IFERROR(VLOOKUP(A334, Stock_New!A:M, 3, FALSE),""))</f>
        <v>سنتر محمد رشدي</v>
      </c>
      <c r="E334" s="16">
        <f>IF($A334="", "", IFERROR(VLOOKUP($A334, Stock_New!$A:$M, 6, FALSE), ""))</f>
        <v>61.2</v>
      </c>
      <c r="F334" s="239">
        <v>75.0</v>
      </c>
      <c r="G334" s="240"/>
      <c r="H334" s="17">
        <v>75.0</v>
      </c>
      <c r="I334" s="238">
        <v>45658.0</v>
      </c>
      <c r="J334" s="5" t="s">
        <v>72</v>
      </c>
      <c r="K334" s="5" t="s">
        <v>2263</v>
      </c>
      <c r="L334" s="16"/>
      <c r="M334" s="16"/>
      <c r="N334" s="16"/>
      <c r="O334" s="16"/>
      <c r="P334" s="16"/>
    </row>
    <row r="335" ht="22.5" customHeight="1">
      <c r="A335" s="138" t="s">
        <v>470</v>
      </c>
      <c r="B335" s="16" t="str">
        <f>IF(A335="","",IFERROR(VLOOKUP(A335, Stock_New!A:M, 2, FALSE),""))</f>
        <v>ورد لوحده</v>
      </c>
      <c r="C335" s="236">
        <v>1.0</v>
      </c>
      <c r="D335" s="16" t="str">
        <f>IF(A335="","",IFERROR(VLOOKUP(A335, Stock_New!A:M, 3, FALSE),""))</f>
        <v>ذكريا</v>
      </c>
      <c r="E335" s="16">
        <f>IF($A335="", "", IFERROR(VLOOKUP($A335, Stock_New!$A:$M, 6, FALSE), ""))</f>
        <v>90</v>
      </c>
      <c r="F335" s="239">
        <v>90.0</v>
      </c>
      <c r="G335" s="240"/>
      <c r="H335" s="5">
        <v>90.0</v>
      </c>
      <c r="I335" s="235"/>
      <c r="J335" s="5" t="s">
        <v>72</v>
      </c>
      <c r="K335" s="5" t="s">
        <v>2251</v>
      </c>
      <c r="L335" s="16"/>
      <c r="M335" s="19" t="s">
        <v>3966</v>
      </c>
      <c r="N335" s="5">
        <v>1110.0</v>
      </c>
      <c r="O335" s="16"/>
      <c r="P335" s="16"/>
    </row>
    <row r="336" ht="22.5" customHeight="1">
      <c r="A336" s="138" t="s">
        <v>412</v>
      </c>
      <c r="B336" s="16" t="str">
        <f>IF(A336="","",IFERROR(VLOOKUP(A336, Stock_New!A:M, 2, FALSE),""))</f>
        <v>سيلفرات</v>
      </c>
      <c r="C336" s="236">
        <v>1.0</v>
      </c>
      <c r="D336" s="16" t="str">
        <f>IF(A336="","",IFERROR(VLOOKUP(A336, Stock_New!A:M, 3, FALSE),""))</f>
        <v>ذكريا</v>
      </c>
      <c r="E336" s="16">
        <f>IF($A336="", "", IFERROR(VLOOKUP($A336, Stock_New!$A:$M, 6, FALSE), ""))</f>
        <v>234</v>
      </c>
      <c r="F336" s="239">
        <v>250.0</v>
      </c>
      <c r="G336" s="240"/>
      <c r="H336" s="17">
        <v>250.0</v>
      </c>
      <c r="I336" s="235"/>
      <c r="J336" s="5" t="s">
        <v>72</v>
      </c>
      <c r="K336" s="5" t="s">
        <v>2253</v>
      </c>
      <c r="L336" s="16"/>
      <c r="M336" s="19" t="s">
        <v>3966</v>
      </c>
      <c r="N336" s="5">
        <v>1110.0</v>
      </c>
      <c r="O336" s="16"/>
      <c r="P336" s="16"/>
    </row>
    <row r="337" ht="22.5" customHeight="1">
      <c r="A337" s="138" t="s">
        <v>416</v>
      </c>
      <c r="B337" s="16" t="str">
        <f>IF(A337="","",IFERROR(VLOOKUP(A337, Stock_New!A:M, 2, FALSE),""))</f>
        <v>ورد لوحده</v>
      </c>
      <c r="C337" s="236">
        <v>1.0</v>
      </c>
      <c r="D337" s="16" t="str">
        <f>IF(A337="","",IFERROR(VLOOKUP(A337, Stock_New!A:M, 3, FALSE),""))</f>
        <v>ذكريا</v>
      </c>
      <c r="E337" s="16">
        <f>IF($A337="", "", IFERROR(VLOOKUP($A337, Stock_New!$A:$M, 6, FALSE), ""))</f>
        <v>36</v>
      </c>
      <c r="F337" s="239">
        <v>50.0</v>
      </c>
      <c r="G337" s="240"/>
      <c r="H337" s="17">
        <v>50.0</v>
      </c>
      <c r="I337" s="235"/>
      <c r="J337" s="5" t="s">
        <v>72</v>
      </c>
      <c r="K337" s="5" t="s">
        <v>2254</v>
      </c>
      <c r="L337" s="16"/>
      <c r="M337" s="19" t="s">
        <v>3966</v>
      </c>
      <c r="N337" s="5">
        <v>1110.0</v>
      </c>
      <c r="O337" s="16"/>
      <c r="P337" s="16"/>
    </row>
    <row r="338" ht="22.5" customHeight="1">
      <c r="A338" s="138" t="s">
        <v>492</v>
      </c>
      <c r="B338" s="16" t="str">
        <f>IF(A338="","",IFERROR(VLOOKUP(A338, Stock_New!A:M, 2, FALSE),""))</f>
        <v>ورد لوحده</v>
      </c>
      <c r="C338" s="236">
        <v>3.0</v>
      </c>
      <c r="D338" s="16" t="str">
        <f>IF(A338="","",IFERROR(VLOOKUP(A338, Stock_New!A:M, 3, FALSE),""))</f>
        <v/>
      </c>
      <c r="E338" s="16">
        <f>IF($A338="", "", IFERROR(VLOOKUP($A338, Stock_New!$A:$M, 6, FALSE), ""))</f>
        <v>25</v>
      </c>
      <c r="F338" s="239">
        <v>25.0</v>
      </c>
      <c r="G338" s="240"/>
      <c r="H338" s="17">
        <v>75.0</v>
      </c>
      <c r="I338" s="235"/>
      <c r="J338" s="5" t="s">
        <v>72</v>
      </c>
      <c r="K338" s="5" t="s">
        <v>2261</v>
      </c>
      <c r="L338" s="16"/>
      <c r="M338" s="19" t="s">
        <v>3966</v>
      </c>
      <c r="N338" s="5">
        <v>1110.0</v>
      </c>
      <c r="O338" s="16"/>
      <c r="P338" s="16"/>
    </row>
    <row r="339" ht="22.5" customHeight="1">
      <c r="A339" s="138" t="s">
        <v>172</v>
      </c>
      <c r="B339" s="16" t="str">
        <f>IF(A339="","",IFERROR(VLOOKUP(A339, Stock_New!A:M, 2, FALSE),""))</f>
        <v>بوكيه</v>
      </c>
      <c r="C339" s="236">
        <v>2.0</v>
      </c>
      <c r="D339" s="16" t="str">
        <f>IF(A339="","",IFERROR(VLOOKUP(A339, Stock_New!A:M, 3, FALSE),""))</f>
        <v>ذكريا</v>
      </c>
      <c r="E339" s="16">
        <f>IF($A339="", "", IFERROR(VLOOKUP($A339, Stock_New!$A:$M, 6, FALSE), ""))</f>
        <v>33.84</v>
      </c>
      <c r="F339" s="239">
        <v>40.0</v>
      </c>
      <c r="G339" s="240"/>
      <c r="H339" s="17">
        <v>80.0</v>
      </c>
      <c r="I339" s="235"/>
      <c r="J339" s="5" t="s">
        <v>72</v>
      </c>
      <c r="K339" s="5" t="s">
        <v>2255</v>
      </c>
      <c r="L339" s="16"/>
      <c r="M339" s="19" t="s">
        <v>3966</v>
      </c>
      <c r="N339" s="5">
        <v>1110.0</v>
      </c>
      <c r="O339" s="16"/>
      <c r="P339" s="16"/>
    </row>
    <row r="340" ht="22.5" customHeight="1">
      <c r="A340" s="138" t="s">
        <v>404</v>
      </c>
      <c r="B340" s="16" t="str">
        <f>IF(A340="","",IFERROR(VLOOKUP(A340, Stock_New!A:M, 2, FALSE),""))</f>
        <v>بوتات</v>
      </c>
      <c r="C340" s="236">
        <v>1.0</v>
      </c>
      <c r="D340" s="16" t="str">
        <f>IF(A340="","",IFERROR(VLOOKUP(A340, Stock_New!A:M, 3, FALSE),""))</f>
        <v>ذكريا</v>
      </c>
      <c r="E340" s="16">
        <f>IF($A340="", "", IFERROR(VLOOKUP($A340, Stock_New!$A:$M, 6, FALSE), ""))</f>
        <v>90</v>
      </c>
      <c r="F340" s="239">
        <v>100.0</v>
      </c>
      <c r="G340" s="240"/>
      <c r="H340" s="17">
        <v>100.0</v>
      </c>
      <c r="I340" s="235"/>
      <c r="J340" s="5" t="s">
        <v>72</v>
      </c>
      <c r="K340" s="5" t="s">
        <v>2256</v>
      </c>
      <c r="L340" s="16"/>
      <c r="M340" s="19" t="s">
        <v>3966</v>
      </c>
      <c r="N340" s="5">
        <v>1110.0</v>
      </c>
      <c r="O340" s="16"/>
      <c r="P340" s="16"/>
    </row>
    <row r="341" ht="22.5" customHeight="1">
      <c r="A341" s="138" t="s">
        <v>357</v>
      </c>
      <c r="B341" s="16" t="str">
        <f>IF(A341="","",IFERROR(VLOOKUP(A341, Stock_New!A:M, 2, FALSE),""))</f>
        <v>ورد لوحده</v>
      </c>
      <c r="C341" s="236">
        <v>1.0</v>
      </c>
      <c r="D341" s="16" t="str">
        <f>IF(A341="","",IFERROR(VLOOKUP(A341, Stock_New!A:M, 3, FALSE),""))</f>
        <v>ذكريا</v>
      </c>
      <c r="E341" s="16">
        <f>IF($A341="", "", IFERROR(VLOOKUP($A341, Stock_New!$A:$M, 6, FALSE), ""))</f>
        <v>270</v>
      </c>
      <c r="F341" s="239">
        <v>350.0</v>
      </c>
      <c r="G341" s="240"/>
      <c r="H341" s="17">
        <v>350.0</v>
      </c>
      <c r="I341" s="235"/>
      <c r="J341" s="5" t="s">
        <v>72</v>
      </c>
      <c r="K341" s="5" t="s">
        <v>2257</v>
      </c>
      <c r="L341" s="16"/>
      <c r="M341" s="19" t="s">
        <v>3966</v>
      </c>
      <c r="N341" s="5">
        <v>1110.0</v>
      </c>
      <c r="O341" s="16"/>
      <c r="P341" s="16"/>
    </row>
    <row r="342" ht="22.5" customHeight="1">
      <c r="A342" s="138" t="s">
        <v>297</v>
      </c>
      <c r="B342" s="16" t="str">
        <f>IF(A342="","",IFERROR(VLOOKUP(A342, Stock_New!A:M, 2, FALSE),""))</f>
        <v>ورد لوحده</v>
      </c>
      <c r="C342" s="236">
        <v>1.0</v>
      </c>
      <c r="D342" s="16" t="str">
        <f>IF(A342="","",IFERROR(VLOOKUP(A342, Stock_New!A:M, 3, FALSE),""))</f>
        <v>ذكريا</v>
      </c>
      <c r="E342" s="16">
        <f>IF($A342="", "", IFERROR(VLOOKUP($A342, Stock_New!$A:$M, 6, FALSE), ""))</f>
        <v>36</v>
      </c>
      <c r="F342" s="239">
        <v>30.0</v>
      </c>
      <c r="G342" s="240"/>
      <c r="H342" s="17">
        <v>30.0</v>
      </c>
      <c r="I342" s="235"/>
      <c r="J342" s="5" t="s">
        <v>72</v>
      </c>
      <c r="K342" s="5" t="s">
        <v>2258</v>
      </c>
      <c r="L342" s="16"/>
      <c r="M342" s="19" t="s">
        <v>3966</v>
      </c>
      <c r="N342" s="5">
        <v>1110.0</v>
      </c>
      <c r="O342" s="16"/>
      <c r="P342" s="16"/>
    </row>
    <row r="343" ht="22.5" customHeight="1">
      <c r="A343" s="138" t="s">
        <v>505</v>
      </c>
      <c r="B343" s="16" t="str">
        <f>IF(A343="","",IFERROR(VLOOKUP(A343, Stock_New!A:M, 2, FALSE),""))</f>
        <v>مطبخ</v>
      </c>
      <c r="C343" s="236">
        <v>1.0</v>
      </c>
      <c r="D343" s="16" t="str">
        <f>IF(A343="","",IFERROR(VLOOKUP(A343, Stock_New!A:M, 3, FALSE),""))</f>
        <v>احمد اشرف جاليري</v>
      </c>
      <c r="E343" s="16">
        <f>IF($A343="", "", IFERROR(VLOOKUP($A343, Stock_New!$A:$M, 6, FALSE), ""))</f>
        <v>198</v>
      </c>
      <c r="F343" s="239">
        <v>175.0</v>
      </c>
      <c r="G343" s="240"/>
      <c r="H343" s="17">
        <v>175.0</v>
      </c>
      <c r="I343" s="235"/>
      <c r="J343" s="5" t="s">
        <v>72</v>
      </c>
      <c r="K343" s="5" t="s">
        <v>2260</v>
      </c>
      <c r="L343" s="16"/>
      <c r="M343" s="19" t="s">
        <v>3966</v>
      </c>
      <c r="N343" s="5">
        <v>1110.0</v>
      </c>
      <c r="O343" s="16"/>
      <c r="P343" s="16"/>
    </row>
    <row r="344" ht="22.5" customHeight="1">
      <c r="A344" s="138" t="s">
        <v>452</v>
      </c>
      <c r="B344" s="16" t="str">
        <f>IF(A344="","",IFERROR(VLOOKUP(A344, Stock_New!A:M, 2, FALSE),""))</f>
        <v>بوكيه</v>
      </c>
      <c r="C344" s="236">
        <v>1.0</v>
      </c>
      <c r="D344" s="16" t="str">
        <f>IF(A344="","",IFERROR(VLOOKUP(A344, Stock_New!A:M, 3, FALSE),""))</f>
        <v>ذكريا</v>
      </c>
      <c r="E344" s="16">
        <f>IF($A344="", "", IFERROR(VLOOKUP($A344, Stock_New!$A:$M, 6, FALSE), ""))</f>
        <v>19.2</v>
      </c>
      <c r="F344" s="239">
        <v>20.0</v>
      </c>
      <c r="G344" s="240"/>
      <c r="H344" s="17">
        <v>20.0</v>
      </c>
      <c r="I344" s="238">
        <v>46024.0</v>
      </c>
      <c r="J344" s="5" t="s">
        <v>72</v>
      </c>
      <c r="K344" s="5" t="s">
        <v>2269</v>
      </c>
      <c r="L344" s="16"/>
      <c r="M344" s="16"/>
      <c r="N344" s="16"/>
      <c r="O344" s="16"/>
      <c r="P344" s="16"/>
    </row>
    <row r="345" ht="22.5" customHeight="1">
      <c r="A345" s="138" t="s">
        <v>268</v>
      </c>
      <c r="B345" s="16" t="str">
        <f>IF(A345="","",IFERROR(VLOOKUP(A345, Stock_New!A:M, 2, FALSE),""))</f>
        <v>سيلفرات</v>
      </c>
      <c r="C345" s="236">
        <v>1.0</v>
      </c>
      <c r="D345" s="16" t="str">
        <f>IF(A345="","",IFERROR(VLOOKUP(A345, Stock_New!A:M, 3, FALSE),""))</f>
        <v>شركة حسين علي</v>
      </c>
      <c r="E345" s="16">
        <f>IF($A345="", "", IFERROR(VLOOKUP($A345, Stock_New!$A:$M, 6, FALSE), ""))</f>
        <v>214.5</v>
      </c>
      <c r="F345" s="239">
        <v>200.0</v>
      </c>
      <c r="G345" s="240"/>
      <c r="H345" s="17">
        <v>200.0</v>
      </c>
      <c r="I345" s="238">
        <v>46026.0</v>
      </c>
      <c r="J345" s="5" t="s">
        <v>72</v>
      </c>
      <c r="K345" s="5" t="s">
        <v>2271</v>
      </c>
      <c r="L345" s="16"/>
      <c r="M345" s="16"/>
      <c r="N345" s="16"/>
      <c r="O345" s="16"/>
      <c r="P345" s="16"/>
    </row>
    <row r="346" ht="22.5" customHeight="1">
      <c r="A346" s="138" t="s">
        <v>255</v>
      </c>
      <c r="B346" s="16" t="str">
        <f>IF(A346="","",IFERROR(VLOOKUP(A346, Stock_New!A:M, 2, FALSE),""))</f>
        <v>بوتات</v>
      </c>
      <c r="C346" s="236">
        <v>1.0</v>
      </c>
      <c r="D346" s="16" t="str">
        <f>IF(A346="","",IFERROR(VLOOKUP(A346, Stock_New!A:M, 3, FALSE),""))</f>
        <v>manufactured</v>
      </c>
      <c r="E346" s="16">
        <f>IF($A346="", "", IFERROR(VLOOKUP($A346, Stock_New!$A:$M, 6, FALSE), ""))</f>
        <v>27.3</v>
      </c>
      <c r="F346" s="239">
        <v>50.0</v>
      </c>
      <c r="G346" s="240"/>
      <c r="H346" s="17">
        <v>50.0</v>
      </c>
      <c r="I346" s="238">
        <v>46026.0</v>
      </c>
      <c r="J346" s="5" t="s">
        <v>72</v>
      </c>
      <c r="K346" s="5" t="s">
        <v>2273</v>
      </c>
      <c r="L346" s="16"/>
      <c r="M346" s="16"/>
      <c r="N346" s="16"/>
      <c r="O346" s="16"/>
      <c r="P346" s="16"/>
    </row>
    <row r="347" ht="22.5" customHeight="1">
      <c r="A347" s="138" t="s">
        <v>638</v>
      </c>
      <c r="B347" s="16" t="str">
        <f>IF(A347="","",IFERROR(VLOOKUP(A347, Stock_New!A:M, 2, FALSE),""))</f>
        <v>ورد لوحدة</v>
      </c>
      <c r="C347" s="236">
        <v>1.0</v>
      </c>
      <c r="D347" s="16" t="str">
        <f>IF(A347="","",IFERROR(VLOOKUP(A347, Stock_New!A:M, 3, FALSE),""))</f>
        <v>شركة الفرسان</v>
      </c>
      <c r="E347" s="16">
        <f>IF($A347="", "", IFERROR(VLOOKUP($A347, Stock_New!$A:$M, 6, FALSE), ""))</f>
        <v>120</v>
      </c>
      <c r="F347" s="239">
        <v>130.0</v>
      </c>
      <c r="G347" s="240"/>
      <c r="H347" s="17">
        <v>130.0</v>
      </c>
      <c r="I347" s="238">
        <v>46026.0</v>
      </c>
      <c r="J347" s="5" t="s">
        <v>72</v>
      </c>
      <c r="K347" s="5" t="s">
        <v>2274</v>
      </c>
      <c r="L347" s="16"/>
      <c r="M347" s="16"/>
      <c r="N347" s="16"/>
      <c r="O347" s="16"/>
      <c r="P347" s="16"/>
    </row>
    <row r="348" ht="22.5" customHeight="1">
      <c r="A348" s="138" t="s">
        <v>356</v>
      </c>
      <c r="B348" s="16" t="str">
        <f>IF(A348="","",IFERROR(VLOOKUP(A348, Stock_New!A:M, 2, FALSE),""))</f>
        <v>ورد لوحدة</v>
      </c>
      <c r="C348" s="236">
        <v>1.0</v>
      </c>
      <c r="D348" s="16" t="str">
        <f>IF(A348="","",IFERROR(VLOOKUP(A348, Stock_New!A:M, 3, FALSE),""))</f>
        <v>شركة الفرسان</v>
      </c>
      <c r="E348" s="16">
        <f>IF($A348="", "", IFERROR(VLOOKUP($A348, Stock_New!$A:$M, 6, FALSE), ""))</f>
        <v>102</v>
      </c>
      <c r="F348" s="239">
        <v>100.0</v>
      </c>
      <c r="G348" s="240"/>
      <c r="H348" s="17">
        <v>100.0</v>
      </c>
      <c r="I348" s="238">
        <v>46027.0</v>
      </c>
      <c r="J348" s="5" t="s">
        <v>72</v>
      </c>
      <c r="K348" s="5" t="s">
        <v>2277</v>
      </c>
      <c r="L348" s="16"/>
      <c r="M348" s="19" t="s">
        <v>4057</v>
      </c>
      <c r="N348" s="16"/>
      <c r="O348" s="16"/>
      <c r="P348" s="16"/>
    </row>
    <row r="349" ht="22.5" customHeight="1">
      <c r="A349" s="138" t="s">
        <v>464</v>
      </c>
      <c r="B349" s="16" t="str">
        <f>IF(A349="","",IFERROR(VLOOKUP(A349, Stock_New!A:M, 2, FALSE),""))</f>
        <v>بوكيه</v>
      </c>
      <c r="C349" s="236">
        <v>1.0</v>
      </c>
      <c r="D349" s="16" t="str">
        <f>IF(A349="","",IFERROR(VLOOKUP(A349, Stock_New!A:M, 3, FALSE),""))</f>
        <v>ذكريا</v>
      </c>
      <c r="E349" s="16">
        <f>IF($A349="", "", IFERROR(VLOOKUP($A349, Stock_New!$A:$M, 6, FALSE), ""))</f>
        <v>162</v>
      </c>
      <c r="F349" s="239">
        <v>135.0</v>
      </c>
      <c r="G349" s="240"/>
      <c r="H349" s="17">
        <v>135.0</v>
      </c>
      <c r="I349" s="238">
        <v>46027.0</v>
      </c>
      <c r="J349" s="5" t="s">
        <v>72</v>
      </c>
      <c r="K349" s="5" t="s">
        <v>2280</v>
      </c>
      <c r="L349" s="16"/>
      <c r="M349" s="19" t="s">
        <v>4057</v>
      </c>
      <c r="N349" s="16"/>
      <c r="O349" s="16"/>
      <c r="P349" s="16"/>
    </row>
    <row r="350" ht="22.5" customHeight="1">
      <c r="A350" s="138" t="s">
        <v>194</v>
      </c>
      <c r="B350" s="16" t="str">
        <f>IF(A350="","",IFERROR(VLOOKUP(A350, Stock_New!A:M, 2, FALSE),""))</f>
        <v>بوتات</v>
      </c>
      <c r="C350" s="236">
        <v>1.0</v>
      </c>
      <c r="D350" s="16" t="str">
        <f>IF(A350="","",IFERROR(VLOOKUP(A350, Stock_New!A:M, 3, FALSE),""))</f>
        <v>ذكريا</v>
      </c>
      <c r="E350" s="16">
        <f>IF($A350="", "", IFERROR(VLOOKUP($A350, Stock_New!$A:$M, 6, FALSE), ""))</f>
        <v>197</v>
      </c>
      <c r="F350" s="239">
        <v>185.0</v>
      </c>
      <c r="G350" s="240"/>
      <c r="H350" s="17">
        <v>185.0</v>
      </c>
      <c r="I350" s="238">
        <v>46027.0</v>
      </c>
      <c r="J350" s="5" t="s">
        <v>72</v>
      </c>
      <c r="K350" s="5" t="s">
        <v>2281</v>
      </c>
      <c r="L350" s="16"/>
      <c r="M350" s="19" t="s">
        <v>4057</v>
      </c>
      <c r="N350" s="16"/>
      <c r="O350" s="16"/>
      <c r="P350" s="16"/>
    </row>
    <row r="351" ht="22.5" customHeight="1">
      <c r="A351" s="138" t="s">
        <v>302</v>
      </c>
      <c r="B351" s="16" t="str">
        <f>IF(A351="","",IFERROR(VLOOKUP(A351, Stock_New!A:M, 2, FALSE),""))</f>
        <v>بلاستيك</v>
      </c>
      <c r="C351" s="236">
        <v>6.0</v>
      </c>
      <c r="D351" s="16" t="str">
        <f>IF(A351="","",IFERROR(VLOOKUP(A351, Stock_New!A:M, 3, FALSE),""))</f>
        <v>ذكريا</v>
      </c>
      <c r="E351" s="16">
        <f>IF($A351="", "", IFERROR(VLOOKUP($A351, Stock_New!$A:$M, 6, FALSE), ""))</f>
        <v>21.6</v>
      </c>
      <c r="F351" s="239">
        <v>25.0</v>
      </c>
      <c r="G351" s="240"/>
      <c r="H351" s="17">
        <v>150.0</v>
      </c>
      <c r="I351" s="238">
        <v>46029.0</v>
      </c>
      <c r="J351" s="5" t="s">
        <v>72</v>
      </c>
      <c r="K351" s="5" t="s">
        <v>2283</v>
      </c>
      <c r="L351" s="16"/>
      <c r="M351" s="19"/>
      <c r="N351" s="16"/>
      <c r="O351" s="16"/>
      <c r="P351" s="16"/>
    </row>
    <row r="352" ht="22.5" customHeight="1">
      <c r="A352" s="138" t="s">
        <v>645</v>
      </c>
      <c r="B352" s="16" t="str">
        <f>IF(A352="","",IFERROR(VLOOKUP(A352, Stock_New!A:M, 2, FALSE),""))</f>
        <v>بوكيه</v>
      </c>
      <c r="C352" s="236">
        <v>2.0</v>
      </c>
      <c r="D352" s="16" t="str">
        <f>IF(A352="","",IFERROR(VLOOKUP(A352, Stock_New!A:M, 3, FALSE),""))</f>
        <v>المهندس</v>
      </c>
      <c r="E352" s="16">
        <f>IF($A352="", "", IFERROR(VLOOKUP($A352, Stock_New!$A:$M, 6, FALSE), ""))</f>
        <v>20.4</v>
      </c>
      <c r="F352" s="239">
        <v>25.0</v>
      </c>
      <c r="G352" s="240"/>
      <c r="H352" s="17">
        <v>50.0</v>
      </c>
      <c r="I352" s="238">
        <v>46032.0</v>
      </c>
      <c r="J352" s="5" t="s">
        <v>72</v>
      </c>
      <c r="K352" s="5" t="s">
        <v>2285</v>
      </c>
      <c r="L352" s="16"/>
      <c r="M352" s="16"/>
      <c r="N352" s="16"/>
      <c r="O352" s="16"/>
      <c r="P352" s="16"/>
    </row>
    <row r="353" ht="22.5" customHeight="1">
      <c r="A353" s="138" t="s">
        <v>650</v>
      </c>
      <c r="B353" s="16" t="str">
        <f>IF(A353="","",IFERROR(VLOOKUP(A353, Stock_New!A:M, 2, FALSE),""))</f>
        <v>كهربائيات</v>
      </c>
      <c r="C353" s="236">
        <v>1.0</v>
      </c>
      <c r="D353" s="16" t="str">
        <f>IF(A353="","",IFERROR(VLOOKUP(A353, Stock_New!A:M, 3, FALSE),""))</f>
        <v>سنتر محمد رشدي</v>
      </c>
      <c r="E353" s="16">
        <f>IF($A353="", "", IFERROR(VLOOKUP($A353, Stock_New!$A:$M, 6, FALSE), ""))</f>
        <v>148.8</v>
      </c>
      <c r="F353" s="239">
        <v>150.0</v>
      </c>
      <c r="G353" s="240"/>
      <c r="H353" s="17">
        <v>150.0</v>
      </c>
      <c r="I353" s="238">
        <v>46032.0</v>
      </c>
      <c r="J353" s="5" t="s">
        <v>72</v>
      </c>
      <c r="K353" s="5" t="s">
        <v>2289</v>
      </c>
      <c r="L353" s="16"/>
      <c r="M353" s="16"/>
      <c r="N353" s="16"/>
      <c r="O353" s="16"/>
      <c r="P353" s="16"/>
    </row>
    <row r="354" ht="22.5" customHeight="1">
      <c r="A354" s="138" t="s">
        <v>94</v>
      </c>
      <c r="B354" s="16" t="str">
        <f>IF(A354="","",IFERROR(VLOOKUP(A354, Stock_New!A:M, 2, FALSE),""))</f>
        <v>شجر</v>
      </c>
      <c r="C354" s="236">
        <v>1.0</v>
      </c>
      <c r="D354" s="16" t="str">
        <f>IF(A354="","",IFERROR(VLOOKUP(A354, Stock_New!A:M, 3, FALSE),""))</f>
        <v>ذكريا</v>
      </c>
      <c r="E354" s="16">
        <f>IF($A354="", "", IFERROR(VLOOKUP($A354, Stock_New!$A:$M, 6, FALSE), ""))</f>
        <v>690</v>
      </c>
      <c r="F354" s="239">
        <v>600.0</v>
      </c>
      <c r="G354" s="240"/>
      <c r="H354" s="17">
        <v>600.0</v>
      </c>
      <c r="I354" s="235"/>
      <c r="J354" s="5" t="s">
        <v>72</v>
      </c>
      <c r="K354" s="5" t="s">
        <v>2292</v>
      </c>
      <c r="L354" s="16"/>
      <c r="M354" s="19" t="s">
        <v>4109</v>
      </c>
      <c r="N354" s="16">
        <f t="shared" ref="N354:N355" si="11">800-100-100-100-100</f>
        <v>400</v>
      </c>
      <c r="O354" s="16"/>
      <c r="P354" s="16"/>
    </row>
    <row r="355" ht="22.5" customHeight="1">
      <c r="A355" s="138" t="s">
        <v>562</v>
      </c>
      <c r="B355" s="16" t="str">
        <f>IF(A355="","",IFERROR(VLOOKUP(A355, Stock_New!A:M, 2, FALSE),""))</f>
        <v>بوتات</v>
      </c>
      <c r="C355" s="236">
        <v>1.0</v>
      </c>
      <c r="D355" s="16" t="str">
        <f>IF(A355="","",IFERROR(VLOOKUP(A355, Stock_New!A:M, 3, FALSE),""))</f>
        <v>ذكريا</v>
      </c>
      <c r="E355" s="16">
        <f>IF($A355="", "", IFERROR(VLOOKUP($A355, Stock_New!$A:$M, 6, FALSE), ""))</f>
        <v>210</v>
      </c>
      <c r="F355" s="239">
        <v>200.0</v>
      </c>
      <c r="G355" s="240"/>
      <c r="H355" s="17">
        <v>200.0</v>
      </c>
      <c r="I355" s="235"/>
      <c r="J355" s="5" t="s">
        <v>72</v>
      </c>
      <c r="K355" s="5" t="s">
        <v>2295</v>
      </c>
      <c r="L355" s="16"/>
      <c r="M355" s="19" t="s">
        <v>4109</v>
      </c>
      <c r="N355" s="16">
        <f t="shared" si="11"/>
        <v>400</v>
      </c>
      <c r="O355" s="16"/>
      <c r="P355" s="16"/>
    </row>
    <row r="356" ht="22.5" customHeight="1">
      <c r="A356" s="138" t="s">
        <v>660</v>
      </c>
      <c r="B356" s="16" t="str">
        <f>IF(A356="","",IFERROR(VLOOKUP(A356, Stock_New!A:M, 2, FALSE),""))</f>
        <v>كهربائيات</v>
      </c>
      <c r="C356" s="236">
        <v>1.0</v>
      </c>
      <c r="D356" s="16" t="str">
        <f>IF(A356="","",IFERROR(VLOOKUP(A356, Stock_New!A:M, 3, FALSE),""))</f>
        <v>سنتر محمد رشدي</v>
      </c>
      <c r="E356" s="16">
        <f>IF($A356="", "", IFERROR(VLOOKUP($A356, Stock_New!$A:$M, 6, FALSE), ""))</f>
        <v>156</v>
      </c>
      <c r="F356" s="239">
        <v>160.0</v>
      </c>
      <c r="G356" s="240"/>
      <c r="H356" s="17">
        <v>160.0</v>
      </c>
      <c r="I356" s="238">
        <v>46033.0</v>
      </c>
      <c r="J356" s="5" t="s">
        <v>72</v>
      </c>
      <c r="K356" s="5" t="s">
        <v>2298</v>
      </c>
      <c r="L356" s="16"/>
      <c r="M356" s="16"/>
      <c r="N356" s="16"/>
      <c r="O356" s="16"/>
      <c r="P356" s="16"/>
    </row>
    <row r="357" ht="22.5" customHeight="1">
      <c r="A357" s="138" t="s">
        <v>549</v>
      </c>
      <c r="B357" s="16" t="str">
        <f>IF(A357="","",IFERROR(VLOOKUP(A357, Stock_New!A:M, 2, FALSE),""))</f>
        <v>بخور</v>
      </c>
      <c r="C357" s="236">
        <v>1.0</v>
      </c>
      <c r="D357" s="16" t="str">
        <f>IF(A357="","",IFERROR(VLOOKUP(A357, Stock_New!A:M, 3, FALSE),""))</f>
        <v>سنتر محمد رشدي</v>
      </c>
      <c r="E357" s="16">
        <f>IF($A357="", "", IFERROR(VLOOKUP($A357, Stock_New!$A:$M, 6, FALSE), ""))</f>
        <v>21</v>
      </c>
      <c r="F357" s="239">
        <v>25.0</v>
      </c>
      <c r="G357" s="240"/>
      <c r="H357" s="17">
        <v>25.0</v>
      </c>
      <c r="I357" s="238">
        <v>46033.0</v>
      </c>
      <c r="J357" s="5" t="s">
        <v>72</v>
      </c>
      <c r="K357" s="5" t="s">
        <v>2301</v>
      </c>
      <c r="L357" s="16"/>
      <c r="M357" s="16"/>
      <c r="N357" s="16"/>
      <c r="O357" s="16"/>
      <c r="P357" s="16"/>
    </row>
    <row r="358" ht="22.5" customHeight="1">
      <c r="A358" s="138" t="s">
        <v>29</v>
      </c>
      <c r="B358" s="16" t="str">
        <f>IF(A358="","",IFERROR(VLOOKUP(A358, Stock_New!A:M, 2, FALSE),""))</f>
        <v>شجر صناعي</v>
      </c>
      <c r="C358" s="236">
        <v>1.0</v>
      </c>
      <c r="D358" s="16" t="str">
        <f>IF(A358="","",IFERROR(VLOOKUP(A358, Stock_New!A:M, 3, FALSE),""))</f>
        <v>manufactured</v>
      </c>
      <c r="E358" s="16">
        <f>IF($A358="", "", IFERROR(VLOOKUP($A358, Stock_New!$A:$M, 6, FALSE), ""))</f>
        <v>124.5</v>
      </c>
      <c r="F358" s="239">
        <v>250.0</v>
      </c>
      <c r="G358" s="240"/>
      <c r="H358" s="17">
        <v>250.0</v>
      </c>
      <c r="I358" s="238">
        <v>46034.0</v>
      </c>
      <c r="J358" s="5" t="s">
        <v>72</v>
      </c>
      <c r="K358" s="5" t="s">
        <v>2302</v>
      </c>
      <c r="L358" s="16"/>
      <c r="M358" s="16"/>
      <c r="N358" s="16"/>
      <c r="O358" s="16"/>
      <c r="P358" s="16"/>
    </row>
    <row r="359" ht="22.5" customHeight="1">
      <c r="A359" s="138" t="s">
        <v>645</v>
      </c>
      <c r="B359" s="16" t="str">
        <f>IF(A359="","",IFERROR(VLOOKUP(A359, Stock_New!A:M, 2, FALSE),""))</f>
        <v>بوكيه</v>
      </c>
      <c r="C359" s="236">
        <v>4.0</v>
      </c>
      <c r="D359" s="16" t="str">
        <f>IF(A359="","",IFERROR(VLOOKUP(A359, Stock_New!A:M, 3, FALSE),""))</f>
        <v>المهندس</v>
      </c>
      <c r="E359" s="16">
        <f>IF($A359="", "", IFERROR(VLOOKUP($A359, Stock_New!$A:$M, 6, FALSE), ""))</f>
        <v>20.4</v>
      </c>
      <c r="F359" s="239">
        <v>25.0</v>
      </c>
      <c r="G359" s="240"/>
      <c r="H359" s="17">
        <v>100.0</v>
      </c>
      <c r="I359" s="238">
        <v>46034.0</v>
      </c>
      <c r="J359" s="5" t="s">
        <v>72</v>
      </c>
      <c r="K359" s="5" t="s">
        <v>2305</v>
      </c>
      <c r="L359" s="16"/>
      <c r="M359" s="16"/>
      <c r="N359" s="16"/>
      <c r="O359" s="16"/>
      <c r="P359" s="16"/>
    </row>
    <row r="360" ht="22.5" customHeight="1">
      <c r="A360" s="138" t="s">
        <v>287</v>
      </c>
      <c r="B360" s="16" t="str">
        <f>IF(A360="","",IFERROR(VLOOKUP(A360, Stock_New!A:M, 2, FALSE),""))</f>
        <v>بوكيه</v>
      </c>
      <c r="C360" s="236">
        <v>2.0</v>
      </c>
      <c r="D360" s="16" t="str">
        <f>IF(A360="","",IFERROR(VLOOKUP(A360, Stock_New!A:M, 3, FALSE),""))</f>
        <v>ذكريا</v>
      </c>
      <c r="E360" s="16">
        <f>IF($A360="", "", IFERROR(VLOOKUP($A360, Stock_New!$A:$M, 6, FALSE), ""))</f>
        <v>54</v>
      </c>
      <c r="F360" s="239">
        <v>50.0</v>
      </c>
      <c r="G360" s="240"/>
      <c r="H360" s="17">
        <v>100.0</v>
      </c>
      <c r="I360" s="238">
        <v>46034.0</v>
      </c>
      <c r="J360" s="5" t="s">
        <v>72</v>
      </c>
      <c r="K360" s="5" t="s">
        <v>2306</v>
      </c>
      <c r="L360" s="16"/>
      <c r="M360" s="16"/>
      <c r="N360" s="16"/>
      <c r="O360" s="16"/>
      <c r="P360" s="16"/>
    </row>
    <row r="361" ht="22.5" customHeight="1">
      <c r="A361" s="138" t="s">
        <v>645</v>
      </c>
      <c r="B361" s="16" t="str">
        <f>IF(A361="","",IFERROR(VLOOKUP(A361, Stock_New!A:M, 2, FALSE),""))</f>
        <v>بوكيه</v>
      </c>
      <c r="C361" s="236">
        <v>4.0</v>
      </c>
      <c r="D361" s="16" t="str">
        <f>IF(A361="","",IFERROR(VLOOKUP(A361, Stock_New!A:M, 3, FALSE),""))</f>
        <v>المهندس</v>
      </c>
      <c r="E361" s="16">
        <f>IF($A361="", "", IFERROR(VLOOKUP($A361, Stock_New!$A:$M, 6, FALSE), ""))</f>
        <v>20.4</v>
      </c>
      <c r="F361" s="239">
        <v>25.0</v>
      </c>
      <c r="G361" s="240"/>
      <c r="H361" s="17">
        <v>100.0</v>
      </c>
      <c r="I361" s="238">
        <v>46035.0</v>
      </c>
      <c r="J361" s="5" t="s">
        <v>72</v>
      </c>
      <c r="K361" s="5" t="s">
        <v>2308</v>
      </c>
      <c r="L361" s="16"/>
      <c r="M361" s="16"/>
      <c r="N361" s="16"/>
      <c r="O361" s="16"/>
      <c r="P361" s="16"/>
    </row>
    <row r="362" ht="22.5" customHeight="1">
      <c r="A362" s="138" t="s">
        <v>452</v>
      </c>
      <c r="B362" s="16" t="str">
        <f>IF(A362="","",IFERROR(VLOOKUP(A362, Stock_New!A:M, 2, FALSE),""))</f>
        <v>بوكيه</v>
      </c>
      <c r="C362" s="236">
        <v>1.0</v>
      </c>
      <c r="D362" s="16" t="str">
        <f>IF(A362="","",IFERROR(VLOOKUP(A362, Stock_New!A:M, 3, FALSE),""))</f>
        <v>ذكريا</v>
      </c>
      <c r="E362" s="16">
        <f>IF($A362="", "", IFERROR(VLOOKUP($A362, Stock_New!$A:$M, 6, FALSE), ""))</f>
        <v>19.2</v>
      </c>
      <c r="F362" s="241">
        <v>20.0</v>
      </c>
      <c r="G362" s="241"/>
      <c r="H362" s="17">
        <v>20.0</v>
      </c>
      <c r="I362" s="238">
        <v>46035.0</v>
      </c>
      <c r="J362" s="5" t="s">
        <v>72</v>
      </c>
      <c r="K362" s="5" t="s">
        <v>2310</v>
      </c>
      <c r="L362" s="16"/>
      <c r="M362" s="16"/>
      <c r="N362" s="16"/>
      <c r="O362" s="16"/>
      <c r="P362" s="16"/>
    </row>
    <row r="363" ht="22.5" customHeight="1">
      <c r="A363" s="138" t="s">
        <v>351</v>
      </c>
      <c r="B363" s="16" t="str">
        <f>IF(A363="","",IFERROR(VLOOKUP(A363, Stock_New!A:M, 2, FALSE),""))</f>
        <v>سيلفرات</v>
      </c>
      <c r="C363" s="236">
        <v>1.0</v>
      </c>
      <c r="D363" s="16" t="str">
        <f>IF(A363="","",IFERROR(VLOOKUP(A363, Stock_New!A:M, 3, FALSE),""))</f>
        <v>ذكريا</v>
      </c>
      <c r="E363" s="16">
        <f>IF($A363="", "", IFERROR(VLOOKUP($A363, Stock_New!$A:$M, 6, FALSE), ""))</f>
        <v>144</v>
      </c>
      <c r="F363" s="239">
        <v>150.0</v>
      </c>
      <c r="G363" s="240"/>
      <c r="H363" s="17">
        <v>150.0</v>
      </c>
      <c r="I363" s="238">
        <v>46036.0</v>
      </c>
      <c r="J363" s="5" t="s">
        <v>72</v>
      </c>
      <c r="K363" s="5" t="s">
        <v>2311</v>
      </c>
      <c r="L363" s="16"/>
      <c r="M363" s="16"/>
      <c r="N363" s="16"/>
      <c r="O363" s="16"/>
      <c r="P363" s="16"/>
    </row>
    <row r="364" ht="22.5" customHeight="1">
      <c r="A364" s="138" t="s">
        <v>668</v>
      </c>
      <c r="B364" s="16" t="str">
        <f>IF(A364="","",IFERROR(VLOOKUP(A364, Stock_New!A:M, 2, FALSE),""))</f>
        <v>سيلفرات</v>
      </c>
      <c r="C364" s="236">
        <v>1.0</v>
      </c>
      <c r="D364" s="16" t="str">
        <f>IF(A364="","",IFERROR(VLOOKUP(A364, Stock_New!A:M, 3, FALSE),""))</f>
        <v>سنتر محمد رشدي</v>
      </c>
      <c r="E364" s="16">
        <f>IF($A364="", "", IFERROR(VLOOKUP($A364, Stock_New!$A:$M, 6, FALSE), ""))</f>
        <v>151.2</v>
      </c>
      <c r="F364" s="239">
        <v>150.0</v>
      </c>
      <c r="G364" s="240"/>
      <c r="H364" s="17">
        <v>150.0</v>
      </c>
      <c r="I364" s="238">
        <v>46036.0</v>
      </c>
      <c r="J364" s="5" t="s">
        <v>72</v>
      </c>
      <c r="K364" s="5" t="s">
        <v>2312</v>
      </c>
      <c r="L364" s="16"/>
      <c r="M364" s="16"/>
      <c r="N364" s="16"/>
      <c r="O364" s="16"/>
      <c r="P364" s="16"/>
    </row>
    <row r="365" ht="22.5" customHeight="1">
      <c r="A365" s="138" t="s">
        <v>306</v>
      </c>
      <c r="B365" s="16" t="str">
        <f>IF(A365="","",IFERROR(VLOOKUP(A365, Stock_New!A:M, 2, FALSE),""))</f>
        <v>ورد لوحدة</v>
      </c>
      <c r="C365" s="236">
        <v>4.0</v>
      </c>
      <c r="D365" s="16" t="str">
        <f>IF(A365="","",IFERROR(VLOOKUP(A365, Stock_New!A:M, 3, FALSE),""))</f>
        <v>شركة الفرسان</v>
      </c>
      <c r="E365" s="16">
        <f>IF($A365="", "", IFERROR(VLOOKUP($A365, Stock_New!$A:$M, 6, FALSE), ""))</f>
        <v>11</v>
      </c>
      <c r="F365" s="239">
        <v>25.0</v>
      </c>
      <c r="G365" s="240"/>
      <c r="H365" s="17">
        <v>100.0</v>
      </c>
      <c r="I365" s="238">
        <v>46036.0</v>
      </c>
      <c r="J365" s="5" t="s">
        <v>72</v>
      </c>
      <c r="K365" s="5" t="s">
        <v>2315</v>
      </c>
      <c r="L365" s="16"/>
      <c r="M365" s="16"/>
      <c r="N365" s="16"/>
      <c r="O365" s="16"/>
      <c r="P365" s="16"/>
    </row>
    <row r="366" ht="22.5" customHeight="1">
      <c r="A366" s="138" t="s">
        <v>497</v>
      </c>
      <c r="B366" s="16" t="str">
        <f>IF(A366="","",IFERROR(VLOOKUP(A366, Stock_New!A:M, 2, FALSE),""))</f>
        <v>ليد</v>
      </c>
      <c r="C366" s="236">
        <v>2.0</v>
      </c>
      <c r="D366" s="16" t="str">
        <f>IF(A366="","",IFERROR(VLOOKUP(A366, Stock_New!A:M, 3, FALSE),""))</f>
        <v>سنتر محمد رشدي</v>
      </c>
      <c r="E366" s="16">
        <f>IF($A366="", "", IFERROR(VLOOKUP($A366, Stock_New!$A:$M, 6, FALSE), ""))</f>
        <v>234</v>
      </c>
      <c r="F366" s="239">
        <v>230.0</v>
      </c>
      <c r="G366" s="240"/>
      <c r="H366" s="17">
        <v>460.0</v>
      </c>
      <c r="I366" s="235"/>
      <c r="J366" s="5" t="s">
        <v>72</v>
      </c>
      <c r="K366" s="5" t="s">
        <v>2362</v>
      </c>
      <c r="L366" s="16"/>
      <c r="M366" s="16"/>
      <c r="N366" s="16"/>
      <c r="O366" s="16"/>
      <c r="P366" s="16"/>
    </row>
    <row r="367" ht="22.5" customHeight="1">
      <c r="A367" s="138" t="s">
        <v>575</v>
      </c>
      <c r="B367" s="16" t="str">
        <f>IF(A367="","",IFERROR(VLOOKUP(A367, Stock_New!A:M, 2, FALSE),""))</f>
        <v>شمع</v>
      </c>
      <c r="C367" s="236">
        <v>1.0</v>
      </c>
      <c r="D367" s="16" t="str">
        <f>IF(A367="","",IFERROR(VLOOKUP(A367, Stock_New!A:M, 3, FALSE),""))</f>
        <v>سنتر محمد رشدي</v>
      </c>
      <c r="E367" s="16">
        <f>IF($A367="", "", IFERROR(VLOOKUP($A367, Stock_New!$A:$M, 6, FALSE), ""))</f>
        <v>5.4</v>
      </c>
      <c r="F367" s="239">
        <v>10.0</v>
      </c>
      <c r="G367" s="240"/>
      <c r="H367" s="17">
        <v>10.0</v>
      </c>
      <c r="I367" s="238">
        <v>46037.0</v>
      </c>
      <c r="J367" s="5" t="s">
        <v>72</v>
      </c>
      <c r="K367" s="5" t="s">
        <v>2316</v>
      </c>
      <c r="L367" s="16"/>
      <c r="M367" s="16"/>
      <c r="N367" s="16"/>
      <c r="O367" s="16"/>
      <c r="P367" s="16"/>
    </row>
    <row r="368" ht="22.5" customHeight="1">
      <c r="A368" s="138" t="s">
        <v>259</v>
      </c>
      <c r="B368" s="16"/>
      <c r="C368" s="236">
        <v>2.0</v>
      </c>
      <c r="D368" s="16" t="str">
        <f>IF(A368="","",IFERROR(VLOOKUP(A368, Stock_New!A:M, 3, FALSE),""))</f>
        <v>ذكريا</v>
      </c>
      <c r="E368" s="16">
        <f>IF($A368="", "", IFERROR(VLOOKUP($A368, Stock_New!$A:$M, 6, FALSE), ""))</f>
        <v>174</v>
      </c>
      <c r="F368" s="239">
        <v>200.0</v>
      </c>
      <c r="G368" s="240"/>
      <c r="H368" s="17">
        <v>400.0</v>
      </c>
      <c r="I368" s="238">
        <v>46037.0</v>
      </c>
      <c r="J368" s="5" t="s">
        <v>72</v>
      </c>
      <c r="K368" s="5" t="s">
        <v>2318</v>
      </c>
      <c r="L368" s="16"/>
      <c r="M368" s="16"/>
      <c r="N368" s="16"/>
      <c r="O368" s="16"/>
      <c r="P368" s="16"/>
    </row>
    <row r="369" ht="22.5" customHeight="1">
      <c r="A369" s="138" t="s">
        <v>194</v>
      </c>
      <c r="B369" s="16" t="str">
        <f>IF(A369="","",IFERROR(VLOOKUP(A369, Stock_New!A:M, 2, FALSE),""))</f>
        <v>بوتات</v>
      </c>
      <c r="C369" s="236">
        <v>1.0</v>
      </c>
      <c r="D369" s="16" t="str">
        <f>IF(A369="","",IFERROR(VLOOKUP(A369, Stock_New!A:M, 3, FALSE),""))</f>
        <v>ذكريا</v>
      </c>
      <c r="E369" s="16">
        <f>IF($A369="", "", IFERROR(VLOOKUP($A369, Stock_New!$A:$M, 6, FALSE), ""))</f>
        <v>197</v>
      </c>
      <c r="F369" s="239">
        <v>200.0</v>
      </c>
      <c r="G369" s="240"/>
      <c r="H369" s="17">
        <v>200.0</v>
      </c>
      <c r="I369" s="238">
        <v>46037.0</v>
      </c>
      <c r="J369" s="5" t="s">
        <v>72</v>
      </c>
      <c r="K369" s="5" t="s">
        <v>2322</v>
      </c>
      <c r="L369" s="16"/>
      <c r="M369" s="16"/>
      <c r="N369" s="16"/>
      <c r="O369" s="16"/>
      <c r="P369" s="16"/>
    </row>
    <row r="370" ht="22.5" customHeight="1">
      <c r="A370" s="138" t="s">
        <v>34</v>
      </c>
      <c r="B370" s="16" t="str">
        <f>IF(A370="","",IFERROR(VLOOKUP(A370, Stock_New!A:M, 2, FALSE),""))</f>
        <v>شجر</v>
      </c>
      <c r="C370" s="236">
        <v>1.0</v>
      </c>
      <c r="D370" s="16" t="str">
        <f>IF(A370="","",IFERROR(VLOOKUP(A370, Stock_New!A:M, 3, FALSE),""))</f>
        <v>manufactured</v>
      </c>
      <c r="E370" s="16">
        <f>IF($A370="", "", IFERROR(VLOOKUP($A370, Stock_New!$A:$M, 6, FALSE), ""))</f>
        <v>108</v>
      </c>
      <c r="F370" s="239">
        <v>300.0</v>
      </c>
      <c r="G370" s="240"/>
      <c r="H370" s="17">
        <v>300.0</v>
      </c>
      <c r="I370" s="238">
        <v>45676.0</v>
      </c>
      <c r="J370" s="5" t="s">
        <v>72</v>
      </c>
      <c r="K370" s="5" t="s">
        <v>2324</v>
      </c>
      <c r="L370" s="16"/>
      <c r="M370" s="19" t="s">
        <v>4237</v>
      </c>
      <c r="N370" s="5">
        <v>0.0</v>
      </c>
      <c r="O370" s="19" t="s">
        <v>4238</v>
      </c>
      <c r="P370" s="244"/>
    </row>
    <row r="371" ht="22.5" customHeight="1">
      <c r="A371" s="138" t="s">
        <v>630</v>
      </c>
      <c r="B371" s="16" t="str">
        <f>IF(A371="","",IFERROR(VLOOKUP(A371, Stock_New!A:M, 2, FALSE),""))</f>
        <v>سيلفرات</v>
      </c>
      <c r="C371" s="236">
        <v>1.0</v>
      </c>
      <c r="D371" s="16" t="str">
        <f>IF(A371="","",IFERROR(VLOOKUP(A371, Stock_New!A:M, 3, FALSE),""))</f>
        <v>سنتر محمد رشدي</v>
      </c>
      <c r="E371" s="16">
        <f>IF($A371="", "", IFERROR(VLOOKUP($A371, Stock_New!$A:$M, 6, FALSE), ""))</f>
        <v>192</v>
      </c>
      <c r="F371" s="239">
        <v>200.0</v>
      </c>
      <c r="G371" s="240"/>
      <c r="H371" s="17">
        <v>200.0</v>
      </c>
      <c r="I371" s="238">
        <v>45676.0</v>
      </c>
      <c r="J371" s="5" t="s">
        <v>72</v>
      </c>
      <c r="K371" s="5" t="s">
        <v>2328</v>
      </c>
      <c r="L371" s="16"/>
      <c r="M371" s="16"/>
      <c r="N371" s="16"/>
      <c r="O371" s="16"/>
      <c r="P371" s="16"/>
    </row>
    <row r="372" ht="22.5" customHeight="1">
      <c r="A372" s="138" t="s">
        <v>673</v>
      </c>
      <c r="B372" s="16" t="str">
        <f>IF(A372="","",IFERROR(VLOOKUP(A372, Stock_New!A:M, 2, FALSE),""))</f>
        <v>شنط</v>
      </c>
      <c r="C372" s="236">
        <v>1.0</v>
      </c>
      <c r="D372" s="16" t="str">
        <f>IF(A372="","",IFERROR(VLOOKUP(A372, Stock_New!A:M, 3, FALSE),""))</f>
        <v>سنتر محمد رشدي</v>
      </c>
      <c r="E372" s="16">
        <f>IF($A372="", "", IFERROR(VLOOKUP($A372, Stock_New!$A:$M, 6, FALSE), ""))</f>
        <v>8.1</v>
      </c>
      <c r="F372" s="239">
        <v>15.0</v>
      </c>
      <c r="G372" s="240"/>
      <c r="H372" s="17">
        <v>15.0</v>
      </c>
      <c r="I372" s="238">
        <v>45676.0</v>
      </c>
      <c r="J372" s="5" t="s">
        <v>72</v>
      </c>
      <c r="K372" s="5" t="s">
        <v>2330</v>
      </c>
      <c r="L372" s="16"/>
      <c r="M372" s="16"/>
      <c r="N372" s="16"/>
      <c r="O372" s="16"/>
      <c r="P372" s="16"/>
    </row>
    <row r="373" ht="22.5" customHeight="1">
      <c r="A373" s="138" t="s">
        <v>675</v>
      </c>
      <c r="B373" s="16" t="str">
        <f>IF(A373="","",IFERROR(VLOOKUP(A373, Stock_New!A:M, 2, FALSE),""))</f>
        <v>كهربائيات</v>
      </c>
      <c r="C373" s="236">
        <v>1.0</v>
      </c>
      <c r="D373" s="16" t="str">
        <f>IF(A373="","",IFERROR(VLOOKUP(A373, Stock_New!A:M, 3, FALSE),""))</f>
        <v>سنتر محمد رشدي</v>
      </c>
      <c r="E373" s="16">
        <f>IF($A373="", "", IFERROR(VLOOKUP($A373, Stock_New!$A:$M, 6, FALSE), ""))</f>
        <v>33</v>
      </c>
      <c r="F373" s="239">
        <v>45.0</v>
      </c>
      <c r="G373" s="240"/>
      <c r="H373" s="17">
        <v>45.0</v>
      </c>
      <c r="I373" s="238">
        <v>45676.0</v>
      </c>
      <c r="J373" s="5" t="s">
        <v>72</v>
      </c>
      <c r="K373" s="5" t="s">
        <v>2334</v>
      </c>
      <c r="L373" s="16"/>
      <c r="M373" s="16"/>
      <c r="N373" s="16"/>
      <c r="O373" s="16"/>
      <c r="P373" s="16"/>
    </row>
    <row r="374" ht="22.5" customHeight="1">
      <c r="A374" s="138" t="s">
        <v>679</v>
      </c>
      <c r="B374" s="16" t="str">
        <f>IF(A374="","",IFERROR(VLOOKUP(A374, Stock_New!A:M, 2, FALSE),""))</f>
        <v>كهربائيات</v>
      </c>
      <c r="C374" s="236">
        <v>2.0</v>
      </c>
      <c r="D374" s="16" t="str">
        <f>IF(A374="","",IFERROR(VLOOKUP(A374, Stock_New!A:M, 3, FALSE),""))</f>
        <v>سنتر محمد رشدي</v>
      </c>
      <c r="E374" s="16">
        <f>IF($A374="", "", IFERROR(VLOOKUP($A374, Stock_New!$A:$M, 6, FALSE), ""))</f>
        <v>75.6</v>
      </c>
      <c r="F374" s="239">
        <v>85.0</v>
      </c>
      <c r="G374" s="240"/>
      <c r="H374" s="17">
        <v>170.0</v>
      </c>
      <c r="I374" s="235"/>
      <c r="J374" s="5" t="s">
        <v>72</v>
      </c>
      <c r="K374" s="5" t="s">
        <v>2338</v>
      </c>
      <c r="L374" s="16"/>
      <c r="M374" s="16"/>
      <c r="N374" s="16"/>
      <c r="O374" s="16"/>
      <c r="P374" s="16"/>
    </row>
    <row r="375" ht="22.5" customHeight="1">
      <c r="A375" s="138" t="s">
        <v>684</v>
      </c>
      <c r="B375" s="16" t="str">
        <f>IF(A375="","",IFERROR(VLOOKUP(A375, Stock_New!A:M, 2, FALSE),""))</f>
        <v>كهربائيات</v>
      </c>
      <c r="C375" s="236">
        <v>1.0</v>
      </c>
      <c r="D375" s="16" t="str">
        <f>IF(A375="","",IFERROR(VLOOKUP(A375, Stock_New!A:M, 3, FALSE),""))</f>
        <v>سنتر محمد رشدي</v>
      </c>
      <c r="E375" s="16">
        <f>IF($A375="", "", IFERROR(VLOOKUP($A375, Stock_New!$A:$M, 6, FALSE), ""))</f>
        <v>144</v>
      </c>
      <c r="F375" s="239">
        <v>140.0</v>
      </c>
      <c r="G375" s="240"/>
      <c r="H375" s="17">
        <v>140.0</v>
      </c>
      <c r="I375" s="235"/>
      <c r="J375" s="5" t="s">
        <v>72</v>
      </c>
      <c r="K375" s="5" t="s">
        <v>2342</v>
      </c>
      <c r="L375" s="16"/>
      <c r="M375" s="16"/>
      <c r="N375" s="16"/>
      <c r="O375" s="16"/>
      <c r="P375" s="16"/>
    </row>
    <row r="376" ht="22.5" customHeight="1">
      <c r="A376" s="138" t="s">
        <v>687</v>
      </c>
      <c r="B376" s="16" t="str">
        <f>IF(A376="","",IFERROR(VLOOKUP(A376, Stock_New!A:M, 2, FALSE),""))</f>
        <v>كهربائيات</v>
      </c>
      <c r="C376" s="236">
        <v>1.0</v>
      </c>
      <c r="D376" s="16" t="str">
        <f>IF(A376="","",IFERROR(VLOOKUP(A376, Stock_New!A:M, 3, FALSE),""))</f>
        <v>سنتر محمد رشدي</v>
      </c>
      <c r="E376" s="16">
        <f>IF($A376="", "", IFERROR(VLOOKUP($A376, Stock_New!$A:$M, 6, FALSE), ""))</f>
        <v>127.2</v>
      </c>
      <c r="F376" s="239">
        <v>135.0</v>
      </c>
      <c r="G376" s="240"/>
      <c r="H376" s="17">
        <v>135.0</v>
      </c>
      <c r="I376" s="235"/>
      <c r="J376" s="5" t="s">
        <v>72</v>
      </c>
      <c r="K376" s="5" t="s">
        <v>2345</v>
      </c>
      <c r="L376" s="16"/>
      <c r="M376" s="16"/>
      <c r="N376" s="16"/>
      <c r="O376" s="16"/>
      <c r="P376" s="16"/>
    </row>
    <row r="377" ht="22.5" customHeight="1">
      <c r="A377" s="138" t="s">
        <v>691</v>
      </c>
      <c r="B377" s="16" t="str">
        <f>IF(A377="","",IFERROR(VLOOKUP(A377, Stock_New!A:M, 2, FALSE),""))</f>
        <v>كهربائيات</v>
      </c>
      <c r="C377" s="236">
        <v>1.0</v>
      </c>
      <c r="D377" s="16" t="str">
        <f>IF(A377="","",IFERROR(VLOOKUP(A377, Stock_New!A:M, 3, FALSE),""))</f>
        <v>سنتر محمد رشدي</v>
      </c>
      <c r="E377" s="16">
        <f>IF($A377="", "", IFERROR(VLOOKUP($A377, Stock_New!$A:$M, 6, FALSE), ""))</f>
        <v>97.2</v>
      </c>
      <c r="F377" s="239">
        <v>110.0</v>
      </c>
      <c r="G377" s="240"/>
      <c r="H377" s="17">
        <v>110.0</v>
      </c>
      <c r="I377" s="235"/>
      <c r="J377" s="5" t="s">
        <v>72</v>
      </c>
      <c r="K377" s="5" t="s">
        <v>2349</v>
      </c>
      <c r="L377" s="16"/>
      <c r="M377" s="16"/>
      <c r="N377" s="16"/>
      <c r="O377" s="16"/>
      <c r="P377" s="16"/>
    </row>
    <row r="378" ht="22.5" customHeight="1">
      <c r="A378" s="138" t="s">
        <v>694</v>
      </c>
      <c r="B378" s="16" t="str">
        <f>IF(A378="","",IFERROR(VLOOKUP(A378, Stock_New!A:M, 2, FALSE),""))</f>
        <v>كهربائيات</v>
      </c>
      <c r="C378" s="236">
        <v>1.0</v>
      </c>
      <c r="D378" s="16" t="str">
        <f>IF(A378="","",IFERROR(VLOOKUP(A378, Stock_New!A:M, 3, FALSE),""))</f>
        <v>سنتر محمد رشدي</v>
      </c>
      <c r="E378" s="16">
        <f>IF($A378="", "", IFERROR(VLOOKUP($A378, Stock_New!$A:$M, 6, FALSE), ""))</f>
        <v>127.2</v>
      </c>
      <c r="F378" s="239">
        <v>130.0</v>
      </c>
      <c r="G378" s="240"/>
      <c r="H378" s="17">
        <v>130.0</v>
      </c>
      <c r="I378" s="235"/>
      <c r="J378" s="5" t="s">
        <v>72</v>
      </c>
      <c r="K378" s="5" t="s">
        <v>2352</v>
      </c>
      <c r="L378" s="16"/>
      <c r="M378" s="16"/>
      <c r="N378" s="16"/>
      <c r="O378" s="16"/>
      <c r="P378" s="16"/>
    </row>
    <row r="379" ht="22.5" customHeight="1">
      <c r="A379" s="138" t="s">
        <v>699</v>
      </c>
      <c r="B379" s="16" t="str">
        <f>IF(A379="","",IFERROR(VLOOKUP(A379, Stock_New!A:M, 2, FALSE),""))</f>
        <v>بوكيه</v>
      </c>
      <c r="C379" s="236">
        <v>2.0</v>
      </c>
      <c r="D379" s="16" t="str">
        <f>IF(A379="","",IFERROR(VLOOKUP(A379, Stock_New!A:M, 3, FALSE),""))</f>
        <v>manufactured</v>
      </c>
      <c r="E379" s="16">
        <f>IF($A379="", "", IFERROR(VLOOKUP($A379, Stock_New!$A:$M, 6, FALSE), ""))</f>
        <v>24</v>
      </c>
      <c r="F379" s="239">
        <v>50.0</v>
      </c>
      <c r="G379" s="240"/>
      <c r="H379" s="17">
        <v>100.0</v>
      </c>
      <c r="I379" s="238">
        <v>46042.0</v>
      </c>
      <c r="J379" s="5" t="s">
        <v>72</v>
      </c>
      <c r="K379" s="5" t="s">
        <v>2355</v>
      </c>
      <c r="L379" s="16"/>
      <c r="M379" s="16"/>
      <c r="N379" s="16"/>
      <c r="O379" s="16"/>
      <c r="P379" s="16"/>
    </row>
    <row r="380" ht="22.5" customHeight="1">
      <c r="A380" s="138" t="s">
        <v>702</v>
      </c>
      <c r="B380" s="16" t="str">
        <f>IF(A380="","",IFERROR(VLOOKUP(A380, Stock_New!A:M, 2, FALSE),""))</f>
        <v/>
      </c>
      <c r="C380" s="236">
        <v>1.0</v>
      </c>
      <c r="D380" s="16" t="str">
        <f>IF(A380="","",IFERROR(VLOOKUP(A380, Stock_New!A:M, 3, FALSE),""))</f>
        <v/>
      </c>
      <c r="E380" s="16" t="str">
        <f>IF($A380="", "", IFERROR(VLOOKUP($A380, Stock_New!$A:$M, 6, FALSE), ""))</f>
        <v/>
      </c>
      <c r="F380" s="239">
        <v>60.0</v>
      </c>
      <c r="G380" s="240"/>
      <c r="H380" s="17">
        <v>60.0</v>
      </c>
      <c r="I380" s="238">
        <v>46042.0</v>
      </c>
      <c r="J380" s="5" t="s">
        <v>72</v>
      </c>
      <c r="K380" s="5" t="s">
        <v>2358</v>
      </c>
      <c r="L380" s="16"/>
      <c r="M380" s="16"/>
      <c r="N380" s="16"/>
      <c r="O380" s="16"/>
      <c r="P380" s="16"/>
    </row>
    <row r="381" ht="22.5" customHeight="1">
      <c r="A381" s="138" t="s">
        <v>317</v>
      </c>
      <c r="B381" s="16" t="str">
        <f>IF(A381="","",IFERROR(VLOOKUP(A381, Stock_New!A:M, 2, FALSE),""))</f>
        <v>بوكيه</v>
      </c>
      <c r="C381" s="236">
        <v>1.0</v>
      </c>
      <c r="D381" s="16" t="str">
        <f>IF(A381="","",IFERROR(VLOOKUP(A381, Stock_New!A:M, 3, FALSE),""))</f>
        <v>ذكريا</v>
      </c>
      <c r="E381" s="16">
        <f>IF($A381="", "", IFERROR(VLOOKUP($A381, Stock_New!$A:$M, 6, FALSE), ""))</f>
        <v>150</v>
      </c>
      <c r="F381" s="239">
        <v>170.0</v>
      </c>
      <c r="G381" s="240"/>
      <c r="H381" s="17">
        <v>170.0</v>
      </c>
      <c r="I381" s="238">
        <v>46042.0</v>
      </c>
      <c r="J381" s="5" t="s">
        <v>72</v>
      </c>
      <c r="K381" s="5" t="s">
        <v>2364</v>
      </c>
      <c r="L381" s="16"/>
      <c r="M381" s="16"/>
      <c r="N381" s="16"/>
      <c r="O381" s="16"/>
      <c r="P381" s="16"/>
    </row>
    <row r="382" ht="22.5" customHeight="1">
      <c r="A382" s="138" t="s">
        <v>497</v>
      </c>
      <c r="B382" s="16" t="str">
        <f>IF(A382="","",IFERROR(VLOOKUP(A382, Stock_New!A:M, 2, FALSE),""))</f>
        <v>ليد</v>
      </c>
      <c r="C382" s="236">
        <v>2.0</v>
      </c>
      <c r="D382" s="16" t="str">
        <f>IF(A382="","",IFERROR(VLOOKUP(A382, Stock_New!A:M, 3, FALSE),""))</f>
        <v>سنتر محمد رشدي</v>
      </c>
      <c r="E382" s="16">
        <f>IF($A382="", "", IFERROR(VLOOKUP($A382, Stock_New!$A:$M, 6, FALSE), ""))</f>
        <v>234</v>
      </c>
      <c r="F382" s="239">
        <v>230.0</v>
      </c>
      <c r="G382" s="240"/>
      <c r="H382" s="17">
        <v>460.0</v>
      </c>
      <c r="I382" s="238">
        <v>46043.0</v>
      </c>
      <c r="J382" s="5" t="s">
        <v>72</v>
      </c>
      <c r="K382" s="5" t="s">
        <v>2366</v>
      </c>
      <c r="L382" s="19" t="s">
        <v>4336</v>
      </c>
      <c r="M382" s="16"/>
      <c r="N382" s="16"/>
      <c r="O382" s="16"/>
      <c r="P382" s="16"/>
    </row>
    <row r="383" ht="22.5" customHeight="1">
      <c r="A383" s="138" t="s">
        <v>707</v>
      </c>
      <c r="B383" s="16" t="str">
        <f>IF(A383="","",IFERROR(VLOOKUP(A383, Stock_New!A:M, 2, FALSE),""))</f>
        <v>كهربائيات</v>
      </c>
      <c r="C383" s="236">
        <v>1.0</v>
      </c>
      <c r="D383" s="16" t="str">
        <f>IF(A383="","",IFERROR(VLOOKUP(A383, Stock_New!A:M, 3, FALSE),""))</f>
        <v>سنتر محمد رشدي</v>
      </c>
      <c r="E383" s="16">
        <f>IF($A383="", "", IFERROR(VLOOKUP($A383, Stock_New!$A:$M, 6, FALSE), ""))</f>
        <v>70.8</v>
      </c>
      <c r="F383" s="239">
        <v>90.0</v>
      </c>
      <c r="G383" s="240"/>
      <c r="H383" s="17">
        <v>90.0</v>
      </c>
      <c r="I383" s="238">
        <v>46043.0</v>
      </c>
      <c r="J383" s="5" t="s">
        <v>72</v>
      </c>
      <c r="K383" s="5" t="s">
        <v>2368</v>
      </c>
      <c r="L383" s="19"/>
      <c r="M383" s="16"/>
      <c r="N383" s="16"/>
      <c r="O383" s="16"/>
      <c r="P383" s="16"/>
    </row>
    <row r="384" ht="22.5" customHeight="1">
      <c r="A384" s="138" t="s">
        <v>250</v>
      </c>
      <c r="B384" s="16" t="str">
        <f>IF(A384="","",IFERROR(VLOOKUP(A384, Stock_New!A:M, 2, FALSE),""))</f>
        <v>شجر</v>
      </c>
      <c r="C384" s="236">
        <v>1.0</v>
      </c>
      <c r="D384" s="16"/>
      <c r="E384" s="16">
        <f>IF($A384="", "", IFERROR(VLOOKUP($A384, Stock_New!$A:$M, 6, FALSE), ""))</f>
        <v>174</v>
      </c>
      <c r="F384" s="239">
        <v>180.0</v>
      </c>
      <c r="G384" s="240"/>
      <c r="H384" s="17">
        <v>180.0</v>
      </c>
      <c r="I384" s="238">
        <v>46043.0</v>
      </c>
      <c r="J384" s="5" t="s">
        <v>72</v>
      </c>
      <c r="K384" s="5" t="s">
        <v>2372</v>
      </c>
      <c r="L384" s="16"/>
      <c r="M384" s="16"/>
      <c r="N384" s="16"/>
      <c r="O384" s="16"/>
      <c r="P384" s="16"/>
    </row>
    <row r="385" ht="22.5" customHeight="1">
      <c r="A385" s="138" t="s">
        <v>255</v>
      </c>
      <c r="B385" s="16" t="str">
        <f>IF(A385="","",IFERROR(VLOOKUP(A385, Stock_New!A:M, 2, FALSE),""))</f>
        <v>بوتات</v>
      </c>
      <c r="C385" s="236">
        <v>1.0</v>
      </c>
      <c r="D385" s="16" t="str">
        <f>IF(A385="","",IFERROR(VLOOKUP(A385, Stock_New!A:M, 3, FALSE),""))</f>
        <v>manufactured</v>
      </c>
      <c r="E385" s="16">
        <f>IF($A385="", "", IFERROR(VLOOKUP($A385, Stock_New!$A:$M, 6, FALSE), ""))</f>
        <v>27.3</v>
      </c>
      <c r="F385" s="239">
        <v>50.0</v>
      </c>
      <c r="G385" s="240"/>
      <c r="H385" s="17">
        <v>50.0</v>
      </c>
      <c r="I385" s="238">
        <v>46043.0</v>
      </c>
      <c r="J385" s="5" t="s">
        <v>72</v>
      </c>
      <c r="K385" s="5" t="s">
        <v>2374</v>
      </c>
      <c r="L385" s="16"/>
      <c r="M385" s="16"/>
      <c r="N385" s="16"/>
      <c r="O385" s="16"/>
      <c r="P385" s="16"/>
    </row>
    <row r="386" ht="22.5" customHeight="1">
      <c r="A386" s="138" t="s">
        <v>41</v>
      </c>
      <c r="B386" s="16" t="str">
        <f>IF(A386="","",IFERROR(VLOOKUP(A386, Stock_New!A:M, 2, FALSE),""))</f>
        <v>شجر</v>
      </c>
      <c r="C386" s="236">
        <v>1.0</v>
      </c>
      <c r="D386" s="16" t="str">
        <f>IF(A386="","",IFERROR(VLOOKUP(A386, Stock_New!A:M, 3, FALSE),""))</f>
        <v>manufactured</v>
      </c>
      <c r="E386" s="16">
        <f>IF($A386="", "", IFERROR(VLOOKUP($A386, Stock_New!$A:$M, 6, FALSE), ""))</f>
        <v>111</v>
      </c>
      <c r="F386" s="239">
        <v>220.0</v>
      </c>
      <c r="G386" s="240"/>
      <c r="H386" s="17">
        <v>220.0</v>
      </c>
      <c r="I386" s="238">
        <v>46043.0</v>
      </c>
      <c r="J386" s="5" t="s">
        <v>72</v>
      </c>
      <c r="K386" s="5" t="s">
        <v>2376</v>
      </c>
      <c r="L386" s="16"/>
      <c r="M386" s="16"/>
      <c r="N386" s="16"/>
      <c r="O386" s="16"/>
      <c r="P386" s="16"/>
    </row>
    <row r="387" ht="22.5" customHeight="1">
      <c r="A387" s="138" t="s">
        <v>675</v>
      </c>
      <c r="B387" s="16" t="str">
        <f>IF(A387="","",IFERROR(VLOOKUP(A387, Stock_New!A:M, 2, FALSE),""))</f>
        <v>كهربائيات</v>
      </c>
      <c r="C387" s="236">
        <v>1.0</v>
      </c>
      <c r="D387" s="16" t="str">
        <f>IF(A387="","",IFERROR(VLOOKUP(A387, Stock_New!A:M, 3, FALSE),""))</f>
        <v>سنتر محمد رشدي</v>
      </c>
      <c r="E387" s="16">
        <f>IF($A387="", "", IFERROR(VLOOKUP($A387, Stock_New!$A:$M, 6, FALSE), ""))</f>
        <v>33</v>
      </c>
      <c r="F387" s="239">
        <v>50.0</v>
      </c>
      <c r="G387" s="240"/>
      <c r="H387" s="17">
        <v>50.0</v>
      </c>
      <c r="I387" s="238">
        <v>46043.0</v>
      </c>
      <c r="J387" s="5" t="s">
        <v>72</v>
      </c>
      <c r="K387" s="5" t="s">
        <v>2380</v>
      </c>
      <c r="L387" s="16"/>
      <c r="M387" s="16"/>
      <c r="N387" s="16"/>
      <c r="O387" s="16"/>
      <c r="P387" s="16"/>
    </row>
    <row r="388" ht="22.5" customHeight="1">
      <c r="A388" s="138" t="s">
        <v>306</v>
      </c>
      <c r="B388" s="16" t="str">
        <f>IF(A388="","",IFERROR(VLOOKUP(A388, Stock_New!A:M, 2, FALSE),""))</f>
        <v>ورد لوحدة</v>
      </c>
      <c r="C388" s="236">
        <v>4.0</v>
      </c>
      <c r="D388" s="16" t="str">
        <f>IF(A388="","",IFERROR(VLOOKUP(A388, Stock_New!A:M, 3, FALSE),""))</f>
        <v>شركة الفرسان</v>
      </c>
      <c r="E388" s="16">
        <f>IF($A388="", "", IFERROR(VLOOKUP($A388, Stock_New!$A:$M, 6, FALSE), ""))</f>
        <v>11</v>
      </c>
      <c r="F388" s="239">
        <v>25.0</v>
      </c>
      <c r="G388" s="240"/>
      <c r="H388" s="17">
        <v>100.0</v>
      </c>
      <c r="I388" s="238">
        <v>46044.0</v>
      </c>
      <c r="J388" s="5" t="s">
        <v>72</v>
      </c>
      <c r="K388" s="5" t="s">
        <v>2383</v>
      </c>
      <c r="L388" s="16"/>
      <c r="M388" s="16"/>
      <c r="N388" s="16"/>
      <c r="O388" s="16"/>
      <c r="P388" s="16"/>
    </row>
    <row r="389" ht="22.5" customHeight="1">
      <c r="A389" s="138" t="s">
        <v>699</v>
      </c>
      <c r="B389" s="16" t="str">
        <f>IF(A389="","",IFERROR(VLOOKUP(A389, Stock_New!A:M, 2, FALSE),""))</f>
        <v>بوكيه</v>
      </c>
      <c r="C389" s="236">
        <v>2.0</v>
      </c>
      <c r="D389" s="16" t="str">
        <f>IF(A389="","",IFERROR(VLOOKUP(A389, Stock_New!A:M, 3, FALSE),""))</f>
        <v>manufactured</v>
      </c>
      <c r="E389" s="16">
        <f>IF($A389="", "", IFERROR(VLOOKUP($A389, Stock_New!$A:$M, 6, FALSE), ""))</f>
        <v>24</v>
      </c>
      <c r="F389" s="239">
        <v>50.0</v>
      </c>
      <c r="G389" s="240"/>
      <c r="H389" s="17">
        <v>100.0</v>
      </c>
      <c r="I389" s="238">
        <v>46047.0</v>
      </c>
      <c r="J389" s="5" t="s">
        <v>72</v>
      </c>
      <c r="K389" s="5" t="s">
        <v>2384</v>
      </c>
      <c r="L389" s="16"/>
      <c r="M389" s="16"/>
      <c r="N389" s="16"/>
      <c r="O389" s="16"/>
      <c r="P389" s="16"/>
    </row>
    <row r="390" ht="22.5" customHeight="1">
      <c r="A390" s="138" t="s">
        <v>575</v>
      </c>
      <c r="B390" s="16" t="str">
        <f>IF(A390="","",IFERROR(VLOOKUP(A390, Stock_New!A:M, 2, FALSE),""))</f>
        <v>شمع</v>
      </c>
      <c r="C390" s="236">
        <v>3.0</v>
      </c>
      <c r="D390" s="16" t="str">
        <f>IF(A390="","",IFERROR(VLOOKUP(A390, Stock_New!A:M, 3, FALSE),""))</f>
        <v>سنتر محمد رشدي</v>
      </c>
      <c r="E390" s="16">
        <f>IF($A390="", "", IFERROR(VLOOKUP($A390, Stock_New!$A:$M, 6, FALSE), ""))</f>
        <v>5.4</v>
      </c>
      <c r="F390" s="239">
        <v>10.0</v>
      </c>
      <c r="G390" s="240"/>
      <c r="H390" s="17">
        <v>30.0</v>
      </c>
      <c r="I390" s="238">
        <v>46047.0</v>
      </c>
      <c r="J390" s="5" t="s">
        <v>72</v>
      </c>
      <c r="K390" s="5" t="s">
        <v>2386</v>
      </c>
      <c r="L390" s="16"/>
      <c r="M390" s="16"/>
      <c r="N390" s="16"/>
      <c r="O390" s="16"/>
      <c r="P390" s="16"/>
    </row>
    <row r="391" ht="22.5" customHeight="1">
      <c r="A391" s="138" t="s">
        <v>572</v>
      </c>
      <c r="B391" s="16" t="str">
        <f>IF(A391="","",IFERROR(VLOOKUP(A391, Stock_New!A:M, 2, FALSE),""))</f>
        <v>شمع</v>
      </c>
      <c r="C391" s="236">
        <v>3.0</v>
      </c>
      <c r="D391" s="16" t="str">
        <f>IF(A391="","",IFERROR(VLOOKUP(A391, Stock_New!A:M, 3, FALSE),""))</f>
        <v>سنتر محمد رشدي</v>
      </c>
      <c r="E391" s="16">
        <f>IF($A391="", "", IFERROR(VLOOKUP($A391, Stock_New!$A:$M, 6, FALSE), ""))</f>
        <v>5.25</v>
      </c>
      <c r="F391" s="239">
        <v>10.0</v>
      </c>
      <c r="G391" s="240"/>
      <c r="H391" s="17">
        <v>30.0</v>
      </c>
      <c r="I391" s="238">
        <v>46047.0</v>
      </c>
      <c r="J391" s="5" t="s">
        <v>72</v>
      </c>
      <c r="K391" s="5" t="s">
        <v>2388</v>
      </c>
      <c r="L391" s="16"/>
      <c r="M391" s="16"/>
      <c r="N391" s="16"/>
      <c r="O391" s="16"/>
      <c r="P391" s="16"/>
    </row>
    <row r="392" ht="22.5" customHeight="1">
      <c r="A392" s="138" t="s">
        <v>712</v>
      </c>
      <c r="B392" s="16" t="str">
        <f>IF(A392="","",IFERROR(VLOOKUP(A392, Stock_New!A:M, 2, FALSE),""))</f>
        <v>ورد مجفف</v>
      </c>
      <c r="C392" s="236">
        <v>1.0</v>
      </c>
      <c r="D392" s="16" t="str">
        <f>IF(A392="","",IFERROR(VLOOKUP(A392, Stock_New!A:M, 3, FALSE),""))</f>
        <v>manufactured</v>
      </c>
      <c r="E392" s="16">
        <f>IF($A392="", "", IFERROR(VLOOKUP($A392, Stock_New!$A:$M, 6, FALSE), ""))</f>
        <v>8.4</v>
      </c>
      <c r="F392" s="239">
        <v>20.0</v>
      </c>
      <c r="G392" s="240"/>
      <c r="H392" s="17">
        <v>20.0</v>
      </c>
      <c r="I392" s="238">
        <v>46047.0</v>
      </c>
      <c r="J392" s="5" t="s">
        <v>72</v>
      </c>
      <c r="K392" s="5" t="s">
        <v>2390</v>
      </c>
      <c r="L392" s="16"/>
      <c r="M392" s="16"/>
      <c r="N392" s="16"/>
      <c r="O392" s="16"/>
      <c r="P392" s="16"/>
    </row>
    <row r="393" ht="22.5" customHeight="1">
      <c r="A393" s="138" t="s">
        <v>611</v>
      </c>
      <c r="B393" s="16" t="str">
        <f>IF(A393="","",IFERROR(VLOOKUP(A393, Stock_New!A:M, 2, FALSE),""))</f>
        <v>مجسم</v>
      </c>
      <c r="C393" s="236">
        <v>1.0</v>
      </c>
      <c r="D393" s="16" t="str">
        <f>IF(A393="","",IFERROR(VLOOKUP(A393, Stock_New!A:M, 3, FALSE),""))</f>
        <v>سنتر محمد رشدي</v>
      </c>
      <c r="E393" s="16">
        <f>IF($A393="", "", IFERROR(VLOOKUP($A393, Stock_New!$A:$M, 6, FALSE), ""))</f>
        <v>34.8</v>
      </c>
      <c r="F393" s="239">
        <v>50.0</v>
      </c>
      <c r="G393" s="240"/>
      <c r="H393" s="17">
        <v>50.0</v>
      </c>
      <c r="I393" s="238">
        <v>46047.0</v>
      </c>
      <c r="J393" s="5" t="s">
        <v>72</v>
      </c>
      <c r="K393" s="5" t="s">
        <v>2393</v>
      </c>
      <c r="L393" s="16"/>
      <c r="M393" s="16"/>
      <c r="N393" s="16"/>
      <c r="O393" s="16"/>
      <c r="P393" s="16"/>
    </row>
    <row r="394" ht="22.5" customHeight="1">
      <c r="A394" s="138" t="s">
        <v>306</v>
      </c>
      <c r="B394" s="16" t="str">
        <f>IF(A394="","",IFERROR(VLOOKUP(A394, Stock_New!A:M, 2, FALSE),""))</f>
        <v>ورد لوحدة</v>
      </c>
      <c r="C394" s="236">
        <v>3.0</v>
      </c>
      <c r="D394" s="16" t="str">
        <f>IF(A394="","",IFERROR(VLOOKUP(A394, Stock_New!A:M, 3, FALSE),""))</f>
        <v>شركة الفرسان</v>
      </c>
      <c r="E394" s="16">
        <f>IF($A394="", "", IFERROR(VLOOKUP($A394, Stock_New!$A:$M, 6, FALSE), ""))</f>
        <v>11</v>
      </c>
      <c r="F394" s="239">
        <v>25.0</v>
      </c>
      <c r="G394" s="240"/>
      <c r="H394" s="17">
        <v>75.0</v>
      </c>
      <c r="I394" s="238">
        <v>46047.0</v>
      </c>
      <c r="J394" s="5" t="s">
        <v>72</v>
      </c>
      <c r="K394" s="5" t="s">
        <v>2395</v>
      </c>
      <c r="L394" s="16"/>
      <c r="M394" s="16"/>
      <c r="N394" s="16"/>
      <c r="O394" s="16"/>
      <c r="P394" s="16"/>
    </row>
    <row r="395" ht="22.5" customHeight="1">
      <c r="A395" s="138" t="s">
        <v>717</v>
      </c>
      <c r="B395" s="16" t="str">
        <f>IF(A395="","",IFERROR(VLOOKUP(A395, Stock_New!A:M, 2, FALSE),""))</f>
        <v>بوكيه</v>
      </c>
      <c r="C395" s="236">
        <v>1.0</v>
      </c>
      <c r="D395" s="16" t="str">
        <f>IF(A395="","",IFERROR(VLOOKUP(A395, Stock_New!A:M, 3, FALSE),""))</f>
        <v>المهندس</v>
      </c>
      <c r="E395" s="16">
        <f>IF($A395="", "", IFERROR(VLOOKUP($A395, Stock_New!$A:$M, 6, FALSE), ""))</f>
        <v>96</v>
      </c>
      <c r="F395" s="239">
        <v>150.0</v>
      </c>
      <c r="G395" s="240"/>
      <c r="H395" s="17">
        <v>150.0</v>
      </c>
      <c r="I395" s="238">
        <v>46047.0</v>
      </c>
      <c r="J395" s="5" t="s">
        <v>72</v>
      </c>
      <c r="K395" s="5" t="s">
        <v>2397</v>
      </c>
      <c r="L395" s="16"/>
      <c r="M395" s="16"/>
      <c r="N395" s="16"/>
      <c r="O395" s="16"/>
      <c r="P395" s="16"/>
    </row>
    <row r="396" ht="22.5" customHeight="1">
      <c r="A396" s="138" t="s">
        <v>667</v>
      </c>
      <c r="B396" s="16" t="str">
        <f>IF(A396="","",IFERROR(VLOOKUP(A396, Stock_New!A:M, 2, FALSE),""))</f>
        <v>بوكيه</v>
      </c>
      <c r="C396" s="236">
        <v>1.0</v>
      </c>
      <c r="D396" s="16" t="str">
        <f>IF(A396="","",IFERROR(VLOOKUP(A396, Stock_New!A:M, 3, FALSE),""))</f>
        <v>المهندس</v>
      </c>
      <c r="E396" s="16">
        <f>IF($A396="", "", IFERROR(VLOOKUP($A396, Stock_New!$A:$M, 6, FALSE), ""))</f>
        <v>66</v>
      </c>
      <c r="F396" s="239">
        <v>75.0</v>
      </c>
      <c r="G396" s="240"/>
      <c r="H396" s="17">
        <v>75.0</v>
      </c>
      <c r="I396" s="238">
        <v>46047.0</v>
      </c>
      <c r="J396" s="5" t="s">
        <v>72</v>
      </c>
      <c r="K396" s="5" t="s">
        <v>2401</v>
      </c>
      <c r="L396" s="16"/>
      <c r="M396" s="16"/>
      <c r="N396" s="16"/>
      <c r="O396" s="16"/>
      <c r="P396" s="16"/>
    </row>
    <row r="397" ht="22.5" customHeight="1">
      <c r="A397" s="138" t="s">
        <v>558</v>
      </c>
      <c r="B397" s="16" t="str">
        <f>IF(A397="","",IFERROR(VLOOKUP(A397, Stock_New!A:M, 2, FALSE),""))</f>
        <v>كهربائيات</v>
      </c>
      <c r="C397" s="236">
        <v>1.0</v>
      </c>
      <c r="D397" s="16" t="str">
        <f>IF(A397="","",IFERROR(VLOOKUP(A397, Stock_New!A:M, 3, FALSE),""))</f>
        <v>سنتر محمد رشدي</v>
      </c>
      <c r="E397" s="16">
        <f>IF($A397="", "", IFERROR(VLOOKUP($A397, Stock_New!$A:$M, 6, FALSE), ""))</f>
        <v>150</v>
      </c>
      <c r="F397" s="239">
        <v>150.0</v>
      </c>
      <c r="G397" s="240"/>
      <c r="H397" s="17">
        <v>150.0</v>
      </c>
      <c r="I397" s="238">
        <v>46047.0</v>
      </c>
      <c r="J397" s="5" t="s">
        <v>72</v>
      </c>
      <c r="K397" s="5" t="s">
        <v>2404</v>
      </c>
      <c r="L397" s="16"/>
      <c r="M397" s="16"/>
      <c r="N397" s="16"/>
      <c r="O397" s="16"/>
      <c r="P397" s="16"/>
    </row>
    <row r="398" ht="22.5" customHeight="1">
      <c r="A398" s="138" t="s">
        <v>172</v>
      </c>
      <c r="B398" s="16" t="str">
        <f>IF(A398="","",IFERROR(VLOOKUP(A398, Stock_New!A:M, 2, FALSE),""))</f>
        <v>بوكيه</v>
      </c>
      <c r="C398" s="236">
        <v>2.0</v>
      </c>
      <c r="D398" s="16" t="str">
        <f>IF(A398="","",IFERROR(VLOOKUP(A398, Stock_New!A:M, 3, FALSE),""))</f>
        <v>ذكريا</v>
      </c>
      <c r="E398" s="16">
        <f>IF($A398="", "", IFERROR(VLOOKUP($A398, Stock_New!$A:$M, 6, FALSE), ""))</f>
        <v>33.84</v>
      </c>
      <c r="F398" s="239">
        <v>35.0</v>
      </c>
      <c r="G398" s="240"/>
      <c r="H398" s="17">
        <v>70.0</v>
      </c>
      <c r="I398" s="238">
        <v>46047.0</v>
      </c>
      <c r="J398" s="5" t="s">
        <v>72</v>
      </c>
      <c r="K398" s="5" t="s">
        <v>2406</v>
      </c>
      <c r="L398" s="16"/>
      <c r="M398" s="16"/>
      <c r="N398" s="16"/>
      <c r="O398" s="16"/>
      <c r="P398" s="16"/>
    </row>
    <row r="399" ht="22.5" customHeight="1">
      <c r="A399" s="138" t="s">
        <v>724</v>
      </c>
      <c r="B399" s="16" t="str">
        <f>IF(A399="","",IFERROR(VLOOKUP(A399, Stock_New!A:M, 2, FALSE),""))</f>
        <v>بوكيه</v>
      </c>
      <c r="C399" s="236">
        <v>1.0</v>
      </c>
      <c r="D399" s="16" t="str">
        <f>IF(A399="","",IFERROR(VLOOKUP(A399, Stock_New!A:M, 3, FALSE),""))</f>
        <v>المهندس</v>
      </c>
      <c r="E399" s="16">
        <f>IF($A399="", "", IFERROR(VLOOKUP($A399, Stock_New!$A:$M, 6, FALSE), ""))</f>
        <v>42</v>
      </c>
      <c r="F399" s="239">
        <v>50.0</v>
      </c>
      <c r="G399" s="240"/>
      <c r="H399" s="17">
        <v>50.0</v>
      </c>
      <c r="I399" s="238">
        <v>46047.0</v>
      </c>
      <c r="J399" s="5" t="s">
        <v>72</v>
      </c>
      <c r="K399" s="5" t="s">
        <v>2408</v>
      </c>
      <c r="L399" s="16"/>
      <c r="M399" s="16"/>
      <c r="N399" s="16"/>
      <c r="O399" s="16"/>
      <c r="P399" s="16"/>
    </row>
    <row r="400" ht="22.5" customHeight="1">
      <c r="A400" s="138" t="s">
        <v>645</v>
      </c>
      <c r="B400" s="16" t="str">
        <f>IF(A400="","",IFERROR(VLOOKUP(A400, Stock_New!A:M, 2, FALSE),""))</f>
        <v>بوكيه</v>
      </c>
      <c r="C400" s="236">
        <v>1.0</v>
      </c>
      <c r="D400" s="16" t="str">
        <f>IF(A400="","",IFERROR(VLOOKUP(A400, Stock_New!A:M, 3, FALSE),""))</f>
        <v>المهندس</v>
      </c>
      <c r="E400" s="16">
        <f>IF($A400="", "", IFERROR(VLOOKUP($A400, Stock_New!$A:$M, 6, FALSE), ""))</f>
        <v>20.4</v>
      </c>
      <c r="F400" s="239">
        <v>20.0</v>
      </c>
      <c r="G400" s="240"/>
      <c r="H400" s="17">
        <v>20.0</v>
      </c>
      <c r="I400" s="238">
        <v>46047.0</v>
      </c>
      <c r="J400" s="5" t="s">
        <v>72</v>
      </c>
      <c r="K400" s="5" t="s">
        <v>2412</v>
      </c>
      <c r="L400" s="16"/>
      <c r="M400" s="16"/>
      <c r="N400" s="16"/>
      <c r="O400" s="16"/>
      <c r="P400" s="16"/>
    </row>
    <row r="401" ht="22.5" customHeight="1">
      <c r="A401" s="138" t="s">
        <v>38</v>
      </c>
      <c r="B401" s="16" t="str">
        <f>IF(A401="","",IFERROR(VLOOKUP(A401, Stock_New!A:M, 2, FALSE),""))</f>
        <v>شجر صناعي</v>
      </c>
      <c r="C401" s="236">
        <v>1.0</v>
      </c>
      <c r="D401" s="16" t="str">
        <f>IF(A401="","",IFERROR(VLOOKUP(A401, Stock_New!A:M, 3, FALSE),""))</f>
        <v>manufactured</v>
      </c>
      <c r="E401" s="16">
        <f>IF($A401="", "", IFERROR(VLOOKUP($A401, Stock_New!$A:$M, 6, FALSE), ""))</f>
        <v>209.16</v>
      </c>
      <c r="F401" s="239">
        <v>350.0</v>
      </c>
      <c r="G401" s="240"/>
      <c r="H401" s="17">
        <v>350.0</v>
      </c>
      <c r="I401" s="238">
        <v>46047.0</v>
      </c>
      <c r="J401" s="5" t="s">
        <v>72</v>
      </c>
      <c r="K401" s="5" t="s">
        <v>2413</v>
      </c>
      <c r="L401" s="16"/>
      <c r="M401" s="16"/>
      <c r="N401" s="16"/>
      <c r="O401" s="16"/>
      <c r="P401" s="16"/>
    </row>
    <row r="402" ht="22.5" customHeight="1">
      <c r="A402" s="138" t="s">
        <v>699</v>
      </c>
      <c r="B402" s="16" t="str">
        <f>IF(A402="","",IFERROR(VLOOKUP(A402, Stock_New!A:M, 2, FALSE),""))</f>
        <v>بوكيه</v>
      </c>
      <c r="C402" s="236">
        <v>1.0</v>
      </c>
      <c r="D402" s="16" t="str">
        <f>IF(A402="","",IFERROR(VLOOKUP(A402, Stock_New!A:M, 3, FALSE),""))</f>
        <v>manufactured</v>
      </c>
      <c r="E402" s="16">
        <f>IF($A402="", "", IFERROR(VLOOKUP($A402, Stock_New!$A:$M, 6, FALSE), ""))</f>
        <v>24</v>
      </c>
      <c r="F402" s="239">
        <v>50.0</v>
      </c>
      <c r="G402" s="240"/>
      <c r="H402" s="17">
        <v>50.0</v>
      </c>
      <c r="I402" s="238">
        <v>46050.0</v>
      </c>
      <c r="J402" s="5" t="s">
        <v>72</v>
      </c>
      <c r="K402" s="5" t="s">
        <v>2417</v>
      </c>
      <c r="L402" s="16"/>
      <c r="M402" s="16"/>
      <c r="N402" s="16"/>
      <c r="O402" s="16"/>
      <c r="P402" s="16"/>
    </row>
    <row r="403" ht="22.5" customHeight="1">
      <c r="A403" s="138" t="s">
        <v>536</v>
      </c>
      <c r="B403" s="16" t="str">
        <f>IF(A403="","",IFERROR(VLOOKUP(A403, Stock_New!A:M, 2, FALSE),""))</f>
        <v/>
      </c>
      <c r="C403" s="236">
        <v>1.0</v>
      </c>
      <c r="D403" s="16" t="str">
        <f>IF(A403="","",IFERROR(VLOOKUP(A403, Stock_New!A:M, 3, FALSE),""))</f>
        <v/>
      </c>
      <c r="E403" s="16" t="str">
        <f>IF($A403="", "", IFERROR(VLOOKUP($A403, Stock_New!$A:$M, 6, FALSE), ""))</f>
        <v/>
      </c>
      <c r="F403" s="239">
        <v>20.0</v>
      </c>
      <c r="G403" s="240"/>
      <c r="H403" s="17">
        <v>20.0</v>
      </c>
      <c r="I403" s="238">
        <v>46051.0</v>
      </c>
      <c r="J403" s="5" t="s">
        <v>72</v>
      </c>
      <c r="K403" s="5" t="s">
        <v>2419</v>
      </c>
      <c r="L403" s="16"/>
      <c r="M403" s="16"/>
      <c r="N403" s="16"/>
      <c r="O403" s="16"/>
      <c r="P403" s="16"/>
    </row>
    <row r="404" ht="22.5" customHeight="1">
      <c r="A404" s="138" t="s">
        <v>549</v>
      </c>
      <c r="B404" s="16" t="str">
        <f>IF(A404="","",IFERROR(VLOOKUP(A404, Stock_New!A:M, 2, FALSE),""))</f>
        <v>بخور</v>
      </c>
      <c r="C404" s="236">
        <v>1.0</v>
      </c>
      <c r="D404" s="16" t="str">
        <f>IF(A404="","",IFERROR(VLOOKUP(A404, Stock_New!A:M, 3, FALSE),""))</f>
        <v>سنتر محمد رشدي</v>
      </c>
      <c r="E404" s="16">
        <f>IF($A404="", "", IFERROR(VLOOKUP($A404, Stock_New!$A:$M, 6, FALSE), ""))</f>
        <v>21</v>
      </c>
      <c r="F404" s="239">
        <v>25.0</v>
      </c>
      <c r="G404" s="240"/>
      <c r="H404" s="17">
        <v>25.0</v>
      </c>
      <c r="I404" s="238">
        <v>46051.0</v>
      </c>
      <c r="J404" s="5" t="s">
        <v>72</v>
      </c>
      <c r="K404" s="5" t="s">
        <v>2421</v>
      </c>
      <c r="L404" s="16"/>
      <c r="M404" s="16"/>
      <c r="N404" s="16"/>
      <c r="O404" s="16"/>
      <c r="P404" s="16"/>
    </row>
    <row r="405" ht="22.5" customHeight="1">
      <c r="A405" s="138" t="s">
        <v>733</v>
      </c>
      <c r="B405" s="16" t="str">
        <f>IF(A405="","",IFERROR(VLOOKUP(A405, Stock_New!A:M, 2, FALSE),""))</f>
        <v>بوكيه</v>
      </c>
      <c r="C405" s="236">
        <v>2.0</v>
      </c>
      <c r="D405" s="16" t="str">
        <f>IF(A405="","",IFERROR(VLOOKUP(A405, Stock_New!A:M, 3, FALSE),""))</f>
        <v>المهندس</v>
      </c>
      <c r="E405" s="16">
        <f>IF($A405="", "", IFERROR(VLOOKUP($A405, Stock_New!$A:$M, 6, FALSE), ""))</f>
        <v>31.2</v>
      </c>
      <c r="F405" s="239">
        <v>40.0</v>
      </c>
      <c r="G405" s="240"/>
      <c r="H405" s="17">
        <v>80.0</v>
      </c>
      <c r="I405" s="238">
        <v>46051.0</v>
      </c>
      <c r="J405" s="5" t="s">
        <v>72</v>
      </c>
      <c r="K405" s="5" t="s">
        <v>2423</v>
      </c>
      <c r="L405" s="16"/>
      <c r="M405" s="16"/>
      <c r="N405" s="16"/>
      <c r="O405" s="16"/>
      <c r="P405" s="16"/>
    </row>
    <row r="406" ht="22.5" customHeight="1">
      <c r="A406" s="138" t="s">
        <v>77</v>
      </c>
      <c r="B406" s="16" t="str">
        <f>IF(A406="","",IFERROR(VLOOKUP(A406, Stock_New!A:M, 2, FALSE),""))</f>
        <v>شجر</v>
      </c>
      <c r="C406" s="236">
        <v>1.0</v>
      </c>
      <c r="D406" s="16" t="str">
        <f>IF(A406="","",IFERROR(VLOOKUP(A406, Stock_New!A:M, 3, FALSE),""))</f>
        <v>manufactured</v>
      </c>
      <c r="E406" s="16">
        <f>IF($A406="", "", IFERROR(VLOOKUP($A406, Stock_New!$A:$M, 6, FALSE), ""))</f>
        <v>378</v>
      </c>
      <c r="F406" s="239">
        <v>300.0</v>
      </c>
      <c r="G406" s="240"/>
      <c r="H406" s="17">
        <v>300.0</v>
      </c>
      <c r="I406" s="238">
        <v>46052.0</v>
      </c>
      <c r="J406" s="5" t="s">
        <v>72</v>
      </c>
      <c r="K406" s="5" t="s">
        <v>2426</v>
      </c>
      <c r="L406" s="16"/>
      <c r="M406" s="16"/>
      <c r="N406" s="16"/>
      <c r="O406" s="16"/>
      <c r="P406" s="16"/>
    </row>
    <row r="407" ht="22.5" customHeight="1">
      <c r="A407" s="138" t="s">
        <v>165</v>
      </c>
      <c r="B407" s="16" t="str">
        <f>IF(A407="","",IFERROR(VLOOKUP(A407, Stock_New!A:M, 2, FALSE),""))</f>
        <v>بوتات</v>
      </c>
      <c r="C407" s="236">
        <v>1.0</v>
      </c>
      <c r="D407" s="16" t="str">
        <f>IF(A407="","",IFERROR(VLOOKUP(A407, Stock_New!A:M, 3, FALSE),""))</f>
        <v>ذكريا</v>
      </c>
      <c r="E407" s="16">
        <f>IF($A407="", "", IFERROR(VLOOKUP($A407, Stock_New!$A:$M, 6, FALSE), ""))</f>
        <v>106.88</v>
      </c>
      <c r="F407" s="239">
        <v>100.0</v>
      </c>
      <c r="G407" s="240"/>
      <c r="H407" s="17">
        <v>100.0</v>
      </c>
      <c r="I407" s="238">
        <v>46052.0</v>
      </c>
      <c r="J407" s="5" t="s">
        <v>72</v>
      </c>
      <c r="K407" s="5" t="s">
        <v>2429</v>
      </c>
      <c r="L407" s="16"/>
      <c r="M407" s="16"/>
      <c r="N407" s="16"/>
      <c r="O407" s="16"/>
      <c r="P407" s="16"/>
    </row>
    <row r="408" ht="22.5" customHeight="1">
      <c r="A408" s="138" t="s">
        <v>177</v>
      </c>
      <c r="B408" s="16" t="str">
        <f>IF(A408="","",IFERROR(VLOOKUP(A408, Stock_New!A:M, 2, FALSE),""))</f>
        <v>بورسلين</v>
      </c>
      <c r="C408" s="236">
        <v>2.0</v>
      </c>
      <c r="D408" s="16" t="str">
        <f>IF(A408="","",IFERROR(VLOOKUP(A408, Stock_New!A:M, 3, FALSE),""))</f>
        <v>شركة حسين علي</v>
      </c>
      <c r="E408" s="16">
        <f>IF($A408="", "", IFERROR(VLOOKUP($A408, Stock_New!$A:$M, 6, FALSE), ""))</f>
        <v>90</v>
      </c>
      <c r="F408" s="239">
        <v>100.0</v>
      </c>
      <c r="G408" s="240"/>
      <c r="H408" s="17">
        <v>200.0</v>
      </c>
      <c r="I408" s="238">
        <v>46052.0</v>
      </c>
      <c r="J408" s="5" t="s">
        <v>72</v>
      </c>
      <c r="K408" s="5" t="s">
        <v>2431</v>
      </c>
      <c r="L408" s="16"/>
      <c r="M408" s="16"/>
      <c r="N408" s="16"/>
      <c r="O408" s="16"/>
      <c r="P408" s="16"/>
    </row>
    <row r="409" ht="22.5" customHeight="1">
      <c r="A409" s="138" t="s">
        <v>740</v>
      </c>
      <c r="B409" s="16" t="str">
        <f>IF(A409="","",IFERROR(VLOOKUP(A409, Stock_New!A:M, 2, FALSE),""))</f>
        <v>سيلفرات</v>
      </c>
      <c r="C409" s="236">
        <v>1.0</v>
      </c>
      <c r="D409" s="16" t="str">
        <f>IF(A409="","",IFERROR(VLOOKUP(A409, Stock_New!A:M, 3, FALSE),""))</f>
        <v>سنتر محمد رشدي</v>
      </c>
      <c r="E409" s="16">
        <f>IF($A409="", "", IFERROR(VLOOKUP($A409, Stock_New!$A:$M, 6, FALSE), ""))</f>
        <v>165</v>
      </c>
      <c r="F409" s="239">
        <v>175.0</v>
      </c>
      <c r="G409" s="240"/>
      <c r="H409" s="17">
        <v>175.0</v>
      </c>
      <c r="I409" s="238">
        <v>46052.0</v>
      </c>
      <c r="J409" s="5" t="s">
        <v>72</v>
      </c>
      <c r="K409" s="5" t="s">
        <v>2435</v>
      </c>
      <c r="L409" s="16"/>
      <c r="M409" s="16"/>
      <c r="N409" s="16"/>
      <c r="O409" s="16"/>
      <c r="P409" s="16"/>
    </row>
    <row r="410" ht="22.5" customHeight="1">
      <c r="A410" s="138" t="s">
        <v>372</v>
      </c>
      <c r="B410" s="16" t="str">
        <f>IF(A410="","",IFERROR(VLOOKUP(A410, Stock_New!A:M, 2, FALSE),""))</f>
        <v>بوكيه</v>
      </c>
      <c r="C410" s="236">
        <v>1.0</v>
      </c>
      <c r="D410" s="16" t="str">
        <f>IF(A410="","",IFERROR(VLOOKUP(A410, Stock_New!A:M, 3, FALSE),""))</f>
        <v>ذكريا</v>
      </c>
      <c r="E410" s="16">
        <f>IF($A410="", "", IFERROR(VLOOKUP($A410, Stock_New!$A:$M, 6, FALSE), ""))</f>
        <v>216</v>
      </c>
      <c r="F410" s="239">
        <v>180.0</v>
      </c>
      <c r="G410" s="240"/>
      <c r="H410" s="17">
        <v>180.0</v>
      </c>
      <c r="I410" s="238">
        <v>46052.0</v>
      </c>
      <c r="J410" s="5" t="s">
        <v>72</v>
      </c>
      <c r="K410" s="5" t="s">
        <v>2438</v>
      </c>
      <c r="L410" s="16"/>
      <c r="M410" s="16"/>
      <c r="N410" s="16"/>
      <c r="O410" s="16"/>
      <c r="P410" s="16"/>
    </row>
    <row r="411" ht="22.5" customHeight="1">
      <c r="A411" s="138" t="s">
        <v>726</v>
      </c>
      <c r="B411" s="16" t="str">
        <f>IF(A411="","",IFERROR(VLOOKUP(A411, Stock_New!A:M, 2, FALSE),""))</f>
        <v>ورد لوحده</v>
      </c>
      <c r="C411" s="236">
        <v>2.0</v>
      </c>
      <c r="D411" s="16" t="str">
        <f>IF(A411="","",IFERROR(VLOOKUP(A411, Stock_New!A:M, 3, FALSE),""))</f>
        <v>ذكريا</v>
      </c>
      <c r="E411" s="16">
        <f>IF($A411="", "", IFERROR(VLOOKUP($A411, Stock_New!$A:$M, 6, FALSE), ""))</f>
        <v>36</v>
      </c>
      <c r="F411" s="239">
        <v>30.0</v>
      </c>
      <c r="G411" s="240"/>
      <c r="H411" s="17">
        <v>60.0</v>
      </c>
      <c r="I411" s="238">
        <v>46052.0</v>
      </c>
      <c r="J411" s="5" t="s">
        <v>72</v>
      </c>
      <c r="K411" s="5" t="s">
        <v>2442</v>
      </c>
      <c r="L411" s="16"/>
      <c r="M411" s="16"/>
      <c r="N411" s="16"/>
      <c r="O411" s="16"/>
      <c r="P411" s="16"/>
    </row>
    <row r="412" ht="22.5" customHeight="1">
      <c r="A412" s="138" t="s">
        <v>753</v>
      </c>
      <c r="B412" s="16" t="str">
        <f>IF(A412="","",IFERROR(VLOOKUP(A412, Stock_New!A:M, 2, FALSE),""))</f>
        <v>ورد لوحده</v>
      </c>
      <c r="C412" s="236">
        <v>3.0</v>
      </c>
      <c r="D412" s="16" t="str">
        <f>IF(A412="","",IFERROR(VLOOKUP(A412, Stock_New!A:M, 3, FALSE),""))</f>
        <v>manufactured</v>
      </c>
      <c r="E412" s="16">
        <f>IF($A412="", "", IFERROR(VLOOKUP($A412, Stock_New!$A:$M, 6, FALSE), ""))</f>
        <v>8.5</v>
      </c>
      <c r="F412" s="226">
        <v>10.0</v>
      </c>
      <c r="G412" s="62"/>
      <c r="H412" s="17">
        <v>30.0</v>
      </c>
      <c r="I412" s="238">
        <v>46052.0</v>
      </c>
      <c r="J412" s="5" t="s">
        <v>72</v>
      </c>
      <c r="K412" s="5" t="s">
        <v>2446</v>
      </c>
      <c r="L412" s="16"/>
      <c r="M412" s="16"/>
      <c r="N412" s="16"/>
      <c r="O412" s="16"/>
      <c r="P412" s="16"/>
    </row>
    <row r="413" ht="22.5" customHeight="1">
      <c r="A413" s="138" t="s">
        <v>372</v>
      </c>
      <c r="B413" s="16" t="str">
        <f>IF(A413="","",IFERROR(VLOOKUP(A413, Stock_New!A:M, 2, FALSE),""))</f>
        <v>بوكيه</v>
      </c>
      <c r="C413" s="236">
        <v>1.0</v>
      </c>
      <c r="D413" s="16" t="str">
        <f>IF(A413="","",IFERROR(VLOOKUP(A413, Stock_New!A:M, 3, FALSE),""))</f>
        <v>ذكريا</v>
      </c>
      <c r="E413" s="16">
        <f>IF($A413="", "", IFERROR(VLOOKUP($A413, Stock_New!$A:$M, 6, FALSE), ""))</f>
        <v>216</v>
      </c>
      <c r="F413" s="239">
        <v>180.0</v>
      </c>
      <c r="G413" s="240"/>
      <c r="H413" s="17">
        <v>180.0</v>
      </c>
      <c r="I413" s="238">
        <v>46052.0</v>
      </c>
      <c r="J413" s="5" t="s">
        <v>72</v>
      </c>
      <c r="K413" s="5" t="s">
        <v>2448</v>
      </c>
      <c r="L413" s="16"/>
      <c r="M413" s="19" t="s">
        <v>4456</v>
      </c>
      <c r="N413" s="16"/>
      <c r="O413" s="16"/>
      <c r="P413" s="16"/>
    </row>
    <row r="414" ht="22.5" customHeight="1">
      <c r="A414" s="138" t="s">
        <v>726</v>
      </c>
      <c r="B414" s="16" t="str">
        <f>IF(A414="","",IFERROR(VLOOKUP(A414, Stock_New!A:M, 2, FALSE),""))</f>
        <v>ورد لوحده</v>
      </c>
      <c r="C414" s="236">
        <v>2.0</v>
      </c>
      <c r="D414" s="16" t="str">
        <f>IF(A414="","",IFERROR(VLOOKUP(A414, Stock_New!A:M, 3, FALSE),""))</f>
        <v>ذكريا</v>
      </c>
      <c r="E414" s="16">
        <f>IF($A414="", "", IFERROR(VLOOKUP($A414, Stock_New!$A:$M, 6, FALSE), ""))</f>
        <v>36</v>
      </c>
      <c r="F414" s="239">
        <v>25.0</v>
      </c>
      <c r="G414" s="240"/>
      <c r="H414" s="17">
        <v>50.0</v>
      </c>
      <c r="I414" s="238">
        <v>46052.0</v>
      </c>
      <c r="J414" s="5" t="s">
        <v>72</v>
      </c>
      <c r="K414" s="5" t="s">
        <v>2450</v>
      </c>
      <c r="L414" s="16"/>
      <c r="M414" s="19" t="s">
        <v>4456</v>
      </c>
      <c r="N414" s="16"/>
      <c r="O414" s="16"/>
      <c r="P414" s="16"/>
    </row>
    <row r="415" ht="22.5" customHeight="1">
      <c r="A415" s="138" t="s">
        <v>753</v>
      </c>
      <c r="B415" s="16" t="str">
        <f>IF(A415="","",IFERROR(VLOOKUP(A415, Stock_New!A:M, 2, FALSE),""))</f>
        <v>ورد لوحده</v>
      </c>
      <c r="C415" s="236">
        <v>3.0</v>
      </c>
      <c r="D415" s="16" t="str">
        <f>IF(A415="","",IFERROR(VLOOKUP(A415, Stock_New!A:M, 3, FALSE),""))</f>
        <v>manufactured</v>
      </c>
      <c r="E415" s="16">
        <f>IF($A415="", "", IFERROR(VLOOKUP($A415, Stock_New!$A:$M, 6, FALSE), ""))</f>
        <v>8.5</v>
      </c>
      <c r="F415" s="226">
        <v>10.0</v>
      </c>
      <c r="G415" s="240"/>
      <c r="H415" s="17">
        <v>30.0</v>
      </c>
      <c r="I415" s="238">
        <v>46052.0</v>
      </c>
      <c r="J415" s="5" t="s">
        <v>72</v>
      </c>
      <c r="K415" s="5" t="s">
        <v>2452</v>
      </c>
      <c r="L415" s="16"/>
      <c r="M415" s="19" t="s">
        <v>4456</v>
      </c>
      <c r="N415" s="16"/>
      <c r="O415" s="16"/>
      <c r="P415" s="16"/>
    </row>
    <row r="416" ht="22.5" customHeight="1">
      <c r="A416" s="138" t="s">
        <v>733</v>
      </c>
      <c r="B416" s="16" t="str">
        <f>IF(A416="","",IFERROR(VLOOKUP(A416, Stock_New!A:M, 2, FALSE),""))</f>
        <v>بوكيه</v>
      </c>
      <c r="C416" s="236">
        <v>1.0</v>
      </c>
      <c r="D416" s="16" t="str">
        <f>IF(A416="","",IFERROR(VLOOKUP(A416, Stock_New!A:M, 3, FALSE),""))</f>
        <v>المهندس</v>
      </c>
      <c r="E416" s="16">
        <f>IF($A416="", "", IFERROR(VLOOKUP($A416, Stock_New!$A:$M, 6, FALSE), ""))</f>
        <v>31.2</v>
      </c>
      <c r="F416" s="239">
        <v>40.0</v>
      </c>
      <c r="G416" s="240"/>
      <c r="H416" s="17">
        <v>40.0</v>
      </c>
      <c r="I416" s="238">
        <v>46052.0</v>
      </c>
      <c r="J416" s="5" t="s">
        <v>72</v>
      </c>
      <c r="K416" s="5" t="s">
        <v>2454</v>
      </c>
      <c r="L416" s="16"/>
      <c r="M416" s="19" t="s">
        <v>4456</v>
      </c>
      <c r="N416" s="16"/>
      <c r="O416" s="16"/>
      <c r="P416" s="16"/>
    </row>
    <row r="417" ht="22.5" customHeight="1">
      <c r="A417" s="138" t="s">
        <v>48</v>
      </c>
      <c r="B417" s="16" t="str">
        <f>IF(A417="","",IFERROR(VLOOKUP(A417, Stock_New!A:M, 2, FALSE),""))</f>
        <v>بوكيه</v>
      </c>
      <c r="C417" s="236">
        <v>1.0</v>
      </c>
      <c r="D417" s="16" t="str">
        <f>IF(A417="","",IFERROR(VLOOKUP(A417, Stock_New!A:M, 3, FALSE),""))</f>
        <v>ذكريا</v>
      </c>
      <c r="E417" s="16">
        <f>IF($A417="", "", IFERROR(VLOOKUP($A417, Stock_New!$A:$M, 6, FALSE), ""))</f>
        <v>44.4</v>
      </c>
      <c r="F417" s="239">
        <v>50.0</v>
      </c>
      <c r="G417" s="240"/>
      <c r="H417" s="17">
        <v>50.0</v>
      </c>
      <c r="I417" s="238">
        <v>46052.0</v>
      </c>
      <c r="J417" s="5" t="s">
        <v>72</v>
      </c>
      <c r="K417" s="5" t="s">
        <v>2455</v>
      </c>
      <c r="L417" s="16"/>
      <c r="M417" s="19"/>
      <c r="N417" s="16"/>
      <c r="O417" s="16"/>
      <c r="P417" s="16"/>
    </row>
    <row r="418" ht="22.5" customHeight="1">
      <c r="A418" s="138" t="s">
        <v>194</v>
      </c>
      <c r="B418" s="16" t="str">
        <f>IF(A418="","",IFERROR(VLOOKUP(A418, Stock_New!A:M, 2, FALSE),""))</f>
        <v>بوتات</v>
      </c>
      <c r="C418" s="236">
        <v>1.0</v>
      </c>
      <c r="D418" s="16" t="str">
        <f>IF(A418="","",IFERROR(VLOOKUP(A418, Stock_New!A:M, 3, FALSE),""))</f>
        <v>ذكريا</v>
      </c>
      <c r="E418" s="16">
        <f>IF($A418="", "", IFERROR(VLOOKUP($A418, Stock_New!$A:$M, 6, FALSE), ""))</f>
        <v>197</v>
      </c>
      <c r="F418" s="239">
        <v>200.0</v>
      </c>
      <c r="G418" s="240"/>
      <c r="H418" s="17">
        <v>200.0</v>
      </c>
      <c r="I418" s="238">
        <v>46053.0</v>
      </c>
      <c r="J418" s="5" t="s">
        <v>72</v>
      </c>
      <c r="K418" s="5" t="s">
        <v>2457</v>
      </c>
      <c r="L418" s="16"/>
      <c r="M418" s="19"/>
      <c r="N418" s="16"/>
      <c r="O418" s="16"/>
      <c r="P418" s="16"/>
    </row>
    <row r="419" ht="22.5" customHeight="1">
      <c r="A419" s="138" t="s">
        <v>356</v>
      </c>
      <c r="B419" s="16" t="str">
        <f>IF(A419="","",IFERROR(VLOOKUP(A419, Stock_New!A:M, 2, FALSE),""))</f>
        <v>ورد لوحدة</v>
      </c>
      <c r="C419" s="236">
        <v>2.0</v>
      </c>
      <c r="D419" s="16" t="str">
        <f>IF(A419="","",IFERROR(VLOOKUP(A419, Stock_New!A:M, 3, FALSE),""))</f>
        <v>شركة الفرسان</v>
      </c>
      <c r="E419" s="16">
        <f>IF($A419="", "", IFERROR(VLOOKUP($A419, Stock_New!$A:$M, 6, FALSE), ""))</f>
        <v>102</v>
      </c>
      <c r="F419" s="239">
        <v>110.0</v>
      </c>
      <c r="G419" s="240"/>
      <c r="H419" s="17">
        <v>220.0</v>
      </c>
      <c r="I419" s="238">
        <v>46053.0</v>
      </c>
      <c r="J419" s="5" t="s">
        <v>72</v>
      </c>
      <c r="K419" s="5" t="s">
        <v>2459</v>
      </c>
      <c r="L419" s="16"/>
      <c r="M419" s="19"/>
      <c r="N419" s="16"/>
      <c r="O419" s="16"/>
      <c r="P419" s="16"/>
    </row>
    <row r="420" ht="22.5" customHeight="1">
      <c r="A420" s="138" t="s">
        <v>497</v>
      </c>
      <c r="B420" s="16" t="str">
        <f>IF(A420="","",IFERROR(VLOOKUP(A420, Stock_New!A:M, 2, FALSE),""))</f>
        <v>ليد</v>
      </c>
      <c r="C420" s="236">
        <v>1.0</v>
      </c>
      <c r="D420" s="16" t="str">
        <f>IF(A420="","",IFERROR(VLOOKUP(A420, Stock_New!A:M, 3, FALSE),""))</f>
        <v>سنتر محمد رشدي</v>
      </c>
      <c r="E420" s="16">
        <f>IF($A420="", "", IFERROR(VLOOKUP($A420, Stock_New!$A:$M, 6, FALSE), ""))</f>
        <v>234</v>
      </c>
      <c r="F420" s="239">
        <v>250.0</v>
      </c>
      <c r="G420" s="240"/>
      <c r="H420" s="17">
        <v>250.0</v>
      </c>
      <c r="I420" s="238">
        <v>46053.0</v>
      </c>
      <c r="J420" s="5" t="s">
        <v>72</v>
      </c>
      <c r="K420" s="5" t="s">
        <v>2461</v>
      </c>
      <c r="L420" s="16"/>
      <c r="M420" s="19"/>
      <c r="N420" s="16"/>
      <c r="O420" s="16"/>
      <c r="P420" s="16"/>
    </row>
    <row r="421" ht="22.5" customHeight="1">
      <c r="A421" s="138" t="s">
        <v>588</v>
      </c>
      <c r="B421" s="16" t="str">
        <f>IF(A421="","",IFERROR(VLOOKUP(A421, Stock_New!A:M, 2, FALSE),""))</f>
        <v>ليد</v>
      </c>
      <c r="C421" s="236">
        <v>2.0</v>
      </c>
      <c r="D421" s="16" t="str">
        <f>IF(A421="","",IFERROR(VLOOKUP(A421, Stock_New!A:M, 3, FALSE),""))</f>
        <v>سنتر محمد رشدي</v>
      </c>
      <c r="E421" s="16">
        <f>IF($A421="", "", IFERROR(VLOOKUP($A421, Stock_New!$A:$M, 6, FALSE), ""))</f>
        <v>138</v>
      </c>
      <c r="F421" s="239">
        <v>125.0</v>
      </c>
      <c r="G421" s="240"/>
      <c r="H421" s="17">
        <v>250.0</v>
      </c>
      <c r="I421" s="238">
        <v>45688.0</v>
      </c>
      <c r="J421" s="5" t="s">
        <v>72</v>
      </c>
      <c r="K421" s="5" t="s">
        <v>2463</v>
      </c>
      <c r="L421" s="16"/>
      <c r="M421" s="19"/>
      <c r="N421" s="16"/>
      <c r="O421" s="16"/>
      <c r="P421" s="16"/>
    </row>
    <row r="422" ht="22.5" customHeight="1">
      <c r="A422" s="138" t="s">
        <v>168</v>
      </c>
      <c r="B422" s="16" t="str">
        <f>IF(A422="","",IFERROR(VLOOKUP(A422, Stock_New!A:M, 2, FALSE),""))</f>
        <v>خزف</v>
      </c>
      <c r="C422" s="236">
        <v>1.0</v>
      </c>
      <c r="D422" s="16" t="str">
        <f>IF(A422="","",IFERROR(VLOOKUP(A422, Stock_New!A:M, 3, FALSE),""))</f>
        <v>شركة حسين علي</v>
      </c>
      <c r="E422" s="16">
        <f>IF($A422="", "", IFERROR(VLOOKUP($A422, Stock_New!$A:$M, 6, FALSE), ""))</f>
        <v>132</v>
      </c>
      <c r="F422" s="239">
        <v>225.0</v>
      </c>
      <c r="G422" s="240"/>
      <c r="H422" s="17">
        <v>225.0</v>
      </c>
      <c r="I422" s="238">
        <v>46056.0</v>
      </c>
      <c r="J422" s="5" t="s">
        <v>72</v>
      </c>
      <c r="K422" s="5" t="s">
        <v>2465</v>
      </c>
      <c r="L422" s="16"/>
      <c r="M422" s="19"/>
      <c r="N422" s="16"/>
      <c r="O422" s="16"/>
      <c r="P422" s="16"/>
    </row>
    <row r="423" ht="22.5" customHeight="1">
      <c r="A423" s="138" t="s">
        <v>756</v>
      </c>
      <c r="B423" s="16" t="str">
        <f>IF(A423="","",IFERROR(VLOOKUP(A423, Stock_New!A:M, 2, FALSE),""))</f>
        <v>ورد لوحدة</v>
      </c>
      <c r="C423" s="236">
        <v>1.0</v>
      </c>
      <c r="D423" s="16" t="str">
        <f>IF(A423="","",IFERROR(VLOOKUP(A423, Stock_New!A:M, 3, FALSE),""))</f>
        <v>شركة حسين علي</v>
      </c>
      <c r="E423" s="16">
        <f>IF($A423="", "", IFERROR(VLOOKUP($A423, Stock_New!$A:$M, 6, FALSE), ""))</f>
        <v>36</v>
      </c>
      <c r="F423" s="239">
        <v>75.0</v>
      </c>
      <c r="G423" s="240"/>
      <c r="H423" s="17">
        <v>75.0</v>
      </c>
      <c r="I423" s="238">
        <v>46056.0</v>
      </c>
      <c r="J423" s="5" t="s">
        <v>72</v>
      </c>
      <c r="K423" s="5" t="s">
        <v>2467</v>
      </c>
      <c r="L423" s="16"/>
      <c r="M423" s="19"/>
      <c r="N423" s="16"/>
      <c r="O423" s="16"/>
      <c r="P423" s="16"/>
    </row>
    <row r="424" ht="22.5" customHeight="1">
      <c r="A424" s="138" t="s">
        <v>558</v>
      </c>
      <c r="B424" s="16" t="str">
        <f>IF(A424="","",IFERROR(VLOOKUP(A424, Stock_New!A:M, 2, FALSE),""))</f>
        <v>كهربائيات</v>
      </c>
      <c r="C424" s="236">
        <v>1.0</v>
      </c>
      <c r="D424" s="16" t="str">
        <f>IF(A424="","",IFERROR(VLOOKUP(A424, Stock_New!A:M, 3, FALSE),""))</f>
        <v>سنتر محمد رشدي</v>
      </c>
      <c r="E424" s="16">
        <f>IF($A424="", "", IFERROR(VLOOKUP($A424, Stock_New!$A:$M, 6, FALSE), ""))</f>
        <v>150</v>
      </c>
      <c r="F424" s="239">
        <v>150.0</v>
      </c>
      <c r="G424" s="240"/>
      <c r="H424" s="17">
        <v>150.0</v>
      </c>
      <c r="I424" s="238">
        <v>46056.0</v>
      </c>
      <c r="J424" s="5" t="s">
        <v>72</v>
      </c>
      <c r="K424" s="5" t="s">
        <v>2471</v>
      </c>
      <c r="L424" s="16"/>
      <c r="M424" s="19"/>
      <c r="N424" s="16"/>
      <c r="O424" s="16"/>
      <c r="P424" s="16"/>
    </row>
    <row r="425" ht="22.5" customHeight="1">
      <c r="A425" s="138" t="s">
        <v>79</v>
      </c>
      <c r="B425" s="16" t="str">
        <f>IF(A425="","",IFERROR(VLOOKUP(A425, Stock_New!A:M, 2, FALSE),""))</f>
        <v>خزف</v>
      </c>
      <c r="C425" s="236">
        <v>1.0</v>
      </c>
      <c r="D425" s="16" t="str">
        <f>IF(A425="","",IFERROR(VLOOKUP(A425, Stock_New!A:M, 3, FALSE),""))</f>
        <v>ذكريا</v>
      </c>
      <c r="E425" s="16">
        <f>IF($A425="", "", IFERROR(VLOOKUP($A425, Stock_New!$A:$M, 6, FALSE), ""))</f>
        <v>72</v>
      </c>
      <c r="F425" s="239">
        <v>75.0</v>
      </c>
      <c r="G425" s="240"/>
      <c r="H425" s="17">
        <v>75.0</v>
      </c>
      <c r="I425" s="238">
        <v>46056.0</v>
      </c>
      <c r="J425" s="5" t="s">
        <v>72</v>
      </c>
      <c r="K425" s="5" t="s">
        <v>2473</v>
      </c>
      <c r="L425" s="16"/>
      <c r="M425" s="19"/>
      <c r="N425" s="16"/>
      <c r="O425" s="16"/>
      <c r="P425" s="16"/>
    </row>
    <row r="426" ht="22.5" customHeight="1">
      <c r="A426" s="138" t="s">
        <v>34</v>
      </c>
      <c r="B426" s="16" t="str">
        <f>IF(A426="","",IFERROR(VLOOKUP(A426, Stock_New!A:M, 2, FALSE),""))</f>
        <v>شجر</v>
      </c>
      <c r="C426" s="236">
        <v>1.0</v>
      </c>
      <c r="D426" s="16" t="str">
        <f>IF(A426="","",IFERROR(VLOOKUP(A426, Stock_New!A:M, 3, FALSE),""))</f>
        <v>manufactured</v>
      </c>
      <c r="E426" s="16">
        <f>IF($A426="", "", IFERROR(VLOOKUP($A426, Stock_New!$A:$M, 6, FALSE), ""))</f>
        <v>108</v>
      </c>
      <c r="F426" s="239">
        <v>300.0</v>
      </c>
      <c r="G426" s="240"/>
      <c r="H426" s="17">
        <v>300.0</v>
      </c>
      <c r="I426" s="238">
        <v>46056.0</v>
      </c>
      <c r="J426" s="5" t="s">
        <v>72</v>
      </c>
      <c r="K426" s="5" t="s">
        <v>2475</v>
      </c>
      <c r="L426" s="16"/>
      <c r="M426" s="19"/>
      <c r="N426" s="16"/>
      <c r="O426" s="16"/>
      <c r="P426" s="16"/>
    </row>
    <row r="427" ht="22.5" customHeight="1">
      <c r="A427" s="138" t="s">
        <v>302</v>
      </c>
      <c r="B427" s="16" t="str">
        <f>IF(A427="","",IFERROR(VLOOKUP(A427, Stock_New!A:M, 2, FALSE),""))</f>
        <v>بلاستيك</v>
      </c>
      <c r="C427" s="236">
        <v>4.0</v>
      </c>
      <c r="D427" s="16" t="str">
        <f>IF(A427="","",IFERROR(VLOOKUP(A427, Stock_New!A:M, 3, FALSE),""))</f>
        <v>ذكريا</v>
      </c>
      <c r="E427" s="16">
        <f>IF($A427="", "", IFERROR(VLOOKUP($A427, Stock_New!$A:$M, 6, FALSE), ""))</f>
        <v>21.6</v>
      </c>
      <c r="F427" s="239">
        <v>25.0</v>
      </c>
      <c r="G427" s="240"/>
      <c r="H427" s="17">
        <v>100.0</v>
      </c>
      <c r="I427" s="238">
        <v>46057.0</v>
      </c>
      <c r="J427" s="5" t="s">
        <v>72</v>
      </c>
      <c r="K427" s="5" t="s">
        <v>2477</v>
      </c>
      <c r="L427" s="16"/>
      <c r="M427" s="19"/>
      <c r="N427" s="16"/>
      <c r="O427" s="16"/>
      <c r="P427" s="16"/>
    </row>
    <row r="428" ht="22.5" customHeight="1">
      <c r="A428" s="138" t="s">
        <v>645</v>
      </c>
      <c r="B428" s="16" t="str">
        <f>IF(A428="","",IFERROR(VLOOKUP(A428, Stock_New!A:M, 2, FALSE),""))</f>
        <v>بوكيه</v>
      </c>
      <c r="C428" s="236">
        <v>4.0</v>
      </c>
      <c r="D428" s="16" t="str">
        <f>IF(A428="","",IFERROR(VLOOKUP(A428, Stock_New!A:M, 3, FALSE),""))</f>
        <v>المهندس</v>
      </c>
      <c r="E428" s="16">
        <f>IF($A428="", "", IFERROR(VLOOKUP($A428, Stock_New!$A:$M, 6, FALSE), ""))</f>
        <v>20.4</v>
      </c>
      <c r="F428" s="239">
        <v>25.0</v>
      </c>
      <c r="G428" s="240"/>
      <c r="H428" s="17">
        <v>100.0</v>
      </c>
      <c r="I428" s="238">
        <v>46057.0</v>
      </c>
      <c r="J428" s="5" t="s">
        <v>72</v>
      </c>
      <c r="K428" s="5" t="s">
        <v>2478</v>
      </c>
      <c r="L428" s="16"/>
      <c r="M428" s="19"/>
      <c r="N428" s="16"/>
      <c r="O428" s="16"/>
      <c r="P428" s="16"/>
    </row>
    <row r="429" ht="22.5" customHeight="1">
      <c r="A429" s="138" t="s">
        <v>667</v>
      </c>
      <c r="B429" s="16" t="str">
        <f>IF(A429="","",IFERROR(VLOOKUP(A429, Stock_New!A:M, 2, FALSE),""))</f>
        <v>بوكيه</v>
      </c>
      <c r="C429" s="236">
        <v>1.0</v>
      </c>
      <c r="D429" s="16" t="str">
        <f>IF(A429="","",IFERROR(VLOOKUP(A429, Stock_New!A:M, 3, FALSE),""))</f>
        <v>المهندس</v>
      </c>
      <c r="E429" s="16">
        <f>IF($A429="", "", IFERROR(VLOOKUP($A429, Stock_New!$A:$M, 6, FALSE), ""))</f>
        <v>66</v>
      </c>
      <c r="F429" s="239">
        <v>75.0</v>
      </c>
      <c r="G429" s="240"/>
      <c r="H429" s="17">
        <v>75.0</v>
      </c>
      <c r="I429" s="238">
        <v>46057.0</v>
      </c>
      <c r="J429" s="5" t="s">
        <v>72</v>
      </c>
      <c r="K429" s="5" t="s">
        <v>2480</v>
      </c>
      <c r="L429" s="16"/>
      <c r="M429" s="19"/>
      <c r="N429" s="16"/>
      <c r="O429" s="16"/>
      <c r="P429" s="16"/>
    </row>
    <row r="430" ht="22.5" customHeight="1">
      <c r="A430" s="138" t="s">
        <v>733</v>
      </c>
      <c r="B430" s="16" t="str">
        <f>IF(A430="","",IFERROR(VLOOKUP(A430, Stock_New!A:M, 2, FALSE),""))</f>
        <v>بوكيه</v>
      </c>
      <c r="C430" s="236">
        <v>1.0</v>
      </c>
      <c r="D430" s="16" t="str">
        <f>IF(A430="","",IFERROR(VLOOKUP(A430, Stock_New!A:M, 3, FALSE),""))</f>
        <v>المهندس</v>
      </c>
      <c r="E430" s="16">
        <f>IF($A430="", "", IFERROR(VLOOKUP($A430, Stock_New!$A:$M, 6, FALSE), ""))</f>
        <v>31.2</v>
      </c>
      <c r="F430" s="239">
        <v>40.0</v>
      </c>
      <c r="G430" s="240"/>
      <c r="H430" s="17">
        <v>40.0</v>
      </c>
      <c r="I430" s="238">
        <v>46057.0</v>
      </c>
      <c r="J430" s="5" t="s">
        <v>72</v>
      </c>
      <c r="K430" s="5" t="s">
        <v>2481</v>
      </c>
      <c r="L430" s="16"/>
      <c r="M430" s="19"/>
      <c r="N430" s="16"/>
      <c r="O430" s="16"/>
      <c r="P430" s="16"/>
    </row>
    <row r="431" ht="22.5" customHeight="1">
      <c r="A431" s="138" t="s">
        <v>326</v>
      </c>
      <c r="B431" s="16" t="str">
        <f>IF(A431="","",IFERROR(VLOOKUP(A431, Stock_New!A:M, 2, FALSE),""))</f>
        <v>لوح</v>
      </c>
      <c r="C431" s="236">
        <v>1.0</v>
      </c>
      <c r="D431" s="16" t="str">
        <f>IF(A431="","",IFERROR(VLOOKUP(A431, Stock_New!A:M, 3, FALSE),""))</f>
        <v>ذكريا</v>
      </c>
      <c r="E431" s="16">
        <f>IF($A431="", "", IFERROR(VLOOKUP($A431, Stock_New!$A:$M, 6, FALSE), ""))</f>
        <v>330</v>
      </c>
      <c r="F431" s="239">
        <v>300.0</v>
      </c>
      <c r="G431" s="240"/>
      <c r="H431" s="17">
        <v>300.0</v>
      </c>
      <c r="I431" s="238">
        <v>46057.0</v>
      </c>
      <c r="J431" s="5" t="s">
        <v>72</v>
      </c>
      <c r="K431" s="5" t="s">
        <v>2483</v>
      </c>
      <c r="L431" s="16"/>
      <c r="M431" s="19" t="s">
        <v>4516</v>
      </c>
      <c r="N431" s="5">
        <v>210.0</v>
      </c>
      <c r="O431" s="16"/>
      <c r="P431" s="16"/>
    </row>
    <row r="432" ht="22.5" customHeight="1">
      <c r="A432" s="138" t="s">
        <v>322</v>
      </c>
      <c r="B432" s="16" t="str">
        <f>IF(A432="","",IFERROR(VLOOKUP(A432, Stock_New!A:M, 2, FALSE),""))</f>
        <v>خزف</v>
      </c>
      <c r="C432" s="236">
        <v>1.0</v>
      </c>
      <c r="D432" s="16" t="str">
        <f>IF(A432="","",IFERROR(VLOOKUP(A432, Stock_New!A:M, 3, FALSE),""))</f>
        <v>ذكريا</v>
      </c>
      <c r="E432" s="16">
        <f>IF($A432="", "", IFERROR(VLOOKUP($A432, Stock_New!$A:$M, 6, FALSE), ""))</f>
        <v>90</v>
      </c>
      <c r="F432" s="239">
        <v>100.0</v>
      </c>
      <c r="G432" s="240"/>
      <c r="H432" s="17">
        <v>100.0</v>
      </c>
      <c r="I432" s="238">
        <v>46057.0</v>
      </c>
      <c r="J432" s="5" t="s">
        <v>72</v>
      </c>
      <c r="K432" s="5" t="s">
        <v>2487</v>
      </c>
      <c r="L432" s="16"/>
      <c r="M432" s="19"/>
      <c r="N432" s="16"/>
      <c r="O432" s="16"/>
      <c r="P432" s="16"/>
    </row>
    <row r="433" ht="22.5" customHeight="1">
      <c r="A433" s="138" t="s">
        <v>753</v>
      </c>
      <c r="B433" s="16" t="str">
        <f>IF(A433="","",IFERROR(VLOOKUP(A433, Stock_New!A:M, 2, FALSE),""))</f>
        <v>ورد لوحده</v>
      </c>
      <c r="C433" s="236">
        <v>3.0</v>
      </c>
      <c r="D433" s="16" t="str">
        <f>IF(A433="","",IFERROR(VLOOKUP(A433, Stock_New!A:M, 3, FALSE),""))</f>
        <v>manufactured</v>
      </c>
      <c r="E433" s="16">
        <f>IF($A433="", "", IFERROR(VLOOKUP($A433, Stock_New!$A:$M, 6, FALSE), ""))</f>
        <v>8.5</v>
      </c>
      <c r="F433" s="239">
        <v>20.0</v>
      </c>
      <c r="G433" s="240"/>
      <c r="H433" s="17">
        <v>60.0</v>
      </c>
      <c r="I433" s="238">
        <v>46057.0</v>
      </c>
      <c r="J433" s="5" t="s">
        <v>72</v>
      </c>
      <c r="K433" s="5" t="s">
        <v>2489</v>
      </c>
      <c r="L433" s="16"/>
      <c r="M433" s="19"/>
      <c r="N433" s="16"/>
      <c r="O433" s="16"/>
      <c r="P433" s="16"/>
    </row>
    <row r="434" ht="22.5" customHeight="1">
      <c r="A434" s="138" t="s">
        <v>297</v>
      </c>
      <c r="B434" s="16" t="str">
        <f>IF(A434="","",IFERROR(VLOOKUP(A434, Stock_New!A:M, 2, FALSE),""))</f>
        <v>ورد لوحده</v>
      </c>
      <c r="C434" s="236">
        <v>1.0</v>
      </c>
      <c r="D434" s="16" t="str">
        <f>IF(A434="","",IFERROR(VLOOKUP(A434, Stock_New!A:M, 3, FALSE),""))</f>
        <v>ذكريا</v>
      </c>
      <c r="E434" s="16">
        <f>IF($A434="", "", IFERROR(VLOOKUP($A434, Stock_New!$A:$M, 6, FALSE), ""))</f>
        <v>36</v>
      </c>
      <c r="F434" s="239">
        <v>90.0</v>
      </c>
      <c r="G434" s="240"/>
      <c r="H434" s="17">
        <v>90.0</v>
      </c>
      <c r="I434" s="238">
        <v>46057.0</v>
      </c>
      <c r="J434" s="5" t="s">
        <v>72</v>
      </c>
      <c r="K434" s="5" t="s">
        <v>2491</v>
      </c>
      <c r="L434" s="16"/>
      <c r="M434" s="19"/>
      <c r="N434" s="16"/>
      <c r="O434" s="16"/>
      <c r="P434" s="16"/>
    </row>
    <row r="435" ht="22.5" customHeight="1">
      <c r="A435" s="138" t="s">
        <v>412</v>
      </c>
      <c r="B435" s="16" t="str">
        <f>IF(A435="","",IFERROR(VLOOKUP(A435, Stock_New!A:M, 2, FALSE),""))</f>
        <v>سيلفرات</v>
      </c>
      <c r="C435" s="236">
        <v>1.0</v>
      </c>
      <c r="D435" s="16" t="str">
        <f>IF(A435="","",IFERROR(VLOOKUP(A435, Stock_New!A:M, 3, FALSE),""))</f>
        <v>ذكريا</v>
      </c>
      <c r="E435" s="16">
        <f>IF($A435="", "", IFERROR(VLOOKUP($A435, Stock_New!$A:$M, 6, FALSE), ""))</f>
        <v>234</v>
      </c>
      <c r="F435" s="239">
        <v>235.0</v>
      </c>
      <c r="G435" s="240"/>
      <c r="H435" s="17">
        <v>235.0</v>
      </c>
      <c r="I435" s="238">
        <v>46057.0</v>
      </c>
      <c r="J435" s="5" t="s">
        <v>72</v>
      </c>
      <c r="K435" s="5" t="s">
        <v>2493</v>
      </c>
      <c r="L435" s="16"/>
      <c r="M435" s="19"/>
      <c r="N435" s="16"/>
      <c r="O435" s="16"/>
      <c r="P435" s="16"/>
    </row>
    <row r="436" ht="22.5" customHeight="1">
      <c r="A436" s="138" t="s">
        <v>265</v>
      </c>
      <c r="B436" s="16" t="str">
        <f>IF(A436="","",IFERROR(VLOOKUP(A436, Stock_New!A:M, 2, FALSE),""))</f>
        <v>ورد لوحده</v>
      </c>
      <c r="C436" s="236">
        <v>1.0</v>
      </c>
      <c r="D436" s="16" t="str">
        <f>IF(A436="","",IFERROR(VLOOKUP(A436, Stock_New!A:M, 3, FALSE),""))</f>
        <v>ذكريا</v>
      </c>
      <c r="E436" s="16">
        <f>IF($A436="", "", IFERROR(VLOOKUP($A436, Stock_New!$A:$M, 6, FALSE), ""))</f>
        <v>174</v>
      </c>
      <c r="F436" s="239">
        <v>175.0</v>
      </c>
      <c r="G436" s="240"/>
      <c r="H436" s="17">
        <v>175.0</v>
      </c>
      <c r="I436" s="238">
        <v>46057.0</v>
      </c>
      <c r="J436" s="5" t="s">
        <v>72</v>
      </c>
      <c r="K436" s="5" t="s">
        <v>2495</v>
      </c>
      <c r="L436" s="16"/>
      <c r="M436" s="19"/>
      <c r="N436" s="16"/>
      <c r="O436" s="16"/>
      <c r="P436" s="16"/>
    </row>
    <row r="437" ht="22.5" customHeight="1">
      <c r="A437" s="138" t="s">
        <v>518</v>
      </c>
      <c r="B437" s="16" t="str">
        <f>IF(A437="","",IFERROR(VLOOKUP(A437, Stock_New!A:M, 2, FALSE),""))</f>
        <v>ورد لوحدة</v>
      </c>
      <c r="C437" s="236">
        <v>1.0</v>
      </c>
      <c r="D437" s="16" t="str">
        <f>IF(A437="","",IFERROR(VLOOKUP(A437, Stock_New!A:M, 3, FALSE),""))</f>
        <v>شركة الفرسان</v>
      </c>
      <c r="E437" s="16">
        <f>IF($A437="", "", IFERROR(VLOOKUP($A437, Stock_New!$A:$M, 6, FALSE), ""))</f>
        <v>90</v>
      </c>
      <c r="F437" s="239">
        <v>90.0</v>
      </c>
      <c r="G437" s="240"/>
      <c r="H437" s="17">
        <v>90.0</v>
      </c>
      <c r="I437" s="238">
        <v>46057.0</v>
      </c>
      <c r="J437" s="5" t="s">
        <v>72</v>
      </c>
      <c r="K437" s="5" t="s">
        <v>2499</v>
      </c>
      <c r="L437" s="16"/>
      <c r="M437" s="19"/>
      <c r="N437" s="16"/>
      <c r="O437" s="16"/>
      <c r="P437" s="16"/>
    </row>
    <row r="438" ht="22.5" customHeight="1">
      <c r="A438" s="138" t="s">
        <v>764</v>
      </c>
      <c r="B438" s="16" t="str">
        <f>IF(A438="","",IFERROR(VLOOKUP(A438, Stock_New!A:M, 2, FALSE),""))</f>
        <v>كهربائيات</v>
      </c>
      <c r="C438" s="236">
        <v>1.0</v>
      </c>
      <c r="D438" s="16" t="str">
        <f>IF(A438="","",IFERROR(VLOOKUP(A438, Stock_New!A:M, 3, FALSE),""))</f>
        <v>سنتر محمد رشدي</v>
      </c>
      <c r="E438" s="16">
        <f>IF($A438="", "", IFERROR(VLOOKUP($A438, Stock_New!$A:$M, 6, FALSE), ""))</f>
        <v>163.8</v>
      </c>
      <c r="F438" s="239">
        <v>175.0</v>
      </c>
      <c r="G438" s="240"/>
      <c r="H438" s="17">
        <v>175.0</v>
      </c>
      <c r="I438" s="238">
        <v>46057.0</v>
      </c>
      <c r="J438" s="5" t="s">
        <v>72</v>
      </c>
      <c r="K438" s="5" t="s">
        <v>2500</v>
      </c>
      <c r="L438" s="16"/>
      <c r="M438" s="19"/>
      <c r="N438" s="16"/>
      <c r="O438" s="16"/>
      <c r="P438" s="16"/>
    </row>
    <row r="439" ht="22.5" customHeight="1">
      <c r="A439" s="138" t="s">
        <v>748</v>
      </c>
      <c r="B439" s="16" t="str">
        <f>IF(A439="","",IFERROR(VLOOKUP(A439, Stock_New!A:M, 2, FALSE),""))</f>
        <v>مطبخ</v>
      </c>
      <c r="C439" s="236">
        <v>2.0</v>
      </c>
      <c r="D439" s="16"/>
      <c r="E439" s="16">
        <f>IF($A439="", "", IFERROR(VLOOKUP($A439, Stock_New!$A:$M, 6, FALSE), ""))</f>
        <v>90</v>
      </c>
      <c r="F439" s="239">
        <v>95.0</v>
      </c>
      <c r="G439" s="240"/>
      <c r="H439" s="17">
        <v>190.0</v>
      </c>
      <c r="I439" s="238">
        <v>46057.0</v>
      </c>
      <c r="J439" s="5" t="s">
        <v>72</v>
      </c>
      <c r="K439" s="5" t="s">
        <v>2508</v>
      </c>
      <c r="L439" s="16"/>
      <c r="M439" s="19"/>
      <c r="N439" s="16"/>
      <c r="O439" s="16"/>
      <c r="P439" s="16"/>
    </row>
    <row r="440" ht="22.5" customHeight="1">
      <c r="A440" s="138" t="s">
        <v>584</v>
      </c>
      <c r="B440" s="16" t="str">
        <f>IF(A440="","",IFERROR(VLOOKUP(A440, Stock_New!A:M, 2, FALSE),""))</f>
        <v>بوكيه جاهز</v>
      </c>
      <c r="C440" s="236">
        <v>1.0</v>
      </c>
      <c r="D440" s="16" t="str">
        <f>IF(A440="","",IFERROR(VLOOKUP(A440, Stock_New!A:M, 3, FALSE),""))</f>
        <v>سنتر محمد رشدي</v>
      </c>
      <c r="E440" s="16">
        <f>IF($A440="", "", IFERROR(VLOOKUP($A440, Stock_New!$A:$M, 6, FALSE), ""))</f>
        <v>6</v>
      </c>
      <c r="F440" s="239">
        <v>10.0</v>
      </c>
      <c r="G440" s="240"/>
      <c r="H440" s="17">
        <v>10.0</v>
      </c>
      <c r="I440" s="238">
        <v>46057.0</v>
      </c>
      <c r="J440" s="5" t="s">
        <v>72</v>
      </c>
      <c r="K440" s="5" t="s">
        <v>2504</v>
      </c>
      <c r="L440" s="16"/>
      <c r="M440" s="19"/>
      <c r="N440" s="16"/>
      <c r="O440" s="16"/>
      <c r="P440" s="16"/>
    </row>
    <row r="441" ht="22.5" customHeight="1">
      <c r="A441" s="138" t="s">
        <v>452</v>
      </c>
      <c r="B441" s="16" t="str">
        <f>IF(A441="","",IFERROR(VLOOKUP(A441, Stock_New!A:M, 2, FALSE),""))</f>
        <v>بوكيه</v>
      </c>
      <c r="C441" s="236">
        <v>1.0</v>
      </c>
      <c r="D441" s="16" t="str">
        <f>IF(A441="","",IFERROR(VLOOKUP(A441, Stock_New!A:M, 3, FALSE),""))</f>
        <v>ذكريا</v>
      </c>
      <c r="E441" s="16">
        <f>IF($A441="", "", IFERROR(VLOOKUP($A441, Stock_New!$A:$M, 6, FALSE), ""))</f>
        <v>19.2</v>
      </c>
      <c r="F441" s="239">
        <v>20.0</v>
      </c>
      <c r="G441" s="240"/>
      <c r="H441" s="17">
        <v>20.0</v>
      </c>
      <c r="I441" s="238">
        <v>46057.0</v>
      </c>
      <c r="J441" s="5" t="s">
        <v>72</v>
      </c>
      <c r="K441" s="5" t="s">
        <v>2506</v>
      </c>
      <c r="L441" s="16"/>
      <c r="M441" s="19"/>
      <c r="N441" s="16"/>
      <c r="O441" s="16"/>
      <c r="P441" s="16"/>
    </row>
    <row r="442" ht="22.5" customHeight="1">
      <c r="A442" s="138" t="s">
        <v>418</v>
      </c>
      <c r="B442" s="16" t="str">
        <f>IF(A442="","",IFERROR(VLOOKUP(A442, Stock_New!A:M, 2, FALSE),""))</f>
        <v>ورد لوحده</v>
      </c>
      <c r="C442" s="236">
        <v>2.0</v>
      </c>
      <c r="D442" s="16" t="str">
        <f>IF(A442="","",IFERROR(VLOOKUP(A442, Stock_New!A:M, 3, FALSE),""))</f>
        <v>ذكريا</v>
      </c>
      <c r="E442" s="16">
        <f>IF($A442="", "", IFERROR(VLOOKUP($A442, Stock_New!$A:$M, 6, FALSE), ""))</f>
        <v>222</v>
      </c>
      <c r="F442" s="239">
        <v>250.0</v>
      </c>
      <c r="G442" s="240"/>
      <c r="H442" s="17">
        <v>500.0</v>
      </c>
      <c r="I442" s="238">
        <v>46058.0</v>
      </c>
      <c r="J442" s="5" t="s">
        <v>72</v>
      </c>
      <c r="K442" s="5" t="s">
        <v>2512</v>
      </c>
      <c r="L442" s="16"/>
      <c r="M442" s="19"/>
      <c r="N442" s="16"/>
      <c r="O442" s="16"/>
      <c r="P442" s="16"/>
    </row>
    <row r="443" ht="22.5" customHeight="1">
      <c r="A443" s="138" t="s">
        <v>322</v>
      </c>
      <c r="B443" s="16" t="str">
        <f>IF(A443="","",IFERROR(VLOOKUP(A443, Stock_New!A:M, 2, FALSE),""))</f>
        <v>خزف</v>
      </c>
      <c r="C443" s="236">
        <v>2.0</v>
      </c>
      <c r="D443" s="16" t="str">
        <f>IF(A443="","",IFERROR(VLOOKUP(A443, Stock_New!A:M, 3, FALSE),""))</f>
        <v>ذكريا</v>
      </c>
      <c r="E443" s="16">
        <f>IF($A443="", "", IFERROR(VLOOKUP($A443, Stock_New!$A:$M, 6, FALSE), ""))</f>
        <v>90</v>
      </c>
      <c r="F443" s="239">
        <v>130.0</v>
      </c>
      <c r="G443" s="240"/>
      <c r="H443" s="17">
        <v>260.0</v>
      </c>
      <c r="I443" s="238">
        <v>46058.0</v>
      </c>
      <c r="J443" s="5" t="s">
        <v>72</v>
      </c>
      <c r="K443" s="5" t="s">
        <v>2515</v>
      </c>
      <c r="L443" s="16"/>
      <c r="M443" s="19"/>
      <c r="N443" s="16"/>
      <c r="O443" s="16"/>
      <c r="P443" s="16"/>
    </row>
    <row r="444" ht="22.5" customHeight="1">
      <c r="A444" s="138" t="s">
        <v>268</v>
      </c>
      <c r="B444" s="16" t="str">
        <f>IF(A444="","",IFERROR(VLOOKUP(A444, Stock_New!A:M, 2, FALSE),""))</f>
        <v>سيلفرات</v>
      </c>
      <c r="C444" s="236">
        <v>2.0</v>
      </c>
      <c r="D444" s="16" t="str">
        <f>IF(A444="","",IFERROR(VLOOKUP(A444, Stock_New!A:M, 3, FALSE),""))</f>
        <v>شركة حسين علي</v>
      </c>
      <c r="E444" s="16">
        <f>IF($A444="", "", IFERROR(VLOOKUP($A444, Stock_New!$A:$M, 6, FALSE), ""))</f>
        <v>214.5</v>
      </c>
      <c r="F444" s="239">
        <v>200.0</v>
      </c>
      <c r="G444" s="240"/>
      <c r="H444" s="17">
        <v>400.0</v>
      </c>
      <c r="I444" s="238">
        <v>46058.0</v>
      </c>
      <c r="J444" s="5" t="s">
        <v>72</v>
      </c>
      <c r="K444" s="5" t="s">
        <v>2516</v>
      </c>
      <c r="L444" s="16"/>
      <c r="M444" s="19"/>
      <c r="N444" s="16"/>
      <c r="O444" s="16"/>
      <c r="P444" s="16"/>
    </row>
    <row r="445" ht="22.5" customHeight="1">
      <c r="A445" s="138" t="s">
        <v>139</v>
      </c>
      <c r="B445" s="16" t="str">
        <f>IF(A445="","",IFERROR(VLOOKUP(A445, Stock_New!A:M, 2, FALSE),""))</f>
        <v>سيلفرات</v>
      </c>
      <c r="C445" s="236">
        <v>1.0</v>
      </c>
      <c r="D445" s="16" t="str">
        <f>IF(A445="","",IFERROR(VLOOKUP(A445, Stock_New!A:M, 3, FALSE),""))</f>
        <v>ذكريا</v>
      </c>
      <c r="E445" s="16">
        <f>IF($A445="", "", IFERROR(VLOOKUP($A445, Stock_New!$A:$M, 6, FALSE), ""))</f>
        <v>132</v>
      </c>
      <c r="F445" s="239">
        <v>150.0</v>
      </c>
      <c r="G445" s="240"/>
      <c r="H445" s="17">
        <v>150.0</v>
      </c>
      <c r="I445" s="238">
        <v>46058.0</v>
      </c>
      <c r="J445" s="5" t="s">
        <v>72</v>
      </c>
      <c r="K445" s="5" t="s">
        <v>2517</v>
      </c>
      <c r="L445" s="16"/>
      <c r="M445" s="19"/>
      <c r="N445" s="16"/>
      <c r="O445" s="16"/>
      <c r="P445" s="16"/>
    </row>
    <row r="446" ht="22.5" customHeight="1">
      <c r="A446" s="138" t="s">
        <v>415</v>
      </c>
      <c r="B446" s="16" t="str">
        <f>IF(A446="","",IFERROR(VLOOKUP(A446, Stock_New!A:M, 2, FALSE),""))</f>
        <v>كهربائيات</v>
      </c>
      <c r="C446" s="236">
        <v>1.0</v>
      </c>
      <c r="D446" s="16" t="str">
        <f>IF(A446="","",IFERROR(VLOOKUP(A446, Stock_New!A:M, 3, FALSE),""))</f>
        <v>سنتر محمد رشدي</v>
      </c>
      <c r="E446" s="16">
        <f>IF($A446="", "", IFERROR(VLOOKUP($A446, Stock_New!$A:$M, 6, FALSE), ""))</f>
        <v>270</v>
      </c>
      <c r="F446" s="239">
        <v>270.0</v>
      </c>
      <c r="G446" s="240"/>
      <c r="H446" s="17">
        <v>270.0</v>
      </c>
      <c r="I446" s="238">
        <v>46058.0</v>
      </c>
      <c r="J446" s="5" t="s">
        <v>72</v>
      </c>
      <c r="K446" s="5" t="s">
        <v>2518</v>
      </c>
      <c r="L446" s="16"/>
      <c r="M446" s="19"/>
      <c r="N446" s="16"/>
      <c r="O446" s="16"/>
      <c r="P446" s="16"/>
    </row>
    <row r="447" ht="22.5" customHeight="1">
      <c r="A447" s="138" t="s">
        <v>633</v>
      </c>
      <c r="B447" s="16" t="str">
        <f>IF(A447="","",IFERROR(VLOOKUP(A447, Stock_New!A:M, 2, FALSE),""))</f>
        <v>سيلفرات</v>
      </c>
      <c r="C447" s="236">
        <v>1.0</v>
      </c>
      <c r="D447" s="16" t="str">
        <f>IF(A447="","",IFERROR(VLOOKUP(A447, Stock_New!A:M, 3, FALSE),""))</f>
        <v>سنتر محمد رشدي</v>
      </c>
      <c r="E447" s="16">
        <f>IF($A447="", "", IFERROR(VLOOKUP($A447, Stock_New!$A:$M, 6, FALSE), ""))</f>
        <v>153.6</v>
      </c>
      <c r="F447" s="239">
        <v>170.0</v>
      </c>
      <c r="G447" s="240"/>
      <c r="H447" s="17">
        <v>170.0</v>
      </c>
      <c r="I447" s="238">
        <v>46058.0</v>
      </c>
      <c r="J447" s="5" t="s">
        <v>72</v>
      </c>
      <c r="K447" s="5" t="s">
        <v>2521</v>
      </c>
      <c r="L447" s="16"/>
      <c r="M447" s="19"/>
      <c r="N447" s="16"/>
      <c r="O447" s="16"/>
      <c r="P447" s="16"/>
    </row>
    <row r="448" ht="22.5" customHeight="1">
      <c r="A448" s="138" t="s">
        <v>733</v>
      </c>
      <c r="B448" s="16" t="str">
        <f>IF(A448="","",IFERROR(VLOOKUP(A448, Stock_New!A:M, 2, FALSE),""))</f>
        <v>بوكيه</v>
      </c>
      <c r="C448" s="236">
        <v>1.0</v>
      </c>
      <c r="D448" s="16" t="str">
        <f>IF(A448="","",IFERROR(VLOOKUP(A448, Stock_New!A:M, 3, FALSE),""))</f>
        <v>المهندس</v>
      </c>
      <c r="E448" s="16">
        <f>IF($A448="", "", IFERROR(VLOOKUP($A448, Stock_New!$A:$M, 6, FALSE), ""))</f>
        <v>31.2</v>
      </c>
      <c r="F448" s="239">
        <v>40.0</v>
      </c>
      <c r="G448" s="240"/>
      <c r="H448" s="17">
        <v>40.0</v>
      </c>
      <c r="I448" s="238">
        <v>46060.0</v>
      </c>
      <c r="J448" s="5" t="s">
        <v>72</v>
      </c>
      <c r="K448" s="5" t="s">
        <v>2523</v>
      </c>
      <c r="L448" s="16"/>
      <c r="M448" s="19"/>
      <c r="N448" s="16"/>
      <c r="O448" s="16"/>
      <c r="P448" s="16"/>
    </row>
    <row r="449" ht="22.5" customHeight="1">
      <c r="A449" s="138" t="s">
        <v>645</v>
      </c>
      <c r="B449" s="16" t="str">
        <f>IF(A449="","",IFERROR(VLOOKUP(A449, Stock_New!A:M, 2, FALSE),""))</f>
        <v>بوكيه</v>
      </c>
      <c r="C449" s="236">
        <v>2.0</v>
      </c>
      <c r="D449" s="16" t="str">
        <f>IF(A449="","",IFERROR(VLOOKUP(A449, Stock_New!A:M, 3, FALSE),""))</f>
        <v>المهندس</v>
      </c>
      <c r="E449" s="16">
        <f>IF($A449="", "", IFERROR(VLOOKUP($A449, Stock_New!$A:$M, 6, FALSE), ""))</f>
        <v>20.4</v>
      </c>
      <c r="F449" s="239">
        <v>25.0</v>
      </c>
      <c r="G449" s="240"/>
      <c r="H449" s="17">
        <v>50.0</v>
      </c>
      <c r="I449" s="238">
        <v>46060.0</v>
      </c>
      <c r="J449" s="5" t="s">
        <v>72</v>
      </c>
      <c r="K449" s="5" t="s">
        <v>2524</v>
      </c>
      <c r="L449" s="16"/>
      <c r="M449" s="19"/>
      <c r="N449" s="16"/>
      <c r="O449" s="16"/>
      <c r="P449" s="16"/>
    </row>
    <row r="450" ht="22.5" customHeight="1">
      <c r="A450" s="138" t="s">
        <v>572</v>
      </c>
      <c r="B450" s="16" t="str">
        <f>IF(A450="","",IFERROR(VLOOKUP(A450, Stock_New!A:M, 2, FALSE),""))</f>
        <v>شمع</v>
      </c>
      <c r="C450" s="236">
        <v>2.0</v>
      </c>
      <c r="D450" s="16" t="str">
        <f>IF(A450="","",IFERROR(VLOOKUP(A450, Stock_New!A:M, 3, FALSE),""))</f>
        <v>سنتر محمد رشدي</v>
      </c>
      <c r="E450" s="16">
        <f>IF($A450="", "", IFERROR(VLOOKUP($A450, Stock_New!$A:$M, 6, FALSE), ""))</f>
        <v>5.25</v>
      </c>
      <c r="F450" s="239">
        <v>10.0</v>
      </c>
      <c r="G450" s="240"/>
      <c r="H450" s="17">
        <v>20.0</v>
      </c>
      <c r="I450" s="238">
        <v>46060.0</v>
      </c>
      <c r="J450" s="5" t="s">
        <v>72</v>
      </c>
      <c r="K450" s="5" t="s">
        <v>2525</v>
      </c>
      <c r="L450" s="16"/>
      <c r="M450" s="19"/>
      <c r="N450" s="16"/>
      <c r="O450" s="16"/>
      <c r="P450" s="16"/>
    </row>
    <row r="451" ht="22.5" customHeight="1">
      <c r="A451" s="138" t="s">
        <v>596</v>
      </c>
      <c r="B451" s="16" t="str">
        <f>IF(A451="","",IFERROR(VLOOKUP(A451, Stock_New!A:M, 2, FALSE),""))</f>
        <v>مروحة</v>
      </c>
      <c r="C451" s="236">
        <v>1.0</v>
      </c>
      <c r="D451" s="16" t="str">
        <f>IF(A451="","",IFERROR(VLOOKUP(A451, Stock_New!A:M, 3, FALSE),""))</f>
        <v>سنتر محمد رشدي</v>
      </c>
      <c r="E451" s="16">
        <f>IF($A451="", "", IFERROR(VLOOKUP($A451, Stock_New!$A:$M, 6, FALSE), ""))</f>
        <v>21.5</v>
      </c>
      <c r="F451" s="239">
        <v>25.0</v>
      </c>
      <c r="G451" s="240"/>
      <c r="H451" s="17">
        <v>25.0</v>
      </c>
      <c r="I451" s="238">
        <v>46060.0</v>
      </c>
      <c r="J451" s="5" t="s">
        <v>72</v>
      </c>
      <c r="K451" s="5" t="s">
        <v>2526</v>
      </c>
      <c r="L451" s="16"/>
      <c r="M451" s="19"/>
      <c r="N451" s="16"/>
      <c r="O451" s="16"/>
      <c r="P451" s="16"/>
    </row>
    <row r="452" ht="22.5" customHeight="1">
      <c r="A452" s="138" t="s">
        <v>302</v>
      </c>
      <c r="B452" s="16" t="str">
        <f>IF(A452="","",IFERROR(VLOOKUP(A452, Stock_New!A:M, 2, FALSE),""))</f>
        <v>بلاستيك</v>
      </c>
      <c r="C452" s="236">
        <v>2.0</v>
      </c>
      <c r="D452" s="16" t="str">
        <f>IF(A452="","",IFERROR(VLOOKUP(A452, Stock_New!A:M, 3, FALSE),""))</f>
        <v>ذكريا</v>
      </c>
      <c r="E452" s="16">
        <f>IF($A452="", "", IFERROR(VLOOKUP($A452, Stock_New!$A:$M, 6, FALSE), ""))</f>
        <v>21.6</v>
      </c>
      <c r="F452" s="239">
        <v>25.0</v>
      </c>
      <c r="G452" s="240"/>
      <c r="H452" s="17">
        <v>50.0</v>
      </c>
      <c r="I452" s="238">
        <v>46061.0</v>
      </c>
      <c r="J452" s="5" t="s">
        <v>72</v>
      </c>
      <c r="K452" s="5" t="s">
        <v>2527</v>
      </c>
      <c r="L452" s="16"/>
      <c r="M452" s="19"/>
      <c r="N452" s="16"/>
      <c r="O452" s="16"/>
      <c r="P452" s="16"/>
    </row>
    <row r="453" ht="22.5" customHeight="1">
      <c r="A453" s="138" t="s">
        <v>733</v>
      </c>
      <c r="B453" s="16" t="str">
        <f>IF(A453="","",IFERROR(VLOOKUP(A453, Stock_New!A:M, 2, FALSE),""))</f>
        <v>بوكيه</v>
      </c>
      <c r="C453" s="236">
        <v>1.0</v>
      </c>
      <c r="D453" s="16" t="str">
        <f>IF(A453="","",IFERROR(VLOOKUP(A453, Stock_New!A:M, 3, FALSE),""))</f>
        <v>المهندس</v>
      </c>
      <c r="E453" s="16">
        <f>IF($A453="", "", IFERROR(VLOOKUP($A453, Stock_New!$A:$M, 6, FALSE), ""))</f>
        <v>31.2</v>
      </c>
      <c r="F453" s="239">
        <v>40.0</v>
      </c>
      <c r="G453" s="240"/>
      <c r="H453" s="17">
        <v>40.0</v>
      </c>
      <c r="I453" s="238">
        <v>46061.0</v>
      </c>
      <c r="J453" s="5" t="s">
        <v>72</v>
      </c>
      <c r="K453" s="5" t="s">
        <v>2528</v>
      </c>
      <c r="L453" s="16"/>
      <c r="M453" s="19"/>
      <c r="N453" s="16"/>
      <c r="O453" s="16"/>
      <c r="P453" s="16"/>
    </row>
    <row r="454" ht="22.5" customHeight="1">
      <c r="A454" s="138" t="s">
        <v>645</v>
      </c>
      <c r="B454" s="16" t="str">
        <f>IF(A454="","",IFERROR(VLOOKUP(A454, Stock_New!A:M, 2, FALSE),""))</f>
        <v>بوكيه</v>
      </c>
      <c r="C454" s="236">
        <v>2.0</v>
      </c>
      <c r="D454" s="16" t="str">
        <f>IF(A454="","",IFERROR(VLOOKUP(A454, Stock_New!A:M, 3, FALSE),""))</f>
        <v>المهندس</v>
      </c>
      <c r="E454" s="16">
        <f>IF($A454="", "", IFERROR(VLOOKUP($A454, Stock_New!$A:$M, 6, FALSE), ""))</f>
        <v>20.4</v>
      </c>
      <c r="F454" s="239">
        <v>25.0</v>
      </c>
      <c r="G454" s="240"/>
      <c r="H454" s="17">
        <v>50.0</v>
      </c>
      <c r="I454" s="238">
        <v>46061.0</v>
      </c>
      <c r="J454" s="5" t="s">
        <v>72</v>
      </c>
      <c r="K454" s="5" t="s">
        <v>2529</v>
      </c>
      <c r="L454" s="16"/>
      <c r="M454" s="19"/>
      <c r="N454" s="16"/>
      <c r="O454" s="16"/>
      <c r="P454" s="16"/>
    </row>
    <row r="455" ht="22.5" customHeight="1">
      <c r="A455" s="138" t="s">
        <v>775</v>
      </c>
      <c r="B455" s="16" t="str">
        <f>IF(A455="","",IFERROR(VLOOKUP(A455, Stock_New!A:M, 2, FALSE),""))</f>
        <v>ديكور مكتب</v>
      </c>
      <c r="C455" s="236">
        <v>1.0</v>
      </c>
      <c r="D455" s="16" t="str">
        <f>IF(A455="","",IFERROR(VLOOKUP(A455, Stock_New!A:M, 3, FALSE),""))</f>
        <v>محمد رشدي</v>
      </c>
      <c r="E455" s="16">
        <f>IF($A455="", "", IFERROR(VLOOKUP($A455, Stock_New!$A:$M, 6, FALSE), ""))</f>
        <v>112.8</v>
      </c>
      <c r="F455" s="239">
        <v>125.0</v>
      </c>
      <c r="G455" s="240"/>
      <c r="H455" s="17">
        <v>125.0</v>
      </c>
      <c r="I455" s="238">
        <v>46063.0</v>
      </c>
      <c r="J455" s="5" t="s">
        <v>72</v>
      </c>
      <c r="K455" s="5" t="s">
        <v>2530</v>
      </c>
      <c r="L455" s="16"/>
      <c r="M455" s="19"/>
      <c r="N455" s="16"/>
      <c r="O455" s="16"/>
      <c r="P455" s="16"/>
    </row>
    <row r="456" ht="22.5" customHeight="1">
      <c r="A456" s="138" t="s">
        <v>778</v>
      </c>
      <c r="B456" s="16" t="str">
        <f>IF(A456="","",IFERROR(VLOOKUP(A456, Stock_New!A:M, 2, FALSE),""))</f>
        <v>ديكور زجاج</v>
      </c>
      <c r="C456" s="236">
        <v>1.0</v>
      </c>
      <c r="D456" s="16" t="str">
        <f>IF(A456="","",IFERROR(VLOOKUP(A456, Stock_New!A:M, 3, FALSE),""))</f>
        <v>سنتر محمد رشدي</v>
      </c>
      <c r="E456" s="16">
        <f>IF($A456="", "", IFERROR(VLOOKUP($A456, Stock_New!$A:$M, 6, FALSE), ""))</f>
        <v>120</v>
      </c>
      <c r="F456" s="239">
        <v>125.0</v>
      </c>
      <c r="G456" s="240"/>
      <c r="H456" s="17">
        <v>125.0</v>
      </c>
      <c r="I456" s="238">
        <v>46063.0</v>
      </c>
      <c r="J456" s="5" t="s">
        <v>72</v>
      </c>
      <c r="K456" s="5" t="s">
        <v>2533</v>
      </c>
      <c r="L456" s="16"/>
      <c r="M456" s="19"/>
      <c r="N456" s="16"/>
      <c r="O456" s="16"/>
      <c r="P456" s="16"/>
    </row>
    <row r="457" ht="22.5" customHeight="1">
      <c r="A457" s="138" t="s">
        <v>588</v>
      </c>
      <c r="B457" s="16" t="str">
        <f>IF(A457="","",IFERROR(VLOOKUP(A457, Stock_New!A:M, 2, FALSE),""))</f>
        <v>ليد</v>
      </c>
      <c r="C457" s="236">
        <v>1.0</v>
      </c>
      <c r="D457" s="16" t="str">
        <f>IF(A457="","",IFERROR(VLOOKUP(A457, Stock_New!A:M, 3, FALSE),""))</f>
        <v>سنتر محمد رشدي</v>
      </c>
      <c r="E457" s="16">
        <f>IF($A457="", "", IFERROR(VLOOKUP($A457, Stock_New!$A:$M, 6, FALSE), ""))</f>
        <v>138</v>
      </c>
      <c r="F457" s="239">
        <v>150.0</v>
      </c>
      <c r="G457" s="240"/>
      <c r="H457" s="17">
        <v>150.0</v>
      </c>
      <c r="I457" s="238">
        <v>46064.0</v>
      </c>
      <c r="J457" s="5" t="s">
        <v>72</v>
      </c>
      <c r="K457" s="5" t="s">
        <v>2537</v>
      </c>
      <c r="L457" s="16"/>
      <c r="M457" s="19"/>
      <c r="N457" s="16"/>
      <c r="O457" s="16"/>
      <c r="P457" s="16"/>
    </row>
    <row r="458" ht="22.5" customHeight="1">
      <c r="A458" s="138" t="s">
        <v>255</v>
      </c>
      <c r="B458" s="16" t="str">
        <f>IF(A458="","",IFERROR(VLOOKUP(A458, Stock_New!A:M, 2, FALSE),""))</f>
        <v>بوتات</v>
      </c>
      <c r="C458" s="236">
        <v>1.0</v>
      </c>
      <c r="D458" s="16" t="str">
        <f>IF(A458="","",IFERROR(VLOOKUP(A458, Stock_New!A:M, 3, FALSE),""))</f>
        <v>manufactured</v>
      </c>
      <c r="E458" s="16">
        <f>IF($A458="", "", IFERROR(VLOOKUP($A458, Stock_New!$A:$M, 6, FALSE), ""))</f>
        <v>27.3</v>
      </c>
      <c r="F458" s="239">
        <v>50.0</v>
      </c>
      <c r="G458" s="240"/>
      <c r="H458" s="17">
        <v>50.0</v>
      </c>
      <c r="I458" s="238">
        <v>46064.0</v>
      </c>
      <c r="J458" s="5" t="s">
        <v>72</v>
      </c>
      <c r="K458" s="5" t="s">
        <v>2538</v>
      </c>
      <c r="L458" s="16"/>
      <c r="M458" s="19"/>
      <c r="N458" s="16"/>
      <c r="O458" s="16"/>
      <c r="P458" s="16"/>
    </row>
    <row r="459" ht="22.5" customHeight="1">
      <c r="A459" s="138" t="s">
        <v>220</v>
      </c>
      <c r="B459" s="16" t="str">
        <f>IF(A459="","",IFERROR(VLOOKUP(A459, Stock_New!A:M, 2, FALSE),""))</f>
        <v>ورد لوحدة</v>
      </c>
      <c r="C459" s="236">
        <v>2.0</v>
      </c>
      <c r="D459" s="16" t="str">
        <f>IF(A459="","",IFERROR(VLOOKUP(A459, Stock_New!A:M, 3, FALSE),""))</f>
        <v>شركة الفرسان</v>
      </c>
      <c r="E459" s="16">
        <f>IF($A459="", "", IFERROR(VLOOKUP($A459, Stock_New!$A:$M, 6, FALSE), ""))</f>
        <v>102</v>
      </c>
      <c r="F459" s="239">
        <v>145.0</v>
      </c>
      <c r="G459" s="240"/>
      <c r="H459" s="17">
        <v>290.0</v>
      </c>
      <c r="I459" s="238">
        <v>46064.0</v>
      </c>
      <c r="J459" s="5" t="s">
        <v>72</v>
      </c>
      <c r="K459" s="5" t="s">
        <v>2539</v>
      </c>
      <c r="L459" s="16"/>
      <c r="M459" s="19"/>
      <c r="N459" s="16"/>
      <c r="O459" s="16"/>
      <c r="P459" s="16"/>
    </row>
    <row r="460" ht="22.5" customHeight="1">
      <c r="A460" s="138" t="s">
        <v>753</v>
      </c>
      <c r="B460" s="16" t="str">
        <f>IF(A460="","",IFERROR(VLOOKUP(A460, Stock_New!A:M, 2, FALSE),""))</f>
        <v>ورد لوحده</v>
      </c>
      <c r="C460" s="236">
        <v>6.0</v>
      </c>
      <c r="D460" s="16" t="str">
        <f>IF(A460="","",IFERROR(VLOOKUP(A460, Stock_New!A:M, 3, FALSE),""))</f>
        <v>manufactured</v>
      </c>
      <c r="E460" s="16">
        <f>IF($A460="", "", IFERROR(VLOOKUP($A460, Stock_New!$A:$M, 6, FALSE), ""))</f>
        <v>8.5</v>
      </c>
      <c r="F460" s="239">
        <v>10.0</v>
      </c>
      <c r="G460" s="240"/>
      <c r="H460" s="17">
        <v>60.0</v>
      </c>
      <c r="I460" s="238">
        <v>46064.0</v>
      </c>
      <c r="J460" s="5" t="s">
        <v>72</v>
      </c>
      <c r="K460" s="5" t="s">
        <v>2542</v>
      </c>
      <c r="L460" s="16"/>
      <c r="M460" s="19"/>
      <c r="N460" s="16"/>
      <c r="O460" s="16"/>
      <c r="P460" s="16"/>
    </row>
    <row r="461" ht="22.5" customHeight="1">
      <c r="A461" s="138" t="s">
        <v>784</v>
      </c>
      <c r="B461" s="16" t="str">
        <f>IF(A461="","",IFERROR(VLOOKUP(A461, Stock_New!A:M, 2, FALSE),""))</f>
        <v>كهربائيات</v>
      </c>
      <c r="C461" s="236">
        <v>1.0</v>
      </c>
      <c r="D461" s="16" t="str">
        <f>IF(A461="","",IFERROR(VLOOKUP(A461, Stock_New!A:M, 3, FALSE),""))</f>
        <v>سنتر محمد رشدي</v>
      </c>
      <c r="E461" s="16">
        <f>IF($A461="", "", IFERROR(VLOOKUP($A461, Stock_New!$A:$M, 6, FALSE), ""))</f>
        <v>75.6</v>
      </c>
      <c r="F461" s="239">
        <v>90.0</v>
      </c>
      <c r="G461" s="240"/>
      <c r="H461" s="17">
        <v>90.0</v>
      </c>
      <c r="I461" s="238">
        <v>46064.0</v>
      </c>
      <c r="J461" s="5" t="s">
        <v>72</v>
      </c>
      <c r="K461" s="5" t="s">
        <v>2543</v>
      </c>
      <c r="L461" s="16"/>
      <c r="M461" s="19"/>
      <c r="N461" s="16"/>
      <c r="O461" s="16"/>
      <c r="P461" s="16"/>
    </row>
    <row r="462" ht="22.5" customHeight="1">
      <c r="A462" s="138" t="s">
        <v>511</v>
      </c>
      <c r="B462" s="16" t="str">
        <f>IF(A462="","",IFERROR(VLOOKUP(A462, Stock_New!A:M, 2, FALSE),""))</f>
        <v>خزف</v>
      </c>
      <c r="C462" s="236">
        <v>2.0</v>
      </c>
      <c r="D462" s="16" t="str">
        <f>IF(A462="","",IFERROR(VLOOKUP(A462, Stock_New!A:M, 3, FALSE),""))</f>
        <v>ذكريا</v>
      </c>
      <c r="E462" s="16">
        <f>IF($A462="", "", IFERROR(VLOOKUP($A462, Stock_New!$A:$M, 6, FALSE), ""))</f>
        <v>48</v>
      </c>
      <c r="F462" s="239">
        <v>50.0</v>
      </c>
      <c r="G462" s="240"/>
      <c r="H462" s="17">
        <v>100.0</v>
      </c>
      <c r="I462" s="238">
        <v>46064.0</v>
      </c>
      <c r="J462" s="5" t="s">
        <v>72</v>
      </c>
      <c r="K462" s="5" t="s">
        <v>2547</v>
      </c>
      <c r="L462" s="16"/>
      <c r="M462" s="19"/>
      <c r="N462" s="16"/>
      <c r="O462" s="16"/>
      <c r="P462" s="16"/>
    </row>
    <row r="463" ht="22.5" customHeight="1">
      <c r="A463" s="138" t="s">
        <v>454</v>
      </c>
      <c r="B463" s="16" t="str">
        <f>IF(A463="","",IFERROR(VLOOKUP(A463, Stock_New!A:M, 2, FALSE),""))</f>
        <v>ورد لوحده</v>
      </c>
      <c r="C463" s="236">
        <v>1.0</v>
      </c>
      <c r="D463" s="16" t="str">
        <f>IF(A463="","",IFERROR(VLOOKUP(A463, Stock_New!A:M, 3, FALSE),""))</f>
        <v>ذكريا</v>
      </c>
      <c r="E463" s="16">
        <f>IF($A463="", "", IFERROR(VLOOKUP($A463, Stock_New!$A:$M, 6, FALSE), ""))</f>
        <v>252</v>
      </c>
      <c r="F463" s="239">
        <v>260.0</v>
      </c>
      <c r="G463" s="240"/>
      <c r="H463" s="17">
        <v>260.0</v>
      </c>
      <c r="I463" s="238">
        <v>46064.0</v>
      </c>
      <c r="J463" s="5" t="s">
        <v>72</v>
      </c>
      <c r="K463" s="5" t="s">
        <v>2549</v>
      </c>
      <c r="L463" s="16"/>
      <c r="M463" s="19"/>
      <c r="N463" s="16"/>
      <c r="O463" s="16"/>
      <c r="P463" s="16"/>
    </row>
    <row r="464" ht="22.5" customHeight="1">
      <c r="A464" s="138" t="s">
        <v>787</v>
      </c>
      <c r="B464" s="16" t="str">
        <f>IF(A464="","",IFERROR(VLOOKUP(A464, Stock_New!A:M, 2, FALSE),""))</f>
        <v>كهربائيات</v>
      </c>
      <c r="C464" s="236">
        <v>1.0</v>
      </c>
      <c r="D464" s="16" t="str">
        <f>IF(A464="","",IFERROR(VLOOKUP(A464, Stock_New!A:M, 3, FALSE),""))</f>
        <v>سنتر محمد رشدي</v>
      </c>
      <c r="E464" s="16">
        <f>IF($A464="", "", IFERROR(VLOOKUP($A464, Stock_New!$A:$M, 6, FALSE), ""))</f>
        <v>162</v>
      </c>
      <c r="F464" s="239">
        <v>170.0</v>
      </c>
      <c r="G464" s="240"/>
      <c r="H464" s="17">
        <v>170.0</v>
      </c>
      <c r="I464" s="238">
        <v>46065.0</v>
      </c>
      <c r="J464" s="5" t="s">
        <v>72</v>
      </c>
      <c r="K464" s="5" t="s">
        <v>2550</v>
      </c>
      <c r="L464" s="16"/>
      <c r="M464" s="19"/>
      <c r="N464" s="16"/>
      <c r="O464" s="16"/>
      <c r="P464" s="16"/>
    </row>
    <row r="465" ht="22.5" customHeight="1">
      <c r="A465" s="138" t="s">
        <v>614</v>
      </c>
      <c r="B465" s="16" t="str">
        <f>IF(A465="","",IFERROR(VLOOKUP(A465, Stock_New!A:M, 2, FALSE),""))</f>
        <v>كهربائيات</v>
      </c>
      <c r="C465" s="236">
        <v>1.0</v>
      </c>
      <c r="D465" s="16" t="str">
        <f>IF(A465="","",IFERROR(VLOOKUP(A465, Stock_New!A:M, 3, FALSE),""))</f>
        <v>سنتر محمد رشدي</v>
      </c>
      <c r="E465" s="16">
        <f>IF($A465="", "", IFERROR(VLOOKUP($A465, Stock_New!$A:$M, 6, FALSE), ""))</f>
        <v>93.6</v>
      </c>
      <c r="F465" s="239">
        <v>100.0</v>
      </c>
      <c r="G465" s="240"/>
      <c r="H465" s="17">
        <v>100.0</v>
      </c>
      <c r="I465" s="238">
        <v>46065.0</v>
      </c>
      <c r="J465" s="5" t="s">
        <v>72</v>
      </c>
      <c r="K465" s="5" t="s">
        <v>2553</v>
      </c>
      <c r="L465" s="16"/>
      <c r="M465" s="19"/>
      <c r="N465" s="16"/>
      <c r="O465" s="16"/>
      <c r="P465" s="16"/>
    </row>
    <row r="466" ht="22.5" customHeight="1">
      <c r="A466" s="138" t="s">
        <v>673</v>
      </c>
      <c r="B466" s="16" t="str">
        <f>IF(A466="","",IFERROR(VLOOKUP(A466, Stock_New!A:M, 2, FALSE),""))</f>
        <v>شنط</v>
      </c>
      <c r="C466" s="236">
        <v>1.0</v>
      </c>
      <c r="D466" s="16" t="str">
        <f>IF(A466="","",IFERROR(VLOOKUP(A466, Stock_New!A:M, 3, FALSE),""))</f>
        <v>سنتر محمد رشدي</v>
      </c>
      <c r="E466" s="16">
        <f>IF($A466="", "", IFERROR(VLOOKUP($A466, Stock_New!$A:$M, 6, FALSE), ""))</f>
        <v>8.1</v>
      </c>
      <c r="F466" s="239">
        <v>10.0</v>
      </c>
      <c r="G466" s="240"/>
      <c r="H466" s="17">
        <v>10.0</v>
      </c>
      <c r="I466" s="238">
        <v>46065.0</v>
      </c>
      <c r="J466" s="5" t="s">
        <v>72</v>
      </c>
      <c r="K466" s="5" t="s">
        <v>2555</v>
      </c>
      <c r="L466" s="16"/>
      <c r="M466" s="19"/>
      <c r="N466" s="16"/>
      <c r="O466" s="16"/>
      <c r="P466" s="16"/>
    </row>
    <row r="467" ht="22.5" customHeight="1">
      <c r="A467" s="138" t="s">
        <v>584</v>
      </c>
      <c r="B467" s="16" t="str">
        <f>IF(A467="","",IFERROR(VLOOKUP(A467, Stock_New!A:M, 2, FALSE),""))</f>
        <v>بوكيه جاهز</v>
      </c>
      <c r="C467" s="236">
        <v>3.0</v>
      </c>
      <c r="D467" s="16" t="str">
        <f>IF(A467="","",IFERROR(VLOOKUP(A467, Stock_New!A:M, 3, FALSE),""))</f>
        <v>سنتر محمد رشدي</v>
      </c>
      <c r="E467" s="16">
        <f>IF($A467="", "", IFERROR(VLOOKUP($A467, Stock_New!$A:$M, 6, FALSE), ""))</f>
        <v>6</v>
      </c>
      <c r="F467" s="239">
        <v>10.0</v>
      </c>
      <c r="G467" s="240"/>
      <c r="H467" s="17">
        <v>30.0</v>
      </c>
      <c r="I467" s="238">
        <v>46065.0</v>
      </c>
      <c r="J467" s="5" t="s">
        <v>72</v>
      </c>
      <c r="K467" s="5" t="s">
        <v>2557</v>
      </c>
      <c r="L467" s="16"/>
      <c r="M467" s="19"/>
      <c r="N467" s="16"/>
      <c r="O467" s="16"/>
      <c r="P467" s="16"/>
    </row>
    <row r="468" ht="22.5" customHeight="1">
      <c r="A468" s="138" t="s">
        <v>790</v>
      </c>
      <c r="B468" s="16" t="str">
        <f>IF(A468="","",IFERROR(VLOOKUP(A468, Stock_New!A:M, 2, FALSE),""))</f>
        <v>كهربائيات</v>
      </c>
      <c r="C468" s="236">
        <v>1.0</v>
      </c>
      <c r="D468" s="16" t="str">
        <f>IF(A468="","",IFERROR(VLOOKUP(A468, Stock_New!A:M, 3, FALSE),""))</f>
        <v>سنتر محمد رشدي</v>
      </c>
      <c r="E468" s="16">
        <f>IF($A468="", "", IFERROR(VLOOKUP($A468, Stock_New!$A:$M, 6, FALSE), ""))</f>
        <v>162</v>
      </c>
      <c r="F468" s="239">
        <v>175.0</v>
      </c>
      <c r="G468" s="240"/>
      <c r="H468" s="17">
        <v>175.0</v>
      </c>
      <c r="I468" s="238">
        <v>46065.0</v>
      </c>
      <c r="J468" s="5" t="s">
        <v>72</v>
      </c>
      <c r="K468" s="5" t="s">
        <v>2558</v>
      </c>
      <c r="L468" s="16"/>
      <c r="M468" s="19"/>
      <c r="N468" s="16"/>
      <c r="O468" s="16"/>
      <c r="P468" s="16"/>
    </row>
    <row r="469" ht="22.5" customHeight="1">
      <c r="A469" s="138" t="s">
        <v>505</v>
      </c>
      <c r="B469" s="16" t="str">
        <f>IF(A469="","",IFERROR(VLOOKUP(A469, Stock_New!A:M, 2, FALSE),""))</f>
        <v>مطبخ</v>
      </c>
      <c r="C469" s="236">
        <v>1.0</v>
      </c>
      <c r="D469" s="16" t="str">
        <f>IF(A469="","",IFERROR(VLOOKUP(A469, Stock_New!A:M, 3, FALSE),""))</f>
        <v>احمد اشرف جاليري</v>
      </c>
      <c r="E469" s="16">
        <f>IF($A469="", "", IFERROR(VLOOKUP($A469, Stock_New!$A:$M, 6, FALSE), ""))</f>
        <v>198</v>
      </c>
      <c r="F469" s="239">
        <v>175.0</v>
      </c>
      <c r="G469" s="240"/>
      <c r="H469" s="17">
        <v>175.0</v>
      </c>
      <c r="I469" s="238">
        <v>46065.0</v>
      </c>
      <c r="J469" s="5" t="s">
        <v>72</v>
      </c>
      <c r="K469" s="5" t="s">
        <v>2562</v>
      </c>
      <c r="L469" s="16"/>
      <c r="M469" s="19"/>
      <c r="N469" s="16"/>
      <c r="O469" s="16"/>
      <c r="P469" s="16"/>
    </row>
    <row r="470" ht="22.5" customHeight="1">
      <c r="A470" s="138" t="s">
        <v>748</v>
      </c>
      <c r="B470" s="16" t="str">
        <f>IF(A470="","",IFERROR(VLOOKUP(A470, Stock_New!A:M, 2, FALSE),""))</f>
        <v>مطبخ</v>
      </c>
      <c r="C470" s="236">
        <v>1.0</v>
      </c>
      <c r="D470" s="16" t="str">
        <f>IF(A470="","",IFERROR(VLOOKUP(A470, Stock_New!A:M, 3, FALSE),""))</f>
        <v>محمود</v>
      </c>
      <c r="E470" s="16">
        <f>IF($A470="", "", IFERROR(VLOOKUP($A470, Stock_New!$A:$M, 6, FALSE), ""))</f>
        <v>90</v>
      </c>
      <c r="F470" s="239">
        <v>95.0</v>
      </c>
      <c r="G470" s="240"/>
      <c r="H470" s="17">
        <v>95.0</v>
      </c>
      <c r="I470" s="238">
        <v>46065.0</v>
      </c>
      <c r="J470" s="5" t="s">
        <v>72</v>
      </c>
      <c r="K470" s="5" t="s">
        <v>2564</v>
      </c>
      <c r="L470" s="16"/>
      <c r="M470" s="19"/>
      <c r="N470" s="16"/>
      <c r="O470" s="16"/>
      <c r="P470" s="16"/>
    </row>
    <row r="471" ht="22.5" customHeight="1">
      <c r="A471" s="138" t="s">
        <v>478</v>
      </c>
      <c r="B471" s="16" t="str">
        <f>IF(A471="","",IFERROR(VLOOKUP(A471, Stock_New!A:M, 2, FALSE),""))</f>
        <v>لوح</v>
      </c>
      <c r="C471" s="236">
        <v>2.0</v>
      </c>
      <c r="D471" s="16" t="str">
        <f>IF(A471="","",IFERROR(VLOOKUP(A471, Stock_New!A:M, 3, FALSE),""))</f>
        <v>ذكريا</v>
      </c>
      <c r="E471" s="16">
        <f>IF($A471="", "", IFERROR(VLOOKUP($A471, Stock_New!$A:$M, 6, FALSE), ""))</f>
        <v>108</v>
      </c>
      <c r="F471" s="239">
        <v>130.0</v>
      </c>
      <c r="G471" s="240"/>
      <c r="H471" s="17">
        <v>260.0</v>
      </c>
      <c r="I471" s="238">
        <v>46066.0</v>
      </c>
      <c r="J471" s="5" t="s">
        <v>72</v>
      </c>
      <c r="K471" s="5" t="s">
        <v>2566</v>
      </c>
      <c r="L471" s="16"/>
      <c r="M471" s="19"/>
      <c r="N471" s="16"/>
      <c r="O471" s="16"/>
      <c r="P471" s="16"/>
    </row>
    <row r="472" ht="22.5" customHeight="1">
      <c r="A472" s="138" t="s">
        <v>793</v>
      </c>
      <c r="B472" s="16" t="str">
        <f>IF(A472="","",IFERROR(VLOOKUP(A472, Stock_New!A:M, 2, FALSE),""))</f>
        <v>كهربائيات</v>
      </c>
      <c r="C472" s="236">
        <v>2.0</v>
      </c>
      <c r="D472" s="16" t="str">
        <f>IF(A472="","",IFERROR(VLOOKUP(A472, Stock_New!A:M, 3, FALSE),""))</f>
        <v>سنتر محمد رشدي</v>
      </c>
      <c r="E472" s="16">
        <f>IF($A472="", "", IFERROR(VLOOKUP($A472, Stock_New!$A:$M, 6, FALSE), ""))</f>
        <v>151.2</v>
      </c>
      <c r="F472" s="239">
        <v>150.0</v>
      </c>
      <c r="G472" s="240"/>
      <c r="H472" s="17">
        <v>300.0</v>
      </c>
      <c r="I472" s="238">
        <v>46066.0</v>
      </c>
      <c r="J472" s="5" t="s">
        <v>72</v>
      </c>
      <c r="K472" s="5" t="s">
        <v>2567</v>
      </c>
      <c r="L472" s="16"/>
      <c r="M472" s="19"/>
      <c r="N472" s="16"/>
      <c r="O472" s="16"/>
      <c r="P472" s="16"/>
    </row>
    <row r="473" ht="22.5" customHeight="1">
      <c r="A473" s="138" t="s">
        <v>522</v>
      </c>
      <c r="B473" s="16" t="str">
        <f>IF(A473="","",IFERROR(VLOOKUP(A473, Stock_New!A:M, 2, FALSE),""))</f>
        <v>سيلفرات</v>
      </c>
      <c r="C473" s="236">
        <v>1.0</v>
      </c>
      <c r="D473" s="16" t="str">
        <f>IF(A473="","",IFERROR(VLOOKUP(A473, Stock_New!A:M, 3, FALSE),""))</f>
        <v>سنتر محمد رشدي</v>
      </c>
      <c r="E473" s="16">
        <f>IF($A473="", "", IFERROR(VLOOKUP($A473, Stock_New!$A:$M, 6, FALSE), ""))</f>
        <v>216</v>
      </c>
      <c r="F473" s="239">
        <v>220.0</v>
      </c>
      <c r="G473" s="240"/>
      <c r="H473" s="17">
        <v>220.0</v>
      </c>
      <c r="I473" s="238">
        <v>46066.0</v>
      </c>
      <c r="J473" s="5" t="s">
        <v>72</v>
      </c>
      <c r="K473" s="5" t="s">
        <v>2570</v>
      </c>
      <c r="L473" s="16"/>
      <c r="M473" s="19"/>
      <c r="N473" s="16"/>
      <c r="O473" s="16"/>
      <c r="P473" s="16"/>
    </row>
    <row r="474" ht="22.5" customHeight="1">
      <c r="A474" s="138" t="s">
        <v>412</v>
      </c>
      <c r="B474" s="16" t="str">
        <f>IF(A474="","",IFERROR(VLOOKUP(A474, Stock_New!A:M, 2, FALSE),""))</f>
        <v>سيلفرات</v>
      </c>
      <c r="C474" s="236">
        <v>1.0</v>
      </c>
      <c r="D474" s="16" t="str">
        <f>IF(A474="","",IFERROR(VLOOKUP(A474, Stock_New!A:M, 3, FALSE),""))</f>
        <v>ذكريا</v>
      </c>
      <c r="E474" s="16">
        <f>IF($A474="", "", IFERROR(VLOOKUP($A474, Stock_New!$A:$M, 6, FALSE), ""))</f>
        <v>234</v>
      </c>
      <c r="F474" s="239">
        <v>250.0</v>
      </c>
      <c r="G474" s="240"/>
      <c r="H474" s="17">
        <v>250.0</v>
      </c>
      <c r="I474" s="238">
        <v>46066.0</v>
      </c>
      <c r="J474" s="5" t="s">
        <v>72</v>
      </c>
      <c r="K474" s="5" t="s">
        <v>2573</v>
      </c>
      <c r="L474" s="16"/>
      <c r="M474" s="19"/>
      <c r="N474" s="16"/>
      <c r="O474" s="16"/>
      <c r="P474" s="16"/>
    </row>
    <row r="475" ht="22.5" customHeight="1">
      <c r="A475" s="138" t="s">
        <v>714</v>
      </c>
      <c r="B475" s="16" t="str">
        <f>IF(A475="","",IFERROR(VLOOKUP(A475, Stock_New!A:M, 2, FALSE),""))</f>
        <v>كهربائيات</v>
      </c>
      <c r="C475" s="236">
        <v>1.0</v>
      </c>
      <c r="D475" s="16" t="str">
        <f>IF(A475="","",IFERROR(VLOOKUP(A475, Stock_New!A:M, 3, FALSE),""))</f>
        <v>سنتر محمد رشدي</v>
      </c>
      <c r="E475" s="16">
        <f>IF($A475="", "", IFERROR(VLOOKUP($A475, Stock_New!$A:$M, 6, FALSE), ""))</f>
        <v>184.8</v>
      </c>
      <c r="F475" s="239">
        <v>180.0</v>
      </c>
      <c r="G475" s="240"/>
      <c r="H475" s="17">
        <v>180.0</v>
      </c>
      <c r="I475" s="238">
        <v>46066.0</v>
      </c>
      <c r="J475" s="5" t="s">
        <v>72</v>
      </c>
      <c r="K475" s="5" t="s">
        <v>2574</v>
      </c>
      <c r="L475" s="16"/>
      <c r="M475" s="19"/>
      <c r="N475" s="16"/>
      <c r="O475" s="16"/>
      <c r="P475" s="16"/>
    </row>
    <row r="476" ht="22.5" customHeight="1">
      <c r="A476" s="138" t="s">
        <v>638</v>
      </c>
      <c r="B476" s="16" t="str">
        <f>IF(A476="","",IFERROR(VLOOKUP(A476, Stock_New!A:M, 2, FALSE),""))</f>
        <v>ورد لوحدة</v>
      </c>
      <c r="C476" s="236">
        <v>1.0</v>
      </c>
      <c r="D476" s="16" t="str">
        <f>IF(A476="","",IFERROR(VLOOKUP(A476, Stock_New!A:M, 3, FALSE),""))</f>
        <v>شركة الفرسان</v>
      </c>
      <c r="E476" s="16">
        <f>IF($A476="", "", IFERROR(VLOOKUP($A476, Stock_New!$A:$M, 6, FALSE), ""))</f>
        <v>120</v>
      </c>
      <c r="F476" s="239">
        <v>150.0</v>
      </c>
      <c r="G476" s="240"/>
      <c r="H476" s="17">
        <v>150.0</v>
      </c>
      <c r="I476" s="238">
        <v>46066.0</v>
      </c>
      <c r="J476" s="5" t="s">
        <v>72</v>
      </c>
      <c r="K476" s="5" t="s">
        <v>2577</v>
      </c>
      <c r="L476" s="16"/>
      <c r="M476" s="19"/>
      <c r="N476" s="16"/>
      <c r="O476" s="16"/>
      <c r="P476" s="16"/>
    </row>
    <row r="477" ht="22.5" customHeight="1">
      <c r="A477" s="138" t="s">
        <v>549</v>
      </c>
      <c r="B477" s="16" t="str">
        <f>IF(A477="","",IFERROR(VLOOKUP(A477, Stock_New!A:M, 2, FALSE),""))</f>
        <v>بخور</v>
      </c>
      <c r="C477" s="236">
        <v>1.0</v>
      </c>
      <c r="D477" s="16" t="str">
        <f>IF(A477="","",IFERROR(VLOOKUP(A477, Stock_New!A:M, 3, FALSE),""))</f>
        <v>سنتر محمد رشدي</v>
      </c>
      <c r="E477" s="16">
        <f>IF($A477="", "", IFERROR(VLOOKUP($A477, Stock_New!$A:$M, 6, FALSE), ""))</f>
        <v>21</v>
      </c>
      <c r="F477" s="239">
        <v>25.0</v>
      </c>
      <c r="G477" s="240"/>
      <c r="H477" s="17">
        <v>25.0</v>
      </c>
      <c r="I477" s="238">
        <v>46066.0</v>
      </c>
      <c r="J477" s="5" t="s">
        <v>72</v>
      </c>
      <c r="K477" s="5" t="s">
        <v>2578</v>
      </c>
      <c r="L477" s="16"/>
      <c r="M477" s="19"/>
      <c r="N477" s="16"/>
      <c r="O477" s="16"/>
      <c r="P477" s="16"/>
    </row>
    <row r="478" ht="22.5" customHeight="1">
      <c r="A478" s="138" t="s">
        <v>800</v>
      </c>
      <c r="B478" s="16" t="str">
        <f>IF(A478="","",IFERROR(VLOOKUP(A478, Stock_New!A:M, 2, FALSE),""))</f>
        <v>بخور</v>
      </c>
      <c r="C478" s="236">
        <v>1.0</v>
      </c>
      <c r="D478" s="16" t="str">
        <f>IF(A478="","",IFERROR(VLOOKUP(A478, Stock_New!A:M, 3, FALSE),""))</f>
        <v>سنتر محمد رشدي</v>
      </c>
      <c r="E478" s="16">
        <f>IF($A478="", "", IFERROR(VLOOKUP($A478, Stock_New!$A:$M, 6, FALSE), ""))</f>
        <v>13.5</v>
      </c>
      <c r="F478" s="239">
        <v>20.0</v>
      </c>
      <c r="G478" s="240"/>
      <c r="H478" s="17">
        <v>20.0</v>
      </c>
      <c r="I478" s="238">
        <v>46066.0</v>
      </c>
      <c r="J478" s="5" t="s">
        <v>72</v>
      </c>
      <c r="K478" s="5" t="s">
        <v>2579</v>
      </c>
      <c r="L478" s="16"/>
      <c r="M478" s="19"/>
      <c r="N478" s="16"/>
      <c r="O478" s="16"/>
      <c r="P478" s="16"/>
    </row>
    <row r="479" ht="22.5" customHeight="1">
      <c r="A479" s="138" t="s">
        <v>415</v>
      </c>
      <c r="B479" s="16" t="str">
        <f>IF(A479="","",IFERROR(VLOOKUP(A479, Stock_New!A:M, 2, FALSE),""))</f>
        <v>كهربائيات</v>
      </c>
      <c r="C479" s="236">
        <v>1.0</v>
      </c>
      <c r="D479" s="16" t="str">
        <f>IF(A479="","",IFERROR(VLOOKUP(A479, Stock_New!A:M, 3, FALSE),""))</f>
        <v>سنتر محمد رشدي</v>
      </c>
      <c r="E479" s="16">
        <f>IF($A479="", "", IFERROR(VLOOKUP($A479, Stock_New!$A:$M, 6, FALSE), ""))</f>
        <v>270</v>
      </c>
      <c r="F479" s="239">
        <v>275.0</v>
      </c>
      <c r="G479" s="240"/>
      <c r="H479" s="17">
        <v>275.0</v>
      </c>
      <c r="I479" s="238">
        <v>46066.0</v>
      </c>
      <c r="J479" s="5" t="s">
        <v>72</v>
      </c>
      <c r="K479" s="5" t="s">
        <v>2583</v>
      </c>
      <c r="L479" s="16"/>
      <c r="M479" s="19"/>
      <c r="N479" s="16"/>
      <c r="O479" s="16"/>
      <c r="P479" s="16"/>
    </row>
    <row r="480" ht="22.5" customHeight="1">
      <c r="A480" s="138" t="s">
        <v>699</v>
      </c>
      <c r="B480" s="16" t="str">
        <f>IF(A480="","",IFERROR(VLOOKUP(A480, Stock_New!A:M, 2, FALSE),""))</f>
        <v>بوكيه</v>
      </c>
      <c r="C480" s="236">
        <v>2.0</v>
      </c>
      <c r="D480" s="16" t="str">
        <f>IF(A480="","",IFERROR(VLOOKUP(A480, Stock_New!A:M, 3, FALSE),""))</f>
        <v>manufactured</v>
      </c>
      <c r="E480" s="16">
        <f>IF($A480="", "", IFERROR(VLOOKUP($A480, Stock_New!$A:$M, 6, FALSE), ""))</f>
        <v>24</v>
      </c>
      <c r="F480" s="239">
        <v>50.0</v>
      </c>
      <c r="G480" s="240"/>
      <c r="H480" s="17">
        <v>100.0</v>
      </c>
      <c r="I480" s="238">
        <v>46066.0</v>
      </c>
      <c r="J480" s="5" t="s">
        <v>72</v>
      </c>
      <c r="K480" s="5" t="s">
        <v>2591</v>
      </c>
      <c r="L480" s="16"/>
      <c r="M480" s="19"/>
      <c r="N480" s="16"/>
      <c r="O480" s="16"/>
      <c r="P480" s="16"/>
    </row>
    <row r="481" ht="22.5" customHeight="1">
      <c r="A481" s="138" t="s">
        <v>172</v>
      </c>
      <c r="B481" s="16" t="str">
        <f>IF(A481="","",IFERROR(VLOOKUP(A481, Stock_New!A:M, 2, FALSE),""))</f>
        <v>بوكيه</v>
      </c>
      <c r="C481" s="236">
        <v>2.0</v>
      </c>
      <c r="D481" s="16" t="str">
        <f>IF(A481="","",IFERROR(VLOOKUP(A481, Stock_New!A:M, 3, FALSE),""))</f>
        <v>ذكريا</v>
      </c>
      <c r="E481" s="16">
        <f>IF($A481="", "", IFERROR(VLOOKUP($A481, Stock_New!$A:$M, 6, FALSE), ""))</f>
        <v>33.84</v>
      </c>
      <c r="F481" s="239">
        <v>40.0</v>
      </c>
      <c r="G481" s="240"/>
      <c r="H481" s="17">
        <v>80.0</v>
      </c>
      <c r="I481" s="238">
        <v>46066.0</v>
      </c>
      <c r="J481" s="5" t="s">
        <v>72</v>
      </c>
      <c r="K481" s="5" t="s">
        <v>2585</v>
      </c>
      <c r="L481" s="16"/>
      <c r="M481" s="19"/>
      <c r="N481" s="16"/>
      <c r="O481" s="16"/>
      <c r="P481" s="16"/>
    </row>
    <row r="482" ht="22.5" customHeight="1">
      <c r="A482" s="138" t="s">
        <v>547</v>
      </c>
      <c r="B482" s="16" t="str">
        <f>IF(A482="","",IFERROR(VLOOKUP(A482, Stock_New!A:M, 2, FALSE),""))</f>
        <v>كهربائيات</v>
      </c>
      <c r="C482" s="236">
        <v>1.0</v>
      </c>
      <c r="D482" s="16" t="str">
        <f>IF(A482="","",IFERROR(VLOOKUP(A482, Stock_New!A:M, 3, FALSE),""))</f>
        <v>سنتر محمد رشدي</v>
      </c>
      <c r="E482" s="16">
        <f>IF($A482="", "", IFERROR(VLOOKUP($A482, Stock_New!$A:$M, 6, FALSE), ""))</f>
        <v>162</v>
      </c>
      <c r="F482" s="239">
        <v>160.0</v>
      </c>
      <c r="G482" s="240"/>
      <c r="H482" s="17">
        <v>165.0</v>
      </c>
      <c r="I482" s="238">
        <v>46066.0</v>
      </c>
      <c r="J482" s="5" t="s">
        <v>72</v>
      </c>
      <c r="K482" s="5" t="s">
        <v>2587</v>
      </c>
      <c r="L482" s="16"/>
      <c r="M482" s="19"/>
      <c r="N482" s="16"/>
      <c r="O482" s="16"/>
      <c r="P482" s="16"/>
    </row>
    <row r="483" ht="22.5" customHeight="1">
      <c r="A483" s="138" t="s">
        <v>712</v>
      </c>
      <c r="B483" s="16" t="str">
        <f>IF(A483="","",IFERROR(VLOOKUP(A483, Stock_New!A:M, 2, FALSE),""))</f>
        <v>ورد مجفف</v>
      </c>
      <c r="C483" s="236">
        <v>1.0</v>
      </c>
      <c r="D483" s="16" t="str">
        <f>IF(A483="","",IFERROR(VLOOKUP(A483, Stock_New!A:M, 3, FALSE),""))</f>
        <v>manufactured</v>
      </c>
      <c r="E483" s="16">
        <f>IF($A483="", "", IFERROR(VLOOKUP($A483, Stock_New!$A:$M, 6, FALSE), ""))</f>
        <v>8.4</v>
      </c>
      <c r="F483" s="239">
        <v>20.0</v>
      </c>
      <c r="G483" s="240"/>
      <c r="H483" s="17">
        <v>20.0</v>
      </c>
      <c r="I483" s="238">
        <v>46066.0</v>
      </c>
      <c r="J483" s="5" t="s">
        <v>72</v>
      </c>
      <c r="K483" s="5" t="s">
        <v>2589</v>
      </c>
      <c r="L483" s="16"/>
      <c r="M483" s="19"/>
      <c r="N483" s="16"/>
      <c r="O483" s="16"/>
      <c r="P483" s="16"/>
    </row>
    <row r="484" ht="22.5" customHeight="1">
      <c r="A484" s="138" t="s">
        <v>235</v>
      </c>
      <c r="B484" s="16" t="str">
        <f>IF(A484="","",IFERROR(VLOOKUP(A484, Stock_New!A:M, 2, FALSE),""))</f>
        <v>خزف</v>
      </c>
      <c r="C484" s="236">
        <v>2.0</v>
      </c>
      <c r="D484" s="16" t="str">
        <f>IF(A484="","",IFERROR(VLOOKUP(A484, Stock_New!A:M, 3, FALSE),""))</f>
        <v>ذكريا</v>
      </c>
      <c r="E484" s="16">
        <f>IF($A484="", "", IFERROR(VLOOKUP($A484, Stock_New!$A:$M, 6, FALSE), ""))</f>
        <v>90</v>
      </c>
      <c r="F484" s="239">
        <v>100.0</v>
      </c>
      <c r="G484" s="240"/>
      <c r="H484" s="17">
        <v>200.0</v>
      </c>
      <c r="I484" s="238">
        <v>46066.0</v>
      </c>
      <c r="J484" s="5" t="s">
        <v>72</v>
      </c>
      <c r="K484" s="5" t="s">
        <v>2590</v>
      </c>
      <c r="L484" s="16"/>
      <c r="M484" s="19"/>
      <c r="N484" s="16"/>
      <c r="O484" s="16"/>
      <c r="P484" s="16"/>
    </row>
    <row r="485" ht="22.5" customHeight="1">
      <c r="A485" s="138" t="s">
        <v>802</v>
      </c>
      <c r="B485" s="16" t="str">
        <f>IF(A485="","",IFERROR(VLOOKUP(A485, Stock_New!A:M, 2, FALSE),""))</f>
        <v>بخور</v>
      </c>
      <c r="C485" s="236">
        <v>1.0</v>
      </c>
      <c r="D485" s="16" t="str">
        <f>IF(A485="","",IFERROR(VLOOKUP(A485, Stock_New!A:M, 3, FALSE),""))</f>
        <v/>
      </c>
      <c r="E485" s="16">
        <f>IF($A485="", "", IFERROR(VLOOKUP($A485, Stock_New!$A:$M, 6, FALSE), ""))</f>
        <v>64</v>
      </c>
      <c r="F485" s="239">
        <v>70.0</v>
      </c>
      <c r="G485" s="240"/>
      <c r="H485" s="17">
        <v>70.0</v>
      </c>
      <c r="I485" s="238">
        <v>46068.0</v>
      </c>
      <c r="J485" s="5" t="s">
        <v>72</v>
      </c>
      <c r="K485" s="5" t="s">
        <v>2592</v>
      </c>
      <c r="L485" s="16"/>
      <c r="M485" s="19"/>
      <c r="N485" s="16"/>
      <c r="O485" s="16"/>
      <c r="P485" s="16"/>
    </row>
    <row r="486" ht="22.5" customHeight="1">
      <c r="A486" s="138" t="s">
        <v>549</v>
      </c>
      <c r="B486" s="16" t="str">
        <f>IF(A486="","",IFERROR(VLOOKUP(A486, Stock_New!A:M, 2, FALSE),""))</f>
        <v>بخور</v>
      </c>
      <c r="C486" s="236">
        <v>1.0</v>
      </c>
      <c r="D486" s="16" t="str">
        <f>IF(A486="","",IFERROR(VLOOKUP(A486, Stock_New!A:M, 3, FALSE),""))</f>
        <v>سنتر محمد رشدي</v>
      </c>
      <c r="E486" s="16">
        <f>IF($A486="", "", IFERROR(VLOOKUP($A486, Stock_New!$A:$M, 6, FALSE), ""))</f>
        <v>21</v>
      </c>
      <c r="F486" s="239">
        <v>25.0</v>
      </c>
      <c r="G486" s="240"/>
      <c r="H486" s="17">
        <v>25.0</v>
      </c>
      <c r="I486" s="238">
        <v>46068.0</v>
      </c>
      <c r="J486" s="5" t="s">
        <v>72</v>
      </c>
      <c r="K486" s="5" t="s">
        <v>2595</v>
      </c>
      <c r="L486" s="16"/>
      <c r="M486" s="19"/>
      <c r="N486" s="16"/>
      <c r="O486" s="16"/>
      <c r="P486" s="16"/>
    </row>
    <row r="487" ht="22.5" customHeight="1">
      <c r="A487" s="138" t="s">
        <v>808</v>
      </c>
      <c r="B487" s="16" t="str">
        <f>IF(A487="","",IFERROR(VLOOKUP(A487, Stock_New!A:M, 2, FALSE),""))</f>
        <v>كهربائيات</v>
      </c>
      <c r="C487" s="236">
        <v>2.0</v>
      </c>
      <c r="D487" s="16" t="str">
        <f>IF(A487="","",IFERROR(VLOOKUP(A487, Stock_New!A:M, 3, FALSE),""))</f>
        <v>سنتر محمد رشدي</v>
      </c>
      <c r="E487" s="16">
        <f>IF($A487="", "", IFERROR(VLOOKUP($A487, Stock_New!$A:$M, 6, FALSE), ""))</f>
        <v>75.6</v>
      </c>
      <c r="F487" s="239">
        <v>90.0</v>
      </c>
      <c r="G487" s="240"/>
      <c r="H487" s="17">
        <v>180.0</v>
      </c>
      <c r="I487" s="238">
        <v>46068.0</v>
      </c>
      <c r="J487" s="5" t="s">
        <v>72</v>
      </c>
      <c r="K487" s="5" t="s">
        <v>2602</v>
      </c>
      <c r="L487" s="16"/>
      <c r="M487" s="19"/>
      <c r="N487" s="16"/>
      <c r="O487" s="16"/>
      <c r="P487" s="16"/>
    </row>
    <row r="488" ht="22.5" customHeight="1">
      <c r="A488" s="138" t="s">
        <v>287</v>
      </c>
      <c r="B488" s="16" t="str">
        <f>IF(A488="","",IFERROR(VLOOKUP(A488, Stock_New!A:M, 2, FALSE),""))</f>
        <v>بوكيه</v>
      </c>
      <c r="C488" s="236">
        <v>1.0</v>
      </c>
      <c r="D488" s="16" t="str">
        <f>IF(A488="","",IFERROR(VLOOKUP(A488, Stock_New!A:M, 3, FALSE),""))</f>
        <v>ذكريا</v>
      </c>
      <c r="E488" s="16">
        <f>IF($A488="", "", IFERROR(VLOOKUP($A488, Stock_New!$A:$M, 6, FALSE), ""))</f>
        <v>54</v>
      </c>
      <c r="F488" s="239">
        <v>65.0</v>
      </c>
      <c r="G488" s="240"/>
      <c r="H488" s="17">
        <v>65.0</v>
      </c>
      <c r="I488" s="238">
        <v>46068.0</v>
      </c>
      <c r="J488" s="5" t="s">
        <v>72</v>
      </c>
      <c r="K488" s="5" t="s">
        <v>2597</v>
      </c>
      <c r="L488" s="16"/>
      <c r="M488" s="19"/>
      <c r="N488" s="16"/>
      <c r="O488" s="16"/>
      <c r="P488" s="16"/>
    </row>
    <row r="489" ht="22.5" customHeight="1">
      <c r="A489" s="138" t="s">
        <v>478</v>
      </c>
      <c r="B489" s="16" t="str">
        <f>IF(A489="","",IFERROR(VLOOKUP(A489, Stock_New!A:M, 2, FALSE),""))</f>
        <v>لوح</v>
      </c>
      <c r="C489" s="236">
        <v>1.0</v>
      </c>
      <c r="D489" s="16" t="str">
        <f>IF(A489="","",IFERROR(VLOOKUP(A489, Stock_New!A:M, 3, FALSE),""))</f>
        <v>ذكريا</v>
      </c>
      <c r="E489" s="16">
        <f>IF($A489="", "", IFERROR(VLOOKUP($A489, Stock_New!$A:$M, 6, FALSE), ""))</f>
        <v>108</v>
      </c>
      <c r="F489" s="239">
        <v>135.0</v>
      </c>
      <c r="G489" s="240"/>
      <c r="H489" s="17">
        <v>135.0</v>
      </c>
      <c r="I489" s="238">
        <v>46069.0</v>
      </c>
      <c r="J489" s="5" t="s">
        <v>72</v>
      </c>
      <c r="K489" s="5" t="s">
        <v>2598</v>
      </c>
      <c r="L489" s="16"/>
      <c r="M489" s="19"/>
      <c r="N489" s="16"/>
      <c r="O489" s="16"/>
      <c r="P489" s="16"/>
    </row>
    <row r="490" ht="22.5" customHeight="1">
      <c r="A490" s="138" t="s">
        <v>653</v>
      </c>
      <c r="B490" s="16" t="str">
        <f>IF(A490="","",IFERROR(VLOOKUP(A490, Stock_New!A:M, 2, FALSE),""))</f>
        <v>لوح</v>
      </c>
      <c r="C490" s="236">
        <v>1.0</v>
      </c>
      <c r="D490" s="16" t="str">
        <f>IF(A490="","",IFERROR(VLOOKUP(A490, Stock_New!A:M, 3, FALSE),""))</f>
        <v>سنتر محمد رشدي</v>
      </c>
      <c r="E490" s="16">
        <f>IF($A490="", "", IFERROR(VLOOKUP($A490, Stock_New!$A:$M, 6, FALSE), ""))</f>
        <v>198.6</v>
      </c>
      <c r="F490" s="239">
        <v>210.0</v>
      </c>
      <c r="G490" s="240"/>
      <c r="H490" s="17">
        <v>210.0</v>
      </c>
      <c r="I490" s="238">
        <v>46069.0</v>
      </c>
      <c r="J490" s="5" t="s">
        <v>72</v>
      </c>
      <c r="K490" s="5" t="s">
        <v>2599</v>
      </c>
      <c r="L490" s="16"/>
      <c r="M490" s="19"/>
      <c r="N490" s="16"/>
      <c r="O490" s="16"/>
      <c r="P490" s="16"/>
    </row>
    <row r="491" ht="22.5" customHeight="1">
      <c r="A491" s="138" t="s">
        <v>415</v>
      </c>
      <c r="B491" s="16" t="str">
        <f>IF(A491="","",IFERROR(VLOOKUP(A491, Stock_New!A:M, 2, FALSE),""))</f>
        <v>كهربائيات</v>
      </c>
      <c r="C491" s="236">
        <v>2.0</v>
      </c>
      <c r="D491" s="16" t="str">
        <f>IF(A491="","",IFERROR(VLOOKUP(A491, Stock_New!A:M, 3, FALSE),""))</f>
        <v>سنتر محمد رشدي</v>
      </c>
      <c r="E491" s="16">
        <f>IF($A491="", "", IFERROR(VLOOKUP($A491, Stock_New!$A:$M, 6, FALSE), ""))</f>
        <v>270</v>
      </c>
      <c r="F491" s="239">
        <v>275.0</v>
      </c>
      <c r="G491" s="240"/>
      <c r="H491" s="17">
        <v>550.0</v>
      </c>
      <c r="I491" s="238">
        <v>46070.0</v>
      </c>
      <c r="J491" s="5" t="s">
        <v>72</v>
      </c>
      <c r="K491" s="5" t="s">
        <v>2605</v>
      </c>
      <c r="L491" s="16"/>
      <c r="M491" s="19"/>
      <c r="N491" s="16"/>
      <c r="O491" s="16"/>
      <c r="P491" s="16"/>
    </row>
    <row r="492" ht="22.5" customHeight="1">
      <c r="A492" s="138" t="s">
        <v>34</v>
      </c>
      <c r="B492" s="16" t="str">
        <f>IF(A492="","",IFERROR(VLOOKUP(A492, Stock_New!A:M, 2, FALSE),""))</f>
        <v>شجر</v>
      </c>
      <c r="C492" s="236">
        <v>1.0</v>
      </c>
      <c r="D492" s="16" t="str">
        <f>IF(A492="","",IFERROR(VLOOKUP(A492, Stock_New!A:M, 3, FALSE),""))</f>
        <v>manufactured</v>
      </c>
      <c r="E492" s="16">
        <f>IF($A492="", "", IFERROR(VLOOKUP($A492, Stock_New!$A:$M, 6, FALSE), ""))</f>
        <v>108</v>
      </c>
      <c r="F492" s="239">
        <v>280.0</v>
      </c>
      <c r="G492" s="240"/>
      <c r="H492" s="17">
        <v>280.0</v>
      </c>
      <c r="I492" s="238">
        <v>46071.0</v>
      </c>
      <c r="J492" s="5" t="s">
        <v>72</v>
      </c>
      <c r="K492" s="5" t="s">
        <v>2606</v>
      </c>
      <c r="L492" s="16"/>
      <c r="M492" s="19"/>
      <c r="N492" s="16"/>
      <c r="O492" s="16"/>
      <c r="P492" s="16"/>
    </row>
    <row r="493" ht="22.5" customHeight="1">
      <c r="A493" s="138" t="s">
        <v>812</v>
      </c>
      <c r="B493" s="16" t="str">
        <f>IF(A493="","",IFERROR(VLOOKUP(A493, Stock_New!A:M, 2, FALSE),""))</f>
        <v/>
      </c>
      <c r="C493" s="236">
        <v>4.0</v>
      </c>
      <c r="D493" s="16" t="str">
        <f>IF(A493="","",IFERROR(VLOOKUP(A493, Stock_New!A:M, 3, FALSE),""))</f>
        <v/>
      </c>
      <c r="E493" s="16" t="str">
        <f>IF($A493="", "", IFERROR(VLOOKUP($A493, Stock_New!$A:$M, 6, FALSE), ""))</f>
        <v/>
      </c>
      <c r="F493" s="239">
        <v>25.0</v>
      </c>
      <c r="G493" s="240"/>
      <c r="H493" s="17">
        <v>100.0</v>
      </c>
      <c r="I493" s="238">
        <v>46071.0</v>
      </c>
      <c r="J493" s="5" t="s">
        <v>72</v>
      </c>
      <c r="K493" s="5" t="s">
        <v>2608</v>
      </c>
      <c r="L493" s="16"/>
      <c r="M493" s="19"/>
      <c r="N493" s="16"/>
      <c r="O493" s="16"/>
      <c r="P493" s="16"/>
    </row>
    <row r="494" ht="22.5" customHeight="1">
      <c r="A494" s="138" t="s">
        <v>815</v>
      </c>
      <c r="B494" s="16" t="str">
        <f>IF(A494="","",IFERROR(VLOOKUP(A494, Stock_New!A:M, 2, FALSE),""))</f>
        <v>كهربائيات</v>
      </c>
      <c r="C494" s="236">
        <v>1.0</v>
      </c>
      <c r="D494" s="16" t="str">
        <f>IF(A494="","",IFERROR(VLOOKUP(A494, Stock_New!A:M, 3, FALSE),""))</f>
        <v>سنتر محمد رشدي</v>
      </c>
      <c r="E494" s="16">
        <f>IF($A494="", "", IFERROR(VLOOKUP($A494, Stock_New!$A:$M, 6, FALSE), ""))</f>
        <v>164.4</v>
      </c>
      <c r="F494" s="239">
        <v>180.0</v>
      </c>
      <c r="G494" s="240"/>
      <c r="H494" s="17">
        <v>180.0</v>
      </c>
      <c r="I494" s="238">
        <v>46071.0</v>
      </c>
      <c r="J494" s="5" t="s">
        <v>72</v>
      </c>
      <c r="K494" s="5" t="s">
        <v>2611</v>
      </c>
      <c r="L494" s="16"/>
      <c r="M494" s="19"/>
      <c r="N494" s="16"/>
      <c r="O494" s="16"/>
      <c r="P494" s="16"/>
    </row>
    <row r="495" ht="22.5" customHeight="1">
      <c r="A495" s="138" t="s">
        <v>801</v>
      </c>
      <c r="B495" s="16" t="str">
        <f>IF(A495="","",IFERROR(VLOOKUP(A495, Stock_New!A:M, 2, FALSE),""))</f>
        <v>كهربائيات</v>
      </c>
      <c r="C495" s="236">
        <v>1.0</v>
      </c>
      <c r="D495" s="16" t="str">
        <f>IF(A495="","",IFERROR(VLOOKUP(A495, Stock_New!A:M, 3, FALSE),""))</f>
        <v>سنتر محمد رشدي</v>
      </c>
      <c r="E495" s="16">
        <f>IF($A495="", "", IFERROR(VLOOKUP($A495, Stock_New!$A:$M, 6, FALSE), ""))</f>
        <v>174</v>
      </c>
      <c r="F495" s="239">
        <v>200.0</v>
      </c>
      <c r="G495" s="240"/>
      <c r="H495" s="17">
        <v>200.0</v>
      </c>
      <c r="I495" s="238">
        <v>46071.0</v>
      </c>
      <c r="J495" s="5" t="s">
        <v>72</v>
      </c>
      <c r="K495" s="5" t="s">
        <v>2614</v>
      </c>
      <c r="L495" s="16"/>
      <c r="M495" s="19"/>
      <c r="N495" s="16"/>
      <c r="O495" s="16"/>
      <c r="P495" s="16"/>
    </row>
    <row r="496" ht="22.5" customHeight="1">
      <c r="A496" s="138" t="s">
        <v>820</v>
      </c>
      <c r="B496" s="16" t="str">
        <f>IF(A496="","",IFERROR(VLOOKUP(A496, Stock_New!A:M, 2, FALSE),""))</f>
        <v>سيلفر</v>
      </c>
      <c r="C496" s="236">
        <v>1.0</v>
      </c>
      <c r="D496" s="16" t="str">
        <f>IF(A496="","",IFERROR(VLOOKUP(A496, Stock_New!A:M, 3, FALSE),""))</f>
        <v>سنتر محمد رشدي</v>
      </c>
      <c r="E496" s="16">
        <f>IF($A496="", "", IFERROR(VLOOKUP($A496, Stock_New!$A:$M, 6, FALSE), ""))</f>
        <v>151.2</v>
      </c>
      <c r="F496" s="239">
        <v>160.0</v>
      </c>
      <c r="G496" s="240"/>
      <c r="H496" s="17">
        <v>160.0</v>
      </c>
      <c r="I496" s="238">
        <v>46071.0</v>
      </c>
      <c r="J496" s="5" t="s">
        <v>72</v>
      </c>
      <c r="K496" s="5" t="s">
        <v>2617</v>
      </c>
      <c r="L496" s="16"/>
      <c r="M496" s="19"/>
      <c r="N496" s="16"/>
      <c r="O496" s="16"/>
      <c r="P496" s="16"/>
    </row>
    <row r="497" ht="22.5" customHeight="1">
      <c r="A497" s="138" t="s">
        <v>816</v>
      </c>
      <c r="B497" s="16" t="str">
        <f>IF(A497="","",IFERROR(VLOOKUP(A497, Stock_New!A:M, 2, FALSE),""))</f>
        <v>سيلفر</v>
      </c>
      <c r="C497" s="236">
        <v>1.0</v>
      </c>
      <c r="D497" s="16" t="str">
        <f>IF(A497="","",IFERROR(VLOOKUP(A497, Stock_New!A:M, 3, FALSE),""))</f>
        <v>سنتر محمد رشدي</v>
      </c>
      <c r="E497" s="16">
        <f>IF($A497="", "", IFERROR(VLOOKUP($A497, Stock_New!$A:$M, 6, FALSE), ""))</f>
        <v>169.2</v>
      </c>
      <c r="F497" s="239">
        <v>195.0</v>
      </c>
      <c r="G497" s="240"/>
      <c r="H497" s="17">
        <v>195.0</v>
      </c>
      <c r="I497" s="238">
        <v>46071.0</v>
      </c>
      <c r="J497" s="5" t="s">
        <v>72</v>
      </c>
      <c r="K497" s="5" t="s">
        <v>2620</v>
      </c>
      <c r="L497" s="16"/>
      <c r="M497" s="19"/>
      <c r="N497" s="16"/>
      <c r="O497" s="16"/>
      <c r="P497" s="16"/>
    </row>
    <row r="498" ht="22.5" customHeight="1">
      <c r="A498" s="138" t="s">
        <v>633</v>
      </c>
      <c r="B498" s="16" t="str">
        <f>IF(A498="","",IFERROR(VLOOKUP(A498, Stock_New!A:M, 2, FALSE),""))</f>
        <v>سيلفرات</v>
      </c>
      <c r="C498" s="236">
        <v>1.0</v>
      </c>
      <c r="D498" s="16" t="str">
        <f>IF(A498="","",IFERROR(VLOOKUP(A498, Stock_New!A:M, 3, FALSE),""))</f>
        <v>سنتر محمد رشدي</v>
      </c>
      <c r="E498" s="16">
        <f>IF($A498="", "", IFERROR(VLOOKUP($A498, Stock_New!$A:$M, 6, FALSE), ""))</f>
        <v>153.6</v>
      </c>
      <c r="F498" s="239">
        <v>170.0</v>
      </c>
      <c r="G498" s="240"/>
      <c r="H498" s="17">
        <v>170.0</v>
      </c>
      <c r="I498" s="238">
        <v>46071.0</v>
      </c>
      <c r="J498" s="5" t="s">
        <v>72</v>
      </c>
      <c r="K498" s="5" t="s">
        <v>2623</v>
      </c>
      <c r="L498" s="16"/>
      <c r="M498" s="19"/>
      <c r="N498" s="16"/>
      <c r="O498" s="16"/>
      <c r="P498" s="16"/>
    </row>
    <row r="499" ht="22.5" customHeight="1">
      <c r="A499" s="138" t="s">
        <v>787</v>
      </c>
      <c r="B499" s="16" t="str">
        <f>IF(A499="","",IFERROR(VLOOKUP(A499, Stock_New!A:M, 2, FALSE),""))</f>
        <v>كهربائيات</v>
      </c>
      <c r="C499" s="236">
        <v>1.0</v>
      </c>
      <c r="D499" s="16" t="str">
        <f>IF(A499="","",IFERROR(VLOOKUP(A499, Stock_New!A:M, 3, FALSE),""))</f>
        <v>سنتر محمد رشدي</v>
      </c>
      <c r="E499" s="16">
        <f>IF($A499="", "", IFERROR(VLOOKUP($A499, Stock_New!$A:$M, 6, FALSE), ""))</f>
        <v>162</v>
      </c>
      <c r="F499" s="239">
        <v>170.0</v>
      </c>
      <c r="G499" s="240"/>
      <c r="H499" s="17">
        <v>170.0</v>
      </c>
      <c r="I499" s="238">
        <v>46071.0</v>
      </c>
      <c r="J499" s="5" t="s">
        <v>72</v>
      </c>
      <c r="K499" s="5" t="s">
        <v>2624</v>
      </c>
      <c r="L499" s="16"/>
      <c r="M499" s="19"/>
      <c r="N499" s="16"/>
      <c r="O499" s="16"/>
      <c r="P499" s="16"/>
    </row>
    <row r="500" ht="22.5" customHeight="1">
      <c r="A500" s="138" t="s">
        <v>801</v>
      </c>
      <c r="B500" s="16" t="str">
        <f>IF(A500="","",IFERROR(VLOOKUP(A500, Stock_New!A:M, 2, FALSE),""))</f>
        <v>كهربائيات</v>
      </c>
      <c r="C500" s="236">
        <v>1.0</v>
      </c>
      <c r="D500" s="16" t="str">
        <f>IF(A500="","",IFERROR(VLOOKUP(A500, Stock_New!A:M, 3, FALSE),""))</f>
        <v>سنتر محمد رشدي</v>
      </c>
      <c r="E500" s="16">
        <f>IF($A500="", "", IFERROR(VLOOKUP($A500, Stock_New!$A:$M, 6, FALSE), ""))</f>
        <v>174</v>
      </c>
      <c r="F500" s="239">
        <v>200.0</v>
      </c>
      <c r="G500" s="240"/>
      <c r="H500" s="17">
        <v>200.0</v>
      </c>
      <c r="I500" s="238">
        <v>46071.0</v>
      </c>
      <c r="J500" s="5" t="s">
        <v>72</v>
      </c>
      <c r="K500" s="5" t="s">
        <v>2625</v>
      </c>
      <c r="L500" s="16"/>
      <c r="M500" s="19"/>
      <c r="N500" s="16"/>
      <c r="O500" s="16"/>
      <c r="P500" s="16"/>
    </row>
    <row r="501" ht="22.5" customHeight="1">
      <c r="A501" s="69" t="s">
        <v>828</v>
      </c>
      <c r="B501" s="16" t="str">
        <f>IF(A501="","",IFERROR(VLOOKUP(A501, Stock_New!A:M, 2, FALSE),""))</f>
        <v>كهربائيات</v>
      </c>
      <c r="C501" s="236">
        <v>1.0</v>
      </c>
      <c r="D501" s="16" t="str">
        <f>IF(A501="","",IFERROR(VLOOKUP(A501, Stock_New!A:M, 3, FALSE),""))</f>
        <v>سنتر محمد رشدي</v>
      </c>
      <c r="E501" s="16">
        <f>IF($A501="", "", IFERROR(VLOOKUP($A501, Stock_New!$A:$M, 6, FALSE), ""))</f>
        <v>156</v>
      </c>
      <c r="F501" s="239">
        <v>180.0</v>
      </c>
      <c r="G501" s="240"/>
      <c r="H501" s="17">
        <v>180.0</v>
      </c>
      <c r="I501" s="238">
        <v>46071.0</v>
      </c>
      <c r="J501" s="5" t="s">
        <v>72</v>
      </c>
      <c r="K501" s="5" t="s">
        <v>2626</v>
      </c>
      <c r="L501" s="16"/>
      <c r="M501" s="19"/>
      <c r="N501" s="16"/>
      <c r="O501" s="16"/>
      <c r="P501" s="16"/>
    </row>
    <row r="502" ht="22.5" customHeight="1">
      <c r="A502" s="138" t="s">
        <v>584</v>
      </c>
      <c r="B502" s="16" t="str">
        <f>IF(A502="","",IFERROR(VLOOKUP(A502, Stock_New!A:M, 2, FALSE),""))</f>
        <v>بوكيه جاهز</v>
      </c>
      <c r="C502" s="236">
        <v>1.0</v>
      </c>
      <c r="D502" s="16" t="str">
        <f>IF(A502="","",IFERROR(VLOOKUP(A502, Stock_New!A:M, 3, FALSE),""))</f>
        <v>سنتر محمد رشدي</v>
      </c>
      <c r="E502" s="16">
        <f>IF($A502="", "", IFERROR(VLOOKUP($A502, Stock_New!$A:$M, 6, FALSE), ""))</f>
        <v>6</v>
      </c>
      <c r="F502" s="239">
        <v>10.0</v>
      </c>
      <c r="G502" s="240"/>
      <c r="H502" s="17">
        <v>10.0</v>
      </c>
      <c r="I502" s="238">
        <v>46072.0</v>
      </c>
      <c r="J502" s="5" t="s">
        <v>72</v>
      </c>
      <c r="K502" s="5" t="s">
        <v>2629</v>
      </c>
      <c r="L502" s="16"/>
      <c r="M502" s="19"/>
      <c r="N502" s="16"/>
      <c r="O502" s="16"/>
      <c r="P502" s="16"/>
    </row>
    <row r="503" ht="22.5" customHeight="1">
      <c r="A503" s="138" t="s">
        <v>322</v>
      </c>
      <c r="B503" s="16" t="str">
        <f>IF(A503="","",IFERROR(VLOOKUP(A503, Stock_New!A:M, 2, FALSE),""))</f>
        <v>خزف</v>
      </c>
      <c r="C503" s="236">
        <v>2.0</v>
      </c>
      <c r="D503" s="16" t="str">
        <f>IF(A503="","",IFERROR(VLOOKUP(A503, Stock_New!A:M, 3, FALSE),""))</f>
        <v>ذكريا</v>
      </c>
      <c r="E503" s="16">
        <f>IF($A503="", "", IFERROR(VLOOKUP($A503, Stock_New!$A:$M, 6, FALSE), ""))</f>
        <v>90</v>
      </c>
      <c r="F503" s="239">
        <v>110.0</v>
      </c>
      <c r="G503" s="240"/>
      <c r="H503" s="17">
        <v>220.0</v>
      </c>
      <c r="I503" s="238">
        <v>46072.0</v>
      </c>
      <c r="J503" s="5" t="s">
        <v>72</v>
      </c>
      <c r="K503" s="5" t="s">
        <v>2630</v>
      </c>
      <c r="L503" s="16"/>
      <c r="M503" s="19"/>
      <c r="N503" s="16"/>
      <c r="O503" s="16"/>
      <c r="P503" s="16"/>
    </row>
    <row r="504" ht="22.5" customHeight="1">
      <c r="A504" s="138" t="s">
        <v>325</v>
      </c>
      <c r="B504" s="16" t="str">
        <f>IF(A504="","",IFERROR(VLOOKUP(A504, Stock_New!A:M, 2, FALSE),""))</f>
        <v>خزف</v>
      </c>
      <c r="C504" s="236">
        <v>1.0</v>
      </c>
      <c r="D504" s="16" t="str">
        <f>IF(A504="","",IFERROR(VLOOKUP(A504, Stock_New!A:M, 3, FALSE),""))</f>
        <v>ذكريا</v>
      </c>
      <c r="E504" s="16">
        <f>IF($A504="", "", IFERROR(VLOOKUP($A504, Stock_New!$A:$M, 6, FALSE), ""))</f>
        <v>114</v>
      </c>
      <c r="F504" s="239">
        <v>125.0</v>
      </c>
      <c r="G504" s="240"/>
      <c r="H504" s="17">
        <v>125.0</v>
      </c>
      <c r="I504" s="238">
        <v>46072.0</v>
      </c>
      <c r="J504" s="5" t="s">
        <v>72</v>
      </c>
      <c r="K504" s="5" t="s">
        <v>2632</v>
      </c>
      <c r="L504" s="16"/>
      <c r="M504" s="19"/>
      <c r="N504" s="16"/>
      <c r="O504" s="16"/>
      <c r="P504" s="16"/>
    </row>
    <row r="505" ht="22.5" customHeight="1">
      <c r="A505" s="138" t="s">
        <v>500</v>
      </c>
      <c r="B505" s="16" t="str">
        <f>IF(A505="","",IFERROR(VLOOKUP(A505, Stock_New!A:M, 2, FALSE),""))</f>
        <v>ورد لوحدة</v>
      </c>
      <c r="C505" s="236">
        <v>1.0</v>
      </c>
      <c r="D505" s="16" t="str">
        <f>IF(A505="","",IFERROR(VLOOKUP(A505, Stock_New!A:M, 3, FALSE),""))</f>
        <v>شركة الفرسان</v>
      </c>
      <c r="E505" s="16">
        <f>IF($A505="", "", IFERROR(VLOOKUP($A505, Stock_New!$A:$M, 6, FALSE), ""))</f>
        <v>150</v>
      </c>
      <c r="F505" s="239">
        <v>150.0</v>
      </c>
      <c r="G505" s="240"/>
      <c r="H505" s="17">
        <v>150.0</v>
      </c>
      <c r="I505" s="238">
        <v>46072.0</v>
      </c>
      <c r="J505" s="5" t="s">
        <v>72</v>
      </c>
      <c r="K505" s="5" t="s">
        <v>2635</v>
      </c>
      <c r="L505" s="16"/>
      <c r="M505" s="19"/>
      <c r="N505" s="16"/>
      <c r="O505" s="16"/>
      <c r="P505" s="16"/>
    </row>
    <row r="506" ht="22.5" customHeight="1">
      <c r="A506" s="138" t="s">
        <v>837</v>
      </c>
      <c r="B506" s="16" t="str">
        <f>IF(A506="","",IFERROR(VLOOKUP(A506, Stock_New!A:M, 2, FALSE),""))</f>
        <v>ورد لوحدة</v>
      </c>
      <c r="C506" s="236">
        <v>2.0</v>
      </c>
      <c r="D506" s="16" t="str">
        <f>IF(A506="","",IFERROR(VLOOKUP(A506, Stock_New!A:M, 3, FALSE),""))</f>
        <v>شركة حسين علي</v>
      </c>
      <c r="E506" s="16">
        <f>IF($A506="", "", IFERROR(VLOOKUP($A506, Stock_New!$A:$M, 6, FALSE), ""))</f>
        <v>20.4</v>
      </c>
      <c r="F506" s="239">
        <v>25.0</v>
      </c>
      <c r="G506" s="240"/>
      <c r="H506" s="17">
        <v>50.0</v>
      </c>
      <c r="I506" s="238">
        <v>46072.0</v>
      </c>
      <c r="J506" s="5" t="s">
        <v>72</v>
      </c>
      <c r="K506" s="5" t="s">
        <v>2639</v>
      </c>
      <c r="L506" s="16"/>
      <c r="M506" s="19"/>
      <c r="N506" s="16"/>
      <c r="O506" s="16"/>
      <c r="P506" s="16"/>
    </row>
    <row r="507" ht="22.5" customHeight="1">
      <c r="A507" s="138" t="s">
        <v>325</v>
      </c>
      <c r="B507" s="16" t="str">
        <f>IF(A507="","",IFERROR(VLOOKUP(A507, Stock_New!A:M, 2, FALSE),""))</f>
        <v>خزف</v>
      </c>
      <c r="C507" s="236">
        <v>1.0</v>
      </c>
      <c r="D507" s="16" t="str">
        <f>IF(A507="","",IFERROR(VLOOKUP(A507, Stock_New!A:M, 3, FALSE),""))</f>
        <v>ذكريا</v>
      </c>
      <c r="E507" s="16">
        <f>IF($A507="", "", IFERROR(VLOOKUP($A507, Stock_New!$A:$M, 6, FALSE), ""))</f>
        <v>114</v>
      </c>
      <c r="F507" s="239">
        <v>125.0</v>
      </c>
      <c r="G507" s="240"/>
      <c r="H507" s="17">
        <v>125.0</v>
      </c>
      <c r="I507" s="238">
        <v>46072.0</v>
      </c>
      <c r="J507" s="5" t="s">
        <v>72</v>
      </c>
      <c r="K507" s="5" t="s">
        <v>2642</v>
      </c>
      <c r="L507" s="16"/>
      <c r="M507" s="19"/>
      <c r="N507" s="16"/>
      <c r="O507" s="16"/>
      <c r="P507" s="16"/>
    </row>
    <row r="508" ht="22.5" customHeight="1">
      <c r="A508" s="138" t="s">
        <v>500</v>
      </c>
      <c r="B508" s="16" t="str">
        <f>IF(A508="","",IFERROR(VLOOKUP(A508, Stock_New!A:M, 2, FALSE),""))</f>
        <v>ورد لوحدة</v>
      </c>
      <c r="C508" s="236">
        <v>1.0</v>
      </c>
      <c r="D508" s="16" t="str">
        <f>IF(A508="","",IFERROR(VLOOKUP(A508, Stock_New!A:M, 3, FALSE),""))</f>
        <v>شركة الفرسان</v>
      </c>
      <c r="E508" s="16">
        <f>IF($A508="", "", IFERROR(VLOOKUP($A508, Stock_New!$A:$M, 6, FALSE), ""))</f>
        <v>150</v>
      </c>
      <c r="F508" s="239">
        <v>150.0</v>
      </c>
      <c r="G508" s="240"/>
      <c r="H508" s="17">
        <v>150.0</v>
      </c>
      <c r="I508" s="238">
        <v>46072.0</v>
      </c>
      <c r="J508" s="5" t="s">
        <v>72</v>
      </c>
      <c r="K508" s="5" t="s">
        <v>2644</v>
      </c>
      <c r="L508" s="16"/>
      <c r="M508" s="19"/>
      <c r="N508" s="16"/>
      <c r="O508" s="16"/>
      <c r="P508" s="16"/>
    </row>
    <row r="509" ht="22.5" customHeight="1">
      <c r="A509" s="138" t="s">
        <v>287</v>
      </c>
      <c r="B509" s="16" t="str">
        <f>IF(A509="","",IFERROR(VLOOKUP(A509, Stock_New!A:M, 2, FALSE),""))</f>
        <v>بوكيه</v>
      </c>
      <c r="C509" s="236">
        <v>2.0</v>
      </c>
      <c r="D509" s="16" t="str">
        <f>IF(A509="","",IFERROR(VLOOKUP(A509, Stock_New!A:M, 3, FALSE),""))</f>
        <v>ذكريا</v>
      </c>
      <c r="E509" s="16">
        <f>IF($A509="", "", IFERROR(VLOOKUP($A509, Stock_New!$A:$M, 6, FALSE), ""))</f>
        <v>54</v>
      </c>
      <c r="F509" s="239">
        <v>65.0</v>
      </c>
      <c r="G509" s="240"/>
      <c r="H509" s="17">
        <v>130.0</v>
      </c>
      <c r="I509" s="238">
        <v>46073.0</v>
      </c>
      <c r="J509" s="5" t="s">
        <v>72</v>
      </c>
      <c r="K509" s="5" t="s">
        <v>2646</v>
      </c>
      <c r="L509" s="16"/>
      <c r="M509" s="19"/>
      <c r="N509" s="16"/>
      <c r="O509" s="16"/>
      <c r="P509" s="16"/>
    </row>
    <row r="510" ht="22.5" customHeight="1">
      <c r="A510" s="138" t="s">
        <v>841</v>
      </c>
      <c r="B510" s="16" t="str">
        <f>IF(A510="","",IFERROR(VLOOKUP(A510, Stock_New!A:M, 2, FALSE),""))</f>
        <v>لزق</v>
      </c>
      <c r="C510" s="236">
        <v>1.0</v>
      </c>
      <c r="D510" s="16" t="str">
        <f>IF(A510="","",IFERROR(VLOOKUP(A510, Stock_New!A:M, 3, FALSE),""))</f>
        <v/>
      </c>
      <c r="E510" s="16">
        <f>IF($A510="", "", IFERROR(VLOOKUP($A510, Stock_New!$A:$M, 6, FALSE), ""))</f>
        <v>18</v>
      </c>
      <c r="F510" s="239">
        <v>40.0</v>
      </c>
      <c r="G510" s="240"/>
      <c r="H510" s="17">
        <v>40.0</v>
      </c>
      <c r="I510" s="238">
        <v>46073.0</v>
      </c>
      <c r="J510" s="5" t="s">
        <v>72</v>
      </c>
      <c r="K510" s="5" t="s">
        <v>2647</v>
      </c>
      <c r="L510" s="16"/>
      <c r="M510" s="19"/>
      <c r="N510" s="16"/>
      <c r="O510" s="16"/>
      <c r="P510" s="16"/>
    </row>
    <row r="511" ht="22.5" customHeight="1">
      <c r="A511" s="90" t="s">
        <v>633</v>
      </c>
      <c r="B511" s="19" t="s">
        <v>30</v>
      </c>
      <c r="C511" s="236">
        <v>1.0</v>
      </c>
      <c r="D511" s="16" t="str">
        <f>IF(A511="","",IFERROR(VLOOKUP(A511, Stock_New!A:M, 3, FALSE),""))</f>
        <v>سنتر محمد رشدي</v>
      </c>
      <c r="E511" s="16">
        <f>IF($A511="", "", IFERROR(VLOOKUP($A511, Stock_New!$A:$M, 6, FALSE), ""))</f>
        <v>153.6</v>
      </c>
      <c r="F511" s="239">
        <v>170.0</v>
      </c>
      <c r="G511" s="240"/>
      <c r="H511" s="17">
        <v>170.0</v>
      </c>
      <c r="I511" s="238">
        <v>46074.0</v>
      </c>
      <c r="J511" s="5" t="s">
        <v>72</v>
      </c>
      <c r="K511" s="5" t="s">
        <v>2651</v>
      </c>
      <c r="L511" s="16"/>
      <c r="M511" s="19"/>
      <c r="N511" s="16"/>
      <c r="O511" s="16"/>
      <c r="P511" s="16"/>
    </row>
    <row r="512" ht="22.5" customHeight="1">
      <c r="A512" s="138" t="s">
        <v>77</v>
      </c>
      <c r="B512" s="16" t="str">
        <f>IF(A512="","",IFERROR(VLOOKUP(A512, Stock_New!A:M, 2, FALSE),""))</f>
        <v>شجر</v>
      </c>
      <c r="C512" s="236">
        <v>1.0</v>
      </c>
      <c r="D512" s="16" t="str">
        <f>IF(A512="","",IFERROR(VLOOKUP(A512, Stock_New!A:M, 3, FALSE),""))</f>
        <v>manufactured</v>
      </c>
      <c r="E512" s="16">
        <f>IF($A512="", "", IFERROR(VLOOKUP($A512, Stock_New!$A:$M, 6, FALSE), ""))</f>
        <v>378</v>
      </c>
      <c r="F512" s="239">
        <v>430.0</v>
      </c>
      <c r="G512" s="240"/>
      <c r="H512" s="17">
        <v>430.0</v>
      </c>
      <c r="I512" s="238">
        <v>46074.0</v>
      </c>
      <c r="J512" s="5" t="s">
        <v>72</v>
      </c>
      <c r="K512" s="5" t="s">
        <v>2650</v>
      </c>
      <c r="L512" s="16"/>
      <c r="M512" s="19"/>
      <c r="N512" s="16"/>
      <c r="O512" s="16"/>
      <c r="P512" s="16"/>
    </row>
    <row r="513" ht="22.5" customHeight="1">
      <c r="A513" s="138" t="s">
        <v>272</v>
      </c>
      <c r="B513" s="16" t="str">
        <f>IF(A513="","",IFERROR(VLOOKUP(A513, Stock_New!A:M, 2, FALSE),""))</f>
        <v>سيلفرات</v>
      </c>
      <c r="C513" s="236">
        <v>1.0</v>
      </c>
      <c r="D513" s="16" t="str">
        <f>IF(A513="","",IFERROR(VLOOKUP(A513, Stock_New!A:M, 3, FALSE),""))</f>
        <v>ذكريا</v>
      </c>
      <c r="E513" s="16">
        <f>IF($A513="", "", IFERROR(VLOOKUP($A513, Stock_New!$A:$M, 6, FALSE), ""))</f>
        <v>360</v>
      </c>
      <c r="F513" s="239">
        <v>300.0</v>
      </c>
      <c r="G513" s="240"/>
      <c r="H513" s="17">
        <v>300.0</v>
      </c>
      <c r="I513" s="238">
        <v>46075.0</v>
      </c>
      <c r="J513" s="5" t="s">
        <v>72</v>
      </c>
      <c r="K513" s="5" t="s">
        <v>2657</v>
      </c>
      <c r="L513" s="16"/>
      <c r="M513" s="19"/>
      <c r="N513" s="16"/>
      <c r="O513" s="16"/>
      <c r="P513" s="16"/>
    </row>
    <row r="514" ht="22.5" customHeight="1">
      <c r="A514" s="138" t="s">
        <v>235</v>
      </c>
      <c r="B514" s="16" t="str">
        <f>IF(A514="","",IFERROR(VLOOKUP(A514, Stock_New!A:M, 2, FALSE),""))</f>
        <v>خزف</v>
      </c>
      <c r="C514" s="236">
        <v>2.0</v>
      </c>
      <c r="D514" s="16" t="str">
        <f>IF(A514="","",IFERROR(VLOOKUP(A514, Stock_New!A:M, 3, FALSE),""))</f>
        <v>ذكريا</v>
      </c>
      <c r="E514" s="16">
        <f>IF($A514="", "", IFERROR(VLOOKUP($A514, Stock_New!$A:$M, 6, FALSE), ""))</f>
        <v>90</v>
      </c>
      <c r="F514" s="239">
        <v>90.0</v>
      </c>
      <c r="G514" s="240"/>
      <c r="H514" s="17">
        <v>180.0</v>
      </c>
      <c r="I514" s="238">
        <v>46075.0</v>
      </c>
      <c r="J514" s="5" t="s">
        <v>72</v>
      </c>
      <c r="K514" s="5" t="s">
        <v>2652</v>
      </c>
      <c r="L514" s="16"/>
      <c r="M514" s="19"/>
      <c r="N514" s="16"/>
      <c r="O514" s="16"/>
      <c r="P514" s="16"/>
    </row>
    <row r="515" ht="22.5" customHeight="1">
      <c r="A515" s="138" t="s">
        <v>144</v>
      </c>
      <c r="B515" s="16" t="str">
        <f>IF(A515="","",IFERROR(VLOOKUP(A515, Stock_New!A:M, 2, FALSE),""))</f>
        <v>كهربائيات</v>
      </c>
      <c r="C515" s="236">
        <v>1.0</v>
      </c>
      <c r="D515" s="16"/>
      <c r="E515" s="16">
        <f>IF($A515="", "", IFERROR(VLOOKUP($A515, Stock_New!$A:$M, 6, FALSE), ""))</f>
        <v>144</v>
      </c>
      <c r="F515" s="239">
        <v>165.0</v>
      </c>
      <c r="G515" s="240"/>
      <c r="H515" s="17">
        <v>165.0</v>
      </c>
      <c r="I515" s="238">
        <v>46075.0</v>
      </c>
      <c r="J515" s="5" t="s">
        <v>72</v>
      </c>
      <c r="K515" s="5" t="s">
        <v>2653</v>
      </c>
      <c r="L515" s="16"/>
      <c r="M515" s="19"/>
      <c r="N515" s="16"/>
      <c r="O515" s="16"/>
      <c r="P515" s="16"/>
    </row>
    <row r="516" ht="22.5" customHeight="1">
      <c r="A516" s="138" t="s">
        <v>845</v>
      </c>
      <c r="B516" s="16" t="str">
        <f>IF(A516="","",IFERROR(VLOOKUP(A516, Stock_New!A:M, 2, FALSE),""))</f>
        <v>كهربائيات</v>
      </c>
      <c r="C516" s="236">
        <v>1.0</v>
      </c>
      <c r="D516" s="16" t="str">
        <f>IF(A516="","",IFERROR(VLOOKUP(A516, Stock_New!A:M, 3, FALSE),""))</f>
        <v>سنتر محمد رشدي</v>
      </c>
      <c r="E516" s="16">
        <f>IF($A516="", "", IFERROR(VLOOKUP($A516, Stock_New!$A:$M, 6, FALSE), ""))</f>
        <v>138</v>
      </c>
      <c r="F516" s="239">
        <v>145.0</v>
      </c>
      <c r="G516" s="240"/>
      <c r="H516" s="17">
        <v>145.0</v>
      </c>
      <c r="I516" s="238">
        <v>46075.0</v>
      </c>
      <c r="J516" s="5" t="s">
        <v>72</v>
      </c>
      <c r="K516" s="5" t="s">
        <v>2654</v>
      </c>
      <c r="L516" s="16"/>
      <c r="M516" s="19"/>
      <c r="N516" s="16"/>
      <c r="O516" s="16"/>
      <c r="P516" s="16"/>
    </row>
    <row r="517" ht="22.5" customHeight="1">
      <c r="A517" s="138" t="s">
        <v>404</v>
      </c>
      <c r="B517" s="16" t="str">
        <f>IF(A517="","",IFERROR(VLOOKUP(A517, Stock_New!A:M, 2, FALSE),""))</f>
        <v>بوتات</v>
      </c>
      <c r="C517" s="236">
        <v>1.0</v>
      </c>
      <c r="D517" s="16" t="str">
        <f>IF(A517="","",IFERROR(VLOOKUP(A517, Stock_New!A:M, 3, FALSE),""))</f>
        <v>ذكريا</v>
      </c>
      <c r="E517" s="16">
        <f>IF($A517="", "", IFERROR(VLOOKUP($A517, Stock_New!$A:$M, 6, FALSE), ""))</f>
        <v>90</v>
      </c>
      <c r="F517" s="239">
        <v>100.0</v>
      </c>
      <c r="G517" s="240"/>
      <c r="H517" s="17">
        <v>100.0</v>
      </c>
      <c r="I517" s="238">
        <v>46076.0</v>
      </c>
      <c r="J517" s="5" t="s">
        <v>72</v>
      </c>
      <c r="K517" s="5" t="s">
        <v>2663</v>
      </c>
      <c r="L517" s="16"/>
      <c r="M517" s="19"/>
      <c r="N517" s="16"/>
      <c r="O517" s="16"/>
      <c r="P517" s="16"/>
    </row>
    <row r="518" ht="22.5" customHeight="1">
      <c r="A518" s="138" t="s">
        <v>726</v>
      </c>
      <c r="B518" s="16" t="str">
        <f>IF(A518="","",IFERROR(VLOOKUP(A518, Stock_New!A:M, 2, FALSE),""))</f>
        <v>ورد لوحده</v>
      </c>
      <c r="C518" s="236">
        <v>2.0</v>
      </c>
      <c r="D518" s="16" t="str">
        <f>IF(A518="","",IFERROR(VLOOKUP(A518, Stock_New!A:M, 3, FALSE),""))</f>
        <v>ذكريا</v>
      </c>
      <c r="E518" s="16">
        <f>IF($A518="", "", IFERROR(VLOOKUP($A518, Stock_New!$A:$M, 6, FALSE), ""))</f>
        <v>36</v>
      </c>
      <c r="F518" s="239">
        <v>40.0</v>
      </c>
      <c r="G518" s="240"/>
      <c r="H518" s="17">
        <v>80.0</v>
      </c>
      <c r="I518" s="238">
        <v>46076.0</v>
      </c>
      <c r="J518" s="5" t="s">
        <v>72</v>
      </c>
      <c r="K518" s="5" t="s">
        <v>2661</v>
      </c>
      <c r="L518" s="16"/>
      <c r="M518" s="19"/>
      <c r="N518" s="16"/>
      <c r="O518" s="16"/>
      <c r="P518" s="16"/>
    </row>
    <row r="519" ht="22.5" customHeight="1">
      <c r="A519" s="138" t="s">
        <v>144</v>
      </c>
      <c r="B519" s="16" t="str">
        <f>IF(A519="","",IFERROR(VLOOKUP(A519, Stock_New!A:M, 2, FALSE),""))</f>
        <v>كهربائيات</v>
      </c>
      <c r="C519" s="236">
        <v>5.0</v>
      </c>
      <c r="D519" s="16"/>
      <c r="E519" s="5">
        <v>170.0</v>
      </c>
      <c r="F519" s="239">
        <v>150.0</v>
      </c>
      <c r="G519" s="240"/>
      <c r="H519" s="17">
        <v>750.0</v>
      </c>
      <c r="I519" s="238">
        <v>46078.0</v>
      </c>
      <c r="J519" s="5" t="s">
        <v>72</v>
      </c>
      <c r="K519" s="5" t="s">
        <v>2664</v>
      </c>
      <c r="L519" s="16"/>
      <c r="M519" s="19"/>
      <c r="N519" s="16"/>
      <c r="O519" s="16"/>
      <c r="P519" s="16"/>
    </row>
    <row r="520" ht="22.5" customHeight="1">
      <c r="A520" s="138" t="s">
        <v>848</v>
      </c>
      <c r="B520" s="16" t="str">
        <f>IF(A520="","",IFERROR(VLOOKUP(A520, Stock_New!A:M, 2, FALSE),""))</f>
        <v/>
      </c>
      <c r="C520" s="236">
        <v>1.0</v>
      </c>
      <c r="D520" s="16" t="str">
        <f>IF(A520="","",IFERROR(VLOOKUP(A520, Stock_New!A:M, 3, FALSE),""))</f>
        <v/>
      </c>
      <c r="E520" s="16" t="str">
        <f>IF($A520="", "", IFERROR(VLOOKUP($A520, Stock_New!$A:$M, 6, FALSE), ""))</f>
        <v/>
      </c>
      <c r="F520" s="239">
        <v>160.0</v>
      </c>
      <c r="G520" s="240"/>
      <c r="H520" s="17">
        <v>160.0</v>
      </c>
      <c r="I520" s="238">
        <v>46078.0</v>
      </c>
      <c r="J520" s="5" t="s">
        <v>72</v>
      </c>
      <c r="K520" s="5" t="s">
        <v>2666</v>
      </c>
      <c r="L520" s="16"/>
      <c r="M520" s="19"/>
      <c r="N520" s="16"/>
      <c r="O520" s="16"/>
      <c r="P520" s="16"/>
    </row>
    <row r="521" ht="22.5" customHeight="1">
      <c r="A521" s="138" t="s">
        <v>470</v>
      </c>
      <c r="B521" s="16" t="str">
        <f>IF(A521="","",IFERROR(VLOOKUP(A521, Stock_New!A:M, 2, FALSE),""))</f>
        <v>ورد لوحده</v>
      </c>
      <c r="C521" s="236">
        <f>1.2</f>
        <v>1.2</v>
      </c>
      <c r="D521" s="16" t="str">
        <f>IF(A521="","",IFERROR(VLOOKUP(A521, Stock_New!A:M, 3, FALSE),""))</f>
        <v>ذكريا</v>
      </c>
      <c r="E521" s="16">
        <f>IF($A521="", "", IFERROR(VLOOKUP($A521, Stock_New!$A:$M, 6, FALSE), ""))</f>
        <v>90</v>
      </c>
      <c r="F521" s="239">
        <v>150.0</v>
      </c>
      <c r="G521" s="240"/>
      <c r="H521" s="17">
        <v>180.0</v>
      </c>
      <c r="I521" s="238">
        <v>46078.0</v>
      </c>
      <c r="J521" s="5" t="s">
        <v>72</v>
      </c>
      <c r="K521" s="5" t="s">
        <v>2670</v>
      </c>
      <c r="L521" s="16"/>
      <c r="M521" s="19"/>
      <c r="N521" s="16"/>
      <c r="O521" s="16"/>
      <c r="P521" s="16"/>
    </row>
    <row r="522" ht="22.5" customHeight="1">
      <c r="A522" s="138" t="s">
        <v>852</v>
      </c>
      <c r="B522" s="16" t="str">
        <f>IF(A522="","",IFERROR(VLOOKUP(A522, Stock_New!A:M, 2, FALSE),""))</f>
        <v/>
      </c>
      <c r="C522" s="236">
        <v>2.0</v>
      </c>
      <c r="D522" s="16" t="str">
        <f>IF(A522="","",IFERROR(VLOOKUP(A522, Stock_New!A:M, 3, FALSE),""))</f>
        <v/>
      </c>
      <c r="E522" s="16" t="str">
        <f>IF($A522="", "", IFERROR(VLOOKUP($A522, Stock_New!$A:$M, 6, FALSE), ""))</f>
        <v/>
      </c>
      <c r="F522" s="239">
        <v>15.0</v>
      </c>
      <c r="G522" s="240"/>
      <c r="H522" s="17">
        <v>30.0</v>
      </c>
      <c r="I522" s="238">
        <v>46078.0</v>
      </c>
      <c r="J522" s="5" t="s">
        <v>72</v>
      </c>
      <c r="K522" s="5" t="s">
        <v>2672</v>
      </c>
      <c r="L522" s="16"/>
      <c r="M522" s="19"/>
      <c r="N522" s="16"/>
      <c r="O522" s="16"/>
      <c r="P522" s="16"/>
    </row>
    <row r="523" ht="22.5" customHeight="1">
      <c r="A523" s="138" t="s">
        <v>856</v>
      </c>
      <c r="B523" s="16" t="str">
        <f>IF(A523="","",IFERROR(VLOOKUP(A523, Stock_New!A:M, 2, FALSE),""))</f>
        <v>شمع</v>
      </c>
      <c r="C523" s="236">
        <v>4.0</v>
      </c>
      <c r="D523" s="16" t="str">
        <f>IF(A523="","",IFERROR(VLOOKUP(A523, Stock_New!A:M, 3, FALSE),""))</f>
        <v>سنتر محمد رشدي</v>
      </c>
      <c r="E523" s="16">
        <f>IF($A523="", "", IFERROR(VLOOKUP($A523, Stock_New!$A:$M, 6, FALSE), ""))</f>
        <v>5.5</v>
      </c>
      <c r="F523" s="239">
        <v>15.0</v>
      </c>
      <c r="G523" s="240"/>
      <c r="H523" s="33">
        <v>60.0</v>
      </c>
      <c r="I523" s="238">
        <v>46078.0</v>
      </c>
      <c r="J523" s="5" t="s">
        <v>72</v>
      </c>
      <c r="K523" s="5" t="s">
        <v>2676</v>
      </c>
      <c r="L523" s="16"/>
      <c r="M523" s="19"/>
      <c r="N523" s="16"/>
      <c r="O523" s="16"/>
      <c r="P523" s="16"/>
    </row>
    <row r="524" ht="22.5" customHeight="1">
      <c r="A524" s="138" t="s">
        <v>575</v>
      </c>
      <c r="B524" s="16" t="str">
        <f>IF(A524="","",IFERROR(VLOOKUP(A524, Stock_New!A:M, 2, FALSE),""))</f>
        <v>شمع</v>
      </c>
      <c r="C524" s="236">
        <v>1.0</v>
      </c>
      <c r="D524" s="16" t="str">
        <f>IF(A524="","",IFERROR(VLOOKUP(A524, Stock_New!A:M, 3, FALSE),""))</f>
        <v>سنتر محمد رشدي</v>
      </c>
      <c r="E524" s="16">
        <f>IF($A524="", "", IFERROR(VLOOKUP($A524, Stock_New!$A:$M, 6, FALSE), ""))</f>
        <v>5.4</v>
      </c>
      <c r="F524" s="239">
        <v>10.0</v>
      </c>
      <c r="G524" s="240"/>
      <c r="H524" s="33">
        <v>10.0</v>
      </c>
      <c r="I524" s="238">
        <v>46078.0</v>
      </c>
      <c r="J524" s="5" t="s">
        <v>72</v>
      </c>
      <c r="K524" s="5" t="s">
        <v>2680</v>
      </c>
      <c r="L524" s="16"/>
      <c r="M524" s="19"/>
      <c r="N524" s="16"/>
      <c r="O524" s="16"/>
      <c r="P524" s="16"/>
    </row>
    <row r="525" ht="22.5" customHeight="1">
      <c r="A525" s="138" t="s">
        <v>802</v>
      </c>
      <c r="B525" s="16" t="str">
        <f>IF(A525="","",IFERROR(VLOOKUP(A525, Stock_New!A:M, 2, FALSE),""))</f>
        <v>بخور</v>
      </c>
      <c r="C525" s="236">
        <v>1.0</v>
      </c>
      <c r="D525" s="16" t="str">
        <f>IF(A525="","",IFERROR(VLOOKUP(A525, Stock_New!A:M, 3, FALSE),""))</f>
        <v/>
      </c>
      <c r="E525" s="16">
        <f>IF($A525="", "", IFERROR(VLOOKUP($A525, Stock_New!$A:$M, 6, FALSE), ""))</f>
        <v>64</v>
      </c>
      <c r="F525" s="239">
        <v>70.0</v>
      </c>
      <c r="G525" s="240"/>
      <c r="H525" s="33">
        <v>70.0</v>
      </c>
      <c r="I525" s="238">
        <v>46079.0</v>
      </c>
      <c r="J525" s="5" t="s">
        <v>72</v>
      </c>
      <c r="K525" s="5" t="s">
        <v>2682</v>
      </c>
      <c r="L525" s="16"/>
      <c r="M525" s="19"/>
      <c r="N525" s="16"/>
      <c r="O525" s="16"/>
      <c r="P525" s="16"/>
    </row>
    <row r="526" ht="22.5" customHeight="1">
      <c r="A526" s="138" t="s">
        <v>858</v>
      </c>
      <c r="B526" s="16" t="str">
        <f>IF(A526="","",IFERROR(VLOOKUP(A526, Stock_New!A:M, 2, FALSE),""))</f>
        <v>بوكيه</v>
      </c>
      <c r="C526" s="236">
        <v>4.0</v>
      </c>
      <c r="D526" s="16" t="str">
        <f>IF(A526="","",IFERROR(VLOOKUP(A526, Stock_New!A:M, 3, FALSE),""))</f>
        <v>manufactured</v>
      </c>
      <c r="E526" s="16">
        <f>IF($A526="", "", IFERROR(VLOOKUP($A526, Stock_New!$A:$M, 6, FALSE), ""))</f>
        <v>13.01428571</v>
      </c>
      <c r="F526" s="239">
        <v>25.0</v>
      </c>
      <c r="G526" s="240"/>
      <c r="H526" s="33">
        <v>100.0</v>
      </c>
      <c r="I526" s="238">
        <v>46079.0</v>
      </c>
      <c r="J526" s="5" t="s">
        <v>72</v>
      </c>
      <c r="K526" s="5" t="s">
        <v>2694</v>
      </c>
      <c r="L526" s="16"/>
      <c r="M526" s="19"/>
      <c r="N526" s="16"/>
      <c r="O526" s="16"/>
      <c r="P526" s="16"/>
    </row>
    <row r="527" ht="22.5" customHeight="1">
      <c r="A527" s="138" t="s">
        <v>858</v>
      </c>
      <c r="B527" s="16" t="str">
        <f>IF(A527="","",IFERROR(VLOOKUP(A527, Stock_New!A:M, 2, FALSE),""))</f>
        <v>بوكيه</v>
      </c>
      <c r="C527" s="236">
        <v>2.0</v>
      </c>
      <c r="D527" s="16" t="str">
        <f>IF(A527="","",IFERROR(VLOOKUP(A527, Stock_New!A:M, 3, FALSE),""))</f>
        <v>manufactured</v>
      </c>
      <c r="E527" s="16">
        <f>IF($A527="", "", IFERROR(VLOOKUP($A527, Stock_New!$A:$M, 6, FALSE), ""))</f>
        <v>13.01428571</v>
      </c>
      <c r="F527" s="239">
        <v>25.0</v>
      </c>
      <c r="G527" s="240"/>
      <c r="H527" s="33">
        <v>50.0</v>
      </c>
      <c r="I527" s="238">
        <v>46080.0</v>
      </c>
      <c r="J527" s="5" t="s">
        <v>72</v>
      </c>
      <c r="K527" s="5" t="s">
        <v>2684</v>
      </c>
      <c r="L527" s="16"/>
      <c r="M527" s="19"/>
      <c r="N527" s="16"/>
      <c r="O527" s="16"/>
      <c r="P527" s="16"/>
    </row>
    <row r="528" ht="22.5" customHeight="1">
      <c r="A528" s="138" t="s">
        <v>144</v>
      </c>
      <c r="B528" s="16" t="str">
        <f>IF(A528="","",IFERROR(VLOOKUP(A528, Stock_New!A:M, 2, FALSE),""))</f>
        <v>كهربائيات</v>
      </c>
      <c r="C528" s="236">
        <v>2.0</v>
      </c>
      <c r="D528" s="16"/>
      <c r="E528" s="16">
        <f>IF($A528="", "", IFERROR(VLOOKUP($A528, Stock_New!$A:$M, 6, FALSE), ""))</f>
        <v>144</v>
      </c>
      <c r="F528" s="239">
        <v>160.0</v>
      </c>
      <c r="G528" s="240"/>
      <c r="H528" s="33">
        <v>320.0</v>
      </c>
      <c r="I528" s="238">
        <v>46080.0</v>
      </c>
      <c r="J528" s="5" t="s">
        <v>72</v>
      </c>
      <c r="K528" s="5" t="s">
        <v>2688</v>
      </c>
      <c r="L528" s="16"/>
      <c r="M528" s="19"/>
      <c r="N528" s="16"/>
      <c r="O528" s="16"/>
      <c r="P528" s="16"/>
    </row>
    <row r="529" ht="22.5" customHeight="1">
      <c r="A529" s="138" t="s">
        <v>861</v>
      </c>
      <c r="B529" s="16" t="str">
        <f>IF(A529="","",IFERROR(VLOOKUP(A529, Stock_New!A:M, 2, FALSE),""))</f>
        <v>بخور</v>
      </c>
      <c r="C529" s="236">
        <v>1.0</v>
      </c>
      <c r="D529" s="16" t="str">
        <f>IF(A529="","",IFERROR(VLOOKUP(A529, Stock_New!A:M, 3, FALSE),""))</f>
        <v/>
      </c>
      <c r="E529" s="16">
        <f>IF($A529="", "", IFERROR(VLOOKUP($A529, Stock_New!$A:$M, 6, FALSE), ""))</f>
        <v>28</v>
      </c>
      <c r="F529" s="239">
        <v>35.0</v>
      </c>
      <c r="G529" s="240"/>
      <c r="H529" s="33">
        <v>35.0</v>
      </c>
      <c r="I529" s="238">
        <v>46081.0</v>
      </c>
      <c r="J529" s="5" t="s">
        <v>72</v>
      </c>
      <c r="K529" s="5" t="s">
        <v>2690</v>
      </c>
      <c r="L529" s="16"/>
      <c r="M529" s="19"/>
      <c r="N529" s="16"/>
      <c r="O529" s="16"/>
      <c r="P529" s="16"/>
    </row>
    <row r="530" ht="22.5" customHeight="1">
      <c r="A530" s="138" t="s">
        <v>268</v>
      </c>
      <c r="B530" s="16" t="str">
        <f>IF(A530="","",IFERROR(VLOOKUP(A530, Stock_New!A:M, 2, FALSE),""))</f>
        <v>سيلفرات</v>
      </c>
      <c r="C530" s="236">
        <v>1.0</v>
      </c>
      <c r="D530" s="16" t="str">
        <f>IF(A530="","",IFERROR(VLOOKUP(A530, Stock_New!A:M, 3, FALSE),""))</f>
        <v>شركة حسين علي</v>
      </c>
      <c r="E530" s="16">
        <f>IF($A530="", "", IFERROR(VLOOKUP($A530, Stock_New!$A:$M, 6, FALSE), ""))</f>
        <v>214.5</v>
      </c>
      <c r="F530" s="239">
        <v>200.0</v>
      </c>
      <c r="G530" s="240"/>
      <c r="H530" s="33">
        <v>200.0</v>
      </c>
      <c r="I530" s="238">
        <v>46082.0</v>
      </c>
      <c r="J530" s="5" t="s">
        <v>72</v>
      </c>
      <c r="K530" s="5" t="s">
        <v>2695</v>
      </c>
      <c r="L530" s="16"/>
      <c r="M530" s="19"/>
      <c r="N530" s="16"/>
      <c r="O530" s="16"/>
      <c r="P530" s="16"/>
    </row>
    <row r="531" ht="22.5" customHeight="1">
      <c r="A531" s="138" t="s">
        <v>645</v>
      </c>
      <c r="B531" s="16" t="str">
        <f>IF(A531="","",IFERROR(VLOOKUP(A531, Stock_New!A:M, 2, FALSE),""))</f>
        <v>بوكيه</v>
      </c>
      <c r="C531" s="236">
        <v>2.0</v>
      </c>
      <c r="D531" s="16" t="str">
        <f>IF(A531="","",IFERROR(VLOOKUP(A531, Stock_New!A:M, 3, FALSE),""))</f>
        <v>المهندس</v>
      </c>
      <c r="E531" s="16">
        <f>IF($A531="", "", IFERROR(VLOOKUP($A531, Stock_New!$A:$M, 6, FALSE), ""))</f>
        <v>20.4</v>
      </c>
      <c r="F531" s="239">
        <v>25.0</v>
      </c>
      <c r="G531" s="240"/>
      <c r="H531" s="33">
        <v>50.0</v>
      </c>
      <c r="I531" s="238">
        <v>46082.0</v>
      </c>
      <c r="J531" s="5" t="s">
        <v>72</v>
      </c>
      <c r="K531" s="5" t="s">
        <v>2697</v>
      </c>
      <c r="L531" s="16"/>
      <c r="M531" s="19"/>
      <c r="N531" s="16"/>
      <c r="O531" s="16"/>
      <c r="P531" s="16"/>
    </row>
    <row r="532" ht="22.5" customHeight="1">
      <c r="A532" s="138" t="s">
        <v>667</v>
      </c>
      <c r="B532" s="16" t="str">
        <f>IF(A532="","",IFERROR(VLOOKUP(A532, Stock_New!A:M, 2, FALSE),""))</f>
        <v>بوكيه</v>
      </c>
      <c r="C532" s="236">
        <v>1.0</v>
      </c>
      <c r="D532" s="16" t="str">
        <f>IF(A532="","",IFERROR(VLOOKUP(A532, Stock_New!A:M, 3, FALSE),""))</f>
        <v>المهندس</v>
      </c>
      <c r="E532" s="16">
        <f>IF($A532="", "", IFERROR(VLOOKUP($A532, Stock_New!$A:$M, 6, FALSE), ""))</f>
        <v>66</v>
      </c>
      <c r="F532" s="239">
        <v>70.0</v>
      </c>
      <c r="G532" s="240"/>
      <c r="H532" s="33">
        <v>70.0</v>
      </c>
      <c r="I532" s="238">
        <v>46082.0</v>
      </c>
      <c r="J532" s="5" t="s">
        <v>72</v>
      </c>
      <c r="K532" s="5" t="s">
        <v>2699</v>
      </c>
      <c r="L532" s="16"/>
      <c r="M532" s="19"/>
      <c r="N532" s="16"/>
      <c r="O532" s="16"/>
      <c r="P532" s="16"/>
    </row>
    <row r="533" ht="22.5" customHeight="1">
      <c r="A533" s="138" t="s">
        <v>79</v>
      </c>
      <c r="B533" s="16" t="str">
        <f>IF(A533="","",IFERROR(VLOOKUP(A533, Stock_New!A:M, 2, FALSE),""))</f>
        <v>خزف</v>
      </c>
      <c r="C533" s="236">
        <v>1.0</v>
      </c>
      <c r="D533" s="16" t="str">
        <f>IF(A533="","",IFERROR(VLOOKUP(A533, Stock_New!A:M, 3, FALSE),""))</f>
        <v>ذكريا</v>
      </c>
      <c r="E533" s="16">
        <f>IF($A533="", "", IFERROR(VLOOKUP($A533, Stock_New!$A:$M, 6, FALSE), ""))</f>
        <v>72</v>
      </c>
      <c r="F533" s="239">
        <v>80.0</v>
      </c>
      <c r="G533" s="240"/>
      <c r="H533" s="33">
        <v>80.0</v>
      </c>
      <c r="I533" s="238">
        <v>46082.0</v>
      </c>
      <c r="J533" s="5" t="s">
        <v>72</v>
      </c>
      <c r="K533" s="5" t="s">
        <v>2701</v>
      </c>
      <c r="L533" s="16"/>
      <c r="M533" s="19"/>
      <c r="N533" s="16"/>
      <c r="O533" s="16"/>
      <c r="P533" s="16"/>
    </row>
    <row r="534" ht="22.5" customHeight="1">
      <c r="A534" s="138" t="s">
        <v>863</v>
      </c>
      <c r="B534" s="16" t="str">
        <f>IF(A534="","",IFERROR(VLOOKUP(A534, Stock_New!A:M, 2, FALSE),""))</f>
        <v>بوكيه</v>
      </c>
      <c r="C534" s="236">
        <v>1.0</v>
      </c>
      <c r="D534" s="16" t="str">
        <f>IF(A534="","",IFERROR(VLOOKUP(A534, Stock_New!A:M, 3, FALSE),""))</f>
        <v>manufactured</v>
      </c>
      <c r="E534" s="16">
        <f>IF($A534="", "", IFERROR(VLOOKUP($A534, Stock_New!$A:$M, 6, FALSE), ""))</f>
        <v>36</v>
      </c>
      <c r="F534" s="239">
        <v>70.0</v>
      </c>
      <c r="G534" s="240"/>
      <c r="H534" s="33">
        <v>70.0</v>
      </c>
      <c r="I534" s="238">
        <v>46082.0</v>
      </c>
      <c r="J534" s="5" t="s">
        <v>72</v>
      </c>
      <c r="K534" s="5" t="s">
        <v>2703</v>
      </c>
      <c r="L534" s="16"/>
      <c r="M534" s="19"/>
      <c r="N534" s="16"/>
      <c r="O534" s="16"/>
      <c r="P534" s="16"/>
    </row>
    <row r="535" ht="22.5" customHeight="1">
      <c r="A535" s="138" t="s">
        <v>733</v>
      </c>
      <c r="B535" s="16" t="str">
        <f>IF(A535="","",IFERROR(VLOOKUP(A535, Stock_New!A:M, 2, FALSE),""))</f>
        <v>بوكيه</v>
      </c>
      <c r="C535" s="236">
        <v>1.0</v>
      </c>
      <c r="D535" s="16" t="str">
        <f>IF(A535="","",IFERROR(VLOOKUP(A535, Stock_New!A:M, 3, FALSE),""))</f>
        <v>المهندس</v>
      </c>
      <c r="E535" s="16">
        <f>IF($A535="", "", IFERROR(VLOOKUP($A535, Stock_New!$A:$M, 6, FALSE), ""))</f>
        <v>31.2</v>
      </c>
      <c r="F535" s="239">
        <v>40.0</v>
      </c>
      <c r="G535" s="240"/>
      <c r="H535" s="33">
        <v>40.0</v>
      </c>
      <c r="I535" s="238">
        <v>46082.0</v>
      </c>
      <c r="J535" s="5" t="s">
        <v>72</v>
      </c>
      <c r="K535" s="5" t="s">
        <v>2707</v>
      </c>
      <c r="L535" s="16"/>
      <c r="M535" s="19"/>
      <c r="N535" s="16"/>
      <c r="O535" s="16"/>
      <c r="P535" s="16"/>
    </row>
    <row r="536" ht="22.5" customHeight="1">
      <c r="A536" s="138" t="s">
        <v>79</v>
      </c>
      <c r="B536" s="16" t="str">
        <f>IF(A536="","",IFERROR(VLOOKUP(A536, Stock_New!A:M, 2, FALSE),""))</f>
        <v>خزف</v>
      </c>
      <c r="C536" s="236">
        <v>1.0</v>
      </c>
      <c r="D536" s="16" t="str">
        <f>IF(A536="","",IFERROR(VLOOKUP(A536, Stock_New!A:M, 3, FALSE),""))</f>
        <v>ذكريا</v>
      </c>
      <c r="E536" s="16">
        <f>IF($A536="", "", IFERROR(VLOOKUP($A536, Stock_New!$A:$M, 6, FALSE), ""))</f>
        <v>72</v>
      </c>
      <c r="F536" s="239">
        <v>85.0</v>
      </c>
      <c r="G536" s="240"/>
      <c r="H536" s="33">
        <v>85.0</v>
      </c>
      <c r="I536" s="238">
        <v>46082.0</v>
      </c>
      <c r="J536" s="5" t="s">
        <v>72</v>
      </c>
      <c r="K536" s="5" t="s">
        <v>2709</v>
      </c>
      <c r="L536" s="16"/>
      <c r="M536" s="19"/>
      <c r="N536" s="16"/>
      <c r="O536" s="16"/>
      <c r="P536" s="16"/>
    </row>
    <row r="537" ht="22.5" customHeight="1">
      <c r="A537" s="138" t="s">
        <v>865</v>
      </c>
      <c r="B537" s="16" t="str">
        <f>IF(A537="","",IFERROR(VLOOKUP(A537, Stock_New!A:M, 2, FALSE),""))</f>
        <v/>
      </c>
      <c r="C537" s="236">
        <v>1.0</v>
      </c>
      <c r="D537" s="19" t="s">
        <v>51</v>
      </c>
      <c r="E537" s="16" t="str">
        <f>IF($A537="", "", IFERROR(VLOOKUP($A537, Stock_New!$A:$M, 6, FALSE), ""))</f>
        <v/>
      </c>
      <c r="F537" s="239">
        <v>200.0</v>
      </c>
      <c r="G537" s="240"/>
      <c r="H537" s="33">
        <v>200.0</v>
      </c>
      <c r="I537" s="238">
        <v>46082.0</v>
      </c>
      <c r="J537" s="5" t="s">
        <v>72</v>
      </c>
      <c r="K537" s="5" t="s">
        <v>2718</v>
      </c>
      <c r="L537" s="16"/>
      <c r="M537" s="19"/>
      <c r="N537" s="16"/>
      <c r="O537" s="16"/>
      <c r="P537" s="16"/>
    </row>
    <row r="538" ht="22.5" customHeight="1">
      <c r="A538" s="138" t="s">
        <v>268</v>
      </c>
      <c r="B538" s="16" t="str">
        <f>IF(A538="","",IFERROR(VLOOKUP(A538, Stock_New!A:M, 2, FALSE),""))</f>
        <v>سيلفرات</v>
      </c>
      <c r="C538" s="236">
        <v>1.0</v>
      </c>
      <c r="D538" s="16" t="str">
        <f>IF(A538="","",IFERROR(VLOOKUP(A538, Stock_New!A:M, 3, FALSE),""))</f>
        <v>شركة حسين علي</v>
      </c>
      <c r="E538" s="16">
        <f>IF($A538="", "", IFERROR(VLOOKUP($A538, Stock_New!$A:$M, 6, FALSE), ""))</f>
        <v>214.5</v>
      </c>
      <c r="F538" s="239">
        <v>215.0</v>
      </c>
      <c r="G538" s="240"/>
      <c r="H538" s="33">
        <v>215.0</v>
      </c>
      <c r="I538" s="238">
        <v>46082.0</v>
      </c>
      <c r="J538" s="5" t="s">
        <v>72</v>
      </c>
      <c r="K538" s="5" t="s">
        <v>2711</v>
      </c>
      <c r="L538" s="16"/>
      <c r="M538" s="19"/>
      <c r="N538" s="16"/>
      <c r="O538" s="16"/>
      <c r="P538" s="16"/>
    </row>
    <row r="539" ht="22.5" customHeight="1">
      <c r="A539" s="138" t="s">
        <v>478</v>
      </c>
      <c r="B539" s="16" t="str">
        <f>IF(A539="","",IFERROR(VLOOKUP(A539, Stock_New!A:M, 2, FALSE),""))</f>
        <v>لوح</v>
      </c>
      <c r="C539" s="236">
        <v>1.0</v>
      </c>
      <c r="D539" s="16" t="str">
        <f>IF(A539="","",IFERROR(VLOOKUP(A539, Stock_New!A:M, 3, FALSE),""))</f>
        <v>ذكريا</v>
      </c>
      <c r="E539" s="16">
        <f>IF($A539="", "", IFERROR(VLOOKUP($A539, Stock_New!$A:$M, 6, FALSE), ""))</f>
        <v>108</v>
      </c>
      <c r="F539" s="239">
        <v>135.0</v>
      </c>
      <c r="G539" s="240"/>
      <c r="H539" s="33">
        <v>135.0</v>
      </c>
      <c r="I539" s="238">
        <v>46082.0</v>
      </c>
      <c r="J539" s="5" t="s">
        <v>72</v>
      </c>
      <c r="K539" s="5" t="s">
        <v>2713</v>
      </c>
      <c r="L539" s="16"/>
      <c r="M539" s="19"/>
      <c r="N539" s="16"/>
      <c r="O539" s="16"/>
      <c r="P539" s="16"/>
    </row>
    <row r="540" ht="22.5" customHeight="1">
      <c r="A540" s="138" t="s">
        <v>586</v>
      </c>
      <c r="B540" s="16" t="str">
        <f>IF(A540="","",IFERROR(VLOOKUP(A540, Stock_New!A:M, 2, FALSE),""))</f>
        <v>مطبخ</v>
      </c>
      <c r="C540" s="236">
        <v>1.0</v>
      </c>
      <c r="D540" s="16" t="str">
        <f>IF(A540="","",IFERROR(VLOOKUP(A540, Stock_New!A:M, 3, FALSE),""))</f>
        <v>شركة الهضبة</v>
      </c>
      <c r="E540" s="16">
        <f>IF($A540="", "", IFERROR(VLOOKUP($A540, Stock_New!$A:$M, 6, FALSE), ""))</f>
        <v>40.8</v>
      </c>
      <c r="F540" s="239">
        <v>35.0</v>
      </c>
      <c r="G540" s="240"/>
      <c r="H540" s="33">
        <v>35.0</v>
      </c>
      <c r="I540" s="238">
        <v>46082.0</v>
      </c>
      <c r="J540" s="5" t="s">
        <v>72</v>
      </c>
      <c r="K540" s="5" t="s">
        <v>2715</v>
      </c>
      <c r="L540" s="16"/>
      <c r="M540" s="19"/>
      <c r="N540" s="16"/>
      <c r="O540" s="16"/>
      <c r="P540" s="16"/>
    </row>
    <row r="541" ht="22.5" customHeight="1">
      <c r="A541" s="138" t="s">
        <v>841</v>
      </c>
      <c r="B541" s="16" t="str">
        <f>IF(A541="","",IFERROR(VLOOKUP(A541, Stock_New!A:M, 2, FALSE),""))</f>
        <v>لزق</v>
      </c>
      <c r="C541" s="236">
        <v>1.0</v>
      </c>
      <c r="D541" s="16" t="str">
        <f>IF(A541="","",IFERROR(VLOOKUP(A541, Stock_New!A:M, 3, FALSE),""))</f>
        <v/>
      </c>
      <c r="E541" s="16">
        <f>IF($A541="", "", IFERROR(VLOOKUP($A541, Stock_New!$A:$M, 6, FALSE), ""))</f>
        <v>18</v>
      </c>
      <c r="F541" s="239">
        <v>40.0</v>
      </c>
      <c r="G541" s="240"/>
      <c r="H541" s="33">
        <v>40.0</v>
      </c>
      <c r="I541" s="238">
        <v>46084.0</v>
      </c>
      <c r="J541" s="5" t="s">
        <v>72</v>
      </c>
      <c r="K541" s="5" t="s">
        <v>2722</v>
      </c>
      <c r="L541" s="16"/>
      <c r="M541" s="19"/>
      <c r="N541" s="16"/>
      <c r="O541" s="16"/>
      <c r="P541" s="16"/>
    </row>
    <row r="542" ht="22.5" customHeight="1">
      <c r="A542" s="138" t="s">
        <v>871</v>
      </c>
      <c r="B542" s="16" t="str">
        <f>IF(A542="","",IFERROR(VLOOKUP(A542, Stock_New!A:M, 2, FALSE),""))</f>
        <v>سيلفرات</v>
      </c>
      <c r="C542" s="236">
        <v>1.0</v>
      </c>
      <c r="D542" s="16" t="str">
        <f>IF(A542="","",IFERROR(VLOOKUP(A542, Stock_New!A:M, 3, FALSE),""))</f>
        <v>شركة حسين علي</v>
      </c>
      <c r="E542" s="16">
        <f>IF($A542="", "", IFERROR(VLOOKUP($A542, Stock_New!$A:$M, 6, FALSE), ""))</f>
        <v>111.6</v>
      </c>
      <c r="F542" s="239">
        <v>100.0</v>
      </c>
      <c r="G542" s="240"/>
      <c r="H542" s="33">
        <v>100.0</v>
      </c>
      <c r="I542" s="238">
        <v>46084.0</v>
      </c>
      <c r="J542" s="5" t="s">
        <v>72</v>
      </c>
      <c r="K542" s="5" t="s">
        <v>2725</v>
      </c>
      <c r="L542" s="16"/>
      <c r="M542" s="19"/>
      <c r="N542" s="16"/>
      <c r="O542" s="16"/>
      <c r="P542" s="16"/>
    </row>
    <row r="543" ht="22.5" customHeight="1">
      <c r="A543" s="138" t="s">
        <v>392</v>
      </c>
      <c r="B543" s="16" t="str">
        <f>IF(A543="","",IFERROR(VLOOKUP(A543, Stock_New!A:M, 2, FALSE),""))</f>
        <v>شجر</v>
      </c>
      <c r="C543" s="236">
        <v>1.0</v>
      </c>
      <c r="D543" s="16" t="str">
        <f>IF(A543="","",IFERROR(VLOOKUP(A543, Stock_New!A:M, 3, FALSE),""))</f>
        <v>ذكريا</v>
      </c>
      <c r="E543" s="16">
        <f>IF($A543="", "", IFERROR(VLOOKUP($A543, Stock_New!$A:$M, 6, FALSE), ""))</f>
        <v>78</v>
      </c>
      <c r="F543" s="239">
        <v>85.0</v>
      </c>
      <c r="G543" s="240"/>
      <c r="H543" s="33">
        <v>85.0</v>
      </c>
      <c r="I543" s="238">
        <v>46084.0</v>
      </c>
      <c r="J543" s="5" t="s">
        <v>72</v>
      </c>
      <c r="K543" s="5" t="s">
        <v>2728</v>
      </c>
      <c r="L543" s="16"/>
      <c r="M543" s="19"/>
      <c r="N543" s="16"/>
      <c r="O543" s="16"/>
      <c r="P543" s="16"/>
    </row>
    <row r="544" ht="22.5" customHeight="1">
      <c r="A544" s="138" t="s">
        <v>788</v>
      </c>
      <c r="B544" s="16" t="str">
        <f>IF(A544="","",IFERROR(VLOOKUP(A544, Stock_New!A:M, 2, FALSE),""))</f>
        <v>سيلفرات</v>
      </c>
      <c r="C544" s="236">
        <v>1.0</v>
      </c>
      <c r="D544" s="16" t="str">
        <f>IF(A544="","",IFERROR(VLOOKUP(A544, Stock_New!A:M, 3, FALSE),""))</f>
        <v>شركة حسين علي</v>
      </c>
      <c r="E544" s="16">
        <f>IF($A544="", "", IFERROR(VLOOKUP($A544, Stock_New!$A:$M, 6, FALSE), ""))</f>
        <v>106.5</v>
      </c>
      <c r="F544" s="239">
        <v>130.0</v>
      </c>
      <c r="G544" s="240"/>
      <c r="H544" s="33">
        <v>130.0</v>
      </c>
      <c r="I544" s="238">
        <v>46084.0</v>
      </c>
      <c r="J544" s="5" t="s">
        <v>72</v>
      </c>
      <c r="K544" s="5" t="s">
        <v>2730</v>
      </c>
      <c r="L544" s="16"/>
      <c r="M544" s="19"/>
      <c r="N544" s="16"/>
      <c r="O544" s="16"/>
      <c r="P544" s="16"/>
    </row>
    <row r="545" ht="22.5" customHeight="1">
      <c r="A545" s="138" t="s">
        <v>220</v>
      </c>
      <c r="B545" s="16" t="str">
        <f>IF(A545="","",IFERROR(VLOOKUP(A545, Stock_New!A:M, 2, FALSE),""))</f>
        <v>ورد لوحدة</v>
      </c>
      <c r="C545" s="236">
        <v>1.0</v>
      </c>
      <c r="D545" s="16" t="str">
        <f>IF(A545="","",IFERROR(VLOOKUP(A545, Stock_New!A:M, 3, FALSE),""))</f>
        <v>شركة الفرسان</v>
      </c>
      <c r="E545" s="16">
        <f>IF($A545="", "", IFERROR(VLOOKUP($A545, Stock_New!$A:$M, 6, FALSE), ""))</f>
        <v>102</v>
      </c>
      <c r="F545" s="239">
        <v>150.0</v>
      </c>
      <c r="G545" s="240"/>
      <c r="H545" s="33">
        <v>150.0</v>
      </c>
      <c r="I545" s="238">
        <v>46084.0</v>
      </c>
      <c r="J545" s="5" t="s">
        <v>72</v>
      </c>
      <c r="K545" s="5" t="s">
        <v>2734</v>
      </c>
      <c r="L545" s="16"/>
      <c r="M545" s="19"/>
      <c r="N545" s="16"/>
      <c r="O545" s="16"/>
      <c r="P545" s="16"/>
    </row>
    <row r="546" ht="22.5" customHeight="1">
      <c r="A546" s="138" t="s">
        <v>255</v>
      </c>
      <c r="B546" s="16" t="str">
        <f>IF(A546="","",IFERROR(VLOOKUP(A546, Stock_New!A:M, 2, FALSE),""))</f>
        <v>بوتات</v>
      </c>
      <c r="C546" s="236">
        <v>1.0</v>
      </c>
      <c r="D546" s="16" t="str">
        <f>IF(A546="","",IFERROR(VLOOKUP(A546, Stock_New!A:M, 3, FALSE),""))</f>
        <v>manufactured</v>
      </c>
      <c r="E546" s="16">
        <f>IF($A546="", "", IFERROR(VLOOKUP($A546, Stock_New!$A:$M, 6, FALSE), ""))</f>
        <v>27.3</v>
      </c>
      <c r="F546" s="239">
        <v>50.0</v>
      </c>
      <c r="G546" s="240"/>
      <c r="H546" s="33">
        <v>50.0</v>
      </c>
      <c r="I546" s="238">
        <v>46084.0</v>
      </c>
      <c r="J546" s="5" t="s">
        <v>72</v>
      </c>
      <c r="K546" s="5" t="s">
        <v>2736</v>
      </c>
      <c r="L546" s="16"/>
      <c r="M546" s="19"/>
      <c r="N546" s="16"/>
      <c r="O546" s="16"/>
      <c r="P546" s="16"/>
    </row>
    <row r="547" ht="22.5" customHeight="1">
      <c r="A547" s="138" t="s">
        <v>858</v>
      </c>
      <c r="B547" s="16" t="str">
        <f>IF(A547="","",IFERROR(VLOOKUP(A547, Stock_New!A:M, 2, FALSE),""))</f>
        <v>بوكيه</v>
      </c>
      <c r="C547" s="236">
        <v>4.0</v>
      </c>
      <c r="D547" s="16"/>
      <c r="E547" s="16">
        <f>IF($A547="", "", IFERROR(VLOOKUP($A547, Stock_New!$A:$M, 6, FALSE), ""))</f>
        <v>13.01428571</v>
      </c>
      <c r="F547" s="239">
        <v>25.0</v>
      </c>
      <c r="G547" s="240"/>
      <c r="H547" s="33">
        <v>100.0</v>
      </c>
      <c r="I547" s="238">
        <v>6697151.0</v>
      </c>
      <c r="J547" s="5" t="s">
        <v>72</v>
      </c>
      <c r="K547" s="5" t="s">
        <v>2750</v>
      </c>
      <c r="L547" s="16"/>
      <c r="M547" s="19"/>
      <c r="N547" s="16"/>
      <c r="O547" s="16"/>
      <c r="P547" s="16"/>
    </row>
    <row r="548" ht="22.5" customHeight="1">
      <c r="A548" s="138" t="s">
        <v>693</v>
      </c>
      <c r="B548" s="16" t="str">
        <f>IF(A548="","",IFERROR(VLOOKUP(A548, Stock_New!A:M, 2, FALSE),""))</f>
        <v>كهربائيات</v>
      </c>
      <c r="C548" s="236">
        <v>1.0</v>
      </c>
      <c r="D548" s="16" t="str">
        <f>IF(A548="","",IFERROR(VLOOKUP(A548, Stock_New!A:M, 3, FALSE),""))</f>
        <v>سنتر محمد رشدي</v>
      </c>
      <c r="E548" s="16">
        <f>IF($A548="", "", IFERROR(VLOOKUP($A548, Stock_New!$A:$M, 6, FALSE), ""))</f>
        <v>192</v>
      </c>
      <c r="F548" s="239">
        <v>200.0</v>
      </c>
      <c r="G548" s="240"/>
      <c r="H548" s="33">
        <v>200.0</v>
      </c>
      <c r="I548" s="238">
        <v>6697151.0</v>
      </c>
      <c r="J548" s="5" t="s">
        <v>72</v>
      </c>
      <c r="K548" s="5" t="s">
        <v>2746</v>
      </c>
      <c r="L548" s="16"/>
      <c r="M548" s="19"/>
      <c r="N548" s="16"/>
      <c r="O548" s="16"/>
      <c r="P548" s="16"/>
    </row>
    <row r="549" ht="22.5" customHeight="1">
      <c r="A549" s="138" t="s">
        <v>879</v>
      </c>
      <c r="B549" s="16" t="str">
        <f>IF(A549="","",IFERROR(VLOOKUP(A549, Stock_New!A:M, 2, FALSE),""))</f>
        <v>حجارة</v>
      </c>
      <c r="C549" s="236">
        <v>2.0</v>
      </c>
      <c r="D549" s="16" t="str">
        <f>IF(A549="","",IFERROR(VLOOKUP(A549, Stock_New!A:M, 3, FALSE),""))</f>
        <v/>
      </c>
      <c r="E549" s="16">
        <f>IF($A549="", "", IFERROR(VLOOKUP($A549, Stock_New!$A:$M, 6, FALSE), ""))</f>
        <v>3.9</v>
      </c>
      <c r="F549" s="239">
        <v>5.0</v>
      </c>
      <c r="G549" s="240"/>
      <c r="H549" s="33">
        <v>10.0</v>
      </c>
      <c r="I549" s="238">
        <v>6697151.0</v>
      </c>
      <c r="J549" s="5" t="s">
        <v>72</v>
      </c>
      <c r="K549" s="5" t="s">
        <v>2738</v>
      </c>
      <c r="L549" s="16"/>
      <c r="M549" s="19"/>
      <c r="N549" s="16"/>
      <c r="O549" s="16"/>
      <c r="P549" s="16"/>
    </row>
    <row r="550" ht="22.5" customHeight="1">
      <c r="A550" s="138" t="s">
        <v>882</v>
      </c>
      <c r="B550" s="16" t="str">
        <f>IF(A550="","",IFERROR(VLOOKUP(A550, Stock_New!A:M, 2, FALSE),""))</f>
        <v>شنط</v>
      </c>
      <c r="C550" s="236">
        <v>1.0</v>
      </c>
      <c r="D550" s="16" t="str">
        <f>IF(A550="","",IFERROR(VLOOKUP(A550, Stock_New!A:M, 3, FALSE),""))</f>
        <v>سنتر محمد رشدي</v>
      </c>
      <c r="E550" s="16">
        <f>IF($A550="", "", IFERROR(VLOOKUP($A550, Stock_New!$A:$M, 6, FALSE), ""))</f>
        <v>15</v>
      </c>
      <c r="F550" s="239">
        <v>15.0</v>
      </c>
      <c r="G550" s="240"/>
      <c r="H550" s="33">
        <v>15.0</v>
      </c>
      <c r="I550" s="238">
        <v>6697151.0</v>
      </c>
      <c r="J550" s="5" t="s">
        <v>72</v>
      </c>
      <c r="K550" s="5" t="s">
        <v>2742</v>
      </c>
      <c r="L550" s="16"/>
      <c r="M550" s="19"/>
      <c r="N550" s="16"/>
      <c r="O550" s="16"/>
      <c r="P550" s="16"/>
    </row>
    <row r="551" ht="22.5" customHeight="1">
      <c r="A551" s="138" t="s">
        <v>885</v>
      </c>
      <c r="B551" s="16" t="str">
        <f>IF(A551="","",IFERROR(VLOOKUP(A551, Stock_New!A:M, 2, FALSE),""))</f>
        <v>ورد لوحدة</v>
      </c>
      <c r="C551" s="236">
        <v>1.0</v>
      </c>
      <c r="D551" s="16" t="str">
        <f>IF(A551="","",IFERROR(VLOOKUP(A551, Stock_New!A:M, 3, FALSE),""))</f>
        <v>شركة حسين علي</v>
      </c>
      <c r="E551" s="16">
        <f>IF($A551="", "", IFERROR(VLOOKUP($A551, Stock_New!$A:$M, 6, FALSE), ""))</f>
        <v>162</v>
      </c>
      <c r="F551" s="239">
        <v>180.0</v>
      </c>
      <c r="G551" s="240"/>
      <c r="H551" s="33">
        <v>180.0</v>
      </c>
      <c r="I551" s="238">
        <v>46087.0</v>
      </c>
      <c r="J551" s="5" t="s">
        <v>72</v>
      </c>
      <c r="K551" s="5" t="s">
        <v>2752</v>
      </c>
      <c r="L551" s="16"/>
      <c r="M551" s="19"/>
      <c r="N551" s="16"/>
      <c r="O551" s="16"/>
      <c r="P551" s="16"/>
    </row>
    <row r="552" ht="22.5" customHeight="1">
      <c r="A552" s="138" t="s">
        <v>255</v>
      </c>
      <c r="B552" s="16" t="str">
        <f>IF(A552="","",IFERROR(VLOOKUP(A552, Stock_New!A:M, 2, FALSE),""))</f>
        <v>بوتات</v>
      </c>
      <c r="C552" s="236">
        <v>1.0</v>
      </c>
      <c r="D552" s="16" t="str">
        <f>IF(A552="","",IFERROR(VLOOKUP(A552, Stock_New!A:M, 3, FALSE),""))</f>
        <v>manufactured</v>
      </c>
      <c r="E552" s="16">
        <f>IF($A552="", "", IFERROR(VLOOKUP($A552, Stock_New!$A:$M, 6, FALSE), ""))</f>
        <v>27.3</v>
      </c>
      <c r="F552" s="239">
        <v>50.0</v>
      </c>
      <c r="G552" s="240"/>
      <c r="H552" s="33">
        <v>50.0</v>
      </c>
      <c r="I552" s="238">
        <v>46087.0</v>
      </c>
      <c r="J552" s="5" t="s">
        <v>72</v>
      </c>
      <c r="K552" s="5" t="s">
        <v>2756</v>
      </c>
      <c r="L552" s="16"/>
      <c r="M552" s="19"/>
      <c r="N552" s="16"/>
      <c r="O552" s="16"/>
      <c r="P552" s="16"/>
    </row>
    <row r="553" ht="22.5" customHeight="1">
      <c r="A553" s="138" t="s">
        <v>268</v>
      </c>
      <c r="B553" s="16" t="str">
        <f>IF(A553="","",IFERROR(VLOOKUP(A553, Stock_New!A:M, 2, FALSE),""))</f>
        <v>سيلفرات</v>
      </c>
      <c r="C553" s="236">
        <v>1.0</v>
      </c>
      <c r="D553" s="19" t="s">
        <v>154</v>
      </c>
      <c r="E553" s="16">
        <f>IF($A553="", "", IFERROR(VLOOKUP($A553, Stock_New!$A:$M, 6, FALSE), ""))</f>
        <v>214.5</v>
      </c>
      <c r="F553" s="239">
        <v>225.0</v>
      </c>
      <c r="G553" s="240"/>
      <c r="H553" s="33">
        <v>225.0</v>
      </c>
      <c r="I553" s="238">
        <v>46087.0</v>
      </c>
      <c r="J553" s="5" t="s">
        <v>72</v>
      </c>
      <c r="K553" s="5" t="s">
        <v>2758</v>
      </c>
      <c r="L553" s="16"/>
      <c r="M553" s="19"/>
      <c r="N553" s="16"/>
      <c r="O553" s="16"/>
      <c r="P553" s="16"/>
    </row>
    <row r="554" ht="22.5" customHeight="1">
      <c r="A554" s="138" t="s">
        <v>675</v>
      </c>
      <c r="B554" s="16" t="str">
        <f>IF(A554="","",IFERROR(VLOOKUP(A554, Stock_New!A:M, 2, FALSE),""))</f>
        <v>كهربائيات</v>
      </c>
      <c r="C554" s="236">
        <v>1.0</v>
      </c>
      <c r="D554" s="16" t="str">
        <f>IF(A554="","",IFERROR(VLOOKUP(A554, Stock_New!A:M, 3, FALSE),""))</f>
        <v>سنتر محمد رشدي</v>
      </c>
      <c r="E554" s="16">
        <f>IF($A554="", "", IFERROR(VLOOKUP($A554, Stock_New!$A:$M, 6, FALSE), ""))</f>
        <v>33</v>
      </c>
      <c r="F554" s="239">
        <v>45.0</v>
      </c>
      <c r="G554" s="240"/>
      <c r="H554" s="33">
        <v>45.0</v>
      </c>
      <c r="I554" s="238">
        <v>46087.0</v>
      </c>
      <c r="J554" s="5" t="s">
        <v>72</v>
      </c>
      <c r="K554" s="5" t="s">
        <v>2760</v>
      </c>
      <c r="L554" s="16"/>
      <c r="M554" s="19"/>
      <c r="N554" s="16"/>
      <c r="O554" s="16"/>
      <c r="P554" s="16"/>
    </row>
    <row r="555" ht="22.5" customHeight="1">
      <c r="A555" s="138" t="s">
        <v>888</v>
      </c>
      <c r="B555" s="16" t="str">
        <f>IF(A555="","",IFERROR(VLOOKUP(A555, Stock_New!A:M, 2, FALSE),""))</f>
        <v>سيلفر</v>
      </c>
      <c r="C555" s="236">
        <v>1.0</v>
      </c>
      <c r="D555" s="16" t="str">
        <f>IF(A555="","",IFERROR(VLOOKUP(A555, Stock_New!A:M, 3, FALSE),""))</f>
        <v>سنتر محمد رشدي</v>
      </c>
      <c r="E555" s="16">
        <f>IF($A555="", "", IFERROR(VLOOKUP($A555, Stock_New!$A:$M, 6, FALSE), ""))</f>
        <v>154.8</v>
      </c>
      <c r="F555" s="239">
        <v>190.0</v>
      </c>
      <c r="G555" s="240"/>
      <c r="H555" s="33">
        <v>190.0</v>
      </c>
      <c r="I555" s="238">
        <v>46087.0</v>
      </c>
      <c r="J555" s="5" t="s">
        <v>72</v>
      </c>
      <c r="K555" s="5" t="s">
        <v>2762</v>
      </c>
      <c r="L555" s="16"/>
      <c r="M555" s="19"/>
      <c r="N555" s="16"/>
      <c r="O555" s="16"/>
      <c r="P555" s="16"/>
    </row>
    <row r="556" ht="22.5" customHeight="1">
      <c r="A556" s="138" t="s">
        <v>761</v>
      </c>
      <c r="B556" s="16" t="str">
        <f>IF(A556="","",IFERROR(VLOOKUP(A556, Stock_New!A:M, 2, FALSE),""))</f>
        <v>سيلفرات</v>
      </c>
      <c r="C556" s="236">
        <v>1.0</v>
      </c>
      <c r="D556" s="16" t="str">
        <f>IF(A556="","",IFERROR(VLOOKUP(A556, Stock_New!A:M, 3, FALSE),""))</f>
        <v>سنتر محمد رشدي</v>
      </c>
      <c r="E556" s="16">
        <f>IF($A556="", "", IFERROR(VLOOKUP($A556, Stock_New!$A:$M, 6, FALSE), ""))</f>
        <v>180</v>
      </c>
      <c r="F556" s="239">
        <v>180.0</v>
      </c>
      <c r="G556" s="240"/>
      <c r="H556" s="33">
        <v>180.0</v>
      </c>
      <c r="I556" s="238">
        <v>46087.0</v>
      </c>
      <c r="J556" s="5" t="s">
        <v>72</v>
      </c>
      <c r="K556" s="5" t="s">
        <v>2766</v>
      </c>
      <c r="L556" s="16"/>
      <c r="M556" s="19"/>
      <c r="N556" s="16"/>
      <c r="O556" s="16"/>
      <c r="P556" s="16"/>
    </row>
    <row r="557" ht="22.5" customHeight="1">
      <c r="A557" s="138" t="s">
        <v>511</v>
      </c>
      <c r="B557" s="16" t="str">
        <f>IF(A557="","",IFERROR(VLOOKUP(A557, Stock_New!A:M, 2, FALSE),""))</f>
        <v>خزف</v>
      </c>
      <c r="C557" s="236">
        <v>1.0</v>
      </c>
      <c r="D557" s="16" t="str">
        <f>IF(A557="","",IFERROR(VLOOKUP(A557, Stock_New!A:M, 3, FALSE),""))</f>
        <v>ذكريا</v>
      </c>
      <c r="E557" s="16">
        <f>IF($A557="", "", IFERROR(VLOOKUP($A557, Stock_New!$A:$M, 6, FALSE), ""))</f>
        <v>48</v>
      </c>
      <c r="F557" s="239">
        <v>80.0</v>
      </c>
      <c r="G557" s="240"/>
      <c r="H557" s="33">
        <v>80.0</v>
      </c>
      <c r="I557" s="238">
        <v>46087.0</v>
      </c>
      <c r="J557" s="5" t="s">
        <v>72</v>
      </c>
      <c r="K557" s="5" t="s">
        <v>2770</v>
      </c>
      <c r="L557" s="16"/>
      <c r="M557" s="19"/>
      <c r="N557" s="16"/>
      <c r="O557" s="16"/>
      <c r="P557" s="16"/>
    </row>
    <row r="558" ht="22.5" customHeight="1">
      <c r="A558" s="138" t="s">
        <v>518</v>
      </c>
      <c r="B558" s="16" t="str">
        <f>IF(A558="","",IFERROR(VLOOKUP(A558, Stock_New!A:M, 2, FALSE),""))</f>
        <v>ورد لوحدة</v>
      </c>
      <c r="C558" s="236">
        <v>1.0</v>
      </c>
      <c r="D558" s="16" t="str">
        <f>IF(A558="","",IFERROR(VLOOKUP(A558, Stock_New!A:M, 3, FALSE),""))</f>
        <v>شركة الفرسان</v>
      </c>
      <c r="E558" s="16">
        <f>IF($A558="", "", IFERROR(VLOOKUP($A558, Stock_New!$A:$M, 6, FALSE), ""))</f>
        <v>90</v>
      </c>
      <c r="F558" s="239">
        <v>100.0</v>
      </c>
      <c r="G558" s="240"/>
      <c r="H558" s="33">
        <v>100.0</v>
      </c>
      <c r="I558" s="238">
        <v>46087.0</v>
      </c>
      <c r="J558" s="5" t="s">
        <v>72</v>
      </c>
      <c r="K558" s="5" t="s">
        <v>2771</v>
      </c>
      <c r="L558" s="16"/>
      <c r="M558" s="19"/>
      <c r="N558" s="16"/>
      <c r="O558" s="16"/>
      <c r="P558" s="16"/>
    </row>
    <row r="559" ht="22.5" customHeight="1">
      <c r="A559" s="138" t="s">
        <v>549</v>
      </c>
      <c r="B559" s="16" t="str">
        <f>IF(A559="","",IFERROR(VLOOKUP(A559, Stock_New!A:M, 2, FALSE),""))</f>
        <v>بخور</v>
      </c>
      <c r="C559" s="236">
        <v>1.0</v>
      </c>
      <c r="D559" s="16" t="str">
        <f>IF(A559="","",IFERROR(VLOOKUP(A559, Stock_New!A:M, 3, FALSE),""))</f>
        <v>سنتر محمد رشدي</v>
      </c>
      <c r="E559" s="16">
        <f>IF($A559="", "", IFERROR(VLOOKUP($A559, Stock_New!$A:$M, 6, FALSE), ""))</f>
        <v>21</v>
      </c>
      <c r="F559" s="239">
        <v>25.0</v>
      </c>
      <c r="G559" s="240"/>
      <c r="H559" s="33">
        <v>25.0</v>
      </c>
      <c r="I559" s="238">
        <v>46087.0</v>
      </c>
      <c r="J559" s="5" t="s">
        <v>72</v>
      </c>
      <c r="K559" s="5" t="s">
        <v>2773</v>
      </c>
      <c r="L559" s="16"/>
      <c r="M559" s="19"/>
      <c r="N559" s="16"/>
      <c r="O559" s="16"/>
      <c r="P559" s="16"/>
    </row>
    <row r="560" ht="22.5" customHeight="1">
      <c r="A560" s="138" t="s">
        <v>858</v>
      </c>
      <c r="B560" s="16" t="str">
        <f>IF(A560="","",IFERROR(VLOOKUP(A560, Stock_New!A:M, 2, FALSE),""))</f>
        <v>بوكيه</v>
      </c>
      <c r="C560" s="236">
        <v>2.0</v>
      </c>
      <c r="D560" s="16" t="str">
        <f>IF(A560="","",IFERROR(VLOOKUP(A560, Stock_New!A:M, 3, FALSE),""))</f>
        <v>manufactured</v>
      </c>
      <c r="E560" s="16">
        <f>IF($A560="", "", IFERROR(VLOOKUP($A560, Stock_New!$A:$M, 6, FALSE), ""))</f>
        <v>13.01428571</v>
      </c>
      <c r="F560" s="239">
        <v>25.0</v>
      </c>
      <c r="G560" s="240"/>
      <c r="H560" s="33">
        <v>50.0</v>
      </c>
      <c r="I560" s="238">
        <v>46088.0</v>
      </c>
      <c r="J560" s="5" t="s">
        <v>72</v>
      </c>
      <c r="K560" s="5" t="s">
        <v>2775</v>
      </c>
      <c r="L560" s="16"/>
      <c r="M560" s="19"/>
      <c r="N560" s="16"/>
      <c r="O560" s="16"/>
      <c r="P560" s="16"/>
    </row>
    <row r="561" ht="22.5" customHeight="1">
      <c r="A561" s="138" t="s">
        <v>478</v>
      </c>
      <c r="B561" s="16" t="str">
        <f>IF(A561="","",IFERROR(VLOOKUP(A561, Stock_New!A:M, 2, FALSE),""))</f>
        <v>لوح</v>
      </c>
      <c r="C561" s="236">
        <v>1.0</v>
      </c>
      <c r="D561" s="19" t="s">
        <v>51</v>
      </c>
      <c r="E561" s="16">
        <f>IF($A561="", "", IFERROR(VLOOKUP($A561, Stock_New!$A:$M, 6, FALSE), ""))</f>
        <v>108</v>
      </c>
      <c r="F561" s="239">
        <v>135.0</v>
      </c>
      <c r="G561" s="240"/>
      <c r="H561" s="33">
        <v>135.0</v>
      </c>
      <c r="I561" s="238">
        <v>46088.0</v>
      </c>
      <c r="J561" s="5" t="s">
        <v>72</v>
      </c>
      <c r="K561" s="5" t="s">
        <v>2777</v>
      </c>
      <c r="L561" s="16"/>
      <c r="M561" s="19"/>
      <c r="N561" s="16"/>
      <c r="O561" s="16"/>
      <c r="P561" s="16"/>
    </row>
    <row r="562" ht="22.5" customHeight="1">
      <c r="A562" s="138" t="s">
        <v>287</v>
      </c>
      <c r="B562" s="16" t="str">
        <f>IF(A562="","",IFERROR(VLOOKUP(A562, Stock_New!A:M, 2, FALSE),""))</f>
        <v>بوكيه</v>
      </c>
      <c r="C562" s="236">
        <v>1.0</v>
      </c>
      <c r="D562" s="16" t="str">
        <f>IF(A562="","",IFERROR(VLOOKUP(A562, Stock_New!A:M, 3, FALSE),""))</f>
        <v>ذكريا</v>
      </c>
      <c r="E562" s="16">
        <f>IF($A562="", "", IFERROR(VLOOKUP($A562, Stock_New!$A:$M, 6, FALSE), ""))</f>
        <v>54</v>
      </c>
      <c r="F562" s="239">
        <v>65.0</v>
      </c>
      <c r="G562" s="240"/>
      <c r="H562" s="33">
        <v>65.0</v>
      </c>
      <c r="I562" s="238">
        <v>46088.0</v>
      </c>
      <c r="J562" s="5" t="s">
        <v>72</v>
      </c>
      <c r="K562" s="5" t="s">
        <v>2779</v>
      </c>
      <c r="L562" s="16"/>
      <c r="M562" s="19"/>
      <c r="N562" s="16"/>
      <c r="O562" s="16"/>
      <c r="P562" s="16"/>
    </row>
    <row r="563" ht="22.5" customHeight="1">
      <c r="A563" s="138" t="s">
        <v>246</v>
      </c>
      <c r="B563" s="16" t="str">
        <f>IF(A563="","",IFERROR(VLOOKUP(A563, Stock_New!A:M, 2, FALSE),""))</f>
        <v>سيلفرات</v>
      </c>
      <c r="C563" s="236">
        <v>1.0</v>
      </c>
      <c r="D563" s="16" t="str">
        <f>IF(A563="","",IFERROR(VLOOKUP(A563, Stock_New!A:M, 3, FALSE),""))</f>
        <v>ذكريا</v>
      </c>
      <c r="E563" s="16">
        <f>IF($A563="", "", IFERROR(VLOOKUP($A563, Stock_New!$A:$M, 6, FALSE), ""))</f>
        <v>390</v>
      </c>
      <c r="F563" s="239">
        <v>350.0</v>
      </c>
      <c r="G563" s="240"/>
      <c r="H563" s="33">
        <v>350.0</v>
      </c>
      <c r="I563" s="238">
        <v>46088.0</v>
      </c>
      <c r="J563" s="5" t="s">
        <v>72</v>
      </c>
      <c r="K563" s="5" t="s">
        <v>2781</v>
      </c>
      <c r="L563" s="16"/>
      <c r="M563" s="19"/>
      <c r="N563" s="16"/>
      <c r="O563" s="16"/>
      <c r="P563" s="16"/>
    </row>
    <row r="564" ht="22.5" customHeight="1">
      <c r="A564" s="138" t="s">
        <v>323</v>
      </c>
      <c r="B564" s="16" t="str">
        <f>IF(A564="","",IFERROR(VLOOKUP(A564, Stock_New!A:M, 2, FALSE),""))</f>
        <v>ورد لوحده</v>
      </c>
      <c r="C564" s="236">
        <v>1.0</v>
      </c>
      <c r="D564" s="16" t="str">
        <f>IF(A564="","",IFERROR(VLOOKUP(A564, Stock_New!A:M, 3, FALSE),""))</f>
        <v>ذكريا</v>
      </c>
      <c r="E564" s="16">
        <f>IF($A564="", "", IFERROR(VLOOKUP($A564, Stock_New!$A:$M, 6, FALSE), ""))</f>
        <v>330</v>
      </c>
      <c r="F564" s="239">
        <v>330.0</v>
      </c>
      <c r="G564" s="240"/>
      <c r="H564" s="33">
        <v>330.0</v>
      </c>
      <c r="I564" s="238">
        <v>46088.0</v>
      </c>
      <c r="J564" s="5" t="s">
        <v>72</v>
      </c>
      <c r="K564" s="5" t="s">
        <v>2783</v>
      </c>
      <c r="L564" s="16"/>
      <c r="M564" s="19"/>
      <c r="N564" s="16"/>
      <c r="O564" s="16"/>
      <c r="P564" s="16"/>
    </row>
    <row r="565" ht="22.5" customHeight="1">
      <c r="A565" s="138" t="s">
        <v>412</v>
      </c>
      <c r="B565" s="16" t="str">
        <f>IF(A565="","",IFERROR(VLOOKUP(A565, Stock_New!A:M, 2, FALSE),""))</f>
        <v>سيلفرات</v>
      </c>
      <c r="C565" s="236">
        <v>1.0</v>
      </c>
      <c r="D565" s="16" t="str">
        <f>IF(A565="","",IFERROR(VLOOKUP(A565, Stock_New!A:M, 3, FALSE),""))</f>
        <v>ذكريا</v>
      </c>
      <c r="E565" s="16">
        <f>IF($A565="", "", IFERROR(VLOOKUP($A565, Stock_New!$A:$M, 6, FALSE), ""))</f>
        <v>234</v>
      </c>
      <c r="F565" s="239">
        <v>240.0</v>
      </c>
      <c r="G565" s="240"/>
      <c r="H565" s="33">
        <v>240.0</v>
      </c>
      <c r="I565" s="238">
        <v>46088.0</v>
      </c>
      <c r="J565" s="5" t="s">
        <v>72</v>
      </c>
      <c r="K565" s="5" t="s">
        <v>2787</v>
      </c>
      <c r="L565" s="16"/>
      <c r="M565" s="19"/>
      <c r="N565" s="16"/>
      <c r="O565" s="16"/>
      <c r="P565" s="16"/>
    </row>
    <row r="566" ht="22.5" customHeight="1">
      <c r="A566" s="138" t="s">
        <v>220</v>
      </c>
      <c r="B566" s="16" t="str">
        <f>IF(A566="","",IFERROR(VLOOKUP(A566, Stock_New!A:M, 2, FALSE),""))</f>
        <v>ورد لوحدة</v>
      </c>
      <c r="C566" s="236">
        <v>1.0</v>
      </c>
      <c r="D566" s="16" t="str">
        <f>IF(A566="","",IFERROR(VLOOKUP(A566, Stock_New!A:M, 3, FALSE),""))</f>
        <v>شركة الفرسان</v>
      </c>
      <c r="E566" s="16">
        <f>IF($A566="", "", IFERROR(VLOOKUP($A566, Stock_New!$A:$M, 6, FALSE), ""))</f>
        <v>102</v>
      </c>
      <c r="F566" s="239">
        <v>140.0</v>
      </c>
      <c r="G566" s="240"/>
      <c r="H566" s="33">
        <v>140.0</v>
      </c>
      <c r="I566" s="238">
        <v>46088.0</v>
      </c>
      <c r="J566" s="5" t="s">
        <v>72</v>
      </c>
      <c r="K566" s="5" t="s">
        <v>2789</v>
      </c>
      <c r="L566" s="16"/>
      <c r="M566" s="19"/>
      <c r="N566" s="16"/>
      <c r="O566" s="16"/>
      <c r="P566" s="16"/>
    </row>
    <row r="567" ht="22.5" customHeight="1">
      <c r="A567" s="138" t="s">
        <v>837</v>
      </c>
      <c r="B567" s="16" t="str">
        <f>IF(A567="","",IFERROR(VLOOKUP(A567, Stock_New!A:M, 2, FALSE),""))</f>
        <v>ورد لوحدة</v>
      </c>
      <c r="C567" s="236">
        <v>2.0</v>
      </c>
      <c r="D567" s="16" t="str">
        <f>IF(A567="","",IFERROR(VLOOKUP(A567, Stock_New!A:M, 3, FALSE),""))</f>
        <v>شركة حسين علي</v>
      </c>
      <c r="E567" s="16">
        <f>IF($A567="", "", IFERROR(VLOOKUP($A567, Stock_New!$A:$M, 6, FALSE), ""))</f>
        <v>20.4</v>
      </c>
      <c r="F567" s="239">
        <v>20.0</v>
      </c>
      <c r="G567" s="240"/>
      <c r="H567" s="33">
        <v>40.0</v>
      </c>
      <c r="I567" s="238">
        <v>46088.0</v>
      </c>
      <c r="J567" s="5" t="s">
        <v>72</v>
      </c>
      <c r="K567" s="5" t="s">
        <v>2790</v>
      </c>
      <c r="L567" s="16"/>
      <c r="M567" s="19"/>
      <c r="N567" s="16"/>
      <c r="O567" s="16"/>
      <c r="P567" s="16"/>
    </row>
    <row r="568" ht="22.5" customHeight="1">
      <c r="A568" s="138" t="s">
        <v>645</v>
      </c>
      <c r="B568" s="16" t="str">
        <f>IF(A568="","",IFERROR(VLOOKUP(A568, Stock_New!A:M, 2, FALSE),""))</f>
        <v>بوكيه</v>
      </c>
      <c r="C568" s="236">
        <v>4.0</v>
      </c>
      <c r="D568" s="16" t="str">
        <f>IF(A568="","",IFERROR(VLOOKUP(A568, Stock_New!A:M, 3, FALSE),""))</f>
        <v>المهندس</v>
      </c>
      <c r="E568" s="16">
        <f>IF($A568="", "", IFERROR(VLOOKUP($A568, Stock_New!$A:$M, 6, FALSE), ""))</f>
        <v>20.4</v>
      </c>
      <c r="F568" s="239">
        <v>25.0</v>
      </c>
      <c r="G568" s="240"/>
      <c r="H568" s="33">
        <v>100.0</v>
      </c>
      <c r="I568" s="238">
        <v>46088.0</v>
      </c>
      <c r="J568" s="5" t="s">
        <v>72</v>
      </c>
      <c r="K568" s="5" t="s">
        <v>2791</v>
      </c>
      <c r="L568" s="16"/>
      <c r="M568" s="19"/>
      <c r="N568" s="16"/>
      <c r="O568" s="16"/>
      <c r="P568" s="16"/>
    </row>
    <row r="569" ht="22.5" customHeight="1">
      <c r="A569" s="138" t="s">
        <v>287</v>
      </c>
      <c r="B569" s="16" t="str">
        <f>IF(A569="","",IFERROR(VLOOKUP(A569, Stock_New!A:M, 2, FALSE),""))</f>
        <v>بوكيه</v>
      </c>
      <c r="C569" s="236">
        <v>1.0</v>
      </c>
      <c r="D569" s="16" t="str">
        <f>IF(A569="","",IFERROR(VLOOKUP(A569, Stock_New!A:M, 3, FALSE),""))</f>
        <v>ذكريا</v>
      </c>
      <c r="E569" s="16">
        <f>IF($A569="", "", IFERROR(VLOOKUP($A569, Stock_New!$A:$M, 6, FALSE), ""))</f>
        <v>54</v>
      </c>
      <c r="F569" s="239">
        <v>60.0</v>
      </c>
      <c r="G569" s="240"/>
      <c r="H569" s="33">
        <v>60.0</v>
      </c>
      <c r="I569" s="238">
        <v>46088.0</v>
      </c>
      <c r="J569" s="5" t="s">
        <v>72</v>
      </c>
      <c r="K569" s="5" t="s">
        <v>2793</v>
      </c>
      <c r="L569" s="16"/>
      <c r="M569" s="19"/>
      <c r="N569" s="16"/>
      <c r="O569" s="16"/>
      <c r="P569" s="16"/>
    </row>
    <row r="570" ht="22.5" customHeight="1">
      <c r="A570" s="138" t="s">
        <v>645</v>
      </c>
      <c r="B570" s="16" t="str">
        <f>IF(A570="","",IFERROR(VLOOKUP(A570, Stock_New!A:M, 2, FALSE),""))</f>
        <v>بوكيه</v>
      </c>
      <c r="C570" s="236">
        <v>2.0</v>
      </c>
      <c r="D570" s="16" t="str">
        <f>IF(A570="","",IFERROR(VLOOKUP(A570, Stock_New!A:M, 3, FALSE),""))</f>
        <v>المهندس</v>
      </c>
      <c r="E570" s="16">
        <f>IF($A570="", "", IFERROR(VLOOKUP($A570, Stock_New!$A:$M, 6, FALSE), ""))</f>
        <v>20.4</v>
      </c>
      <c r="F570" s="239">
        <v>20.0</v>
      </c>
      <c r="G570" s="240"/>
      <c r="H570" s="33">
        <v>40.0</v>
      </c>
      <c r="I570" s="238">
        <v>46088.0</v>
      </c>
      <c r="J570" s="5" t="s">
        <v>72</v>
      </c>
      <c r="K570" s="5" t="s">
        <v>2794</v>
      </c>
      <c r="L570" s="16"/>
      <c r="M570" s="19"/>
      <c r="N570" s="16"/>
      <c r="O570" s="16"/>
      <c r="P570" s="16"/>
    </row>
    <row r="571" ht="22.5" customHeight="1">
      <c r="A571" s="138" t="s">
        <v>662</v>
      </c>
      <c r="B571" s="16" t="str">
        <f>IF(A571="","",IFERROR(VLOOKUP(A571, Stock_New!A:M, 2, FALSE),""))</f>
        <v>بوكيه</v>
      </c>
      <c r="C571" s="236">
        <v>2.0</v>
      </c>
      <c r="D571" s="16" t="str">
        <f>IF(A571="","",IFERROR(VLOOKUP(A571, Stock_New!A:M, 3, FALSE),""))</f>
        <v>المهندس</v>
      </c>
      <c r="E571" s="16">
        <f>IF($A571="", "", IFERROR(VLOOKUP($A571, Stock_New!$A:$M, 6, FALSE), ""))</f>
        <v>60</v>
      </c>
      <c r="F571" s="239">
        <v>75.0</v>
      </c>
      <c r="G571" s="240"/>
      <c r="H571" s="33">
        <v>150.0</v>
      </c>
      <c r="I571" s="238">
        <v>46088.0</v>
      </c>
      <c r="J571" s="5" t="s">
        <v>72</v>
      </c>
      <c r="K571" s="5" t="s">
        <v>2796</v>
      </c>
      <c r="L571" s="16"/>
      <c r="M571" s="19"/>
      <c r="N571" s="16"/>
      <c r="O571" s="16"/>
      <c r="P571" s="16"/>
    </row>
    <row r="572" ht="22.5" customHeight="1">
      <c r="A572" s="138" t="s">
        <v>898</v>
      </c>
      <c r="B572" s="16" t="str">
        <f>IF(A572="","",IFERROR(VLOOKUP(A572, Stock_New!A:M, 2, FALSE),""))</f>
        <v/>
      </c>
      <c r="C572" s="236">
        <v>6.0</v>
      </c>
      <c r="D572" s="16" t="str">
        <f>IF(A572="","",IFERROR(VLOOKUP(A572, Stock_New!A:M, 3, FALSE),""))</f>
        <v/>
      </c>
      <c r="E572" s="16" t="str">
        <f>IF($A572="", "", IFERROR(VLOOKUP($A572, Stock_New!$A:$M, 6, FALSE), ""))</f>
        <v/>
      </c>
      <c r="F572" s="239">
        <v>25.0</v>
      </c>
      <c r="G572" s="240"/>
      <c r="H572" s="33">
        <v>150.0</v>
      </c>
      <c r="I572" s="238">
        <v>46088.0</v>
      </c>
      <c r="J572" s="5" t="s">
        <v>72</v>
      </c>
      <c r="K572" s="5" t="s">
        <v>2799</v>
      </c>
      <c r="L572" s="16"/>
      <c r="M572" s="19"/>
      <c r="N572" s="16"/>
      <c r="O572" s="16"/>
      <c r="P572" s="16"/>
    </row>
    <row r="573" ht="22.5" customHeight="1">
      <c r="A573" s="138" t="s">
        <v>511</v>
      </c>
      <c r="B573" s="16" t="str">
        <f>IF(A573="","",IFERROR(VLOOKUP(A573, Stock_New!A:M, 2, FALSE),""))</f>
        <v>خزف</v>
      </c>
      <c r="C573" s="236">
        <v>2.0</v>
      </c>
      <c r="D573" s="16" t="str">
        <f>IF(A573="","",IFERROR(VLOOKUP(A573, Stock_New!A:M, 3, FALSE),""))</f>
        <v>ذكريا</v>
      </c>
      <c r="E573" s="16">
        <f>IF($A573="", "", IFERROR(VLOOKUP($A573, Stock_New!$A:$M, 6, FALSE), ""))</f>
        <v>48</v>
      </c>
      <c r="F573" s="239">
        <v>85.0</v>
      </c>
      <c r="G573" s="240"/>
      <c r="H573" s="33">
        <v>170.0</v>
      </c>
      <c r="I573" s="238">
        <v>46088.0</v>
      </c>
      <c r="J573" s="5" t="s">
        <v>72</v>
      </c>
      <c r="K573" s="5" t="s">
        <v>2802</v>
      </c>
      <c r="L573" s="16"/>
      <c r="M573" s="19"/>
      <c r="N573" s="16"/>
      <c r="O573" s="16"/>
      <c r="P573" s="16"/>
    </row>
    <row r="574" ht="22.5" customHeight="1">
      <c r="A574" s="138" t="s">
        <v>172</v>
      </c>
      <c r="B574" s="16" t="str">
        <f>IF(A574="","",IFERROR(VLOOKUP(A574, Stock_New!A:M, 2, FALSE),""))</f>
        <v>بوكيه</v>
      </c>
      <c r="C574" s="236">
        <v>1.0</v>
      </c>
      <c r="D574" s="16" t="str">
        <f>IF(A574="","",IFERROR(VLOOKUP(A574, Stock_New!A:M, 3, FALSE),""))</f>
        <v>ذكريا</v>
      </c>
      <c r="E574" s="16">
        <f>IF($A574="", "", IFERROR(VLOOKUP($A574, Stock_New!$A:$M, 6, FALSE), ""))</f>
        <v>33.84</v>
      </c>
      <c r="F574" s="239">
        <v>40.0</v>
      </c>
      <c r="G574" s="240"/>
      <c r="H574" s="33">
        <v>40.0</v>
      </c>
      <c r="I574" s="238">
        <v>46089.0</v>
      </c>
      <c r="J574" s="5" t="s">
        <v>72</v>
      </c>
      <c r="K574" s="5" t="s">
        <v>2803</v>
      </c>
      <c r="L574" s="16"/>
      <c r="M574" s="19"/>
      <c r="N574" s="16"/>
      <c r="O574" s="16"/>
      <c r="P574" s="16"/>
    </row>
    <row r="575" ht="22.5" customHeight="1">
      <c r="A575" s="138" t="s">
        <v>902</v>
      </c>
      <c r="B575" s="16" t="str">
        <f>IF(A575="","",IFERROR(VLOOKUP(A575, Stock_New!A:M, 2, FALSE),""))</f>
        <v>خشب</v>
      </c>
      <c r="C575" s="236">
        <v>1.0</v>
      </c>
      <c r="D575" s="16" t="str">
        <f>IF(A575="","",IFERROR(VLOOKUP(A575, Stock_New!A:M, 3, FALSE),""))</f>
        <v>شركة حسين علي</v>
      </c>
      <c r="E575" s="16">
        <f>IF($A575="", "", IFERROR(VLOOKUP($A575, Stock_New!$A:$M, 6, FALSE), ""))</f>
        <v>108.35</v>
      </c>
      <c r="F575" s="239">
        <v>100.0</v>
      </c>
      <c r="G575" s="240"/>
      <c r="H575" s="33">
        <v>100.0</v>
      </c>
      <c r="I575" s="238">
        <v>46089.0</v>
      </c>
      <c r="J575" s="5" t="s">
        <v>72</v>
      </c>
      <c r="K575" s="5" t="s">
        <v>2804</v>
      </c>
      <c r="L575" s="16"/>
      <c r="M575" s="19"/>
      <c r="N575" s="16"/>
      <c r="O575" s="16"/>
      <c r="P575" s="16"/>
    </row>
    <row r="576" ht="22.5" customHeight="1">
      <c r="A576" s="138" t="s">
        <v>906</v>
      </c>
      <c r="B576" s="16" t="str">
        <f>IF(A576="","",IFERROR(VLOOKUP(A576, Stock_New!A:M, 2, FALSE),""))</f>
        <v>بوتات</v>
      </c>
      <c r="C576" s="236">
        <v>1.0</v>
      </c>
      <c r="D576" s="16" t="str">
        <f>IF(A576="","",IFERROR(VLOOKUP(A576, Stock_New!A:M, 3, FALSE),""))</f>
        <v>المهندس</v>
      </c>
      <c r="E576" s="16">
        <f>IF($A576="", "", IFERROR(VLOOKUP($A576, Stock_New!$A:$M, 6, FALSE), ""))</f>
        <v>6</v>
      </c>
      <c r="F576" s="239">
        <v>10.0</v>
      </c>
      <c r="G576" s="240"/>
      <c r="H576" s="33">
        <v>10.0</v>
      </c>
      <c r="I576" s="238">
        <v>46089.0</v>
      </c>
      <c r="J576" s="5" t="s">
        <v>72</v>
      </c>
      <c r="K576" s="5" t="s">
        <v>2807</v>
      </c>
      <c r="L576" s="16"/>
      <c r="M576" s="19"/>
      <c r="N576" s="16"/>
      <c r="O576" s="16"/>
      <c r="P576" s="16"/>
    </row>
    <row r="577" ht="22.5" customHeight="1">
      <c r="A577" s="138" t="s">
        <v>908</v>
      </c>
      <c r="B577" s="16" t="str">
        <f>IF(A577="","",IFERROR(VLOOKUP(A577, Stock_New!A:M, 2, FALSE),""))</f>
        <v>ورد لوحدة</v>
      </c>
      <c r="C577" s="236">
        <f>2/5</f>
        <v>0.4</v>
      </c>
      <c r="D577" s="16" t="str">
        <f>IF(A577="","",IFERROR(VLOOKUP(A577, Stock_New!A:M, 3, FALSE),""))</f>
        <v>شركة حسين علي</v>
      </c>
      <c r="E577" s="16">
        <f>IF($A577="", "", IFERROR(VLOOKUP($A577, Stock_New!$A:$M, 6, FALSE), ""))</f>
        <v>42</v>
      </c>
      <c r="F577" s="239">
        <v>50.0</v>
      </c>
      <c r="G577" s="240"/>
      <c r="H577" s="33">
        <v>20.0</v>
      </c>
      <c r="I577" s="238">
        <v>46089.0</v>
      </c>
      <c r="J577" s="5" t="s">
        <v>72</v>
      </c>
      <c r="K577" s="5" t="s">
        <v>2810</v>
      </c>
      <c r="L577" s="16"/>
      <c r="M577" s="19"/>
      <c r="N577" s="16"/>
      <c r="O577" s="16"/>
      <c r="P577" s="16"/>
    </row>
    <row r="578" ht="22.5" customHeight="1">
      <c r="A578" s="138" t="s">
        <v>689</v>
      </c>
      <c r="B578" s="16" t="str">
        <f>IF(A578="","",IFERROR(VLOOKUP(A578, Stock_New!A:M, 2, FALSE),""))</f>
        <v>كهربائيات</v>
      </c>
      <c r="C578" s="236">
        <v>2.0</v>
      </c>
      <c r="D578" s="16" t="str">
        <f>IF(A578="","",IFERROR(VLOOKUP(A578, Stock_New!A:M, 3, FALSE),""))</f>
        <v>سنتر محمد رشدي</v>
      </c>
      <c r="E578" s="16">
        <f>IF($A578="", "", IFERROR(VLOOKUP($A578, Stock_New!$A:$M, 6, FALSE), ""))</f>
        <v>156</v>
      </c>
      <c r="F578" s="239">
        <v>170.0</v>
      </c>
      <c r="G578" s="240"/>
      <c r="H578" s="33">
        <v>340.0</v>
      </c>
      <c r="I578" s="238">
        <v>46089.0</v>
      </c>
      <c r="J578" s="5" t="s">
        <v>72</v>
      </c>
      <c r="K578" s="5" t="s">
        <v>2813</v>
      </c>
      <c r="L578" s="16"/>
      <c r="M578" s="19"/>
      <c r="N578" s="16"/>
      <c r="O578" s="16"/>
      <c r="P578" s="16"/>
    </row>
    <row r="579" ht="22.5" customHeight="1">
      <c r="A579" s="138" t="s">
        <v>330</v>
      </c>
      <c r="B579" s="16" t="str">
        <f>IF(A579="","",IFERROR(VLOOKUP(A579, Stock_New!A:M, 2, FALSE),""))</f>
        <v>بوكيه</v>
      </c>
      <c r="C579" s="236">
        <v>3.0</v>
      </c>
      <c r="D579" s="16" t="str">
        <f>IF(A579="","",IFERROR(VLOOKUP(A579, Stock_New!A:M, 3, FALSE),""))</f>
        <v>manufactured</v>
      </c>
      <c r="E579" s="16">
        <f>IF($A579="", "", IFERROR(VLOOKUP($A579, Stock_New!$A:$M, 6, FALSE), ""))</f>
        <v>31</v>
      </c>
      <c r="F579" s="239">
        <v>50.0</v>
      </c>
      <c r="G579" s="241"/>
      <c r="H579" s="33">
        <v>150.0</v>
      </c>
      <c r="I579" s="238">
        <v>46089.0</v>
      </c>
      <c r="J579" s="5" t="s">
        <v>72</v>
      </c>
      <c r="K579" s="5" t="s">
        <v>2816</v>
      </c>
      <c r="L579" s="16"/>
      <c r="M579" s="19" t="s">
        <v>5008</v>
      </c>
      <c r="N579" s="19" t="s">
        <v>5010</v>
      </c>
      <c r="O579" s="19" t="s">
        <v>5011</v>
      </c>
      <c r="P579" s="16"/>
    </row>
    <row r="580" ht="22.5" customHeight="1">
      <c r="A580" s="138" t="s">
        <v>356</v>
      </c>
      <c r="B580" s="16" t="str">
        <f>IF(A580="","",IFERROR(VLOOKUP(A580, Stock_New!A:M, 2, FALSE),""))</f>
        <v>ورد لوحدة</v>
      </c>
      <c r="C580" s="236">
        <v>2.0</v>
      </c>
      <c r="D580" s="16" t="str">
        <f>IF(A580="","",IFERROR(VLOOKUP(A580, Stock_New!A:M, 3, FALSE),""))</f>
        <v>شركة الفرسان</v>
      </c>
      <c r="E580" s="16">
        <f>IF($A580="", "", IFERROR(VLOOKUP($A580, Stock_New!$A:$M, 6, FALSE), ""))</f>
        <v>102</v>
      </c>
      <c r="F580" s="239">
        <v>110.0</v>
      </c>
      <c r="G580" s="240"/>
      <c r="H580" s="33">
        <v>220.0</v>
      </c>
      <c r="I580" s="238">
        <v>46089.0</v>
      </c>
      <c r="J580" s="5" t="s">
        <v>72</v>
      </c>
      <c r="K580" s="5" t="s">
        <v>2820</v>
      </c>
      <c r="L580" s="16"/>
      <c r="M580" s="19" t="s">
        <v>5008</v>
      </c>
      <c r="N580" s="19" t="s">
        <v>5010</v>
      </c>
      <c r="O580" s="19" t="s">
        <v>5011</v>
      </c>
      <c r="P580" s="16"/>
    </row>
    <row r="581" ht="22.5" customHeight="1">
      <c r="A581" s="138" t="s">
        <v>194</v>
      </c>
      <c r="B581" s="16" t="str">
        <f>IF(A581="","",IFERROR(VLOOKUP(A581, Stock_New!A:M, 2, FALSE),""))</f>
        <v>بوتات</v>
      </c>
      <c r="C581" s="236">
        <v>1.0</v>
      </c>
      <c r="D581" s="16" t="str">
        <f>IF(A581="","",IFERROR(VLOOKUP(A581, Stock_New!A:M, 3, FALSE),""))</f>
        <v>ذكريا</v>
      </c>
      <c r="E581" s="16">
        <f>IF($A581="", "", IFERROR(VLOOKUP($A581, Stock_New!$A:$M, 6, FALSE), ""))</f>
        <v>197</v>
      </c>
      <c r="F581" s="239">
        <v>200.0</v>
      </c>
      <c r="G581" s="240"/>
      <c r="H581" s="33">
        <v>200.0</v>
      </c>
      <c r="I581" s="238">
        <v>46089.0</v>
      </c>
      <c r="J581" s="5" t="s">
        <v>72</v>
      </c>
      <c r="K581" s="5" t="s">
        <v>2822</v>
      </c>
      <c r="L581" s="16"/>
      <c r="M581" s="19" t="s">
        <v>5008</v>
      </c>
      <c r="N581" s="19" t="s">
        <v>5010</v>
      </c>
      <c r="O581" s="19" t="s">
        <v>5011</v>
      </c>
      <c r="P581" s="16"/>
    </row>
    <row r="582" ht="22.5" customHeight="1">
      <c r="A582" s="138" t="s">
        <v>85</v>
      </c>
      <c r="B582" s="16" t="str">
        <f>IF(A582="","",IFERROR(VLOOKUP(A582, Stock_New!A:M, 2, FALSE),""))</f>
        <v>سيلفرات</v>
      </c>
      <c r="C582" s="236">
        <v>1.0</v>
      </c>
      <c r="D582" s="16" t="str">
        <f>IF(A582="","",IFERROR(VLOOKUP(A582, Stock_New!A:M, 3, FALSE),""))</f>
        <v>ذكريا</v>
      </c>
      <c r="E582" s="16">
        <f>IF($A582="", "", IFERROR(VLOOKUP($A582, Stock_New!$A:$M, 6, FALSE), ""))</f>
        <v>718</v>
      </c>
      <c r="F582" s="239">
        <v>730.0</v>
      </c>
      <c r="G582" s="240"/>
      <c r="H582" s="33">
        <v>730.0</v>
      </c>
      <c r="I582" s="238">
        <v>46089.0</v>
      </c>
      <c r="J582" s="5" t="s">
        <v>72</v>
      </c>
      <c r="K582" s="5" t="s">
        <v>2824</v>
      </c>
      <c r="L582" s="16"/>
      <c r="M582" s="19" t="s">
        <v>5008</v>
      </c>
      <c r="N582" s="19" t="s">
        <v>5010</v>
      </c>
      <c r="O582" s="19" t="s">
        <v>5011</v>
      </c>
      <c r="P582" s="16"/>
    </row>
    <row r="583" ht="22.5" customHeight="1">
      <c r="A583" s="138" t="s">
        <v>35</v>
      </c>
      <c r="B583" s="16" t="str">
        <f>IF(A583="","",IFERROR(VLOOKUP(A583, Stock_New!A:M, 2, FALSE),""))</f>
        <v>سيلفرات</v>
      </c>
      <c r="C583" s="236">
        <v>1.0</v>
      </c>
      <c r="D583" s="16" t="str">
        <f>IF(A583="","",IFERROR(VLOOKUP(A583, Stock_New!A:M, 3, FALSE),""))</f>
        <v>ذكريا</v>
      </c>
      <c r="E583" s="16">
        <f>IF($A583="", "", IFERROR(VLOOKUP($A583, Stock_New!$A:$M, 6, FALSE), ""))</f>
        <v>1798.8</v>
      </c>
      <c r="F583" s="239">
        <v>1500.0</v>
      </c>
      <c r="G583" s="240"/>
      <c r="H583" s="33">
        <v>1500.0</v>
      </c>
      <c r="I583" s="238">
        <v>46090.0</v>
      </c>
      <c r="J583" s="5" t="s">
        <v>72</v>
      </c>
      <c r="K583" s="5" t="s">
        <v>2825</v>
      </c>
      <c r="L583" s="16"/>
      <c r="M583" s="19" t="s">
        <v>5025</v>
      </c>
      <c r="N583" s="19" t="s">
        <v>5026</v>
      </c>
      <c r="O583" s="19" t="s">
        <v>5027</v>
      </c>
      <c r="P583" s="16"/>
    </row>
    <row r="584" ht="22.5" customHeight="1">
      <c r="A584" s="138" t="s">
        <v>638</v>
      </c>
      <c r="B584" s="16" t="str">
        <f>IF(A584="","",IFERROR(VLOOKUP(A584, Stock_New!A:M, 2, FALSE),""))</f>
        <v>ورد لوحدة</v>
      </c>
      <c r="C584" s="236">
        <f>2/10</f>
        <v>0.2</v>
      </c>
      <c r="D584" s="16" t="str">
        <f>IF(A584="","",IFERROR(VLOOKUP(A584, Stock_New!A:M, 3, FALSE),""))</f>
        <v>شركة الفرسان</v>
      </c>
      <c r="E584" s="16">
        <f>IF($A584="", "", IFERROR(VLOOKUP($A584, Stock_New!$A:$M, 6, FALSE), ""))</f>
        <v>120</v>
      </c>
      <c r="F584" s="239">
        <v>150.0</v>
      </c>
      <c r="G584" s="240"/>
      <c r="H584" s="33">
        <v>30.0</v>
      </c>
      <c r="I584" s="238">
        <v>46090.0</v>
      </c>
      <c r="J584" s="5" t="s">
        <v>72</v>
      </c>
      <c r="K584" s="5" t="s">
        <v>2829</v>
      </c>
      <c r="L584" s="16"/>
      <c r="M584" s="19" t="s">
        <v>5025</v>
      </c>
      <c r="N584" s="19" t="s">
        <v>5026</v>
      </c>
      <c r="O584" s="5">
        <v>0.0</v>
      </c>
      <c r="P584" s="16"/>
    </row>
    <row r="585" ht="22.5" customHeight="1">
      <c r="A585" s="138" t="s">
        <v>837</v>
      </c>
      <c r="B585" s="16" t="str">
        <f>IF(A585="","",IFERROR(VLOOKUP(A585, Stock_New!A:M, 2, FALSE),""))</f>
        <v>ورد لوحدة</v>
      </c>
      <c r="C585" s="236">
        <v>1.0</v>
      </c>
      <c r="D585" s="16" t="str">
        <f>IF(A585="","",IFERROR(VLOOKUP(A585, Stock_New!A:M, 3, FALSE),""))</f>
        <v>شركة حسين علي</v>
      </c>
      <c r="E585" s="16">
        <f>IF($A585="", "", IFERROR(VLOOKUP($A585, Stock_New!$A:$M, 6, FALSE), ""))</f>
        <v>20.4</v>
      </c>
      <c r="F585" s="239">
        <v>25.0</v>
      </c>
      <c r="G585" s="240"/>
      <c r="H585" s="33">
        <v>25.0</v>
      </c>
      <c r="I585" s="238">
        <v>46090.0</v>
      </c>
      <c r="J585" s="5" t="s">
        <v>72</v>
      </c>
      <c r="K585" s="5" t="s">
        <v>2831</v>
      </c>
      <c r="L585" s="16"/>
      <c r="M585" s="19" t="s">
        <v>5025</v>
      </c>
      <c r="N585" s="19" t="s">
        <v>5026</v>
      </c>
      <c r="O585" s="5">
        <v>0.0</v>
      </c>
      <c r="P585" s="16"/>
    </row>
    <row r="586" ht="22.5" customHeight="1">
      <c r="A586" s="138" t="s">
        <v>637</v>
      </c>
      <c r="B586" s="16" t="str">
        <f>IF(A586="","",IFERROR(VLOOKUP(A586, Stock_New!A:M, 2, FALSE),""))</f>
        <v>سيلفرات</v>
      </c>
      <c r="C586" s="236">
        <v>1.0</v>
      </c>
      <c r="D586" s="16" t="str">
        <f>IF(A586="","",IFERROR(VLOOKUP(A586, Stock_New!A:M, 3, FALSE),""))</f>
        <v>سنتر محمد رشدي</v>
      </c>
      <c r="E586" s="16">
        <f>IF($A586="", "", IFERROR(VLOOKUP($A586, Stock_New!$A:$M, 6, FALSE), ""))</f>
        <v>200.4</v>
      </c>
      <c r="F586" s="239">
        <v>205.0</v>
      </c>
      <c r="G586" s="240"/>
      <c r="H586" s="33">
        <v>205.0</v>
      </c>
      <c r="I586" s="238">
        <v>46090.0</v>
      </c>
      <c r="J586" s="5" t="s">
        <v>72</v>
      </c>
      <c r="K586" s="5" t="s">
        <v>2833</v>
      </c>
      <c r="L586" s="16"/>
      <c r="M586" s="19" t="s">
        <v>5025</v>
      </c>
      <c r="N586" s="19" t="s">
        <v>5026</v>
      </c>
      <c r="O586" s="5">
        <v>0.0</v>
      </c>
      <c r="P586" s="16"/>
    </row>
    <row r="587" ht="22.5" customHeight="1">
      <c r="A587" s="138" t="s">
        <v>255</v>
      </c>
      <c r="B587" s="16" t="str">
        <f>IF(A587="","",IFERROR(VLOOKUP(A587, Stock_New!A:M, 2, FALSE),""))</f>
        <v>بوتات</v>
      </c>
      <c r="C587" s="236">
        <v>2.0</v>
      </c>
      <c r="D587" s="16" t="str">
        <f>IF(A587="","",IFERROR(VLOOKUP(A587, Stock_New!A:M, 3, FALSE),""))</f>
        <v>manufactured</v>
      </c>
      <c r="E587" s="16">
        <f>IF($A587="", "", IFERROR(VLOOKUP($A587, Stock_New!$A:$M, 6, FALSE), ""))</f>
        <v>27.3</v>
      </c>
      <c r="F587" s="239">
        <v>50.0</v>
      </c>
      <c r="G587" s="240"/>
      <c r="H587" s="33">
        <v>100.0</v>
      </c>
      <c r="I587" s="238">
        <v>46090.0</v>
      </c>
      <c r="J587" s="5" t="s">
        <v>72</v>
      </c>
      <c r="K587" s="5" t="s">
        <v>2837</v>
      </c>
      <c r="L587" s="16"/>
      <c r="M587" s="19" t="s">
        <v>5025</v>
      </c>
      <c r="N587" s="19" t="s">
        <v>5026</v>
      </c>
      <c r="O587" s="5">
        <v>0.0</v>
      </c>
      <c r="P587" s="16"/>
    </row>
    <row r="588" ht="22.5" customHeight="1">
      <c r="A588" s="138" t="s">
        <v>918</v>
      </c>
      <c r="B588" s="16" t="str">
        <f>IF(A588="","",IFERROR(VLOOKUP(A588, Stock_New!A:M, 2, FALSE),""))</f>
        <v/>
      </c>
      <c r="C588" s="236">
        <v>2.0</v>
      </c>
      <c r="D588" s="16" t="str">
        <f>IF(A588="","",IFERROR(VLOOKUP(A588, Stock_New!A:M, 3, FALSE),""))</f>
        <v/>
      </c>
      <c r="E588" s="16" t="str">
        <f>IF($A588="", "", IFERROR(VLOOKUP($A588, Stock_New!$A:$M, 6, FALSE), ""))</f>
        <v/>
      </c>
      <c r="F588" s="239">
        <v>170.0</v>
      </c>
      <c r="G588" s="240"/>
      <c r="H588" s="33">
        <v>340.0</v>
      </c>
      <c r="I588" s="238">
        <v>46090.0</v>
      </c>
      <c r="J588" s="5" t="s">
        <v>72</v>
      </c>
      <c r="K588" s="5" t="s">
        <v>2839</v>
      </c>
      <c r="L588" s="16"/>
      <c r="M588" s="19" t="s">
        <v>5025</v>
      </c>
      <c r="N588" s="19" t="s">
        <v>5026</v>
      </c>
      <c r="O588" s="5">
        <v>0.0</v>
      </c>
      <c r="P588" s="16"/>
    </row>
    <row r="589" ht="22.5" customHeight="1">
      <c r="A589" s="138" t="s">
        <v>898</v>
      </c>
      <c r="B589" s="16" t="str">
        <f>IF(A589="","",IFERROR(VLOOKUP(A589, Stock_New!A:M, 2, FALSE),""))</f>
        <v/>
      </c>
      <c r="C589" s="236">
        <v>8.0</v>
      </c>
      <c r="D589" s="16" t="str">
        <f>IF(A589="","",IFERROR(VLOOKUP(A589, Stock_New!A:M, 3, FALSE),""))</f>
        <v/>
      </c>
      <c r="E589" s="16" t="str">
        <f>IF($A589="", "", IFERROR(VLOOKUP($A589, Stock_New!$A:$M, 6, FALSE), ""))</f>
        <v/>
      </c>
      <c r="F589" s="239">
        <v>20.0</v>
      </c>
      <c r="G589" s="240"/>
      <c r="H589" s="33">
        <v>160.0</v>
      </c>
      <c r="I589" s="238">
        <v>46090.0</v>
      </c>
      <c r="J589" s="5" t="s">
        <v>72</v>
      </c>
      <c r="K589" s="5" t="s">
        <v>2843</v>
      </c>
      <c r="L589" s="16"/>
      <c r="M589" s="19" t="s">
        <v>5025</v>
      </c>
      <c r="N589" s="19" t="s">
        <v>5026</v>
      </c>
      <c r="O589" s="5">
        <v>0.0</v>
      </c>
      <c r="P589" s="16"/>
    </row>
    <row r="590" ht="22.5" customHeight="1">
      <c r="A590" s="138" t="s">
        <v>334</v>
      </c>
      <c r="B590" s="16" t="str">
        <f>IF(A590="","",IFERROR(VLOOKUP(A590, Stock_New!A:M, 2, FALSE),""))</f>
        <v>ميكاب</v>
      </c>
      <c r="C590" s="236">
        <v>1.0</v>
      </c>
      <c r="D590" s="16" t="str">
        <f>IF(A590="","",IFERROR(VLOOKUP(A590, Stock_New!A:M, 3, FALSE),""))</f>
        <v>سنتر محمد رشدي</v>
      </c>
      <c r="E590" s="16">
        <f>IF($A590="", "", IFERROR(VLOOKUP($A590, Stock_New!$A:$M, 6, FALSE), ""))</f>
        <v>306</v>
      </c>
      <c r="F590" s="239">
        <v>350.0</v>
      </c>
      <c r="G590" s="240"/>
      <c r="H590" s="33">
        <v>350.0</v>
      </c>
      <c r="I590" s="238">
        <v>46090.0</v>
      </c>
      <c r="J590" s="5" t="s">
        <v>72</v>
      </c>
      <c r="K590" s="5" t="s">
        <v>2845</v>
      </c>
      <c r="L590" s="16"/>
      <c r="M590" s="19"/>
      <c r="N590" s="16"/>
      <c r="O590" s="16"/>
      <c r="P590" s="16"/>
    </row>
    <row r="591" ht="22.5" customHeight="1">
      <c r="A591" s="138" t="s">
        <v>194</v>
      </c>
      <c r="B591" s="16" t="str">
        <f>IF(A591="","",IFERROR(VLOOKUP(A591, Stock_New!A:M, 2, FALSE),""))</f>
        <v>بوتات</v>
      </c>
      <c r="C591" s="236">
        <v>1.0</v>
      </c>
      <c r="D591" s="16" t="str">
        <f>IF(A591="","",IFERROR(VLOOKUP(A591, Stock_New!A:M, 3, FALSE),""))</f>
        <v>ذكريا</v>
      </c>
      <c r="E591" s="16">
        <f>IF($A591="", "", IFERROR(VLOOKUP($A591, Stock_New!$A:$M, 6, FALSE), ""))</f>
        <v>197</v>
      </c>
      <c r="F591" s="239">
        <v>200.0</v>
      </c>
      <c r="G591" s="240"/>
      <c r="H591" s="33">
        <v>200.0</v>
      </c>
      <c r="I591" s="238">
        <v>46090.0</v>
      </c>
      <c r="J591" s="5" t="s">
        <v>72</v>
      </c>
      <c r="K591" s="5" t="s">
        <v>2849</v>
      </c>
      <c r="L591" s="16"/>
      <c r="M591" s="19"/>
      <c r="N591" s="16"/>
      <c r="O591" s="16"/>
      <c r="P591" s="16"/>
    </row>
    <row r="592" ht="22.5" customHeight="1">
      <c r="A592" s="138" t="s">
        <v>356</v>
      </c>
      <c r="B592" s="16" t="str">
        <f>IF(A592="","",IFERROR(VLOOKUP(A592, Stock_New!A:M, 2, FALSE),""))</f>
        <v>ورد لوحدة</v>
      </c>
      <c r="C592" s="236">
        <v>2.0</v>
      </c>
      <c r="D592" s="16" t="str">
        <f>IF(A592="","",IFERROR(VLOOKUP(A592, Stock_New!A:M, 3, FALSE),""))</f>
        <v>شركة الفرسان</v>
      </c>
      <c r="E592" s="16">
        <f>IF($A592="", "", IFERROR(VLOOKUP($A592, Stock_New!$A:$M, 6, FALSE), ""))</f>
        <v>102</v>
      </c>
      <c r="F592" s="239">
        <v>100.0</v>
      </c>
      <c r="G592" s="240"/>
      <c r="H592" s="33">
        <v>200.0</v>
      </c>
      <c r="I592" s="238">
        <v>46090.0</v>
      </c>
      <c r="J592" s="5" t="s">
        <v>72</v>
      </c>
      <c r="K592" s="5" t="s">
        <v>2851</v>
      </c>
      <c r="L592" s="16"/>
      <c r="M592" s="19"/>
      <c r="N592" s="16"/>
      <c r="O592" s="16"/>
      <c r="P592" s="16"/>
    </row>
    <row r="593" ht="22.5" customHeight="1">
      <c r="A593" s="138" t="s">
        <v>898</v>
      </c>
      <c r="B593" s="16" t="str">
        <f>IF(A593="","",IFERROR(VLOOKUP(A593, Stock_New!A:M, 2, FALSE),""))</f>
        <v/>
      </c>
      <c r="C593" s="236">
        <v>3.0</v>
      </c>
      <c r="D593" s="16" t="str">
        <f>IF(A593="","",IFERROR(VLOOKUP(A593, Stock_New!A:M, 3, FALSE),""))</f>
        <v/>
      </c>
      <c r="E593" s="16" t="str">
        <f>IF($A593="", "", IFERROR(VLOOKUP($A593, Stock_New!$A:$M, 6, FALSE), ""))</f>
        <v/>
      </c>
      <c r="F593" s="239">
        <v>25.0</v>
      </c>
      <c r="G593" s="240"/>
      <c r="H593" s="33">
        <v>75.0</v>
      </c>
      <c r="I593" s="238">
        <v>46090.0</v>
      </c>
      <c r="J593" s="5" t="s">
        <v>72</v>
      </c>
      <c r="K593" s="5" t="s">
        <v>2853</v>
      </c>
      <c r="L593" s="16"/>
      <c r="M593" s="19"/>
      <c r="N593" s="16"/>
      <c r="O593" s="16"/>
      <c r="P593" s="16"/>
    </row>
    <row r="594" ht="22.5" customHeight="1">
      <c r="A594" s="138" t="s">
        <v>918</v>
      </c>
      <c r="B594" s="16" t="str">
        <f>IF(A594="","",IFERROR(VLOOKUP(A594, Stock_New!A:M, 2, FALSE),""))</f>
        <v/>
      </c>
      <c r="C594" s="236">
        <v>1.0</v>
      </c>
      <c r="D594" s="16" t="str">
        <f>IF(A594="","",IFERROR(VLOOKUP(A594, Stock_New!A:M, 3, FALSE),""))</f>
        <v/>
      </c>
      <c r="E594" s="16" t="str">
        <f>IF($A594="", "", IFERROR(VLOOKUP($A594, Stock_New!$A:$M, 6, FALSE), ""))</f>
        <v/>
      </c>
      <c r="F594" s="239">
        <v>170.0</v>
      </c>
      <c r="G594" s="240"/>
      <c r="H594" s="33">
        <v>170.0</v>
      </c>
      <c r="I594" s="238">
        <v>46090.0</v>
      </c>
      <c r="J594" s="5" t="s">
        <v>72</v>
      </c>
      <c r="K594" s="5" t="s">
        <v>2854</v>
      </c>
      <c r="L594" s="16"/>
      <c r="M594" s="19"/>
      <c r="N594" s="16"/>
      <c r="O594" s="16"/>
      <c r="P594" s="16"/>
    </row>
    <row r="595" ht="22.5" customHeight="1">
      <c r="A595" s="138" t="s">
        <v>255</v>
      </c>
      <c r="B595" s="16" t="str">
        <f>IF(A595="","",IFERROR(VLOOKUP(A595, Stock_New!A:M, 2, FALSE),""))</f>
        <v>بوتات</v>
      </c>
      <c r="C595" s="236">
        <v>1.0</v>
      </c>
      <c r="D595" s="16" t="str">
        <f>IF(A595="","",IFERROR(VLOOKUP(A595, Stock_New!A:M, 3, FALSE),""))</f>
        <v>manufactured</v>
      </c>
      <c r="E595" s="16">
        <f>IF($A595="", "", IFERROR(VLOOKUP($A595, Stock_New!$A:$M, 6, FALSE), ""))</f>
        <v>27.3</v>
      </c>
      <c r="F595" s="239">
        <v>50.0</v>
      </c>
      <c r="G595" s="240"/>
      <c r="H595" s="33">
        <v>50.0</v>
      </c>
      <c r="I595" s="238">
        <v>46090.0</v>
      </c>
      <c r="J595" s="5" t="s">
        <v>72</v>
      </c>
      <c r="K595" s="5" t="s">
        <v>2855</v>
      </c>
      <c r="L595" s="16"/>
      <c r="M595" s="19"/>
      <c r="N595" s="16"/>
      <c r="O595" s="16"/>
      <c r="P595" s="16"/>
    </row>
    <row r="596" ht="22.5" customHeight="1">
      <c r="A596" s="138" t="s">
        <v>159</v>
      </c>
      <c r="B596" s="16" t="str">
        <f>IF(A596="","",IFERROR(VLOOKUP(A596, Stock_New!A:M, 2, FALSE),""))</f>
        <v>شجر</v>
      </c>
      <c r="C596" s="236">
        <v>1.0</v>
      </c>
      <c r="D596" s="16" t="str">
        <f>IF(A596="","",IFERROR(VLOOKUP(A596, Stock_New!A:M, 3, FALSE),""))</f>
        <v>شركة حسين علي</v>
      </c>
      <c r="E596" s="16">
        <f>IF($A596="", "", IFERROR(VLOOKUP($A596, Stock_New!$A:$M, 6, FALSE), ""))</f>
        <v>280</v>
      </c>
      <c r="F596" s="239">
        <v>270.0</v>
      </c>
      <c r="G596" s="240"/>
      <c r="H596" s="33">
        <v>270.0</v>
      </c>
      <c r="I596" s="238">
        <v>46090.0</v>
      </c>
      <c r="J596" s="5" t="s">
        <v>72</v>
      </c>
      <c r="K596" s="5" t="s">
        <v>2856</v>
      </c>
      <c r="L596" s="16"/>
      <c r="M596" s="19"/>
      <c r="N596" s="16"/>
      <c r="O596" s="16"/>
      <c r="P596" s="16"/>
    </row>
    <row r="597" ht="22.5" customHeight="1">
      <c r="A597" s="138" t="s">
        <v>91</v>
      </c>
      <c r="B597" s="16" t="str">
        <f>IF(A597="","",IFERROR(VLOOKUP(A597, Stock_New!A:M, 2, FALSE),""))</f>
        <v>بوتات</v>
      </c>
      <c r="C597" s="236">
        <v>1.0</v>
      </c>
      <c r="D597" s="16" t="str">
        <f>IF(A597="","",IFERROR(VLOOKUP(A597, Stock_New!A:M, 3, FALSE),""))</f>
        <v>عبدالفتاح</v>
      </c>
      <c r="E597" s="16">
        <f>IF($A597="", "", IFERROR(VLOOKUP($A597, Stock_New!$A:$M, 6, FALSE), ""))</f>
        <v>42</v>
      </c>
      <c r="F597" s="239">
        <v>50.0</v>
      </c>
      <c r="G597" s="240"/>
      <c r="H597" s="33">
        <v>50.0</v>
      </c>
      <c r="I597" s="238">
        <v>46090.0</v>
      </c>
      <c r="J597" s="5" t="s">
        <v>72</v>
      </c>
      <c r="K597" s="5" t="s">
        <v>2859</v>
      </c>
      <c r="L597" s="16"/>
      <c r="M597" s="19"/>
      <c r="N597" s="16"/>
      <c r="O597" s="16"/>
      <c r="P597" s="16"/>
    </row>
    <row r="598" ht="22.5" customHeight="1">
      <c r="A598" s="138" t="s">
        <v>933</v>
      </c>
      <c r="B598" s="16" t="str">
        <f>IF(A598="","",IFERROR(VLOOKUP(A598, Stock_New!A:M, 2, FALSE),""))</f>
        <v>بوتات</v>
      </c>
      <c r="C598" s="236">
        <v>1.0</v>
      </c>
      <c r="D598" s="16" t="str">
        <f>IF(A598="","",IFERROR(VLOOKUP(A598, Stock_New!A:M, 3, FALSE),""))</f>
        <v>عبدالفتاح</v>
      </c>
      <c r="E598" s="16">
        <f>IF($A598="", "", IFERROR(VLOOKUP($A598, Stock_New!$A:$M, 6, FALSE), ""))</f>
        <v>12</v>
      </c>
      <c r="F598" s="239">
        <v>15.0</v>
      </c>
      <c r="G598" s="240"/>
      <c r="H598" s="33">
        <v>15.0</v>
      </c>
      <c r="I598" s="238">
        <v>46090.0</v>
      </c>
      <c r="J598" s="5" t="s">
        <v>72</v>
      </c>
      <c r="K598" s="5" t="s">
        <v>2863</v>
      </c>
      <c r="L598" s="16"/>
      <c r="M598" s="19"/>
      <c r="N598" s="16"/>
      <c r="O598" s="16"/>
      <c r="P598" s="16"/>
    </row>
    <row r="599" ht="22.5" customHeight="1">
      <c r="A599" s="138" t="s">
        <v>356</v>
      </c>
      <c r="B599" s="16" t="str">
        <f>IF(A599="","",IFERROR(VLOOKUP(A599, Stock_New!A:M, 2, FALSE),""))</f>
        <v>ورد لوحدة</v>
      </c>
      <c r="C599" s="236">
        <v>2.0</v>
      </c>
      <c r="D599" s="16" t="str">
        <f>IF(A599="","",IFERROR(VLOOKUP(A599, Stock_New!A:M, 3, FALSE),""))</f>
        <v>شركة الفرسان</v>
      </c>
      <c r="E599" s="16">
        <f>IF($A599="", "", IFERROR(VLOOKUP($A599, Stock_New!$A:$M, 6, FALSE), ""))</f>
        <v>102</v>
      </c>
      <c r="F599" s="239">
        <v>90.0</v>
      </c>
      <c r="G599" s="240"/>
      <c r="H599" s="33">
        <v>180.0</v>
      </c>
      <c r="I599" s="238">
        <v>46091.0</v>
      </c>
      <c r="J599" s="5" t="s">
        <v>72</v>
      </c>
      <c r="K599" s="5" t="s">
        <v>2867</v>
      </c>
      <c r="L599" s="16"/>
      <c r="M599" s="19"/>
      <c r="N599" s="16"/>
      <c r="O599" s="16"/>
      <c r="P599" s="16"/>
    </row>
    <row r="600" ht="22.5" customHeight="1">
      <c r="A600" s="138" t="s">
        <v>309</v>
      </c>
      <c r="B600" s="16" t="str">
        <f>IF(A600="","",IFERROR(VLOOKUP(A600, Stock_New!A:M, 2, FALSE),""))</f>
        <v>بوتات</v>
      </c>
      <c r="C600" s="236">
        <v>1.0</v>
      </c>
      <c r="D600" s="16" t="str">
        <f>IF(A600="","",IFERROR(VLOOKUP(A600, Stock_New!A:M, 3, FALSE),""))</f>
        <v>شركة حسين علي</v>
      </c>
      <c r="E600" s="16">
        <f>IF($A600="", "", IFERROR(VLOOKUP($A600, Stock_New!$A:$M, 6, FALSE), ""))</f>
        <v>24</v>
      </c>
      <c r="F600" s="239">
        <v>20.0</v>
      </c>
      <c r="G600" s="240"/>
      <c r="H600" s="33">
        <v>20.0</v>
      </c>
      <c r="I600" s="238">
        <v>46091.0</v>
      </c>
      <c r="J600" s="5" t="s">
        <v>72</v>
      </c>
      <c r="K600" s="5" t="s">
        <v>2869</v>
      </c>
      <c r="L600" s="16"/>
      <c r="M600" s="19"/>
      <c r="N600" s="16"/>
      <c r="O600" s="16"/>
      <c r="P600" s="16"/>
    </row>
    <row r="601" ht="22.5" customHeight="1">
      <c r="A601" s="138" t="s">
        <v>220</v>
      </c>
      <c r="B601" s="16" t="str">
        <f>IF(A601="","",IFERROR(VLOOKUP(A601, Stock_New!A:M, 2, FALSE),""))</f>
        <v>ورد لوحدة</v>
      </c>
      <c r="C601" s="236">
        <v>1.0</v>
      </c>
      <c r="D601" s="16" t="str">
        <f>IF(A601="","",IFERROR(VLOOKUP(A601, Stock_New!A:M, 3, FALSE),""))</f>
        <v>شركة الفرسان</v>
      </c>
      <c r="E601" s="16">
        <f>IF($A601="", "", IFERROR(VLOOKUP($A601, Stock_New!$A:$M, 6, FALSE), ""))</f>
        <v>102</v>
      </c>
      <c r="F601" s="239">
        <v>140.0</v>
      </c>
      <c r="G601" s="240"/>
      <c r="H601" s="33">
        <v>140.0</v>
      </c>
      <c r="I601" s="238">
        <v>46091.0</v>
      </c>
      <c r="J601" s="5" t="s">
        <v>72</v>
      </c>
      <c r="K601" s="5" t="s">
        <v>2873</v>
      </c>
      <c r="L601" s="16"/>
      <c r="M601" s="19"/>
      <c r="N601" s="16"/>
      <c r="O601" s="16"/>
      <c r="P601" s="16"/>
    </row>
    <row r="602" ht="22.5" customHeight="1">
      <c r="A602" s="138" t="s">
        <v>255</v>
      </c>
      <c r="B602" s="16" t="str">
        <f>IF(A602="","",IFERROR(VLOOKUP(A602, Stock_New!A:M, 2, FALSE),""))</f>
        <v>بوتات</v>
      </c>
      <c r="C602" s="236">
        <v>1.0</v>
      </c>
      <c r="D602" s="16" t="str">
        <f>IF(A602="","",IFERROR(VLOOKUP(A602, Stock_New!A:M, 3, FALSE),""))</f>
        <v>manufactured</v>
      </c>
      <c r="E602" s="16">
        <f>IF($A602="", "", IFERROR(VLOOKUP($A602, Stock_New!$A:$M, 6, FALSE), ""))</f>
        <v>27.3</v>
      </c>
      <c r="F602" s="239">
        <v>40.0</v>
      </c>
      <c r="G602" s="240"/>
      <c r="H602" s="33">
        <v>40.0</v>
      </c>
      <c r="I602" s="238">
        <v>46091.0</v>
      </c>
      <c r="J602" s="5" t="s">
        <v>72</v>
      </c>
      <c r="K602" s="5" t="s">
        <v>2874</v>
      </c>
      <c r="L602" s="16"/>
      <c r="M602" s="19"/>
      <c r="N602" s="16"/>
      <c r="O602" s="16"/>
      <c r="P602" s="16"/>
    </row>
    <row r="603" ht="22.5" customHeight="1">
      <c r="A603" s="138" t="s">
        <v>941</v>
      </c>
      <c r="B603" s="16" t="str">
        <f>IF(A603="","",IFERROR(VLOOKUP(A603, Stock_New!A:M, 2, FALSE),""))</f>
        <v>بوكيه</v>
      </c>
      <c r="C603" s="236">
        <v>3.0</v>
      </c>
      <c r="D603" s="16" t="str">
        <f>IF(A603="","",IFERROR(VLOOKUP(A603, Stock_New!A:M, 3, FALSE),""))</f>
        <v>manufactured</v>
      </c>
      <c r="E603" s="16">
        <f>IF($A603="", "", IFERROR(VLOOKUP($A603, Stock_New!$A:$M, 6, FALSE), ""))</f>
        <v>13.5</v>
      </c>
      <c r="F603" s="239">
        <v>20.0</v>
      </c>
      <c r="G603" s="240"/>
      <c r="H603" s="33">
        <v>60.0</v>
      </c>
      <c r="I603" s="238">
        <v>46091.0</v>
      </c>
      <c r="J603" s="5" t="s">
        <v>72</v>
      </c>
      <c r="K603" s="5" t="s">
        <v>2876</v>
      </c>
      <c r="L603" s="16"/>
      <c r="M603" s="19"/>
      <c r="N603" s="16"/>
      <c r="O603" s="16"/>
      <c r="P603" s="16"/>
    </row>
    <row r="604" ht="22.5" customHeight="1">
      <c r="A604" s="138" t="s">
        <v>858</v>
      </c>
      <c r="B604" s="16" t="str">
        <f>IF(A604="","",IFERROR(VLOOKUP(A604, Stock_New!A:M, 2, FALSE),""))</f>
        <v>بوكيه</v>
      </c>
      <c r="C604" s="236">
        <v>2.0</v>
      </c>
      <c r="D604" s="16" t="str">
        <f>IF(A604="","",IFERROR(VLOOKUP(A604, Stock_New!A:M, 3, FALSE),""))</f>
        <v>manufactured</v>
      </c>
      <c r="E604" s="16">
        <f>IF($A604="", "", IFERROR(VLOOKUP($A604, Stock_New!$A:$M, 6, FALSE), ""))</f>
        <v>13.01428571</v>
      </c>
      <c r="F604" s="239">
        <v>25.0</v>
      </c>
      <c r="G604" s="240"/>
      <c r="H604" s="33">
        <v>50.0</v>
      </c>
      <c r="I604" s="238">
        <v>46091.0</v>
      </c>
      <c r="J604" s="5" t="s">
        <v>72</v>
      </c>
      <c r="K604" s="5" t="s">
        <v>2881</v>
      </c>
      <c r="L604" s="16"/>
      <c r="M604" s="19"/>
      <c r="N604" s="16"/>
      <c r="O604" s="16"/>
      <c r="P604" s="16"/>
    </row>
    <row r="605" ht="22.5" customHeight="1">
      <c r="A605" s="138" t="s">
        <v>858</v>
      </c>
      <c r="B605" s="16" t="str">
        <f>IF(A605="","",IFERROR(VLOOKUP(A605, Stock_New!A:M, 2, FALSE),""))</f>
        <v>بوكيه</v>
      </c>
      <c r="C605" s="236">
        <v>1.0</v>
      </c>
      <c r="D605" s="16" t="str">
        <f>IF(A605="","",IFERROR(VLOOKUP(A605, Stock_New!A:M, 3, FALSE),""))</f>
        <v>manufactured</v>
      </c>
      <c r="E605" s="16">
        <f>IF($A605="", "", IFERROR(VLOOKUP($A605, Stock_New!$A:$M, 6, FALSE), ""))</f>
        <v>13.01428571</v>
      </c>
      <c r="F605" s="239">
        <v>25.0</v>
      </c>
      <c r="G605" s="240"/>
      <c r="H605" s="33">
        <v>25.0</v>
      </c>
      <c r="I605" s="238">
        <v>46091.0</v>
      </c>
      <c r="J605" s="5" t="s">
        <v>72</v>
      </c>
      <c r="K605" s="5" t="s">
        <v>2882</v>
      </c>
      <c r="L605" s="16"/>
      <c r="M605" s="19"/>
      <c r="N605" s="16"/>
      <c r="O605" s="16"/>
      <c r="P605" s="16"/>
    </row>
    <row r="606" ht="22.5" customHeight="1">
      <c r="A606" s="138" t="s">
        <v>330</v>
      </c>
      <c r="B606" s="16" t="str">
        <f>IF(A606="","",IFERROR(VLOOKUP(A606, Stock_New!A:M, 2, FALSE),""))</f>
        <v>بوكيه</v>
      </c>
      <c r="C606" s="236">
        <v>1.0</v>
      </c>
      <c r="D606" s="16" t="str">
        <f>IF(A606="","",IFERROR(VLOOKUP(A606, Stock_New!A:M, 3, FALSE),""))</f>
        <v>manufactured</v>
      </c>
      <c r="E606" s="16">
        <f>IF($A606="", "", IFERROR(VLOOKUP($A606, Stock_New!$A:$M, 6, FALSE), ""))</f>
        <v>31</v>
      </c>
      <c r="F606" s="239">
        <v>50.0</v>
      </c>
      <c r="G606" s="240"/>
      <c r="H606" s="33">
        <v>50.0</v>
      </c>
      <c r="I606" s="238">
        <v>46091.0</v>
      </c>
      <c r="J606" s="5" t="s">
        <v>72</v>
      </c>
      <c r="K606" s="5" t="s">
        <v>2884</v>
      </c>
      <c r="L606" s="16"/>
      <c r="M606" s="19"/>
      <c r="N606" s="16"/>
      <c r="O606" s="16"/>
      <c r="P606" s="16"/>
    </row>
    <row r="607" ht="22.5" customHeight="1">
      <c r="A607" s="138" t="s">
        <v>593</v>
      </c>
      <c r="B607" s="16" t="str">
        <f>IF(A607="","",IFERROR(VLOOKUP(A607, Stock_New!A:M, 2, FALSE),""))</f>
        <v>مزرعة</v>
      </c>
      <c r="C607" s="236">
        <v>1.0</v>
      </c>
      <c r="D607" s="16" t="str">
        <f>IF(A607="","",IFERROR(VLOOKUP(A607, Stock_New!A:M, 3, FALSE),""))</f>
        <v>شركة الفرسان</v>
      </c>
      <c r="E607" s="16">
        <f>IF($A607="", "", IFERROR(VLOOKUP($A607, Stock_New!$A:$M, 6, FALSE), ""))</f>
        <v>66</v>
      </c>
      <c r="F607" s="239">
        <v>80.0</v>
      </c>
      <c r="G607" s="240"/>
      <c r="H607" s="33">
        <v>80.0</v>
      </c>
      <c r="I607" s="238">
        <v>46092.0</v>
      </c>
      <c r="J607" s="5" t="s">
        <v>72</v>
      </c>
      <c r="K607" s="5" t="s">
        <v>2885</v>
      </c>
      <c r="L607" s="16"/>
      <c r="M607" s="19" t="s">
        <v>5105</v>
      </c>
      <c r="N607" s="10" t="s">
        <v>5106</v>
      </c>
      <c r="O607" s="19" t="s">
        <v>5107</v>
      </c>
      <c r="P607" s="16"/>
    </row>
    <row r="608" ht="22.5" customHeight="1">
      <c r="A608" s="138" t="s">
        <v>159</v>
      </c>
      <c r="B608" s="16" t="str">
        <f>IF(A608="","",IFERROR(VLOOKUP(A608, Stock_New!A:M, 2, FALSE),""))</f>
        <v>شجر</v>
      </c>
      <c r="C608" s="236">
        <v>1.0</v>
      </c>
      <c r="D608" s="16" t="str">
        <f>IF(A608="","",IFERROR(VLOOKUP(A608, Stock_New!A:M, 3, FALSE),""))</f>
        <v>شركة حسين علي</v>
      </c>
      <c r="E608" s="16">
        <f>IF($A608="", "", IFERROR(VLOOKUP($A608, Stock_New!$A:$M, 6, FALSE), ""))</f>
        <v>280</v>
      </c>
      <c r="F608" s="239">
        <v>280.0</v>
      </c>
      <c r="G608" s="240"/>
      <c r="H608" s="33">
        <v>280.0</v>
      </c>
      <c r="I608" s="238">
        <v>46092.0</v>
      </c>
      <c r="J608" s="5" t="s">
        <v>72</v>
      </c>
      <c r="K608" s="5" t="s">
        <v>2888</v>
      </c>
      <c r="L608" s="16"/>
      <c r="M608" s="19" t="s">
        <v>5105</v>
      </c>
      <c r="N608" s="10" t="s">
        <v>5106</v>
      </c>
      <c r="O608" s="19" t="s">
        <v>5107</v>
      </c>
      <c r="P608" s="16"/>
    </row>
    <row r="609" ht="22.5" customHeight="1">
      <c r="A609" s="138" t="s">
        <v>91</v>
      </c>
      <c r="B609" s="16" t="str">
        <f>IF(A609="","",IFERROR(VLOOKUP(A609, Stock_New!A:M, 2, FALSE),""))</f>
        <v>بوتات</v>
      </c>
      <c r="C609" s="236">
        <v>1.0</v>
      </c>
      <c r="D609" s="16" t="str">
        <f>IF(A609="","",IFERROR(VLOOKUP(A609, Stock_New!A:M, 3, FALSE),""))</f>
        <v>عبدالفتاح</v>
      </c>
      <c r="E609" s="16">
        <f>IF($A609="", "", IFERROR(VLOOKUP($A609, Stock_New!$A:$M, 6, FALSE), ""))</f>
        <v>42</v>
      </c>
      <c r="F609" s="239">
        <v>50.0</v>
      </c>
      <c r="G609" s="240"/>
      <c r="H609" s="33">
        <v>50.0</v>
      </c>
      <c r="I609" s="238">
        <v>46092.0</v>
      </c>
      <c r="J609" s="5" t="s">
        <v>72</v>
      </c>
      <c r="K609" s="5" t="s">
        <v>2889</v>
      </c>
      <c r="L609" s="16"/>
      <c r="M609" s="19" t="s">
        <v>5105</v>
      </c>
      <c r="N609" s="10" t="s">
        <v>5106</v>
      </c>
      <c r="O609" s="19" t="s">
        <v>5107</v>
      </c>
      <c r="P609" s="16"/>
    </row>
    <row r="610" ht="22.5" customHeight="1">
      <c r="A610" s="138" t="s">
        <v>933</v>
      </c>
      <c r="B610" s="16" t="str">
        <f>IF(A610="","",IFERROR(VLOOKUP(A610, Stock_New!A:M, 2, FALSE),""))</f>
        <v>بوتات</v>
      </c>
      <c r="C610" s="236">
        <v>1.0</v>
      </c>
      <c r="D610" s="16" t="str">
        <f>IF(A610="","",IFERROR(VLOOKUP(A610, Stock_New!A:M, 3, FALSE),""))</f>
        <v>عبدالفتاح</v>
      </c>
      <c r="E610" s="16">
        <f>IF($A610="", "", IFERROR(VLOOKUP($A610, Stock_New!$A:$M, 6, FALSE), ""))</f>
        <v>12</v>
      </c>
      <c r="F610" s="239">
        <v>20.0</v>
      </c>
      <c r="G610" s="240"/>
      <c r="H610" s="33">
        <v>20.0</v>
      </c>
      <c r="I610" s="238">
        <v>46092.0</v>
      </c>
      <c r="J610" s="5" t="s">
        <v>72</v>
      </c>
      <c r="K610" s="5" t="s">
        <v>2890</v>
      </c>
      <c r="L610" s="16"/>
      <c r="M610" s="19" t="s">
        <v>5105</v>
      </c>
      <c r="N610" s="10" t="s">
        <v>5106</v>
      </c>
      <c r="O610" s="19" t="s">
        <v>5107</v>
      </c>
      <c r="P610" s="16"/>
    </row>
    <row r="611" ht="22.5" customHeight="1">
      <c r="A611" s="138" t="s">
        <v>699</v>
      </c>
      <c r="B611" s="16" t="str">
        <f>IF(A611="","",IFERROR(VLOOKUP(A611, Stock_New!A:M, 2, FALSE),""))</f>
        <v>بوكيه</v>
      </c>
      <c r="C611" s="236">
        <v>1.0</v>
      </c>
      <c r="D611" s="16" t="str">
        <f>IF(A611="","",IFERROR(VLOOKUP(A611, Stock_New!A:M, 3, FALSE),""))</f>
        <v>manufactured</v>
      </c>
      <c r="E611" s="16">
        <f>IF($A611="", "", IFERROR(VLOOKUP($A611, Stock_New!$A:$M, 6, FALSE), ""))</f>
        <v>24</v>
      </c>
      <c r="F611" s="239">
        <v>30.0</v>
      </c>
      <c r="G611" s="240"/>
      <c r="H611" s="33">
        <v>30.0</v>
      </c>
      <c r="I611" s="238">
        <v>46092.0</v>
      </c>
      <c r="J611" s="5" t="s">
        <v>72</v>
      </c>
      <c r="K611" s="5" t="s">
        <v>2893</v>
      </c>
      <c r="L611" s="16"/>
      <c r="M611" s="19" t="s">
        <v>5105</v>
      </c>
      <c r="N611" s="10" t="s">
        <v>5106</v>
      </c>
      <c r="O611" s="19" t="s">
        <v>5107</v>
      </c>
      <c r="P611" s="16"/>
    </row>
    <row r="612" ht="22.5" customHeight="1">
      <c r="A612" s="138" t="s">
        <v>902</v>
      </c>
      <c r="B612" s="16" t="str">
        <f>IF(A612="","",IFERROR(VLOOKUP(A612, Stock_New!A:M, 2, FALSE),""))</f>
        <v>خشب</v>
      </c>
      <c r="C612" s="236">
        <v>1.0</v>
      </c>
      <c r="D612" s="16" t="str">
        <f>IF(A612="","",IFERROR(VLOOKUP(A612, Stock_New!A:M, 3, FALSE),""))</f>
        <v>شركة حسين علي</v>
      </c>
      <c r="E612" s="16">
        <f>IF($A612="", "", IFERROR(VLOOKUP($A612, Stock_New!$A:$M, 6, FALSE), ""))</f>
        <v>108.35</v>
      </c>
      <c r="F612" s="239">
        <v>100.0</v>
      </c>
      <c r="G612" s="240"/>
      <c r="H612" s="33">
        <v>100.0</v>
      </c>
      <c r="I612" s="238">
        <v>46092.0</v>
      </c>
      <c r="J612" s="5" t="s">
        <v>72</v>
      </c>
      <c r="K612" s="5" t="s">
        <v>2895</v>
      </c>
      <c r="L612" s="16"/>
      <c r="M612" s="19" t="s">
        <v>5105</v>
      </c>
      <c r="N612" s="10" t="s">
        <v>5106</v>
      </c>
      <c r="O612" s="19" t="s">
        <v>5107</v>
      </c>
      <c r="P612" s="16"/>
    </row>
    <row r="613" ht="22.5" customHeight="1">
      <c r="A613" s="138" t="s">
        <v>77</v>
      </c>
      <c r="B613" s="16" t="str">
        <f>IF(A613="","",IFERROR(VLOOKUP(A613, Stock_New!A:M, 2, FALSE),""))</f>
        <v>شجر</v>
      </c>
      <c r="C613" s="236">
        <v>1.0</v>
      </c>
      <c r="D613" s="16" t="str">
        <f>IF(A613="","",IFERROR(VLOOKUP(A613, Stock_New!A:M, 3, FALSE),""))</f>
        <v>manufactured</v>
      </c>
      <c r="E613" s="16">
        <f>IF($A613="", "", IFERROR(VLOOKUP($A613, Stock_New!$A:$M, 6, FALSE), ""))</f>
        <v>378</v>
      </c>
      <c r="F613" s="239">
        <v>400.0</v>
      </c>
      <c r="G613" s="240"/>
      <c r="H613" s="33">
        <v>400.0</v>
      </c>
      <c r="I613" s="238">
        <v>46092.0</v>
      </c>
      <c r="J613" s="5" t="s">
        <v>72</v>
      </c>
      <c r="K613" s="5" t="s">
        <v>2897</v>
      </c>
      <c r="L613" s="16"/>
      <c r="M613" s="19" t="s">
        <v>1661</v>
      </c>
      <c r="N613" s="19" t="s">
        <v>5129</v>
      </c>
      <c r="O613" s="19" t="s">
        <v>5130</v>
      </c>
      <c r="P613" s="16"/>
    </row>
    <row r="614" ht="22.5" customHeight="1">
      <c r="A614" s="138" t="s">
        <v>34</v>
      </c>
      <c r="B614" s="16" t="str">
        <f>IF(A614="","",IFERROR(VLOOKUP(A614, Stock_New!A:M, 2, FALSE),""))</f>
        <v>شجر</v>
      </c>
      <c r="C614" s="236">
        <v>1.0</v>
      </c>
      <c r="D614" s="16" t="str">
        <f>IF(A614="","",IFERROR(VLOOKUP(A614, Stock_New!A:M, 3, FALSE),""))</f>
        <v>manufactured</v>
      </c>
      <c r="E614" s="16">
        <f>IF($A614="", "", IFERROR(VLOOKUP($A614, Stock_New!$A:$M, 6, FALSE), ""))</f>
        <v>108</v>
      </c>
      <c r="F614" s="239">
        <v>300.0</v>
      </c>
      <c r="G614" s="240"/>
      <c r="H614" s="33">
        <v>300.0</v>
      </c>
      <c r="I614" s="238">
        <v>46092.0</v>
      </c>
      <c r="J614" s="5" t="s">
        <v>72</v>
      </c>
      <c r="K614" s="5" t="s">
        <v>2899</v>
      </c>
      <c r="L614" s="16"/>
      <c r="M614" s="19" t="s">
        <v>1661</v>
      </c>
      <c r="N614" s="19" t="s">
        <v>5129</v>
      </c>
      <c r="O614" s="19" t="s">
        <v>5130</v>
      </c>
      <c r="P614" s="16"/>
    </row>
    <row r="615" ht="22.5" customHeight="1">
      <c r="A615" s="138" t="s">
        <v>788</v>
      </c>
      <c r="B615" s="16" t="str">
        <f>IF(A615="","",IFERROR(VLOOKUP(A615, Stock_New!A:M, 2, FALSE),""))</f>
        <v>سيلفرات</v>
      </c>
      <c r="C615" s="236">
        <v>1.0</v>
      </c>
      <c r="D615" s="16" t="str">
        <f>IF(A615="","",IFERROR(VLOOKUP(A615, Stock_New!A:M, 3, FALSE),""))</f>
        <v>شركة حسين علي</v>
      </c>
      <c r="E615" s="16">
        <f>IF($A615="", "", IFERROR(VLOOKUP($A615, Stock_New!$A:$M, 6, FALSE), ""))</f>
        <v>106.5</v>
      </c>
      <c r="F615" s="239">
        <v>110.0</v>
      </c>
      <c r="G615" s="240"/>
      <c r="H615" s="33">
        <v>110.0</v>
      </c>
      <c r="I615" s="238">
        <v>46092.0</v>
      </c>
      <c r="J615" s="5" t="s">
        <v>72</v>
      </c>
      <c r="K615" s="5" t="s">
        <v>2900</v>
      </c>
      <c r="L615" s="16"/>
      <c r="M615" s="19" t="s">
        <v>1661</v>
      </c>
      <c r="N615" s="19" t="s">
        <v>5129</v>
      </c>
      <c r="O615" s="19" t="s">
        <v>5130</v>
      </c>
      <c r="P615" s="16"/>
    </row>
    <row r="616" ht="22.5" customHeight="1">
      <c r="A616" s="138" t="s">
        <v>918</v>
      </c>
      <c r="B616" s="16" t="str">
        <f>IF(A616="","",IFERROR(VLOOKUP(A616, Stock_New!A:M, 2, FALSE),""))</f>
        <v/>
      </c>
      <c r="C616" s="236">
        <v>1.0</v>
      </c>
      <c r="D616" s="16" t="str">
        <f>IF(A616="","",IFERROR(VLOOKUP(A616, Stock_New!A:M, 3, FALSE),""))</f>
        <v/>
      </c>
      <c r="E616" s="16" t="str">
        <f>IF($A616="", "", IFERROR(VLOOKUP($A616, Stock_New!$A:$M, 6, FALSE), ""))</f>
        <v/>
      </c>
      <c r="F616" s="239">
        <v>170.0</v>
      </c>
      <c r="G616" s="240"/>
      <c r="H616" s="33">
        <v>170.0</v>
      </c>
      <c r="I616" s="238">
        <v>46092.0</v>
      </c>
      <c r="J616" s="5" t="s">
        <v>72</v>
      </c>
      <c r="K616" s="5" t="s">
        <v>2902</v>
      </c>
      <c r="L616" s="16"/>
      <c r="M616" s="19" t="s">
        <v>1661</v>
      </c>
      <c r="N616" s="19" t="s">
        <v>5129</v>
      </c>
      <c r="O616" s="19" t="s">
        <v>5130</v>
      </c>
      <c r="P616" s="16"/>
    </row>
    <row r="617" ht="22.5" customHeight="1">
      <c r="A617" s="138" t="s">
        <v>255</v>
      </c>
      <c r="B617" s="16" t="str">
        <f>IF(A617="","",IFERROR(VLOOKUP(A617, Stock_New!A:M, 2, FALSE),""))</f>
        <v>بوتات</v>
      </c>
      <c r="C617" s="236">
        <v>1.0</v>
      </c>
      <c r="D617" s="16" t="str">
        <f>IF(A617="","",IFERROR(VLOOKUP(A617, Stock_New!A:M, 3, FALSE),""))</f>
        <v>manufactured</v>
      </c>
      <c r="E617" s="16">
        <f>IF($A617="", "", IFERROR(VLOOKUP($A617, Stock_New!$A:$M, 6, FALSE), ""))</f>
        <v>27.3</v>
      </c>
      <c r="F617" s="239">
        <v>50.0</v>
      </c>
      <c r="G617" s="240"/>
      <c r="H617" s="33">
        <v>50.0</v>
      </c>
      <c r="I617" s="238">
        <v>46092.0</v>
      </c>
      <c r="J617" s="5" t="s">
        <v>72</v>
      </c>
      <c r="K617" s="5" t="s">
        <v>2904</v>
      </c>
      <c r="L617" s="16"/>
      <c r="M617" s="19" t="s">
        <v>1661</v>
      </c>
      <c r="N617" s="19" t="s">
        <v>5129</v>
      </c>
      <c r="O617" s="19" t="s">
        <v>5130</v>
      </c>
      <c r="P617" s="16"/>
    </row>
    <row r="618" ht="22.5" customHeight="1">
      <c r="A618" s="138" t="s">
        <v>812</v>
      </c>
      <c r="B618" s="16" t="str">
        <f>IF(A618="","",IFERROR(VLOOKUP(A618, Stock_New!A:M, 2, FALSE),""))</f>
        <v/>
      </c>
      <c r="C618" s="236">
        <v>4.0</v>
      </c>
      <c r="D618" s="16" t="str">
        <f>IF(A618="","",IFERROR(VLOOKUP(A618, Stock_New!A:M, 3, FALSE),""))</f>
        <v/>
      </c>
      <c r="E618" s="16" t="str">
        <f>IF($A618="", "", IFERROR(VLOOKUP($A618, Stock_New!$A:$M, 6, FALSE), ""))</f>
        <v/>
      </c>
      <c r="F618" s="239">
        <v>20.0</v>
      </c>
      <c r="G618" s="240"/>
      <c r="H618" s="33">
        <v>80.0</v>
      </c>
      <c r="I618" s="238">
        <v>46092.0</v>
      </c>
      <c r="J618" s="5" t="s">
        <v>72</v>
      </c>
      <c r="K618" s="5" t="s">
        <v>2906</v>
      </c>
      <c r="L618" s="16"/>
      <c r="M618" s="19" t="s">
        <v>1661</v>
      </c>
      <c r="N618" s="19" t="s">
        <v>5129</v>
      </c>
      <c r="O618" s="19" t="s">
        <v>5130</v>
      </c>
      <c r="P618" s="16"/>
    </row>
    <row r="619" ht="22.5" customHeight="1">
      <c r="A619" s="138" t="s">
        <v>322</v>
      </c>
      <c r="B619" s="16" t="str">
        <f>IF(A619="","",IFERROR(VLOOKUP(A619, Stock_New!A:M, 2, FALSE),""))</f>
        <v>خزف</v>
      </c>
      <c r="C619" s="236">
        <v>2.0</v>
      </c>
      <c r="D619" s="16" t="str">
        <f>IF(A619="","",IFERROR(VLOOKUP(A619, Stock_New!A:M, 3, FALSE),""))</f>
        <v>ذكريا</v>
      </c>
      <c r="E619" s="16">
        <f>IF($A619="", "", IFERROR(VLOOKUP($A619, Stock_New!$A:$M, 6, FALSE), ""))</f>
        <v>90</v>
      </c>
      <c r="F619" s="239">
        <v>120.0</v>
      </c>
      <c r="G619" s="240"/>
      <c r="H619" s="33">
        <v>240.0</v>
      </c>
      <c r="I619" s="238">
        <v>46092.0</v>
      </c>
      <c r="J619" s="5" t="s">
        <v>72</v>
      </c>
      <c r="K619" s="5" t="s">
        <v>2908</v>
      </c>
      <c r="L619" s="16"/>
      <c r="M619" s="19" t="s">
        <v>5025</v>
      </c>
      <c r="N619" s="19" t="s">
        <v>5150</v>
      </c>
      <c r="O619" s="19" t="s">
        <v>5151</v>
      </c>
      <c r="P619" s="16"/>
    </row>
    <row r="620" ht="22.5" customHeight="1">
      <c r="A620" s="138" t="s">
        <v>946</v>
      </c>
      <c r="B620" s="16" t="str">
        <f>IF(A620="","",IFERROR(VLOOKUP(A620, Stock_New!A:M, 2, FALSE),""))</f>
        <v>ورد لوحد</v>
      </c>
      <c r="C620" s="236">
        <v>2.0</v>
      </c>
      <c r="D620" s="16" t="str">
        <f>IF(A620="","",IFERROR(VLOOKUP(A620, Stock_New!A:M, 3, FALSE),""))</f>
        <v>شركة الفرسان</v>
      </c>
      <c r="E620" s="16">
        <f>IF($A620="", "", IFERROR(VLOOKUP($A620, Stock_New!$A:$M, 6, FALSE), ""))</f>
        <v>90</v>
      </c>
      <c r="F620" s="239">
        <v>100.0</v>
      </c>
      <c r="G620" s="240"/>
      <c r="H620" s="33">
        <v>200.0</v>
      </c>
      <c r="I620" s="238">
        <v>46092.0</v>
      </c>
      <c r="J620" s="5" t="s">
        <v>72</v>
      </c>
      <c r="K620" s="5" t="s">
        <v>2910</v>
      </c>
      <c r="L620" s="16"/>
      <c r="M620" s="19" t="s">
        <v>5025</v>
      </c>
      <c r="N620" s="19" t="s">
        <v>5150</v>
      </c>
      <c r="O620" s="19" t="s">
        <v>5151</v>
      </c>
      <c r="P620" s="16"/>
    </row>
    <row r="621" ht="22.5" customHeight="1">
      <c r="A621" s="138" t="s">
        <v>593</v>
      </c>
      <c r="B621" s="16" t="str">
        <f>IF(A621="","",IFERROR(VLOOKUP(A621, Stock_New!A:M, 2, FALSE),""))</f>
        <v>مزرعة</v>
      </c>
      <c r="C621" s="236">
        <v>3.0</v>
      </c>
      <c r="D621" s="16" t="str">
        <f>IF(A621="","",IFERROR(VLOOKUP(A621, Stock_New!A:M, 3, FALSE),""))</f>
        <v>شركة الفرسان</v>
      </c>
      <c r="E621" s="16">
        <f>IF($A621="", "", IFERROR(VLOOKUP($A621, Stock_New!$A:$M, 6, FALSE), ""))</f>
        <v>66</v>
      </c>
      <c r="F621" s="239">
        <v>75.0</v>
      </c>
      <c r="G621" s="240"/>
      <c r="H621" s="33">
        <v>225.0</v>
      </c>
      <c r="I621" s="238">
        <v>46092.0</v>
      </c>
      <c r="J621" s="5" t="s">
        <v>72</v>
      </c>
      <c r="K621" s="5" t="s">
        <v>2914</v>
      </c>
      <c r="L621" s="16"/>
      <c r="M621" s="19" t="s">
        <v>5025</v>
      </c>
      <c r="N621" s="19" t="s">
        <v>5150</v>
      </c>
      <c r="O621" s="19" t="s">
        <v>5151</v>
      </c>
      <c r="P621" s="16"/>
    </row>
    <row r="622" ht="22.5" customHeight="1">
      <c r="A622" s="138" t="s">
        <v>653</v>
      </c>
      <c r="B622" s="16" t="str">
        <f>IF(A622="","",IFERROR(VLOOKUP(A622, Stock_New!A:M, 2, FALSE),""))</f>
        <v>لوح</v>
      </c>
      <c r="C622" s="236">
        <v>1.0</v>
      </c>
      <c r="D622" s="16" t="str">
        <f>IF(A622="","",IFERROR(VLOOKUP(A622, Stock_New!A:M, 3, FALSE),""))</f>
        <v>سنتر محمد رشدي</v>
      </c>
      <c r="E622" s="16">
        <f>IF($A622="", "", IFERROR(VLOOKUP($A622, Stock_New!$A:$M, 6, FALSE), ""))</f>
        <v>198.6</v>
      </c>
      <c r="F622" s="239">
        <v>210.0</v>
      </c>
      <c r="G622" s="240"/>
      <c r="H622" s="33">
        <v>210.0</v>
      </c>
      <c r="I622" s="238">
        <v>46092.0</v>
      </c>
      <c r="J622" s="5" t="s">
        <v>72</v>
      </c>
      <c r="K622" s="5" t="s">
        <v>2916</v>
      </c>
      <c r="L622" s="16"/>
      <c r="M622" s="19" t="s">
        <v>5025</v>
      </c>
      <c r="N622" s="19" t="s">
        <v>5150</v>
      </c>
      <c r="O622" s="19" t="s">
        <v>5151</v>
      </c>
      <c r="P622" s="16"/>
    </row>
    <row r="623" ht="22.5" customHeight="1">
      <c r="A623" s="138" t="s">
        <v>856</v>
      </c>
      <c r="B623" s="16" t="str">
        <f>IF(A623="","",IFERROR(VLOOKUP(A623, Stock_New!A:M, 2, FALSE),""))</f>
        <v>شمع</v>
      </c>
      <c r="C623" s="236">
        <v>4.0</v>
      </c>
      <c r="D623" s="16" t="str">
        <f>IF(A623="","",IFERROR(VLOOKUP(A623, Stock_New!A:M, 3, FALSE),""))</f>
        <v>سنتر محمد رشدي</v>
      </c>
      <c r="E623" s="16">
        <f>IF($A623="", "", IFERROR(VLOOKUP($A623, Stock_New!$A:$M, 6, FALSE), ""))</f>
        <v>5.5</v>
      </c>
      <c r="F623" s="370">
        <f>75/10</f>
        <v>7.5</v>
      </c>
      <c r="G623" s="240"/>
      <c r="H623" s="33">
        <v>22.0</v>
      </c>
      <c r="I623" s="238">
        <v>46092.0</v>
      </c>
      <c r="J623" s="5" t="s">
        <v>72</v>
      </c>
      <c r="K623" s="5" t="s">
        <v>2918</v>
      </c>
      <c r="L623" s="16"/>
      <c r="M623" s="19" t="s">
        <v>5165</v>
      </c>
      <c r="N623" s="16"/>
      <c r="O623" s="16"/>
      <c r="P623" s="16"/>
    </row>
    <row r="624" ht="22.5" customHeight="1">
      <c r="A624" s="138" t="s">
        <v>712</v>
      </c>
      <c r="B624" s="16" t="str">
        <f>IF(A624="","",IFERROR(VLOOKUP(A624, Stock_New!A:M, 2, FALSE),""))</f>
        <v>ورد مجفف</v>
      </c>
      <c r="C624" s="236">
        <v>1.0</v>
      </c>
      <c r="D624" s="16" t="str">
        <f>IF(A624="","",IFERROR(VLOOKUP(A624, Stock_New!A:M, 3, FALSE),""))</f>
        <v>manufactured</v>
      </c>
      <c r="E624" s="16">
        <f>IF($A624="", "", IFERROR(VLOOKUP($A624, Stock_New!$A:$M, 6, FALSE), ""))</f>
        <v>8.4</v>
      </c>
      <c r="F624" s="239">
        <v>20.0</v>
      </c>
      <c r="G624" s="240"/>
      <c r="H624" s="33">
        <v>20.0</v>
      </c>
      <c r="I624" s="238">
        <v>46092.0</v>
      </c>
      <c r="J624" s="5" t="s">
        <v>72</v>
      </c>
      <c r="K624" s="5" t="s">
        <v>2920</v>
      </c>
      <c r="L624" s="16"/>
      <c r="M624" s="19" t="s">
        <v>5165</v>
      </c>
      <c r="N624" s="16"/>
      <c r="O624" s="16"/>
      <c r="P624" s="16"/>
    </row>
    <row r="625" ht="22.5" customHeight="1">
      <c r="A625" s="138" t="s">
        <v>77</v>
      </c>
      <c r="B625" s="16" t="str">
        <f>IF(A625="","",IFERROR(VLOOKUP(A625, Stock_New!A:M, 2, FALSE),""))</f>
        <v>شجر</v>
      </c>
      <c r="C625" s="236">
        <v>1.0</v>
      </c>
      <c r="D625" s="16" t="str">
        <f>IF(A625="","",IFERROR(VLOOKUP(A625, Stock_New!A:M, 3, FALSE),""))</f>
        <v>manufactured</v>
      </c>
      <c r="E625" s="16">
        <f>IF($A625="", "", IFERROR(VLOOKUP($A625, Stock_New!$A:$M, 6, FALSE), ""))</f>
        <v>378</v>
      </c>
      <c r="F625" s="239">
        <v>420.0</v>
      </c>
      <c r="G625" s="240"/>
      <c r="H625" s="33">
        <v>420.0</v>
      </c>
      <c r="I625" s="238">
        <v>46093.0</v>
      </c>
      <c r="J625" s="5" t="s">
        <v>72</v>
      </c>
      <c r="K625" s="5" t="s">
        <v>2922</v>
      </c>
      <c r="L625" s="16"/>
      <c r="M625" s="19" t="s">
        <v>5165</v>
      </c>
      <c r="N625" s="16"/>
      <c r="O625" s="16"/>
      <c r="P625" s="16"/>
    </row>
    <row r="626" ht="22.5" customHeight="1">
      <c r="A626" s="138" t="s">
        <v>34</v>
      </c>
      <c r="B626" s="16" t="str">
        <f>IF(A626="","",IFERROR(VLOOKUP(A626, Stock_New!A:M, 2, FALSE),""))</f>
        <v>شجر</v>
      </c>
      <c r="C626" s="236">
        <v>1.0</v>
      </c>
      <c r="D626" s="16" t="str">
        <f>IF(A626="","",IFERROR(VLOOKUP(A626, Stock_New!A:M, 3, FALSE),""))</f>
        <v>manufactured</v>
      </c>
      <c r="E626" s="16">
        <f>IF($A626="", "", IFERROR(VLOOKUP($A626, Stock_New!$A:$M, 6, FALSE), ""))</f>
        <v>108</v>
      </c>
      <c r="F626" s="239">
        <v>300.0</v>
      </c>
      <c r="G626" s="240"/>
      <c r="H626" s="33">
        <v>300.0</v>
      </c>
      <c r="I626" s="238">
        <v>46093.0</v>
      </c>
      <c r="J626" s="5" t="s">
        <v>72</v>
      </c>
      <c r="K626" s="5" t="s">
        <v>2925</v>
      </c>
      <c r="L626" s="16"/>
      <c r="M626" s="19" t="s">
        <v>5165</v>
      </c>
      <c r="N626" s="16"/>
      <c r="O626" s="16"/>
      <c r="P626" s="16"/>
    </row>
    <row r="627" ht="22.5" customHeight="1">
      <c r="A627" s="138" t="s">
        <v>858</v>
      </c>
      <c r="B627" s="16" t="str">
        <f>IF(A627="","",IFERROR(VLOOKUP(A627, Stock_New!A:M, 2, FALSE),""))</f>
        <v>بوكيه</v>
      </c>
      <c r="C627" s="236">
        <v>1.0</v>
      </c>
      <c r="D627" s="16" t="str">
        <f>IF(A627="","",IFERROR(VLOOKUP(A627, Stock_New!A:M, 3, FALSE),""))</f>
        <v>manufactured</v>
      </c>
      <c r="E627" s="16">
        <f>IF($A627="", "", IFERROR(VLOOKUP($A627, Stock_New!$A:$M, 6, FALSE), ""))</f>
        <v>13.01428571</v>
      </c>
      <c r="F627" s="239">
        <v>20.0</v>
      </c>
      <c r="G627" s="240"/>
      <c r="H627" s="33">
        <v>20.0</v>
      </c>
      <c r="I627" s="238">
        <v>46093.0</v>
      </c>
      <c r="J627" s="5" t="s">
        <v>72</v>
      </c>
      <c r="K627" s="5" t="s">
        <v>2927</v>
      </c>
      <c r="L627" s="16"/>
      <c r="M627" s="19" t="s">
        <v>5165</v>
      </c>
      <c r="N627" s="16"/>
      <c r="O627" s="16"/>
      <c r="P627" s="16"/>
    </row>
    <row r="628" ht="22.5" customHeight="1">
      <c r="A628" s="138" t="s">
        <v>528</v>
      </c>
      <c r="B628" s="16" t="str">
        <f>IF(A628="","",IFERROR(VLOOKUP(A628, Stock_New!A:M, 2, FALSE),""))</f>
        <v>سيلفر</v>
      </c>
      <c r="C628" s="236">
        <v>1.0</v>
      </c>
      <c r="D628" s="16" t="str">
        <f>IF(A628="","",IFERROR(VLOOKUP(A628, Stock_New!A:M, 3, FALSE),""))</f>
        <v>سنتر محمد رشدي</v>
      </c>
      <c r="E628" s="16">
        <f>IF($A628="", "", IFERROR(VLOOKUP($A628, Stock_New!$A:$M, 6, FALSE), ""))</f>
        <v>216</v>
      </c>
      <c r="F628" s="239">
        <v>210.0</v>
      </c>
      <c r="G628" s="240"/>
      <c r="H628" s="33">
        <v>210.0</v>
      </c>
      <c r="I628" s="238">
        <v>44997.0</v>
      </c>
      <c r="J628" s="5" t="s">
        <v>72</v>
      </c>
      <c r="K628" s="5" t="s">
        <v>2928</v>
      </c>
      <c r="L628" s="16"/>
      <c r="M628" s="19" t="s">
        <v>5165</v>
      </c>
      <c r="N628" s="16"/>
      <c r="O628" s="16"/>
      <c r="P628" s="16"/>
    </row>
    <row r="629" ht="22.5" customHeight="1">
      <c r="A629" s="138" t="s">
        <v>950</v>
      </c>
      <c r="B629" s="16" t="str">
        <f>IF(A629="","",IFERROR(VLOOKUP(A629, Stock_New!A:M, 2, FALSE),""))</f>
        <v>ساعة</v>
      </c>
      <c r="C629" s="236">
        <v>1.0</v>
      </c>
      <c r="D629" s="16" t="str">
        <f>IF(A629="","",IFERROR(VLOOKUP(A629, Stock_New!A:M, 3, FALSE),""))</f>
        <v>سنتر محمد رشدي</v>
      </c>
      <c r="E629" s="16">
        <f>IF($A629="", "", IFERROR(VLOOKUP($A629, Stock_New!$A:$M, 6, FALSE), ""))</f>
        <v>86.4</v>
      </c>
      <c r="F629" s="239">
        <v>90.0</v>
      </c>
      <c r="G629" s="240"/>
      <c r="H629" s="33">
        <v>90.0</v>
      </c>
      <c r="I629" s="238">
        <v>44997.0</v>
      </c>
      <c r="J629" s="5" t="s">
        <v>72</v>
      </c>
      <c r="K629" s="5" t="s">
        <v>2932</v>
      </c>
      <c r="L629" s="16"/>
      <c r="M629" s="19" t="s">
        <v>5165</v>
      </c>
      <c r="N629" s="16"/>
      <c r="O629" s="16"/>
      <c r="P629" s="16"/>
    </row>
    <row r="630" ht="22.5" customHeight="1">
      <c r="A630" s="46" t="s">
        <v>953</v>
      </c>
      <c r="B630" s="16" t="str">
        <f>IF(A630="","",IFERROR(VLOOKUP(A630, Stock_New!A:M, 2, FALSE),""))</f>
        <v>ديكور زجاج</v>
      </c>
      <c r="C630" s="236">
        <v>1.0</v>
      </c>
      <c r="D630" s="16" t="str">
        <f>IF(A630="","",IFERROR(VLOOKUP(A630, Stock_New!A:M, 3, FALSE),""))</f>
        <v>سنتر محمد رشدي</v>
      </c>
      <c r="E630" s="16">
        <f>IF($A630="", "", IFERROR(VLOOKUP($A630, Stock_New!$A:$M, 6, FALSE), ""))</f>
        <v>112.8</v>
      </c>
      <c r="F630" s="239">
        <v>120.0</v>
      </c>
      <c r="G630" s="240"/>
      <c r="H630" s="33">
        <v>120.0</v>
      </c>
      <c r="I630" s="238">
        <v>44997.0</v>
      </c>
      <c r="J630" s="5" t="s">
        <v>72</v>
      </c>
      <c r="K630" s="5" t="s">
        <v>2937</v>
      </c>
      <c r="L630" s="16"/>
      <c r="M630" s="19" t="s">
        <v>5165</v>
      </c>
      <c r="N630" s="16"/>
      <c r="O630" s="16"/>
      <c r="P630" s="16"/>
    </row>
    <row r="631" ht="22.5" customHeight="1">
      <c r="A631" s="42" t="s">
        <v>775</v>
      </c>
      <c r="B631" s="16" t="str">
        <f>IF(A631="","",IFERROR(VLOOKUP(A631, Stock_New!A:M, 2, FALSE),""))</f>
        <v>ديكور مكتب</v>
      </c>
      <c r="C631" s="236">
        <v>2.0</v>
      </c>
      <c r="D631" s="16" t="str">
        <f>IF(A631="","",IFERROR(VLOOKUP(A631, Stock_New!A:M, 3, FALSE),""))</f>
        <v>محمد رشدي</v>
      </c>
      <c r="E631" s="16">
        <f>IF($A631="", "", IFERROR(VLOOKUP($A631, Stock_New!$A:$M, 6, FALSE), ""))</f>
        <v>112.8</v>
      </c>
      <c r="F631" s="239">
        <v>120.0</v>
      </c>
      <c r="G631" s="240"/>
      <c r="H631" s="33">
        <v>240.0</v>
      </c>
      <c r="I631" s="238">
        <v>44997.0</v>
      </c>
      <c r="J631" s="5" t="s">
        <v>72</v>
      </c>
      <c r="K631" s="5" t="s">
        <v>2941</v>
      </c>
      <c r="L631" s="16"/>
      <c r="M631" s="19" t="s">
        <v>5165</v>
      </c>
      <c r="N631" s="16"/>
      <c r="O631" s="16"/>
      <c r="P631" s="16"/>
    </row>
    <row r="632" ht="22.5" customHeight="1">
      <c r="A632" s="372" t="s">
        <v>236</v>
      </c>
      <c r="B632" s="16" t="str">
        <f>IF(A632="","",IFERROR(VLOOKUP(A632, Stock_New!A:M, 2, FALSE),""))</f>
        <v>ورد لحدة</v>
      </c>
      <c r="C632" s="236">
        <v>1.0</v>
      </c>
      <c r="D632" s="16" t="str">
        <f>IF(A632="","",IFERROR(VLOOKUP(A632, Stock_New!A:M, 3, FALSE),""))</f>
        <v>شركة حسين علي</v>
      </c>
      <c r="E632" s="16">
        <f>IF($A632="", "", IFERROR(VLOOKUP($A632, Stock_New!$A:$M, 6, FALSE), ""))</f>
        <v>210</v>
      </c>
      <c r="F632" s="239">
        <v>200.0</v>
      </c>
      <c r="G632" s="240"/>
      <c r="H632" s="33">
        <v>200.0</v>
      </c>
      <c r="I632" s="238">
        <v>44997.0</v>
      </c>
      <c r="J632" s="5" t="s">
        <v>72</v>
      </c>
      <c r="K632" s="5" t="s">
        <v>2943</v>
      </c>
      <c r="L632" s="16"/>
      <c r="M632" s="19" t="s">
        <v>5165</v>
      </c>
      <c r="N632" s="16"/>
      <c r="O632" s="16"/>
      <c r="P632" s="16"/>
    </row>
    <row r="633" ht="22.5" customHeight="1">
      <c r="A633" s="138" t="s">
        <v>812</v>
      </c>
      <c r="B633" s="16" t="str">
        <f>IF(A633="","",IFERROR(VLOOKUP(A633, Stock_New!A:M, 2, FALSE),""))</f>
        <v/>
      </c>
      <c r="C633" s="236">
        <v>5.0</v>
      </c>
      <c r="D633" s="16" t="str">
        <f>IF(A633="","",IFERROR(VLOOKUP(A633, Stock_New!A:M, 3, FALSE),""))</f>
        <v/>
      </c>
      <c r="E633" s="16" t="str">
        <f>IF($A633="", "", IFERROR(VLOOKUP($A633, Stock_New!$A:$M, 6, FALSE), ""))</f>
        <v/>
      </c>
      <c r="F633" s="239">
        <v>20.0</v>
      </c>
      <c r="G633" s="240"/>
      <c r="H633" s="33">
        <v>100.0</v>
      </c>
      <c r="I633" s="238">
        <v>44997.0</v>
      </c>
      <c r="J633" s="5" t="s">
        <v>72</v>
      </c>
      <c r="K633" s="5" t="s">
        <v>2947</v>
      </c>
      <c r="L633" s="16"/>
      <c r="M633" s="19" t="s">
        <v>5165</v>
      </c>
      <c r="N633" s="16"/>
      <c r="O633" s="16"/>
      <c r="P633" s="16"/>
    </row>
    <row r="634" ht="22.5" customHeight="1">
      <c r="A634" s="138" t="s">
        <v>255</v>
      </c>
      <c r="B634" s="16" t="str">
        <f>IF(A634="","",IFERROR(VLOOKUP(A634, Stock_New!A:M, 2, FALSE),""))</f>
        <v>بوتات</v>
      </c>
      <c r="C634" s="236">
        <v>1.0</v>
      </c>
      <c r="D634" s="16" t="str">
        <f>IF(A634="","",IFERROR(VLOOKUP(A634, Stock_New!A:M, 3, FALSE),""))</f>
        <v>manufactured</v>
      </c>
      <c r="E634" s="16">
        <f>IF($A634="", "", IFERROR(VLOOKUP($A634, Stock_New!$A:$M, 6, FALSE), ""))</f>
        <v>27.3</v>
      </c>
      <c r="F634" s="239">
        <v>50.0</v>
      </c>
      <c r="G634" s="240"/>
      <c r="H634" s="33">
        <v>50.0</v>
      </c>
      <c r="I634" s="238">
        <v>44997.0</v>
      </c>
      <c r="J634" s="5" t="s">
        <v>72</v>
      </c>
      <c r="K634" s="5" t="s">
        <v>2949</v>
      </c>
      <c r="L634" s="16"/>
      <c r="M634" s="19" t="s">
        <v>5165</v>
      </c>
      <c r="N634" s="16"/>
      <c r="O634" s="16"/>
      <c r="P634" s="16"/>
    </row>
    <row r="635" ht="22.5" customHeight="1">
      <c r="A635" s="138" t="s">
        <v>918</v>
      </c>
      <c r="B635" s="16" t="str">
        <f>IF(A635="","",IFERROR(VLOOKUP(A635, Stock_New!A:M, 2, FALSE),""))</f>
        <v/>
      </c>
      <c r="C635" s="236">
        <v>1.0</v>
      </c>
      <c r="D635" s="16" t="str">
        <f>IF(A635="","",IFERROR(VLOOKUP(A635, Stock_New!A:M, 3, FALSE),""))</f>
        <v/>
      </c>
      <c r="E635" s="16" t="str">
        <f>IF($A635="", "", IFERROR(VLOOKUP($A635, Stock_New!$A:$M, 6, FALSE), ""))</f>
        <v/>
      </c>
      <c r="F635" s="239">
        <v>200.0</v>
      </c>
      <c r="G635" s="240"/>
      <c r="H635" s="33">
        <v>200.0</v>
      </c>
      <c r="I635" s="238">
        <v>44997.0</v>
      </c>
      <c r="J635" s="5" t="s">
        <v>72</v>
      </c>
      <c r="K635" s="5" t="s">
        <v>2950</v>
      </c>
      <c r="L635" s="16"/>
      <c r="M635" s="19" t="s">
        <v>5165</v>
      </c>
      <c r="N635" s="16"/>
      <c r="O635" s="16"/>
      <c r="P635" s="16"/>
    </row>
    <row r="636" ht="22.5" customHeight="1">
      <c r="A636" s="138" t="s">
        <v>812</v>
      </c>
      <c r="B636" s="16" t="str">
        <f>IF(A636="","",IFERROR(VLOOKUP(A636, Stock_New!A:M, 2, FALSE),""))</f>
        <v/>
      </c>
      <c r="C636" s="236">
        <v>3.0</v>
      </c>
      <c r="D636" s="16" t="str">
        <f>IF(A636="","",IFERROR(VLOOKUP(A636, Stock_New!A:M, 3, FALSE),""))</f>
        <v/>
      </c>
      <c r="E636" s="16" t="str">
        <f>IF($A636="", "", IFERROR(VLOOKUP($A636, Stock_New!$A:$M, 6, FALSE), ""))</f>
        <v/>
      </c>
      <c r="F636" s="239">
        <v>20.0</v>
      </c>
      <c r="G636" s="240"/>
      <c r="H636" s="33">
        <v>60.0</v>
      </c>
      <c r="I636" s="238">
        <v>44997.0</v>
      </c>
      <c r="J636" s="5" t="s">
        <v>72</v>
      </c>
      <c r="K636" s="5" t="s">
        <v>2952</v>
      </c>
      <c r="L636" s="16"/>
      <c r="M636" s="19" t="s">
        <v>5165</v>
      </c>
      <c r="N636" s="16"/>
      <c r="O636" s="16"/>
      <c r="P636" s="16"/>
    </row>
    <row r="637" ht="22.5" customHeight="1">
      <c r="A637" s="138" t="s">
        <v>255</v>
      </c>
      <c r="B637" s="16" t="str">
        <f>IF(A637="","",IFERROR(VLOOKUP(A637, Stock_New!A:M, 2, FALSE),""))</f>
        <v>بوتات</v>
      </c>
      <c r="C637" s="236">
        <v>1.0</v>
      </c>
      <c r="D637" s="16" t="str">
        <f>IF(A637="","",IFERROR(VLOOKUP(A637, Stock_New!A:M, 3, FALSE),""))</f>
        <v>manufactured</v>
      </c>
      <c r="E637" s="16">
        <f>IF($A637="", "", IFERROR(VLOOKUP($A637, Stock_New!$A:$M, 6, FALSE), ""))</f>
        <v>27.3</v>
      </c>
      <c r="F637" s="239">
        <v>50.0</v>
      </c>
      <c r="G637" s="240"/>
      <c r="H637" s="33">
        <v>50.0</v>
      </c>
      <c r="I637" s="238">
        <v>44997.0</v>
      </c>
      <c r="J637" s="5" t="s">
        <v>72</v>
      </c>
      <c r="K637" s="5" t="s">
        <v>2954</v>
      </c>
      <c r="L637" s="16"/>
      <c r="M637" s="19" t="s">
        <v>5165</v>
      </c>
      <c r="N637" s="16"/>
      <c r="O637" s="16"/>
      <c r="P637" s="16"/>
    </row>
    <row r="638" ht="22.5" customHeight="1">
      <c r="A638" s="138" t="s">
        <v>634</v>
      </c>
      <c r="B638" s="16" t="str">
        <f>IF(A638="","",IFERROR(VLOOKUP(A638, Stock_New!A:M, 2, FALSE),""))</f>
        <v>سيلفرات</v>
      </c>
      <c r="C638" s="236">
        <v>1.0</v>
      </c>
      <c r="D638" s="16" t="str">
        <f>IF(A638="","",IFERROR(VLOOKUP(A638, Stock_New!A:M, 3, FALSE),""))</f>
        <v>سنتر محمد رشدي</v>
      </c>
      <c r="E638" s="16">
        <f>IF($A638="", "", IFERROR(VLOOKUP($A638, Stock_New!$A:$M, 6, FALSE), ""))</f>
        <v>200.4</v>
      </c>
      <c r="F638" s="239">
        <v>190.0</v>
      </c>
      <c r="G638" s="240"/>
      <c r="H638" s="33">
        <v>190.0</v>
      </c>
      <c r="I638" s="238">
        <v>44997.0</v>
      </c>
      <c r="J638" s="5" t="s">
        <v>72</v>
      </c>
      <c r="K638" s="5" t="s">
        <v>2957</v>
      </c>
      <c r="L638" s="16"/>
      <c r="M638" s="19" t="s">
        <v>5165</v>
      </c>
      <c r="N638" s="16"/>
      <c r="O638" s="16"/>
      <c r="P638" s="16"/>
    </row>
    <row r="639" ht="22.5" customHeight="1">
      <c r="A639" s="138" t="s">
        <v>812</v>
      </c>
      <c r="B639" s="16" t="str">
        <f>IF(A639="","",IFERROR(VLOOKUP(A639, Stock_New!A:M, 2, FALSE),""))</f>
        <v/>
      </c>
      <c r="C639" s="236">
        <v>2.0</v>
      </c>
      <c r="D639" s="16" t="str">
        <f>IF(A639="","",IFERROR(VLOOKUP(A639, Stock_New!A:M, 3, FALSE),""))</f>
        <v/>
      </c>
      <c r="E639" s="16" t="str">
        <f>IF($A639="", "", IFERROR(VLOOKUP($A639, Stock_New!$A:$M, 6, FALSE), ""))</f>
        <v/>
      </c>
      <c r="F639" s="239">
        <v>20.0</v>
      </c>
      <c r="G639" s="240"/>
      <c r="H639" s="33">
        <v>40.0</v>
      </c>
      <c r="I639" s="238">
        <v>44997.0</v>
      </c>
      <c r="J639" s="5" t="s">
        <v>72</v>
      </c>
      <c r="K639" s="5" t="s">
        <v>2960</v>
      </c>
      <c r="L639" s="16"/>
      <c r="M639" s="19" t="s">
        <v>5165</v>
      </c>
      <c r="N639" s="16"/>
      <c r="O639" s="16"/>
      <c r="P639" s="16"/>
    </row>
    <row r="640" ht="22.5" customHeight="1">
      <c r="A640" s="138" t="s">
        <v>638</v>
      </c>
      <c r="B640" s="16" t="str">
        <f>IF(A640="","",IFERROR(VLOOKUP(A640, Stock_New!A:M, 2, FALSE),""))</f>
        <v>ورد لوحدة</v>
      </c>
      <c r="C640" s="236">
        <f>2/10</f>
        <v>0.2</v>
      </c>
      <c r="D640" s="16" t="str">
        <f>IF(A640="","",IFERROR(VLOOKUP(A640, Stock_New!A:M, 3, FALSE),""))</f>
        <v>شركة الفرسان</v>
      </c>
      <c r="E640" s="16">
        <f>IF($A640="", "", IFERROR(VLOOKUP($A640, Stock_New!$A:$M, 6, FALSE), ""))</f>
        <v>120</v>
      </c>
      <c r="F640" s="239">
        <v>150.0</v>
      </c>
      <c r="G640" s="240"/>
      <c r="H640" s="33">
        <v>30.0</v>
      </c>
      <c r="I640" s="238">
        <v>44997.0</v>
      </c>
      <c r="J640" s="5" t="s">
        <v>72</v>
      </c>
      <c r="K640" s="5" t="s">
        <v>2963</v>
      </c>
      <c r="L640" s="16"/>
      <c r="M640" s="19" t="s">
        <v>5165</v>
      </c>
      <c r="N640" s="16"/>
      <c r="O640" s="16"/>
      <c r="P640" s="16"/>
    </row>
    <row r="641" ht="22.5" customHeight="1">
      <c r="A641" s="138" t="s">
        <v>478</v>
      </c>
      <c r="B641" s="16" t="str">
        <f>IF(A641="","",IFERROR(VLOOKUP(A641, Stock_New!A:M, 2, FALSE),""))</f>
        <v>لوح</v>
      </c>
      <c r="C641" s="236">
        <v>1.0</v>
      </c>
      <c r="D641" s="16" t="str">
        <f>IF(A641="","",IFERROR(VLOOKUP(A641, Stock_New!A:M, 3, FALSE),""))</f>
        <v>ذكريا</v>
      </c>
      <c r="E641" s="16">
        <f>IF($A641="", "", IFERROR(VLOOKUP($A641, Stock_New!$A:$M, 6, FALSE), ""))</f>
        <v>108</v>
      </c>
      <c r="F641" s="239">
        <v>135.0</v>
      </c>
      <c r="G641" s="240"/>
      <c r="H641" s="33">
        <v>135.0</v>
      </c>
      <c r="I641" s="238">
        <v>44997.0</v>
      </c>
      <c r="J641" s="5" t="s">
        <v>72</v>
      </c>
      <c r="K641" s="5" t="s">
        <v>2964</v>
      </c>
      <c r="L641" s="16"/>
      <c r="M641" s="19"/>
      <c r="N641" s="16"/>
      <c r="O641" s="16"/>
      <c r="P641" s="16"/>
    </row>
    <row r="642" ht="22.5" customHeight="1">
      <c r="A642" s="138" t="s">
        <v>852</v>
      </c>
      <c r="B642" s="16" t="str">
        <f>IF(A642="","",IFERROR(VLOOKUP(A642, Stock_New!A:M, 2, FALSE),""))</f>
        <v/>
      </c>
      <c r="C642" s="236">
        <v>2.0</v>
      </c>
      <c r="D642" s="16" t="str">
        <f>IF(A642="","",IFERROR(VLOOKUP(A642, Stock_New!A:M, 3, FALSE),""))</f>
        <v/>
      </c>
      <c r="E642" s="16" t="str">
        <f>IF($A642="", "", IFERROR(VLOOKUP($A642, Stock_New!$A:$M, 6, FALSE), ""))</f>
        <v/>
      </c>
      <c r="F642" s="239">
        <v>40.0</v>
      </c>
      <c r="G642" s="240"/>
      <c r="H642" s="33"/>
      <c r="I642" s="238">
        <v>44997.0</v>
      </c>
      <c r="J642" s="5" t="s">
        <v>72</v>
      </c>
      <c r="K642" s="5"/>
      <c r="L642" s="16"/>
      <c r="M642" s="19"/>
      <c r="N642" s="16"/>
      <c r="O642" s="16"/>
      <c r="P642" s="16"/>
    </row>
    <row r="643" ht="22.5" customHeight="1">
      <c r="A643" s="138" t="s">
        <v>902</v>
      </c>
      <c r="B643" s="16" t="str">
        <f>IF(A643="","",IFERROR(VLOOKUP(A643, Stock_New!A:M, 2, FALSE),""))</f>
        <v>خشب</v>
      </c>
      <c r="C643" s="236">
        <v>1.0</v>
      </c>
      <c r="D643" s="16" t="str">
        <f>IF(A643="","",IFERROR(VLOOKUP(A643, Stock_New!A:M, 3, FALSE),""))</f>
        <v>شركة حسين علي</v>
      </c>
      <c r="E643" s="16">
        <f>IF($A643="", "", IFERROR(VLOOKUP($A643, Stock_New!$A:$M, 6, FALSE), ""))</f>
        <v>108.35</v>
      </c>
      <c r="F643" s="239">
        <v>90.0</v>
      </c>
      <c r="G643" s="240"/>
      <c r="H643" s="33">
        <v>90.0</v>
      </c>
      <c r="I643" s="238">
        <v>44997.0</v>
      </c>
      <c r="J643" s="5" t="s">
        <v>72</v>
      </c>
      <c r="K643" s="5" t="s">
        <v>2966</v>
      </c>
      <c r="L643" s="16"/>
      <c r="M643" s="19"/>
      <c r="N643" s="16"/>
      <c r="O643" s="16"/>
      <c r="P643" s="16"/>
    </row>
    <row r="644" ht="22.5" customHeight="1">
      <c r="A644" s="138" t="s">
        <v>593</v>
      </c>
      <c r="B644" s="16" t="str">
        <f>IF(A644="","",IFERROR(VLOOKUP(A644, Stock_New!A:M, 2, FALSE),""))</f>
        <v>مزرعة</v>
      </c>
      <c r="C644" s="236">
        <v>2.0</v>
      </c>
      <c r="D644" s="16" t="str">
        <f>IF(A644="","",IFERROR(VLOOKUP(A644, Stock_New!A:M, 3, FALSE),""))</f>
        <v>شركة الفرسان</v>
      </c>
      <c r="E644" s="16">
        <f>IF($A644="", "", IFERROR(VLOOKUP($A644, Stock_New!$A:$M, 6, FALSE), ""))</f>
        <v>66</v>
      </c>
      <c r="F644" s="239">
        <v>80.0</v>
      </c>
      <c r="G644" s="240"/>
      <c r="H644" s="33">
        <v>160.0</v>
      </c>
      <c r="I644" s="238">
        <v>44997.0</v>
      </c>
      <c r="J644" s="5" t="s">
        <v>72</v>
      </c>
      <c r="K644" s="5" t="s">
        <v>2968</v>
      </c>
      <c r="L644" s="16"/>
      <c r="M644" s="19"/>
      <c r="N644" s="16"/>
      <c r="O644" s="16"/>
      <c r="P644" s="16"/>
    </row>
    <row r="645" ht="22.5" customHeight="1">
      <c r="A645" s="138" t="s">
        <v>330</v>
      </c>
      <c r="B645" s="16" t="str">
        <f>IF(A645="","",IFERROR(VLOOKUP(A645, Stock_New!A:M, 2, FALSE),""))</f>
        <v>بوكيه</v>
      </c>
      <c r="C645" s="236">
        <v>3.0</v>
      </c>
      <c r="D645" s="16" t="str">
        <f>IF(A645="","",IFERROR(VLOOKUP(A645, Stock_New!A:M, 3, FALSE),""))</f>
        <v>manufactured</v>
      </c>
      <c r="E645" s="16">
        <f>IF($A645="", "", IFERROR(VLOOKUP($A645, Stock_New!$A:$M, 6, FALSE), ""))</f>
        <v>31</v>
      </c>
      <c r="F645" s="239">
        <v>50.0</v>
      </c>
      <c r="G645" s="240"/>
      <c r="H645" s="33">
        <v>150.0</v>
      </c>
      <c r="I645" s="238">
        <v>44997.0</v>
      </c>
      <c r="J645" s="5" t="s">
        <v>72</v>
      </c>
      <c r="K645" s="5" t="s">
        <v>2970</v>
      </c>
      <c r="L645" s="16"/>
      <c r="M645" s="19"/>
      <c r="N645" s="16"/>
      <c r="O645" s="16"/>
      <c r="P645" s="16"/>
    </row>
    <row r="646" ht="22.5" customHeight="1">
      <c r="A646" s="138" t="s">
        <v>478</v>
      </c>
      <c r="B646" s="16" t="str">
        <f>IF(A646="","",IFERROR(VLOOKUP(A646, Stock_New!A:M, 2, FALSE),""))</f>
        <v>لوح</v>
      </c>
      <c r="C646" s="236">
        <v>1.0</v>
      </c>
      <c r="D646" s="16" t="str">
        <f>IF(A646="","",IFERROR(VLOOKUP(A646, Stock_New!A:M, 3, FALSE),""))</f>
        <v>ذكريا</v>
      </c>
      <c r="E646" s="16">
        <f>IF($A646="", "", IFERROR(VLOOKUP($A646, Stock_New!$A:$M, 6, FALSE), ""))</f>
        <v>108</v>
      </c>
      <c r="F646" s="239">
        <v>130.0</v>
      </c>
      <c r="G646" s="240"/>
      <c r="H646" s="33">
        <v>130.0</v>
      </c>
      <c r="I646" s="238">
        <v>44997.0</v>
      </c>
      <c r="J646" s="5" t="s">
        <v>72</v>
      </c>
      <c r="K646" s="5" t="s">
        <v>2972</v>
      </c>
      <c r="L646" s="16"/>
      <c r="M646" s="19"/>
      <c r="N646" s="16"/>
      <c r="O646" s="16"/>
      <c r="P646" s="16"/>
    </row>
    <row r="647" ht="22.5" customHeight="1">
      <c r="A647" s="138" t="s">
        <v>144</v>
      </c>
      <c r="B647" s="16" t="str">
        <f>IF(A647="","",IFERROR(VLOOKUP(A647, Stock_New!A:M, 2, FALSE),""))</f>
        <v>كهربائيات</v>
      </c>
      <c r="C647" s="236">
        <v>2.0</v>
      </c>
      <c r="D647" s="16"/>
      <c r="E647" s="16">
        <f>IF($A647="", "", IFERROR(VLOOKUP($A647, Stock_New!$A:$M, 6, FALSE), ""))</f>
        <v>144</v>
      </c>
      <c r="F647" s="239">
        <v>160.0</v>
      </c>
      <c r="G647" s="240"/>
      <c r="H647" s="33">
        <v>320.0</v>
      </c>
      <c r="I647" s="238">
        <v>44997.0</v>
      </c>
      <c r="J647" s="5" t="s">
        <v>72</v>
      </c>
      <c r="K647" s="5" t="s">
        <v>2974</v>
      </c>
      <c r="L647" s="16"/>
      <c r="M647" s="19"/>
      <c r="N647" s="16"/>
      <c r="O647" s="16"/>
      <c r="P647" s="16"/>
    </row>
    <row r="648" ht="22.5" customHeight="1">
      <c r="A648" s="138" t="s">
        <v>144</v>
      </c>
      <c r="B648" s="16" t="str">
        <f>IF(A648="","",IFERROR(VLOOKUP(A648, Stock_New!A:M, 2, FALSE),""))</f>
        <v>كهربائيات</v>
      </c>
      <c r="C648" s="236">
        <v>2.0</v>
      </c>
      <c r="D648" s="16"/>
      <c r="E648" s="16">
        <f>IF($A648="", "", IFERROR(VLOOKUP($A648, Stock_New!$A:$M, 6, FALSE), ""))</f>
        <v>144</v>
      </c>
      <c r="F648" s="239">
        <v>160.0</v>
      </c>
      <c r="G648" s="240"/>
      <c r="H648" s="33">
        <v>320.0</v>
      </c>
      <c r="I648" s="238">
        <v>44997.0</v>
      </c>
      <c r="J648" s="5" t="s">
        <v>72</v>
      </c>
      <c r="K648" s="5" t="s">
        <v>2978</v>
      </c>
      <c r="L648" s="16"/>
      <c r="M648" s="19"/>
      <c r="N648" s="16"/>
      <c r="O648" s="16"/>
      <c r="P648" s="16"/>
    </row>
    <row r="649" ht="22.5" customHeight="1">
      <c r="A649" s="138" t="s">
        <v>144</v>
      </c>
      <c r="B649" s="16" t="str">
        <f>IF(A649="","",IFERROR(VLOOKUP(A649, Stock_New!A:M, 2, FALSE),""))</f>
        <v>كهربائيات</v>
      </c>
      <c r="C649" s="236">
        <v>1.0</v>
      </c>
      <c r="D649" s="16"/>
      <c r="E649" s="16">
        <f>IF($A649="", "", IFERROR(VLOOKUP($A649, Stock_New!$A:$M, 6, FALSE), ""))</f>
        <v>144</v>
      </c>
      <c r="F649" s="239">
        <v>150.0</v>
      </c>
      <c r="G649" s="240"/>
      <c r="H649" s="33">
        <v>150.0</v>
      </c>
      <c r="I649" s="238">
        <v>44997.0</v>
      </c>
      <c r="J649" s="5" t="s">
        <v>72</v>
      </c>
      <c r="K649" s="5" t="s">
        <v>2980</v>
      </c>
      <c r="L649" s="16"/>
      <c r="M649" s="19"/>
      <c r="N649" s="16"/>
      <c r="O649" s="16"/>
      <c r="P649" s="16"/>
    </row>
    <row r="650" ht="22.5" customHeight="1">
      <c r="A650" s="138" t="s">
        <v>960</v>
      </c>
      <c r="B650" s="16" t="str">
        <f>IF(A650="","",IFERROR(VLOOKUP(A650, Stock_New!A:M, 2, FALSE),""))</f>
        <v>لوح</v>
      </c>
      <c r="C650" s="236">
        <v>1.0</v>
      </c>
      <c r="D650" s="16" t="str">
        <f>IF(A650="","",IFERROR(VLOOKUP(A650, Stock_New!A:M, 3, FALSE),""))</f>
        <v>شركة الفرسان</v>
      </c>
      <c r="E650" s="16">
        <f>IF($A650="", "", IFERROR(VLOOKUP($A650, Stock_New!$A:$M, 6, FALSE), ""))</f>
        <v>96</v>
      </c>
      <c r="F650" s="239">
        <v>135.0</v>
      </c>
      <c r="G650" s="240"/>
      <c r="H650" s="33">
        <v>135.0</v>
      </c>
      <c r="I650" s="238">
        <v>44997.0</v>
      </c>
      <c r="J650" s="5" t="s">
        <v>72</v>
      </c>
      <c r="K650" s="5" t="s">
        <v>2981</v>
      </c>
      <c r="L650" s="16"/>
      <c r="M650" s="19"/>
      <c r="N650" s="16"/>
      <c r="O650" s="16"/>
      <c r="P650" s="16"/>
    </row>
    <row r="651" ht="22.5" customHeight="1">
      <c r="A651" s="138" t="s">
        <v>177</v>
      </c>
      <c r="B651" s="16" t="str">
        <f>IF(A651="","",IFERROR(VLOOKUP(A651, Stock_New!A:M, 2, FALSE),""))</f>
        <v>بورسلين</v>
      </c>
      <c r="C651" s="236">
        <v>1.0</v>
      </c>
      <c r="D651" s="16" t="str">
        <f>IF(A651="","",IFERROR(VLOOKUP(A651, Stock_New!A:M, 3, FALSE),""))</f>
        <v>شركة حسين علي</v>
      </c>
      <c r="E651" s="16">
        <f>IF($A651="", "", IFERROR(VLOOKUP($A651, Stock_New!$A:$M, 6, FALSE), ""))</f>
        <v>90</v>
      </c>
      <c r="F651" s="239">
        <v>100.0</v>
      </c>
      <c r="G651" s="240"/>
      <c r="H651" s="33">
        <v>100.0</v>
      </c>
      <c r="I651" s="238">
        <v>44997.0</v>
      </c>
      <c r="J651" s="5" t="s">
        <v>72</v>
      </c>
      <c r="K651" s="5" t="s">
        <v>2984</v>
      </c>
      <c r="L651" s="16"/>
      <c r="M651" s="19"/>
      <c r="N651" s="16"/>
      <c r="O651" s="16"/>
      <c r="P651" s="16"/>
    </row>
    <row r="652" ht="22.5" customHeight="1">
      <c r="A652" s="138" t="s">
        <v>593</v>
      </c>
      <c r="B652" s="16" t="str">
        <f>IF(A652="","",IFERROR(VLOOKUP(A652, Stock_New!A:M, 2, FALSE),""))</f>
        <v>مزرعة</v>
      </c>
      <c r="C652" s="236">
        <v>2.0</v>
      </c>
      <c r="D652" s="16" t="str">
        <f>IF(A652="","",IFERROR(VLOOKUP(A652, Stock_New!A:M, 3, FALSE),""))</f>
        <v>شركة الفرسان</v>
      </c>
      <c r="E652" s="16">
        <f>IF($A652="", "", IFERROR(VLOOKUP($A652, Stock_New!$A:$M, 6, FALSE), ""))</f>
        <v>66</v>
      </c>
      <c r="F652" s="239">
        <v>70.0</v>
      </c>
      <c r="G652" s="240"/>
      <c r="H652" s="33">
        <v>140.0</v>
      </c>
      <c r="I652" s="238">
        <v>44997.0</v>
      </c>
      <c r="J652" s="5" t="s">
        <v>72</v>
      </c>
      <c r="K652" s="5" t="s">
        <v>2985</v>
      </c>
      <c r="L652" s="16"/>
      <c r="M652" s="19"/>
      <c r="N652" s="16"/>
      <c r="O652" s="16"/>
      <c r="P652" s="16"/>
    </row>
    <row r="653" ht="22.5" customHeight="1">
      <c r="A653" s="138" t="s">
        <v>330</v>
      </c>
      <c r="B653" s="16" t="str">
        <f>IF(A653="","",IFERROR(VLOOKUP(A653, Stock_New!A:M, 2, FALSE),""))</f>
        <v>بوكيه</v>
      </c>
      <c r="C653" s="236">
        <v>1.0</v>
      </c>
      <c r="D653" s="16" t="str">
        <f>IF(A653="","",IFERROR(VLOOKUP(A653, Stock_New!A:M, 3, FALSE),""))</f>
        <v>manufactured</v>
      </c>
      <c r="E653" s="16">
        <f>IF($A653="", "", IFERROR(VLOOKUP($A653, Stock_New!$A:$M, 6, FALSE), ""))</f>
        <v>31</v>
      </c>
      <c r="F653" s="239">
        <v>50.0</v>
      </c>
      <c r="G653" s="240"/>
      <c r="H653" s="33">
        <v>50.0</v>
      </c>
      <c r="I653" s="238">
        <v>44997.0</v>
      </c>
      <c r="J653" s="5" t="s">
        <v>72</v>
      </c>
      <c r="K653" s="5" t="s">
        <v>2986</v>
      </c>
      <c r="L653" s="16"/>
      <c r="M653" s="19"/>
      <c r="N653" s="16"/>
      <c r="O653" s="16"/>
      <c r="P653" s="16"/>
    </row>
    <row r="654" ht="22.5" customHeight="1">
      <c r="A654" s="138" t="s">
        <v>963</v>
      </c>
      <c r="B654" s="16" t="str">
        <f>IF(A654="","",IFERROR(VLOOKUP(A654, Stock_New!A:M, 2, FALSE),""))</f>
        <v>بوكيه</v>
      </c>
      <c r="C654" s="236">
        <v>1.0</v>
      </c>
      <c r="D654" s="16" t="str">
        <f>IF(A654="","",IFERROR(VLOOKUP(A654, Stock_New!A:M, 3, FALSE),""))</f>
        <v>manufactured</v>
      </c>
      <c r="E654" s="16">
        <f>IF($A654="", "", IFERROR(VLOOKUP($A654, Stock_New!$A:$M, 6, FALSE), ""))</f>
        <v>19.3125</v>
      </c>
      <c r="F654" s="239">
        <v>40.0</v>
      </c>
      <c r="G654" s="240"/>
      <c r="H654" s="33">
        <v>40.0</v>
      </c>
      <c r="I654" s="238">
        <v>44997.0</v>
      </c>
      <c r="J654" s="5" t="s">
        <v>72</v>
      </c>
      <c r="K654" s="5" t="s">
        <v>2988</v>
      </c>
      <c r="L654" s="16"/>
      <c r="M654" s="19"/>
      <c r="N654" s="16"/>
      <c r="O654" s="16"/>
      <c r="P654" s="16"/>
    </row>
    <row r="655" ht="22.5" customHeight="1">
      <c r="A655" s="138" t="s">
        <v>545</v>
      </c>
      <c r="B655" s="16" t="str">
        <f>IF(A655="","",IFERROR(VLOOKUP(A655, Stock_New!A:M, 2, FALSE),""))</f>
        <v>بوكيه جاهز</v>
      </c>
      <c r="C655" s="236">
        <v>1.0</v>
      </c>
      <c r="D655" s="16" t="str">
        <f>IF(A655="","",IFERROR(VLOOKUP(A655, Stock_New!A:M, 3, FALSE),""))</f>
        <v>تصنيع</v>
      </c>
      <c r="E655" s="16">
        <f>IF($A655="", "", IFERROR(VLOOKUP($A655, Stock_New!$A:$M, 6, FALSE), ""))</f>
        <v>102</v>
      </c>
      <c r="F655" s="239">
        <v>100.0</v>
      </c>
      <c r="G655" s="240"/>
      <c r="H655" s="33">
        <v>100.0</v>
      </c>
      <c r="I655" s="238">
        <v>44997.0</v>
      </c>
      <c r="J655" s="5" t="s">
        <v>72</v>
      </c>
      <c r="K655" s="5" t="s">
        <v>2991</v>
      </c>
      <c r="L655" s="16"/>
      <c r="M655" s="19"/>
      <c r="N655" s="16"/>
      <c r="O655" s="16"/>
      <c r="P655" s="16"/>
    </row>
    <row r="656" ht="22.5" customHeight="1">
      <c r="A656" s="138" t="s">
        <v>662</v>
      </c>
      <c r="B656" s="16" t="str">
        <f>IF(A656="","",IFERROR(VLOOKUP(A656, Stock_New!A:M, 2, FALSE),""))</f>
        <v>بوكيه</v>
      </c>
      <c r="C656" s="236">
        <v>1.0</v>
      </c>
      <c r="D656" s="16" t="str">
        <f>IF(A656="","",IFERROR(VLOOKUP(A656, Stock_New!A:M, 3, FALSE),""))</f>
        <v>المهندس</v>
      </c>
      <c r="E656" s="16">
        <f>IF($A656="", "", IFERROR(VLOOKUP($A656, Stock_New!$A:$M, 6, FALSE), ""))</f>
        <v>60</v>
      </c>
      <c r="F656" s="239">
        <v>75.0</v>
      </c>
      <c r="G656" s="240"/>
      <c r="H656" s="33">
        <v>75.0</v>
      </c>
      <c r="I656" s="238">
        <v>44997.0</v>
      </c>
      <c r="J656" s="5" t="s">
        <v>72</v>
      </c>
      <c r="K656" s="5" t="s">
        <v>2993</v>
      </c>
      <c r="L656" s="16"/>
      <c r="M656" s="19" t="s">
        <v>5264</v>
      </c>
      <c r="N656" s="5">
        <v>930.0</v>
      </c>
      <c r="O656" s="5">
        <v>200.0</v>
      </c>
      <c r="P656" s="16"/>
    </row>
    <row r="657" ht="22.5" customHeight="1">
      <c r="A657" s="138" t="s">
        <v>593</v>
      </c>
      <c r="B657" s="16" t="str">
        <f>IF(A657="","",IFERROR(VLOOKUP(A657, Stock_New!A:M, 2, FALSE),""))</f>
        <v>مزرعة</v>
      </c>
      <c r="C657" s="236">
        <v>1.0</v>
      </c>
      <c r="D657" s="16" t="str">
        <f>IF(A657="","",IFERROR(VLOOKUP(A657, Stock_New!A:M, 3, FALSE),""))</f>
        <v>شركة الفرسان</v>
      </c>
      <c r="E657" s="16">
        <f>IF($A657="", "", IFERROR(VLOOKUP($A657, Stock_New!$A:$M, 6, FALSE), ""))</f>
        <v>66</v>
      </c>
      <c r="F657" s="239">
        <v>75.0</v>
      </c>
      <c r="G657" s="240"/>
      <c r="H657" s="33">
        <v>75.0</v>
      </c>
      <c r="I657" s="238">
        <v>44997.0</v>
      </c>
      <c r="J657" s="5" t="s">
        <v>72</v>
      </c>
      <c r="K657" s="5" t="s">
        <v>2995</v>
      </c>
      <c r="L657" s="16"/>
      <c r="M657" s="19" t="s">
        <v>5264</v>
      </c>
      <c r="N657" s="5">
        <v>930.0</v>
      </c>
      <c r="O657" s="5">
        <v>200.0</v>
      </c>
      <c r="P657" s="16"/>
    </row>
    <row r="658" ht="22.5" customHeight="1">
      <c r="A658" s="138" t="s">
        <v>210</v>
      </c>
      <c r="B658" s="16" t="str">
        <f>IF(A658="","",IFERROR(VLOOKUP(A658, Stock_New!A:M, 2, FALSE),""))</f>
        <v>سيلفرات</v>
      </c>
      <c r="C658" s="236">
        <v>1.0</v>
      </c>
      <c r="D658" s="16" t="str">
        <f>IF(A658="","",IFERROR(VLOOKUP(A658, Stock_New!A:M, 3, FALSE),""))</f>
        <v>ذكريا</v>
      </c>
      <c r="E658" s="16">
        <f>IF($A658="", "", IFERROR(VLOOKUP($A658, Stock_New!$A:$M, 6, FALSE), ""))</f>
        <v>156</v>
      </c>
      <c r="F658" s="239">
        <v>150.0</v>
      </c>
      <c r="G658" s="240"/>
      <c r="H658" s="33">
        <v>150.0</v>
      </c>
      <c r="I658" s="238">
        <v>44997.0</v>
      </c>
      <c r="J658" s="5" t="s">
        <v>72</v>
      </c>
      <c r="K658" s="5" t="s">
        <v>2996</v>
      </c>
      <c r="L658" s="16"/>
      <c r="M658" s="19" t="s">
        <v>5264</v>
      </c>
      <c r="N658" s="5">
        <v>930.0</v>
      </c>
      <c r="O658" s="5">
        <v>200.0</v>
      </c>
      <c r="P658" s="16"/>
    </row>
    <row r="659" ht="22.5" customHeight="1">
      <c r="A659" s="138" t="s">
        <v>643</v>
      </c>
      <c r="B659" s="16" t="str">
        <f>IF(A659="","",IFERROR(VLOOKUP(A659, Stock_New!A:M, 2, FALSE),""))</f>
        <v>سيلفرات</v>
      </c>
      <c r="C659" s="236">
        <v>1.0</v>
      </c>
      <c r="D659" s="16" t="str">
        <f>IF(A659="","",IFERROR(VLOOKUP(A659, Stock_New!A:M, 3, FALSE),""))</f>
        <v>سنتر محمد رشدي</v>
      </c>
      <c r="E659" s="16">
        <f>IF($A659="", "", IFERROR(VLOOKUP($A659, Stock_New!$A:$M, 6, FALSE), ""))</f>
        <v>199.2</v>
      </c>
      <c r="F659" s="239">
        <v>200.0</v>
      </c>
      <c r="G659" s="240"/>
      <c r="H659" s="33">
        <v>200.0</v>
      </c>
      <c r="I659" s="238">
        <v>44997.0</v>
      </c>
      <c r="J659" s="5" t="s">
        <v>72</v>
      </c>
      <c r="K659" s="5" t="s">
        <v>2997</v>
      </c>
      <c r="L659" s="16"/>
      <c r="M659" s="19" t="s">
        <v>5264</v>
      </c>
      <c r="N659" s="5">
        <v>930.0</v>
      </c>
      <c r="O659" s="5">
        <v>200.0</v>
      </c>
      <c r="P659" s="16"/>
    </row>
    <row r="660" ht="22.5" customHeight="1">
      <c r="A660" s="138" t="s">
        <v>250</v>
      </c>
      <c r="B660" s="16" t="str">
        <f>IF(A660="","",IFERROR(VLOOKUP(A660, Stock_New!A:M, 2, FALSE),""))</f>
        <v>شجر</v>
      </c>
      <c r="C660" s="236">
        <v>1.0</v>
      </c>
      <c r="D660" s="16" t="str">
        <f>IF(A660="","",IFERROR(VLOOKUP(A660, Stock_New!A:M, 3, FALSE),""))</f>
        <v>ذكريا</v>
      </c>
      <c r="E660" s="16">
        <f>IF($A660="", "", IFERROR(VLOOKUP($A660, Stock_New!$A:$M, 6, FALSE), ""))</f>
        <v>174</v>
      </c>
      <c r="F660" s="239">
        <v>170.0</v>
      </c>
      <c r="G660" s="240"/>
      <c r="H660" s="33">
        <v>170.0</v>
      </c>
      <c r="I660" s="238">
        <v>44997.0</v>
      </c>
      <c r="J660" s="5" t="s">
        <v>72</v>
      </c>
      <c r="K660" s="5" t="s">
        <v>3000</v>
      </c>
      <c r="L660" s="16"/>
      <c r="M660" s="19" t="s">
        <v>5264</v>
      </c>
      <c r="N660" s="5">
        <v>930.0</v>
      </c>
      <c r="O660" s="5">
        <v>200.0</v>
      </c>
      <c r="P660" s="16"/>
    </row>
    <row r="661" ht="22.5" customHeight="1">
      <c r="A661" s="138" t="s">
        <v>179</v>
      </c>
      <c r="B661" s="16" t="str">
        <f>IF(A661="","",IFERROR(VLOOKUP(A661, Stock_New!A:M, 2, FALSE),""))</f>
        <v>بوتات</v>
      </c>
      <c r="C661" s="236">
        <v>1.0</v>
      </c>
      <c r="D661" s="16" t="str">
        <f>IF(A661="","",IFERROR(VLOOKUP(A661, Stock_New!A:M, 3, FALSE),""))</f>
        <v>ذكريا</v>
      </c>
      <c r="E661" s="16">
        <f>IF($A661="", "", IFERROR(VLOOKUP($A661, Stock_New!$A:$M, 6, FALSE), ""))</f>
        <v>126</v>
      </c>
      <c r="F661" s="239">
        <v>130.0</v>
      </c>
      <c r="G661" s="240"/>
      <c r="H661" s="33">
        <v>130.0</v>
      </c>
      <c r="I661" s="238">
        <v>44997.0</v>
      </c>
      <c r="J661" s="5" t="s">
        <v>72</v>
      </c>
      <c r="K661" s="5" t="s">
        <v>3001</v>
      </c>
      <c r="L661" s="16"/>
      <c r="M661" s="19" t="s">
        <v>5264</v>
      </c>
      <c r="N661" s="5">
        <v>930.0</v>
      </c>
      <c r="O661" s="5">
        <v>200.0</v>
      </c>
      <c r="P661" s="16"/>
    </row>
    <row r="662" ht="22.5" customHeight="1">
      <c r="A662" s="138" t="s">
        <v>812</v>
      </c>
      <c r="B662" s="16" t="str">
        <f>IF(A662="","",IFERROR(VLOOKUP(A662, Stock_New!A:M, 2, FALSE),""))</f>
        <v/>
      </c>
      <c r="C662" s="236">
        <v>3.0</v>
      </c>
      <c r="D662" s="16" t="str">
        <f>IF(A662="","",IFERROR(VLOOKUP(A662, Stock_New!A:M, 3, FALSE),""))</f>
        <v/>
      </c>
      <c r="E662" s="16" t="str">
        <f>IF($A662="", "", IFERROR(VLOOKUP($A662, Stock_New!$A:$M, 6, FALSE), ""))</f>
        <v/>
      </c>
      <c r="F662" s="239">
        <v>25.0</v>
      </c>
      <c r="G662" s="240"/>
      <c r="H662" s="33">
        <v>75.0</v>
      </c>
      <c r="I662" s="238">
        <v>44997.0</v>
      </c>
      <c r="J662" s="5" t="s">
        <v>72</v>
      </c>
      <c r="K662" s="5" t="s">
        <v>3002</v>
      </c>
      <c r="L662" s="16"/>
      <c r="M662" s="19" t="s">
        <v>5264</v>
      </c>
      <c r="N662" s="5">
        <v>930.0</v>
      </c>
      <c r="O662" s="5">
        <v>200.0</v>
      </c>
      <c r="P662" s="16"/>
    </row>
    <row r="663" ht="22.5" customHeight="1">
      <c r="A663" s="138" t="s">
        <v>918</v>
      </c>
      <c r="B663" s="16" t="str">
        <f>IF(A663="","",IFERROR(VLOOKUP(A663, Stock_New!A:M, 2, FALSE),""))</f>
        <v/>
      </c>
      <c r="C663" s="236">
        <v>1.0</v>
      </c>
      <c r="D663" s="16" t="str">
        <f>IF(A663="","",IFERROR(VLOOKUP(A663, Stock_New!A:M, 3, FALSE),""))</f>
        <v/>
      </c>
      <c r="E663" s="16" t="str">
        <f>IF($A663="", "", IFERROR(VLOOKUP($A663, Stock_New!$A:$M, 6, FALSE), ""))</f>
        <v/>
      </c>
      <c r="F663" s="239">
        <v>205.0</v>
      </c>
      <c r="G663" s="240"/>
      <c r="H663" s="33">
        <v>205.0</v>
      </c>
      <c r="I663" s="238">
        <v>44997.0</v>
      </c>
      <c r="J663" s="5" t="s">
        <v>72</v>
      </c>
      <c r="K663" s="5" t="s">
        <v>3003</v>
      </c>
      <c r="L663" s="16"/>
      <c r="M663" s="19" t="s">
        <v>5264</v>
      </c>
      <c r="N663" s="5">
        <v>930.0</v>
      </c>
      <c r="O663" s="5">
        <v>200.0</v>
      </c>
      <c r="P663" s="16"/>
    </row>
    <row r="664" ht="22.5" customHeight="1">
      <c r="A664" s="138" t="s">
        <v>347</v>
      </c>
      <c r="B664" s="16" t="str">
        <f>IF(A664="","",IFERROR(VLOOKUP(A664, Stock_New!A:M, 2, FALSE),""))</f>
        <v>بوتات</v>
      </c>
      <c r="C664" s="236">
        <v>1.0</v>
      </c>
      <c r="D664" s="16" t="str">
        <f>IF(A664="","",IFERROR(VLOOKUP(A664, Stock_New!A:M, 3, FALSE),""))</f>
        <v>شركة الفرسان</v>
      </c>
      <c r="E664" s="16">
        <f>IF($A664="", "", IFERROR(VLOOKUP($A664, Stock_New!$A:$M, 6, FALSE), ""))</f>
        <v>24</v>
      </c>
      <c r="F664" s="239">
        <v>50.0</v>
      </c>
      <c r="G664" s="240"/>
      <c r="H664" s="33">
        <v>50.0</v>
      </c>
      <c r="I664" s="238">
        <v>44997.0</v>
      </c>
      <c r="J664" s="5" t="s">
        <v>72</v>
      </c>
      <c r="K664" s="5" t="s">
        <v>3004</v>
      </c>
      <c r="L664" s="16"/>
      <c r="M664" s="19" t="s">
        <v>5264</v>
      </c>
      <c r="N664" s="5">
        <v>930.0</v>
      </c>
      <c r="O664" s="5">
        <v>200.0</v>
      </c>
      <c r="P664" s="16"/>
    </row>
    <row r="665" ht="22.5" customHeight="1">
      <c r="A665" s="138" t="s">
        <v>848</v>
      </c>
      <c r="B665" s="16" t="str">
        <f>IF(A665="","",IFERROR(VLOOKUP(A665, Stock_New!A:M, 2, FALSE),""))</f>
        <v/>
      </c>
      <c r="C665" s="236">
        <v>1.0</v>
      </c>
      <c r="D665" s="16" t="str">
        <f>IF(A665="","",IFERROR(VLOOKUP(A665, Stock_New!A:M, 3, FALSE),""))</f>
        <v/>
      </c>
      <c r="E665" s="16" t="str">
        <f>IF($A665="", "", IFERROR(VLOOKUP($A665, Stock_New!$A:$M, 6, FALSE), ""))</f>
        <v/>
      </c>
      <c r="F665" s="239">
        <v>170.0</v>
      </c>
      <c r="G665" s="240"/>
      <c r="H665" s="33">
        <v>170.0</v>
      </c>
      <c r="I665" s="238">
        <v>44997.0</v>
      </c>
      <c r="J665" s="5" t="s">
        <v>72</v>
      </c>
      <c r="K665" s="5" t="s">
        <v>3007</v>
      </c>
      <c r="L665" s="16"/>
      <c r="M665" s="19" t="s">
        <v>5291</v>
      </c>
      <c r="N665" s="5">
        <v>800.0</v>
      </c>
      <c r="O665" s="5">
        <v>400.0</v>
      </c>
      <c r="P665" s="16"/>
    </row>
    <row r="666" ht="22.5" customHeight="1">
      <c r="A666" s="138" t="s">
        <v>975</v>
      </c>
      <c r="B666" s="16" t="str">
        <f>IF(A666="","",IFERROR(VLOOKUP(A666, Stock_New!A:M, 2, FALSE),""))</f>
        <v>فازة زجاج</v>
      </c>
      <c r="C666" s="236">
        <v>1.0</v>
      </c>
      <c r="D666" s="16" t="str">
        <f>IF(A666="","",IFERROR(VLOOKUP(A666, Stock_New!A:M, 3, FALSE),""))</f>
        <v>سنتر محمد رشدي</v>
      </c>
      <c r="E666" s="16">
        <f>IF($A666="", "", IFERROR(VLOOKUP($A666, Stock_New!$A:$M, 6, FALSE), ""))</f>
        <v>58.8</v>
      </c>
      <c r="F666" s="239">
        <v>70.0</v>
      </c>
      <c r="G666" s="240"/>
      <c r="H666" s="33">
        <v>70.0</v>
      </c>
      <c r="I666" s="238">
        <v>44997.0</v>
      </c>
      <c r="J666" s="5" t="s">
        <v>72</v>
      </c>
      <c r="K666" s="5" t="s">
        <v>3008</v>
      </c>
      <c r="L666" s="16"/>
      <c r="M666" s="19" t="s">
        <v>5291</v>
      </c>
      <c r="N666" s="5">
        <v>800.0</v>
      </c>
      <c r="O666" s="5">
        <v>400.0</v>
      </c>
      <c r="P666" s="16"/>
    </row>
    <row r="667" ht="22.5" customHeight="1">
      <c r="A667" s="138" t="s">
        <v>245</v>
      </c>
      <c r="B667" s="16" t="str">
        <f>IF(A667="","",IFERROR(VLOOKUP(A667, Stock_New!A:M, 2, FALSE),""))</f>
        <v>ورد لحدة</v>
      </c>
      <c r="C667" s="236">
        <v>1.0</v>
      </c>
      <c r="D667" s="19" t="s">
        <v>154</v>
      </c>
      <c r="E667" s="16">
        <f>IF($A667="", "", IFERROR(VLOOKUP($A667, Stock_New!$A:$M, 6, FALSE), ""))</f>
        <v>180</v>
      </c>
      <c r="F667" s="239">
        <v>190.0</v>
      </c>
      <c r="G667" s="240"/>
      <c r="H667" s="33">
        <v>190.0</v>
      </c>
      <c r="I667" s="238">
        <v>44997.0</v>
      </c>
      <c r="J667" s="5" t="s">
        <v>72</v>
      </c>
      <c r="K667" s="5" t="s">
        <v>3062</v>
      </c>
      <c r="L667" s="16"/>
      <c r="M667" s="19" t="s">
        <v>5291</v>
      </c>
      <c r="N667" s="5">
        <v>800.0</v>
      </c>
      <c r="O667" s="5">
        <v>400.0</v>
      </c>
      <c r="P667" s="16"/>
    </row>
    <row r="668" ht="22.5" customHeight="1">
      <c r="A668" s="138" t="s">
        <v>812</v>
      </c>
      <c r="B668" s="16" t="str">
        <f>IF(A668="","",IFERROR(VLOOKUP(A668, Stock_New!A:M, 2, FALSE),""))</f>
        <v/>
      </c>
      <c r="C668" s="236">
        <v>3.0</v>
      </c>
      <c r="D668" s="16" t="str">
        <f>IF(A668="","",IFERROR(VLOOKUP(A668, Stock_New!A:M, 3, FALSE),""))</f>
        <v/>
      </c>
      <c r="E668" s="16" t="str">
        <f>IF($A668="", "", IFERROR(VLOOKUP($A668, Stock_New!$A:$M, 6, FALSE), ""))</f>
        <v/>
      </c>
      <c r="F668" s="239">
        <v>25.0</v>
      </c>
      <c r="G668" s="240"/>
      <c r="H668" s="33">
        <v>75.0</v>
      </c>
      <c r="I668" s="238">
        <v>44997.0</v>
      </c>
      <c r="J668" s="5" t="s">
        <v>72</v>
      </c>
      <c r="K668" s="5" t="s">
        <v>3011</v>
      </c>
      <c r="L668" s="16"/>
      <c r="M668" s="19" t="s">
        <v>5291</v>
      </c>
      <c r="N668" s="5">
        <v>800.0</v>
      </c>
      <c r="O668" s="5">
        <v>400.0</v>
      </c>
      <c r="P668" s="16"/>
    </row>
    <row r="669" ht="22.5" customHeight="1">
      <c r="A669" s="138" t="s">
        <v>74</v>
      </c>
      <c r="B669" s="16" t="str">
        <f>IF(A669="","",IFERROR(VLOOKUP(A669, Stock_New!A:M, 2, FALSE),""))</f>
        <v>سيلفرات</v>
      </c>
      <c r="C669" s="236">
        <v>1.0</v>
      </c>
      <c r="D669" s="16" t="str">
        <f>IF(A669="","",IFERROR(VLOOKUP(A669, Stock_New!A:M, 3, FALSE),""))</f>
        <v>ذكريا</v>
      </c>
      <c r="E669" s="16">
        <f>IF($A669="", "", IFERROR(VLOOKUP($A669, Stock_New!$A:$M, 6, FALSE), ""))</f>
        <v>144</v>
      </c>
      <c r="F669" s="239">
        <v>150.0</v>
      </c>
      <c r="G669" s="240"/>
      <c r="H669" s="33">
        <v>150.0</v>
      </c>
      <c r="I669" s="238">
        <v>44997.0</v>
      </c>
      <c r="J669" s="5" t="s">
        <v>72</v>
      </c>
      <c r="K669" s="5" t="s">
        <v>3012</v>
      </c>
      <c r="L669" s="16"/>
      <c r="M669" s="19" t="s">
        <v>5291</v>
      </c>
      <c r="N669" s="5">
        <v>800.0</v>
      </c>
      <c r="O669" s="5">
        <v>400.0</v>
      </c>
      <c r="P669" s="16"/>
    </row>
    <row r="670" ht="22.5" customHeight="1">
      <c r="A670" s="138" t="s">
        <v>667</v>
      </c>
      <c r="B670" s="16" t="str">
        <f>IF(A670="","",IFERROR(VLOOKUP(A670, Stock_New!A:M, 2, FALSE),""))</f>
        <v>بوكيه</v>
      </c>
      <c r="C670" s="236">
        <v>1.0</v>
      </c>
      <c r="D670" s="16" t="str">
        <f>IF(A670="","",IFERROR(VLOOKUP(A670, Stock_New!A:M, 3, FALSE),""))</f>
        <v>المهندس</v>
      </c>
      <c r="E670" s="16">
        <f>IF($A670="", "", IFERROR(VLOOKUP($A670, Stock_New!$A:$M, 6, FALSE), ""))</f>
        <v>66</v>
      </c>
      <c r="F670" s="239">
        <v>75.0</v>
      </c>
      <c r="G670" s="240"/>
      <c r="H670" s="33">
        <v>75.0</v>
      </c>
      <c r="I670" s="238">
        <v>44997.0</v>
      </c>
      <c r="J670" s="5" t="s">
        <v>72</v>
      </c>
      <c r="K670" s="5" t="s">
        <v>3013</v>
      </c>
      <c r="L670" s="16"/>
      <c r="M670" s="19" t="s">
        <v>5291</v>
      </c>
      <c r="N670" s="5">
        <v>800.0</v>
      </c>
      <c r="O670" s="5">
        <v>400.0</v>
      </c>
      <c r="P670" s="16"/>
    </row>
    <row r="671" ht="22.5" customHeight="1">
      <c r="A671" s="138" t="s">
        <v>177</v>
      </c>
      <c r="B671" s="16" t="str">
        <f>IF(A671="","",IFERROR(VLOOKUP(A671, Stock_New!A:M, 2, FALSE),""))</f>
        <v>بورسلين</v>
      </c>
      <c r="C671" s="236">
        <v>1.0</v>
      </c>
      <c r="D671" s="16" t="str">
        <f>IF(A671="","",IFERROR(VLOOKUP(A671, Stock_New!A:M, 3, FALSE),""))</f>
        <v>شركة حسين علي</v>
      </c>
      <c r="E671" s="16">
        <f>IF($A671="", "", IFERROR(VLOOKUP($A671, Stock_New!$A:$M, 6, FALSE), ""))</f>
        <v>90</v>
      </c>
      <c r="F671" s="239">
        <v>100.0</v>
      </c>
      <c r="G671" s="240"/>
      <c r="H671" s="33">
        <v>100.0</v>
      </c>
      <c r="I671" s="238">
        <v>44997.0</v>
      </c>
      <c r="J671" s="5" t="s">
        <v>72</v>
      </c>
      <c r="K671" s="5" t="s">
        <v>3014</v>
      </c>
      <c r="L671" s="16"/>
      <c r="M671" s="19" t="s">
        <v>5291</v>
      </c>
      <c r="N671" s="5">
        <v>800.0</v>
      </c>
      <c r="O671" s="5">
        <v>400.0</v>
      </c>
      <c r="P671" s="16"/>
    </row>
    <row r="672" ht="22.5" customHeight="1">
      <c r="A672" s="138" t="s">
        <v>766</v>
      </c>
      <c r="B672" s="16" t="str">
        <f>IF(A672="","",IFERROR(VLOOKUP(A672, Stock_New!A:M, 2, FALSE),""))</f>
        <v>سيلفرات</v>
      </c>
      <c r="C672" s="236">
        <v>1.0</v>
      </c>
      <c r="D672" s="16" t="str">
        <f>IF(A672="","",IFERROR(VLOOKUP(A672, Stock_New!A:M, 3, FALSE),""))</f>
        <v>سنتر محمد رشدي</v>
      </c>
      <c r="E672" s="16">
        <f>IF($A672="", "", IFERROR(VLOOKUP($A672, Stock_New!$A:$M, 6, FALSE), ""))</f>
        <v>180</v>
      </c>
      <c r="F672" s="239">
        <v>180.0</v>
      </c>
      <c r="G672" s="240"/>
      <c r="H672" s="33">
        <v>180.0</v>
      </c>
      <c r="I672" s="238">
        <v>44997.0</v>
      </c>
      <c r="J672" s="5" t="s">
        <v>72</v>
      </c>
      <c r="K672" s="5" t="s">
        <v>3015</v>
      </c>
      <c r="L672" s="16"/>
      <c r="M672" s="19" t="s">
        <v>5291</v>
      </c>
      <c r="N672" s="5">
        <v>800.0</v>
      </c>
      <c r="O672" s="5">
        <v>400.0</v>
      </c>
      <c r="P672" s="16"/>
    </row>
    <row r="673" ht="22.5" customHeight="1">
      <c r="A673" s="138" t="s">
        <v>816</v>
      </c>
      <c r="B673" s="16" t="str">
        <f>IF(A673="","",IFERROR(VLOOKUP(A673, Stock_New!A:M, 2, FALSE),""))</f>
        <v>سيلفر</v>
      </c>
      <c r="C673" s="236">
        <v>1.0</v>
      </c>
      <c r="D673" s="16" t="str">
        <f>IF(A673="","",IFERROR(VLOOKUP(A673, Stock_New!A:M, 3, FALSE),""))</f>
        <v>سنتر محمد رشدي</v>
      </c>
      <c r="E673" s="16">
        <f>IF($A673="", "", IFERROR(VLOOKUP($A673, Stock_New!$A:$M, 6, FALSE), ""))</f>
        <v>169.2</v>
      </c>
      <c r="F673" s="239">
        <v>190.0</v>
      </c>
      <c r="G673" s="240"/>
      <c r="H673" s="33">
        <v>190.0</v>
      </c>
      <c r="I673" s="238">
        <v>44997.0</v>
      </c>
      <c r="J673" s="5" t="s">
        <v>72</v>
      </c>
      <c r="K673" s="5" t="s">
        <v>3018</v>
      </c>
      <c r="L673" s="16"/>
      <c r="M673" s="19" t="s">
        <v>5291</v>
      </c>
      <c r="N673" s="5">
        <v>800.0</v>
      </c>
      <c r="O673" s="5">
        <v>400.0</v>
      </c>
      <c r="P673" s="16"/>
    </row>
    <row r="674" ht="22.5" customHeight="1">
      <c r="A674" s="138" t="s">
        <v>983</v>
      </c>
      <c r="B674" s="16" t="str">
        <f>IF(A674="","",IFERROR(VLOOKUP(A674, Stock_New!A:M, 2, FALSE),""))</f>
        <v>فازة</v>
      </c>
      <c r="C674" s="236">
        <v>1.0</v>
      </c>
      <c r="D674" s="16" t="str">
        <f>IF(A674="","",IFERROR(VLOOKUP(A674, Stock_New!A:M, 3, FALSE),""))</f>
        <v>manufactured</v>
      </c>
      <c r="E674" s="16">
        <f>IF($A674="", "", IFERROR(VLOOKUP($A674, Stock_New!$A:$M, 6, FALSE), ""))</f>
        <v>90</v>
      </c>
      <c r="F674" s="239">
        <v>130.0</v>
      </c>
      <c r="G674" s="240"/>
      <c r="H674" s="33">
        <v>130.0</v>
      </c>
      <c r="I674" s="238">
        <v>44997.0</v>
      </c>
      <c r="J674" s="5" t="s">
        <v>72</v>
      </c>
      <c r="K674" s="5" t="s">
        <v>3019</v>
      </c>
      <c r="L674" s="16"/>
      <c r="M674" s="19" t="s">
        <v>5025</v>
      </c>
      <c r="N674" s="5">
        <v>0.0</v>
      </c>
      <c r="O674" s="5">
        <v>3000.0</v>
      </c>
      <c r="P674" s="19"/>
    </row>
    <row r="675" ht="22.5" customHeight="1">
      <c r="A675" s="138" t="s">
        <v>236</v>
      </c>
      <c r="B675" s="16" t="str">
        <f>IF(A675="","",IFERROR(VLOOKUP(A675, Stock_New!A:M, 2, FALSE),""))</f>
        <v>ورد لحدة</v>
      </c>
      <c r="C675" s="236">
        <v>1.0</v>
      </c>
      <c r="D675" s="16" t="str">
        <f>IF(A675="","",IFERROR(VLOOKUP(A675, Stock_New!A:M, 3, FALSE),""))</f>
        <v>شركة حسين علي</v>
      </c>
      <c r="E675" s="16">
        <f>IF($A675="", "", IFERROR(VLOOKUP($A675, Stock_New!$A:$M, 6, FALSE), ""))</f>
        <v>210</v>
      </c>
      <c r="F675" s="239">
        <v>250.0</v>
      </c>
      <c r="G675" s="240"/>
      <c r="H675" s="33">
        <v>250.0</v>
      </c>
      <c r="I675" s="238">
        <v>44997.0</v>
      </c>
      <c r="J675" s="5" t="s">
        <v>72</v>
      </c>
      <c r="K675" s="5" t="s">
        <v>3022</v>
      </c>
      <c r="L675" s="16"/>
      <c r="M675" s="19" t="s">
        <v>5025</v>
      </c>
      <c r="N675" s="5">
        <v>0.0</v>
      </c>
      <c r="O675" s="5">
        <v>3000.0</v>
      </c>
      <c r="P675" s="19"/>
    </row>
    <row r="676" ht="22.5" customHeight="1">
      <c r="A676" s="138" t="s">
        <v>812</v>
      </c>
      <c r="B676" s="16" t="str">
        <f>IF(A676="","",IFERROR(VLOOKUP(A676, Stock_New!A:M, 2, FALSE),""))</f>
        <v/>
      </c>
      <c r="C676" s="236">
        <v>6.0</v>
      </c>
      <c r="D676" s="16" t="str">
        <f>IF(A676="","",IFERROR(VLOOKUP(A676, Stock_New!A:M, 3, FALSE),""))</f>
        <v/>
      </c>
      <c r="E676" s="16" t="str">
        <f>IF($A676="", "", IFERROR(VLOOKUP($A676, Stock_New!$A:$M, 6, FALSE), ""))</f>
        <v/>
      </c>
      <c r="F676" s="239">
        <v>20.0</v>
      </c>
      <c r="G676" s="240"/>
      <c r="H676" s="33">
        <v>120.0</v>
      </c>
      <c r="I676" s="238">
        <v>44997.0</v>
      </c>
      <c r="J676" s="5" t="s">
        <v>72</v>
      </c>
      <c r="K676" s="5" t="s">
        <v>3023</v>
      </c>
      <c r="L676" s="16"/>
      <c r="M676" s="19" t="s">
        <v>5025</v>
      </c>
      <c r="N676" s="5">
        <v>0.0</v>
      </c>
      <c r="O676" s="5">
        <v>3000.0</v>
      </c>
      <c r="P676" s="19"/>
    </row>
    <row r="677" ht="22.5" customHeight="1">
      <c r="A677" s="138" t="s">
        <v>987</v>
      </c>
      <c r="B677" s="16" t="str">
        <f>IF(A677="","",IFERROR(VLOOKUP(A677, Stock_New!A:M, 2, FALSE),""))</f>
        <v>لعب</v>
      </c>
      <c r="C677" s="236">
        <v>1.0</v>
      </c>
      <c r="D677" s="16" t="str">
        <f>IF(A677="","",IFERROR(VLOOKUP(A677, Stock_New!A:M, 3, FALSE),""))</f>
        <v>سنتر محمد رشدي</v>
      </c>
      <c r="E677" s="16">
        <f>IF($A677="", "", IFERROR(VLOOKUP($A677, Stock_New!$A:$M, 6, FALSE), ""))</f>
        <v>22.8</v>
      </c>
      <c r="F677" s="239">
        <v>30.0</v>
      </c>
      <c r="G677" s="240"/>
      <c r="H677" s="33">
        <v>30.0</v>
      </c>
      <c r="I677" s="238">
        <v>44997.0</v>
      </c>
      <c r="J677" s="5" t="s">
        <v>72</v>
      </c>
      <c r="K677" s="5" t="s">
        <v>3024</v>
      </c>
      <c r="L677" s="16"/>
      <c r="M677" s="19" t="s">
        <v>5025</v>
      </c>
      <c r="N677" s="5">
        <v>0.0</v>
      </c>
      <c r="O677" s="5">
        <v>3000.0</v>
      </c>
      <c r="P677" s="19"/>
    </row>
    <row r="678" ht="22.5" customHeight="1">
      <c r="A678" s="138" t="s">
        <v>846</v>
      </c>
      <c r="B678" s="16" t="str">
        <f>IF(A678="","",IFERROR(VLOOKUP(A678, Stock_New!A:M, 2, FALSE),""))</f>
        <v>ساعة</v>
      </c>
      <c r="C678" s="236">
        <v>1.0</v>
      </c>
      <c r="D678" s="16" t="str">
        <f>IF(A678="","",IFERROR(VLOOKUP(A678, Stock_New!A:M, 3, FALSE),""))</f>
        <v>سنتر محمد رشدي</v>
      </c>
      <c r="E678" s="16">
        <f>IF($A678="", "", IFERROR(VLOOKUP($A678, Stock_New!$A:$M, 6, FALSE), ""))</f>
        <v>165</v>
      </c>
      <c r="F678" s="239">
        <v>175.0</v>
      </c>
      <c r="G678" s="240"/>
      <c r="H678" s="33">
        <v>175.0</v>
      </c>
      <c r="I678" s="238">
        <v>44997.0</v>
      </c>
      <c r="J678" s="5" t="s">
        <v>72</v>
      </c>
      <c r="K678" s="5" t="s">
        <v>3027</v>
      </c>
      <c r="L678" s="16"/>
      <c r="M678" s="19" t="s">
        <v>5025</v>
      </c>
      <c r="N678" s="5">
        <v>0.0</v>
      </c>
      <c r="O678" s="5">
        <v>3000.0</v>
      </c>
      <c r="P678" s="19"/>
    </row>
    <row r="679" ht="22.5" customHeight="1">
      <c r="A679" s="138" t="s">
        <v>913</v>
      </c>
      <c r="B679" s="16" t="str">
        <f>IF(A679="","",IFERROR(VLOOKUP(A679, Stock_New!A:M, 2, FALSE),""))</f>
        <v>ساعة</v>
      </c>
      <c r="C679" s="236">
        <v>1.0</v>
      </c>
      <c r="D679" s="16" t="str">
        <f>IF(A679="","",IFERROR(VLOOKUP(A679, Stock_New!A:M, 3, FALSE),""))</f>
        <v>سنتر محمد رشدي</v>
      </c>
      <c r="E679" s="16">
        <f>IF($A679="", "", IFERROR(VLOOKUP($A679, Stock_New!$A:$M, 6, FALSE), ""))</f>
        <v>156</v>
      </c>
      <c r="F679" s="239">
        <v>160.0</v>
      </c>
      <c r="G679" s="240"/>
      <c r="H679" s="33">
        <v>160.0</v>
      </c>
      <c r="I679" s="238">
        <v>44997.0</v>
      </c>
      <c r="J679" s="5" t="s">
        <v>72</v>
      </c>
      <c r="K679" s="5" t="s">
        <v>3030</v>
      </c>
      <c r="L679" s="16"/>
      <c r="M679" s="19" t="s">
        <v>5025</v>
      </c>
      <c r="N679" s="5">
        <v>0.0</v>
      </c>
      <c r="O679" s="5">
        <v>3000.0</v>
      </c>
      <c r="P679" s="19"/>
    </row>
    <row r="680" ht="22.5" customHeight="1">
      <c r="A680" s="138" t="s">
        <v>410</v>
      </c>
      <c r="B680" s="16" t="str">
        <f>IF(A680="","",IFERROR(VLOOKUP(A680, Stock_New!A:M, 2, FALSE),""))</f>
        <v>ستارة</v>
      </c>
      <c r="C680" s="236">
        <v>2.0</v>
      </c>
      <c r="D680" s="16" t="str">
        <f>IF(A680="","",IFERROR(VLOOKUP(A680, Stock_New!A:M, 3, FALSE),""))</f>
        <v>شركة حسين علي</v>
      </c>
      <c r="E680" s="16">
        <f>IF($A680="", "", IFERROR(VLOOKUP($A680, Stock_New!$A:$M, 6, FALSE), ""))</f>
        <v>270</v>
      </c>
      <c r="F680" s="239">
        <v>270.0</v>
      </c>
      <c r="G680" s="240"/>
      <c r="H680" s="33">
        <v>540.0</v>
      </c>
      <c r="I680" s="238">
        <v>44997.0</v>
      </c>
      <c r="J680" s="5" t="s">
        <v>72</v>
      </c>
      <c r="K680" s="5" t="s">
        <v>3033</v>
      </c>
      <c r="L680" s="16"/>
      <c r="M680" s="19" t="s">
        <v>5025</v>
      </c>
      <c r="N680" s="5">
        <v>0.0</v>
      </c>
      <c r="O680" s="5">
        <v>3000.0</v>
      </c>
      <c r="P680" s="19"/>
    </row>
    <row r="681" ht="22.5" customHeight="1">
      <c r="A681" s="138" t="s">
        <v>733</v>
      </c>
      <c r="B681" s="16" t="str">
        <f>IF(A681="","",IFERROR(VLOOKUP(A681, Stock_New!A:M, 2, FALSE),""))</f>
        <v>بوكيه</v>
      </c>
      <c r="C681" s="236">
        <v>2.0</v>
      </c>
      <c r="D681" s="16" t="str">
        <f>IF(A681="","",IFERROR(VLOOKUP(A681, Stock_New!A:M, 3, FALSE),""))</f>
        <v>المهندس</v>
      </c>
      <c r="E681" s="16">
        <f>IF($A681="", "", IFERROR(VLOOKUP($A681, Stock_New!$A:$M, 6, FALSE), ""))</f>
        <v>31.2</v>
      </c>
      <c r="F681" s="239">
        <v>40.0</v>
      </c>
      <c r="G681" s="240"/>
      <c r="H681" s="33">
        <v>80.0</v>
      </c>
      <c r="I681" s="238">
        <v>46094.0</v>
      </c>
      <c r="J681" s="5" t="s">
        <v>72</v>
      </c>
      <c r="K681" s="5" t="s">
        <v>3036</v>
      </c>
      <c r="L681" s="16"/>
      <c r="M681" s="19"/>
      <c r="N681" s="16"/>
      <c r="O681" s="16"/>
      <c r="P681" s="16"/>
    </row>
    <row r="682" ht="22.5" customHeight="1">
      <c r="A682" s="138" t="s">
        <v>858</v>
      </c>
      <c r="B682" s="16" t="str">
        <f>IF(A682="","",IFERROR(VLOOKUP(A682, Stock_New!A:M, 2, FALSE),""))</f>
        <v>بوكيه</v>
      </c>
      <c r="C682" s="236">
        <v>1.0</v>
      </c>
      <c r="D682" s="16" t="str">
        <f>IF(A682="","",IFERROR(VLOOKUP(A682, Stock_New!A:M, 3, FALSE),""))</f>
        <v>manufactured</v>
      </c>
      <c r="E682" s="16">
        <f>IF($A682="", "", IFERROR(VLOOKUP($A682, Stock_New!$A:$M, 6, FALSE), ""))</f>
        <v>13.01428571</v>
      </c>
      <c r="F682" s="239">
        <v>25.0</v>
      </c>
      <c r="G682" s="240"/>
      <c r="H682" s="33">
        <v>25.0</v>
      </c>
      <c r="I682" s="238">
        <v>46094.0</v>
      </c>
      <c r="J682" s="5" t="s">
        <v>72</v>
      </c>
      <c r="K682" s="5" t="s">
        <v>3037</v>
      </c>
      <c r="L682" s="16"/>
      <c r="M682" s="19"/>
      <c r="N682" s="16"/>
      <c r="O682" s="16"/>
      <c r="P682" s="16"/>
    </row>
    <row r="683" ht="22.5" customHeight="1">
      <c r="A683" s="138" t="s">
        <v>898</v>
      </c>
      <c r="B683" s="16" t="str">
        <f>IF(A683="","",IFERROR(VLOOKUP(A683, Stock_New!A:M, 2, FALSE),""))</f>
        <v/>
      </c>
      <c r="C683" s="236">
        <v>1.0</v>
      </c>
      <c r="D683" s="16" t="str">
        <f>IF(A683="","",IFERROR(VLOOKUP(A683, Stock_New!A:M, 3, FALSE),""))</f>
        <v/>
      </c>
      <c r="E683" s="16" t="str">
        <f>IF($A683="", "", IFERROR(VLOOKUP($A683, Stock_New!$A:$M, 6, FALSE), ""))</f>
        <v/>
      </c>
      <c r="F683" s="239">
        <v>25.0</v>
      </c>
      <c r="G683" s="240"/>
      <c r="H683" s="33">
        <v>25.0</v>
      </c>
      <c r="I683" s="238">
        <v>46094.0</v>
      </c>
      <c r="J683" s="5" t="s">
        <v>72</v>
      </c>
      <c r="K683" s="5" t="s">
        <v>3038</v>
      </c>
      <c r="L683" s="16"/>
      <c r="M683" s="19"/>
      <c r="N683" s="16"/>
      <c r="O683" s="16"/>
      <c r="P683" s="16"/>
    </row>
    <row r="684" ht="22.5" customHeight="1">
      <c r="A684" s="138" t="s">
        <v>699</v>
      </c>
      <c r="B684" s="16" t="str">
        <f>IF(A684="","",IFERROR(VLOOKUP(A684, Stock_New!A:M, 2, FALSE),""))</f>
        <v>بوكيه</v>
      </c>
      <c r="C684" s="236">
        <v>1.0</v>
      </c>
      <c r="D684" s="16" t="str">
        <f>IF(A684="","",IFERROR(VLOOKUP(A684, Stock_New!A:M, 3, FALSE),""))</f>
        <v>manufactured</v>
      </c>
      <c r="E684" s="16">
        <f>IF($A684="", "", IFERROR(VLOOKUP($A684, Stock_New!$A:$M, 6, FALSE), ""))</f>
        <v>24</v>
      </c>
      <c r="F684" s="239">
        <v>50.0</v>
      </c>
      <c r="G684" s="240"/>
      <c r="H684" s="33">
        <v>50.0</v>
      </c>
      <c r="I684" s="238">
        <v>46094.0</v>
      </c>
      <c r="J684" s="5" t="s">
        <v>72</v>
      </c>
      <c r="K684" s="5" t="s">
        <v>3039</v>
      </c>
      <c r="L684" s="16"/>
      <c r="M684" s="19"/>
      <c r="N684" s="16"/>
      <c r="O684" s="16"/>
      <c r="P684" s="16"/>
    </row>
    <row r="685" ht="22.5" customHeight="1">
      <c r="A685" s="138" t="s">
        <v>177</v>
      </c>
      <c r="B685" s="16" t="str">
        <f>IF(A685="","",IFERROR(VLOOKUP(A685, Stock_New!A:M, 2, FALSE),""))</f>
        <v>بورسلين</v>
      </c>
      <c r="C685" s="236">
        <v>1.0</v>
      </c>
      <c r="D685" s="16" t="str">
        <f>IF(A685="","",IFERROR(VLOOKUP(A685, Stock_New!A:M, 3, FALSE),""))</f>
        <v>شركة حسين علي</v>
      </c>
      <c r="E685" s="16">
        <f>IF($A685="", "", IFERROR(VLOOKUP($A685, Stock_New!$A:$M, 6, FALSE), ""))</f>
        <v>90</v>
      </c>
      <c r="F685" s="239">
        <v>100.0</v>
      </c>
      <c r="G685" s="240"/>
      <c r="H685" s="33">
        <v>100.0</v>
      </c>
      <c r="I685" s="238">
        <v>46094.0</v>
      </c>
      <c r="J685" s="5" t="s">
        <v>72</v>
      </c>
      <c r="K685" s="5" t="s">
        <v>3040</v>
      </c>
      <c r="L685" s="16"/>
      <c r="M685" s="19"/>
      <c r="N685" s="16"/>
      <c r="O685" s="16"/>
      <c r="P685" s="16"/>
    </row>
    <row r="686" ht="22.5" customHeight="1">
      <c r="A686" s="138" t="s">
        <v>48</v>
      </c>
      <c r="B686" s="16" t="str">
        <f>IF(A686="","",IFERROR(VLOOKUP(A686, Stock_New!A:M, 2, FALSE),""))</f>
        <v>بوكيه</v>
      </c>
      <c r="C686" s="236">
        <v>1.0</v>
      </c>
      <c r="D686" s="16" t="str">
        <f>IF(A686="","",IFERROR(VLOOKUP(A686, Stock_New!A:M, 3, FALSE),""))</f>
        <v>ذكريا</v>
      </c>
      <c r="E686" s="16">
        <f>IF($A686="", "", IFERROR(VLOOKUP($A686, Stock_New!$A:$M, 6, FALSE), ""))</f>
        <v>44.4</v>
      </c>
      <c r="F686" s="239">
        <v>75.0</v>
      </c>
      <c r="G686" s="240"/>
      <c r="H686" s="33">
        <v>75.0</v>
      </c>
      <c r="I686" s="238">
        <v>46094.0</v>
      </c>
      <c r="J686" s="5" t="s">
        <v>72</v>
      </c>
      <c r="K686" s="5" t="s">
        <v>3041</v>
      </c>
      <c r="L686" s="16"/>
      <c r="M686" s="19"/>
      <c r="N686" s="16"/>
      <c r="O686" s="16"/>
      <c r="P686" s="16"/>
    </row>
    <row r="687" ht="22.5" customHeight="1">
      <c r="A687" s="138" t="s">
        <v>102</v>
      </c>
      <c r="B687" s="16" t="str">
        <f>IF(A687="","",IFERROR(VLOOKUP(A687, Stock_New!A:M, 2, FALSE),""))</f>
        <v>شجر</v>
      </c>
      <c r="C687" s="236">
        <v>1.0</v>
      </c>
      <c r="D687" s="16" t="str">
        <f>IF(A687="","",IFERROR(VLOOKUP(A687, Stock_New!A:M, 3, FALSE),""))</f>
        <v>ذكريا</v>
      </c>
      <c r="E687" s="16">
        <f>IF($A687="", "", IFERROR(VLOOKUP($A687, Stock_New!$A:$M, 6, FALSE), ""))</f>
        <v>675</v>
      </c>
      <c r="F687" s="239">
        <v>660.0</v>
      </c>
      <c r="G687" s="240"/>
      <c r="H687" s="33">
        <v>660.0</v>
      </c>
      <c r="I687" s="238">
        <v>7350945.0</v>
      </c>
      <c r="J687" s="5" t="s">
        <v>72</v>
      </c>
      <c r="K687" s="5" t="s">
        <v>3042</v>
      </c>
      <c r="L687" s="16"/>
      <c r="M687" s="19"/>
      <c r="N687" s="16"/>
      <c r="O687" s="16"/>
      <c r="P687" s="16"/>
    </row>
    <row r="688" ht="22.5" customHeight="1">
      <c r="A688" s="138" t="s">
        <v>133</v>
      </c>
      <c r="B688" s="16" t="str">
        <f>IF(A688="","",IFERROR(VLOOKUP(A688, Stock_New!A:M, 2, FALSE),""))</f>
        <v>بوتات</v>
      </c>
      <c r="C688" s="236">
        <v>1.0</v>
      </c>
      <c r="D688" s="16" t="str">
        <f>IF(A688="","",IFERROR(VLOOKUP(A688, Stock_New!A:M, 3, FALSE),""))</f>
        <v>ذكريا</v>
      </c>
      <c r="E688" s="16">
        <f>IF($A688="", "", IFERROR(VLOOKUP($A688, Stock_New!$A:$M, 6, FALSE), ""))</f>
        <v>162</v>
      </c>
      <c r="F688" s="239">
        <v>135.0</v>
      </c>
      <c r="G688" s="240"/>
      <c r="H688" s="33">
        <v>135.0</v>
      </c>
      <c r="I688" s="238">
        <v>7350945.0</v>
      </c>
      <c r="J688" s="5" t="s">
        <v>72</v>
      </c>
      <c r="K688" s="5" t="s">
        <v>3043</v>
      </c>
      <c r="L688" s="16"/>
      <c r="M688" s="19"/>
      <c r="N688" s="16"/>
      <c r="O688" s="16"/>
      <c r="P688" s="16"/>
    </row>
    <row r="689" ht="22.5" customHeight="1">
      <c r="A689" s="138" t="s">
        <v>1000</v>
      </c>
      <c r="B689" s="16" t="str">
        <f>IF(A689="","",IFERROR(VLOOKUP(A689, Stock_New!A:M, 2, FALSE),""))</f>
        <v>بوتات</v>
      </c>
      <c r="C689" s="236">
        <v>2.0</v>
      </c>
      <c r="D689" s="16" t="str">
        <f>IF(A689="","",IFERROR(VLOOKUP(A689, Stock_New!A:M, 3, FALSE),""))</f>
        <v>شركة حسين علي</v>
      </c>
      <c r="E689" s="16">
        <f>IF($A689="", "", IFERROR(VLOOKUP($A689, Stock_New!$A:$M, 6, FALSE), ""))</f>
        <v>13.2</v>
      </c>
      <c r="F689" s="239">
        <v>10.0</v>
      </c>
      <c r="G689" s="240"/>
      <c r="H689" s="33">
        <v>20.0</v>
      </c>
      <c r="I689" s="238">
        <v>7350945.0</v>
      </c>
      <c r="J689" s="5" t="s">
        <v>72</v>
      </c>
      <c r="K689" s="5" t="s">
        <v>3044</v>
      </c>
      <c r="L689" s="16"/>
      <c r="M689" s="19"/>
      <c r="N689" s="16"/>
      <c r="O689" s="16"/>
      <c r="P689" s="16"/>
    </row>
    <row r="690" ht="22.5" customHeight="1">
      <c r="A690" s="138" t="s">
        <v>98</v>
      </c>
      <c r="B690" s="16" t="str">
        <f>IF(A690="","",IFERROR(VLOOKUP(A690, Stock_New!A:M, 2, FALSE),""))</f>
        <v>شجر</v>
      </c>
      <c r="C690" s="236">
        <v>1.0</v>
      </c>
      <c r="D690" s="16" t="str">
        <f>IF(A690="","",IFERROR(VLOOKUP(A690, Stock_New!A:M, 3, FALSE),""))</f>
        <v>ذكريا</v>
      </c>
      <c r="E690" s="16">
        <f>IF($A690="", "", IFERROR(VLOOKUP($A690, Stock_New!$A:$M, 6, FALSE), ""))</f>
        <v>690</v>
      </c>
      <c r="F690" s="239">
        <v>600.0</v>
      </c>
      <c r="G690" s="240"/>
      <c r="H690" s="33">
        <v>600.0</v>
      </c>
      <c r="I690" s="238">
        <v>7350945.0</v>
      </c>
      <c r="J690" s="5" t="s">
        <v>72</v>
      </c>
      <c r="K690" s="5" t="s">
        <v>3047</v>
      </c>
      <c r="L690" s="16"/>
      <c r="M690" s="19"/>
      <c r="N690" s="16"/>
      <c r="O690" s="16"/>
      <c r="P690" s="16"/>
    </row>
    <row r="691" ht="22.5" customHeight="1">
      <c r="A691" s="138" t="s">
        <v>133</v>
      </c>
      <c r="B691" s="16" t="str">
        <f>IF(A691="","",IFERROR(VLOOKUP(A691, Stock_New!A:M, 2, FALSE),""))</f>
        <v>بوتات</v>
      </c>
      <c r="C691" s="236">
        <v>1.0</v>
      </c>
      <c r="D691" s="16" t="str">
        <f>IF(A691="","",IFERROR(VLOOKUP(A691, Stock_New!A:M, 3, FALSE),""))</f>
        <v>ذكريا</v>
      </c>
      <c r="E691" s="16">
        <f>IF($A691="", "", IFERROR(VLOOKUP($A691, Stock_New!$A:$M, 6, FALSE), ""))</f>
        <v>162</v>
      </c>
      <c r="F691" s="239">
        <v>135.0</v>
      </c>
      <c r="G691" s="240"/>
      <c r="H691" s="33">
        <v>135.0</v>
      </c>
      <c r="I691" s="238">
        <v>7350945.0</v>
      </c>
      <c r="J691" s="5" t="s">
        <v>72</v>
      </c>
      <c r="K691" s="5" t="s">
        <v>3050</v>
      </c>
      <c r="L691" s="16"/>
      <c r="M691" s="19"/>
      <c r="N691" s="16"/>
      <c r="O691" s="16"/>
      <c r="P691" s="16"/>
    </row>
    <row r="692" ht="22.5" customHeight="1">
      <c r="A692" s="138" t="s">
        <v>545</v>
      </c>
      <c r="B692" s="16" t="str">
        <f>IF(A692="","",IFERROR(VLOOKUP(A692, Stock_New!A:M, 2, FALSE),""))</f>
        <v>بوكيه جاهز</v>
      </c>
      <c r="C692" s="236">
        <v>2.0</v>
      </c>
      <c r="D692" s="16" t="str">
        <f>IF(A692="","",IFERROR(VLOOKUP(A692, Stock_New!A:M, 3, FALSE),""))</f>
        <v>تصنيع</v>
      </c>
      <c r="E692" s="16">
        <f>IF($A692="", "", IFERROR(VLOOKUP($A692, Stock_New!$A:$M, 6, FALSE), ""))</f>
        <v>102</v>
      </c>
      <c r="F692" s="239">
        <v>100.0</v>
      </c>
      <c r="G692" s="240"/>
      <c r="H692" s="33">
        <v>200.0</v>
      </c>
      <c r="I692" s="238">
        <v>7350945.0</v>
      </c>
      <c r="J692" s="5" t="s">
        <v>72</v>
      </c>
      <c r="K692" s="5" t="s">
        <v>3051</v>
      </c>
      <c r="L692" s="16"/>
      <c r="M692" s="19"/>
      <c r="N692" s="16"/>
      <c r="O692" s="16"/>
      <c r="P692" s="16"/>
    </row>
    <row r="693" ht="22.5" customHeight="1">
      <c r="A693" s="138" t="s">
        <v>858</v>
      </c>
      <c r="B693" s="16" t="str">
        <f>IF(A693="","",IFERROR(VLOOKUP(A693, Stock_New!A:M, 2, FALSE),""))</f>
        <v>بوكيه</v>
      </c>
      <c r="C693" s="236">
        <v>2.0</v>
      </c>
      <c r="D693" s="16" t="str">
        <f>IF(A693="","",IFERROR(VLOOKUP(A693, Stock_New!A:M, 3, FALSE),""))</f>
        <v>manufactured</v>
      </c>
      <c r="E693" s="16">
        <f>IF($A693="", "", IFERROR(VLOOKUP($A693, Stock_New!$A:$M, 6, FALSE), ""))</f>
        <v>13.01428571</v>
      </c>
      <c r="F693" s="239">
        <v>25.0</v>
      </c>
      <c r="G693" s="240"/>
      <c r="H693" s="33">
        <v>50.0</v>
      </c>
      <c r="I693" s="238">
        <v>7350945.0</v>
      </c>
      <c r="J693" s="5" t="s">
        <v>72</v>
      </c>
      <c r="K693" s="5" t="s">
        <v>3052</v>
      </c>
      <c r="L693" s="16"/>
      <c r="M693" s="19"/>
      <c r="N693" s="16"/>
      <c r="O693" s="16"/>
      <c r="P693" s="16"/>
    </row>
    <row r="694" ht="22.5" customHeight="1">
      <c r="A694" s="138" t="s">
        <v>220</v>
      </c>
      <c r="B694" s="16" t="str">
        <f>IF(A694="","",IFERROR(VLOOKUP(A694, Stock_New!A:M, 2, FALSE),""))</f>
        <v>ورد لوحدة</v>
      </c>
      <c r="C694" s="236">
        <v>1.0</v>
      </c>
      <c r="D694" s="16" t="str">
        <f>IF(A694="","",IFERROR(VLOOKUP(A694, Stock_New!A:M, 3, FALSE),""))</f>
        <v>شركة الفرسان</v>
      </c>
      <c r="E694" s="16">
        <f>IF($A694="", "", IFERROR(VLOOKUP($A694, Stock_New!$A:$M, 6, FALSE), ""))</f>
        <v>102</v>
      </c>
      <c r="F694" s="239">
        <v>110.0</v>
      </c>
      <c r="G694" s="240"/>
      <c r="H694" s="33">
        <v>110.0</v>
      </c>
      <c r="I694" s="238">
        <v>7350945.0</v>
      </c>
      <c r="J694" s="5" t="s">
        <v>72</v>
      </c>
      <c r="K694" s="5" t="s">
        <v>3053</v>
      </c>
      <c r="L694" s="16"/>
      <c r="M694" s="19"/>
      <c r="N694" s="16"/>
      <c r="O694" s="16"/>
      <c r="P694" s="16"/>
    </row>
    <row r="695" ht="22.5" customHeight="1">
      <c r="A695" s="138" t="s">
        <v>255</v>
      </c>
      <c r="B695" s="16" t="str">
        <f>IF(A695="","",IFERROR(VLOOKUP(A695, Stock_New!A:M, 2, FALSE),""))</f>
        <v>بوتات</v>
      </c>
      <c r="C695" s="236">
        <v>1.0</v>
      </c>
      <c r="D695" s="16" t="str">
        <f>IF(A695="","",IFERROR(VLOOKUP(A695, Stock_New!A:M, 3, FALSE),""))</f>
        <v>manufactured</v>
      </c>
      <c r="E695" s="16">
        <f>IF($A695="", "", IFERROR(VLOOKUP($A695, Stock_New!$A:$M, 6, FALSE), ""))</f>
        <v>27.3</v>
      </c>
      <c r="F695" s="239">
        <v>50.0</v>
      </c>
      <c r="G695" s="240"/>
      <c r="H695" s="33">
        <v>50.0</v>
      </c>
      <c r="I695" s="238">
        <v>7350945.0</v>
      </c>
      <c r="J695" s="5" t="s">
        <v>72</v>
      </c>
      <c r="K695" s="5" t="s">
        <v>3054</v>
      </c>
      <c r="L695" s="16"/>
      <c r="M695" s="19"/>
      <c r="N695" s="16"/>
      <c r="O695" s="16"/>
      <c r="P695" s="16"/>
    </row>
    <row r="696" ht="22.5" customHeight="1">
      <c r="A696" s="138" t="s">
        <v>1004</v>
      </c>
      <c r="B696" s="16" t="str">
        <f>IF(A696="","",IFERROR(VLOOKUP(A696, Stock_New!A:M, 2, FALSE),""))</f>
        <v>ورد لوحدة</v>
      </c>
      <c r="C696" s="236">
        <v>1.0</v>
      </c>
      <c r="D696" s="16" t="str">
        <f>IF(A696="","",IFERROR(VLOOKUP(A696, Stock_New!A:M, 3, FALSE),""))</f>
        <v>شركة حسين علي</v>
      </c>
      <c r="E696" s="16">
        <f>IF($A696="", "", IFERROR(VLOOKUP($A696, Stock_New!$A:$M, 6, FALSE), ""))</f>
        <v>78</v>
      </c>
      <c r="F696" s="239">
        <v>80.0</v>
      </c>
      <c r="G696" s="240"/>
      <c r="H696" s="33">
        <v>80.0</v>
      </c>
      <c r="I696" s="238">
        <v>7350945.0</v>
      </c>
      <c r="J696" s="5" t="s">
        <v>72</v>
      </c>
      <c r="K696" s="5" t="s">
        <v>3055</v>
      </c>
      <c r="L696" s="16"/>
      <c r="M696" s="19"/>
      <c r="N696" s="16"/>
      <c r="O696" s="16"/>
      <c r="P696" s="16"/>
    </row>
    <row r="697" ht="22.5" customHeight="1">
      <c r="A697" s="138" t="s">
        <v>724</v>
      </c>
      <c r="B697" s="16" t="str">
        <f>IF(A697="","",IFERROR(VLOOKUP(A697, Stock_New!A:M, 2, FALSE),""))</f>
        <v>بوكيه</v>
      </c>
      <c r="C697" s="236">
        <v>1.0</v>
      </c>
      <c r="D697" s="16" t="str">
        <f>IF(A697="","",IFERROR(VLOOKUP(A697, Stock_New!A:M, 3, FALSE),""))</f>
        <v>المهندس</v>
      </c>
      <c r="E697" s="16">
        <f>IF($A697="", "", IFERROR(VLOOKUP($A697, Stock_New!$A:$M, 6, FALSE), ""))</f>
        <v>42</v>
      </c>
      <c r="F697" s="239">
        <v>50.0</v>
      </c>
      <c r="G697" s="240"/>
      <c r="H697" s="33">
        <v>50.0</v>
      </c>
      <c r="I697" s="238">
        <v>7350945.0</v>
      </c>
      <c r="J697" s="5" t="s">
        <v>72</v>
      </c>
      <c r="K697" s="5" t="s">
        <v>3058</v>
      </c>
      <c r="L697" s="16"/>
      <c r="M697" s="19"/>
      <c r="N697" s="16"/>
      <c r="O697" s="16"/>
      <c r="P697" s="16"/>
    </row>
    <row r="698" ht="22.5" customHeight="1">
      <c r="A698" s="138" t="s">
        <v>733</v>
      </c>
      <c r="B698" s="16" t="str">
        <f>IF(A698="","",IFERROR(VLOOKUP(A698, Stock_New!A:M, 2, FALSE),""))</f>
        <v>بوكيه</v>
      </c>
      <c r="C698" s="236">
        <v>3.0</v>
      </c>
      <c r="D698" s="16" t="str">
        <f>IF(A698="","",IFERROR(VLOOKUP(A698, Stock_New!A:M, 3, FALSE),""))</f>
        <v>المهندس</v>
      </c>
      <c r="E698" s="16">
        <f>IF($A698="", "", IFERROR(VLOOKUP($A698, Stock_New!$A:$M, 6, FALSE), ""))</f>
        <v>31.2</v>
      </c>
      <c r="F698" s="239">
        <v>40.0</v>
      </c>
      <c r="G698" s="240"/>
      <c r="H698" s="33">
        <v>120.0</v>
      </c>
      <c r="I698" s="238">
        <v>7350945.0</v>
      </c>
      <c r="J698" s="5" t="s">
        <v>72</v>
      </c>
      <c r="K698" s="5" t="s">
        <v>3059</v>
      </c>
      <c r="L698" s="16"/>
      <c r="M698" s="19"/>
      <c r="N698" s="16"/>
      <c r="O698" s="16"/>
      <c r="P698" s="16"/>
    </row>
    <row r="699" ht="22.5" customHeight="1">
      <c r="A699" s="138" t="s">
        <v>29</v>
      </c>
      <c r="B699" s="16" t="str">
        <f>IF(A699="","",IFERROR(VLOOKUP(A699, Stock_New!A:M, 2, FALSE),""))</f>
        <v>شجر صناعي</v>
      </c>
      <c r="C699" s="236">
        <v>2.0</v>
      </c>
      <c r="D699" s="16" t="str">
        <f>IF(A699="","",IFERROR(VLOOKUP(A699, Stock_New!A:M, 3, FALSE),""))</f>
        <v>manufactured</v>
      </c>
      <c r="E699" s="16">
        <f>IF($A699="", "", IFERROR(VLOOKUP($A699, Stock_New!$A:$M, 6, FALSE), ""))</f>
        <v>124.5</v>
      </c>
      <c r="F699" s="239">
        <v>235.0</v>
      </c>
      <c r="G699" s="240"/>
      <c r="H699" s="33">
        <v>470.0</v>
      </c>
      <c r="I699" s="238">
        <v>7350945.0</v>
      </c>
      <c r="J699" s="5" t="s">
        <v>72</v>
      </c>
      <c r="K699" s="5" t="s">
        <v>3060</v>
      </c>
      <c r="L699" s="16"/>
      <c r="M699" s="19"/>
      <c r="N699" s="16"/>
      <c r="O699" s="16"/>
      <c r="P699" s="16"/>
    </row>
    <row r="700" ht="22.5" customHeight="1">
      <c r="A700" s="138" t="s">
        <v>645</v>
      </c>
      <c r="B700" s="16" t="str">
        <f>IF(A700="","",IFERROR(VLOOKUP(A700, Stock_New!A:M, 2, FALSE),""))</f>
        <v>بوكيه</v>
      </c>
      <c r="C700" s="236">
        <v>1.0</v>
      </c>
      <c r="D700" s="16" t="str">
        <f>IF(A700="","",IFERROR(VLOOKUP(A700, Stock_New!A:M, 3, FALSE),""))</f>
        <v>المهندس</v>
      </c>
      <c r="E700" s="16">
        <f>IF($A700="", "", IFERROR(VLOOKUP($A700, Stock_New!$A:$M, 6, FALSE), ""))</f>
        <v>20.4</v>
      </c>
      <c r="F700" s="239">
        <v>25.0</v>
      </c>
      <c r="G700" s="15"/>
      <c r="H700" s="33">
        <v>25.0</v>
      </c>
      <c r="I700" s="238">
        <v>7350945.0</v>
      </c>
      <c r="J700" s="5" t="s">
        <v>72</v>
      </c>
      <c r="K700" s="5" t="s">
        <v>3061</v>
      </c>
      <c r="L700" s="16"/>
      <c r="M700" s="19"/>
      <c r="N700" s="16"/>
      <c r="O700" s="16"/>
      <c r="P700" s="16"/>
    </row>
    <row r="701" ht="22.5" customHeight="1">
      <c r="A701" s="138" t="s">
        <v>71</v>
      </c>
      <c r="B701" s="16" t="str">
        <f>IF(A701="","",IFERROR(VLOOKUP(A701, Stock_New!A:M, 2, FALSE),""))</f>
        <v>شجر</v>
      </c>
      <c r="C701" s="236">
        <v>1.0</v>
      </c>
      <c r="D701" s="16" t="str">
        <f>IF(A701="","",IFERROR(VLOOKUP(A701, Stock_New!A:M, 3, FALSE),""))</f>
        <v>manufactured</v>
      </c>
      <c r="E701" s="16">
        <f>IF($A701="", "", IFERROR(VLOOKUP($A701, Stock_New!$A:$M, 6, FALSE), ""))</f>
        <v>396</v>
      </c>
      <c r="F701" s="239">
        <v>450.0</v>
      </c>
      <c r="G701" s="15"/>
      <c r="H701" s="33">
        <v>450.0</v>
      </c>
      <c r="I701" s="238">
        <v>7350945.0</v>
      </c>
      <c r="J701" s="5" t="s">
        <v>72</v>
      </c>
      <c r="K701" s="5" t="s">
        <v>3065</v>
      </c>
      <c r="L701" s="16"/>
      <c r="M701" s="19"/>
      <c r="N701" s="16"/>
      <c r="O701" s="16"/>
      <c r="P701" s="16"/>
    </row>
    <row r="702" ht="22.5" customHeight="1">
      <c r="A702" s="138" t="s">
        <v>248</v>
      </c>
      <c r="B702" s="16" t="str">
        <f>IF(A702="","",IFERROR(VLOOKUP(A702, Stock_New!A:M, 2, FALSE),""))</f>
        <v>بوتات</v>
      </c>
      <c r="C702" s="236">
        <v>1.0</v>
      </c>
      <c r="D702" s="16" t="str">
        <f>IF(A702="","",IFERROR(VLOOKUP(A702, Stock_New!A:M, 3, FALSE),""))</f>
        <v>شركة حسين علي</v>
      </c>
      <c r="E702" s="16">
        <f>IF($A702="", "", IFERROR(VLOOKUP($A702, Stock_New!$A:$M, 6, FALSE), ""))</f>
        <v>120</v>
      </c>
      <c r="F702" s="239">
        <v>150.0</v>
      </c>
      <c r="G702" s="15"/>
      <c r="H702" s="33">
        <v>150.0</v>
      </c>
      <c r="I702" s="238">
        <v>7350945.0</v>
      </c>
      <c r="J702" s="5" t="s">
        <v>72</v>
      </c>
      <c r="K702" s="5" t="s">
        <v>3068</v>
      </c>
      <c r="L702" s="16"/>
      <c r="M702" s="19"/>
      <c r="N702" s="16"/>
      <c r="O702" s="16"/>
      <c r="P702" s="16"/>
    </row>
    <row r="703" ht="22.5" customHeight="1">
      <c r="A703" s="138" t="s">
        <v>1011</v>
      </c>
      <c r="B703" s="16" t="str">
        <f>IF(A703="","",IFERROR(VLOOKUP(A703, Stock_New!A:M, 2, FALSE),""))</f>
        <v>ورد لوحدة</v>
      </c>
      <c r="C703" s="236">
        <v>1.0</v>
      </c>
      <c r="D703" s="16" t="str">
        <f>IF(A703="","",IFERROR(VLOOKUP(A703, Stock_New!A:M, 3, FALSE),""))</f>
        <v>شركة الفرسان</v>
      </c>
      <c r="E703" s="16">
        <f>IF($A703="", "", IFERROR(VLOOKUP($A703, Stock_New!$A:$M, 6, FALSE), ""))</f>
        <v>78</v>
      </c>
      <c r="F703" s="239">
        <v>100.0</v>
      </c>
      <c r="G703" s="15"/>
      <c r="H703" s="33">
        <v>100.0</v>
      </c>
      <c r="I703" s="238">
        <v>7350945.0</v>
      </c>
      <c r="J703" s="5" t="s">
        <v>72</v>
      </c>
      <c r="K703" s="5" t="s">
        <v>3071</v>
      </c>
      <c r="L703" s="16"/>
      <c r="M703" s="19"/>
      <c r="N703" s="16"/>
      <c r="O703" s="16"/>
      <c r="P703" s="16"/>
    </row>
    <row r="704" ht="22.5" customHeight="1">
      <c r="A704" s="138" t="s">
        <v>255</v>
      </c>
      <c r="B704" s="16" t="str">
        <f>IF(A704="","",IFERROR(VLOOKUP(A704, Stock_New!A:M, 2, FALSE),""))</f>
        <v>بوتات</v>
      </c>
      <c r="C704" s="236">
        <v>1.0</v>
      </c>
      <c r="D704" s="16" t="str">
        <f>IF(A704="","",IFERROR(VLOOKUP(A704, Stock_New!A:M, 3, FALSE),""))</f>
        <v>manufactured</v>
      </c>
      <c r="E704" s="16">
        <f>IF($A704="", "", IFERROR(VLOOKUP($A704, Stock_New!$A:$M, 6, FALSE), ""))</f>
        <v>27.3</v>
      </c>
      <c r="F704" s="239">
        <v>50.0</v>
      </c>
      <c r="G704" s="15"/>
      <c r="H704" s="33">
        <v>50.0</v>
      </c>
      <c r="I704" s="238">
        <v>7350945.0</v>
      </c>
      <c r="J704" s="5" t="s">
        <v>72</v>
      </c>
      <c r="K704" s="5" t="s">
        <v>3074</v>
      </c>
      <c r="L704" s="16"/>
      <c r="M704" s="19"/>
      <c r="N704" s="16"/>
      <c r="O704" s="16"/>
      <c r="P704" s="16"/>
    </row>
    <row r="705" ht="22.5" customHeight="1">
      <c r="A705" s="90" t="s">
        <v>268</v>
      </c>
      <c r="B705" s="16" t="str">
        <f>IF(A705="","",IFERROR(VLOOKUP(A705, Stock_New!A:M, 2, FALSE),""))</f>
        <v>سيلفرات</v>
      </c>
      <c r="C705" s="236">
        <v>1.0</v>
      </c>
      <c r="D705" s="19" t="s">
        <v>154</v>
      </c>
      <c r="E705" s="16">
        <f>IF($A705="", "", IFERROR(VLOOKUP($A705, Stock_New!$A:$M, 6, FALSE), ""))</f>
        <v>214.5</v>
      </c>
      <c r="F705" s="239">
        <v>225.0</v>
      </c>
      <c r="G705" s="15"/>
      <c r="H705" s="33">
        <v>225.0</v>
      </c>
      <c r="I705" s="238">
        <v>7350945.0</v>
      </c>
      <c r="J705" s="5" t="s">
        <v>72</v>
      </c>
      <c r="K705" s="5" t="s">
        <v>3075</v>
      </c>
      <c r="L705" s="16"/>
      <c r="M705" s="19"/>
      <c r="N705" s="16"/>
      <c r="O705" s="16"/>
      <c r="P705" s="16"/>
    </row>
    <row r="706" ht="22.5" customHeight="1">
      <c r="A706" s="138" t="s">
        <v>1014</v>
      </c>
      <c r="B706" s="16" t="str">
        <f>IF(A706="","",IFERROR(VLOOKUP(A706, Stock_New!A:M, 2, FALSE),""))</f>
        <v>لعب</v>
      </c>
      <c r="C706" s="236">
        <v>1.0</v>
      </c>
      <c r="D706" s="16" t="str">
        <f>IF(A706="","",IFERROR(VLOOKUP(A706, Stock_New!A:M, 3, FALSE),""))</f>
        <v>سنتر محمد رشدي</v>
      </c>
      <c r="E706" s="16">
        <f>IF($A706="", "", IFERROR(VLOOKUP($A706, Stock_New!$A:$M, 6, FALSE), ""))</f>
        <v>60</v>
      </c>
      <c r="F706" s="239">
        <v>80.0</v>
      </c>
      <c r="G706" s="15"/>
      <c r="H706" s="33">
        <v>80.0</v>
      </c>
      <c r="I706" s="238">
        <v>46096.0</v>
      </c>
      <c r="J706" s="5" t="s">
        <v>72</v>
      </c>
      <c r="K706" s="5" t="s">
        <v>3076</v>
      </c>
      <c r="L706" s="16"/>
      <c r="M706" s="19"/>
      <c r="N706" s="16"/>
      <c r="O706" s="16"/>
      <c r="P706" s="16"/>
    </row>
    <row r="707" ht="22.5" customHeight="1">
      <c r="A707" s="138" t="s">
        <v>559</v>
      </c>
      <c r="B707" s="16" t="str">
        <f>IF(A707="","",IFERROR(VLOOKUP(A707, Stock_New!A:M, 2, FALSE),""))</f>
        <v>مقزمات</v>
      </c>
      <c r="C707" s="236">
        <v>3.0</v>
      </c>
      <c r="D707" s="16" t="str">
        <f>IF(A707="","",IFERROR(VLOOKUP(A707, Stock_New!A:M, 3, FALSE),""))</f>
        <v>manufactured</v>
      </c>
      <c r="E707" s="16">
        <f>IF($A707="", "", IFERROR(VLOOKUP($A707, Stock_New!$A:$M, 6, FALSE), ""))</f>
        <v>38.8</v>
      </c>
      <c r="F707" s="239">
        <v>45.0</v>
      </c>
      <c r="G707" s="15"/>
      <c r="H707" s="33">
        <v>135.0</v>
      </c>
      <c r="I707" s="238">
        <v>46096.0</v>
      </c>
      <c r="J707" s="5" t="s">
        <v>72</v>
      </c>
      <c r="K707" s="5" t="s">
        <v>3079</v>
      </c>
      <c r="L707" s="16"/>
      <c r="M707" s="19"/>
      <c r="N707" s="16"/>
      <c r="O707" s="16"/>
      <c r="P707" s="16"/>
    </row>
    <row r="708" ht="22.5" customHeight="1">
      <c r="A708" s="138" t="s">
        <v>554</v>
      </c>
      <c r="B708" s="16" t="str">
        <f>IF(A708="","",IFERROR(VLOOKUP(A708, Stock_New!A:M, 2, FALSE),""))</f>
        <v>مقزمات</v>
      </c>
      <c r="C708" s="236">
        <v>2.0</v>
      </c>
      <c r="D708" s="16" t="str">
        <f>IF(A708="","",IFERROR(VLOOKUP(A708, Stock_New!A:M, 3, FALSE),""))</f>
        <v>manufactured</v>
      </c>
      <c r="E708" s="16">
        <f>IF($A708="", "", IFERROR(VLOOKUP($A708, Stock_New!$A:$M, 6, FALSE), ""))</f>
        <v>27.86666667</v>
      </c>
      <c r="F708" s="239">
        <v>40.0</v>
      </c>
      <c r="G708" s="15"/>
      <c r="H708" s="33">
        <v>80.0</v>
      </c>
      <c r="I708" s="238">
        <v>46096.0</v>
      </c>
      <c r="J708" s="5" t="s">
        <v>72</v>
      </c>
      <c r="K708" s="5" t="s">
        <v>3082</v>
      </c>
      <c r="L708" s="16"/>
      <c r="M708" s="19"/>
      <c r="N708" s="16"/>
      <c r="O708" s="16"/>
      <c r="P708" s="16"/>
    </row>
    <row r="709" ht="22.5" customHeight="1">
      <c r="A709" s="138" t="s">
        <v>700</v>
      </c>
      <c r="B709" s="16" t="str">
        <f>IF(A709="","",IFERROR(VLOOKUP(A709, Stock_New!A:M, 2, FALSE),""))</f>
        <v>كهربائيات</v>
      </c>
      <c r="C709" s="236">
        <v>1.0</v>
      </c>
      <c r="D709" s="16" t="str">
        <f>IF(A709="","",IFERROR(VLOOKUP(A709, Stock_New!A:M, 3, FALSE),""))</f>
        <v>سنتر محمد رشدي</v>
      </c>
      <c r="E709" s="16">
        <f>IF($A709="", "", IFERROR(VLOOKUP($A709, Stock_New!$A:$M, 6, FALSE), ""))</f>
        <v>190.8</v>
      </c>
      <c r="F709" s="239">
        <v>185.0</v>
      </c>
      <c r="G709" s="15"/>
      <c r="H709" s="33">
        <v>185.0</v>
      </c>
      <c r="I709" s="238">
        <v>46096.0</v>
      </c>
      <c r="J709" s="5" t="s">
        <v>72</v>
      </c>
      <c r="K709" s="5" t="s">
        <v>3085</v>
      </c>
      <c r="L709" s="16"/>
      <c r="M709" s="19"/>
      <c r="N709" s="16"/>
      <c r="O709" s="16"/>
      <c r="P709" s="16"/>
    </row>
    <row r="710" ht="22.5" customHeight="1">
      <c r="A710" s="138" t="s">
        <v>800</v>
      </c>
      <c r="B710" s="16" t="str">
        <f>IF(A710="","",IFERROR(VLOOKUP(A710, Stock_New!A:M, 2, FALSE),""))</f>
        <v>بخور</v>
      </c>
      <c r="C710" s="236">
        <v>1.0</v>
      </c>
      <c r="D710" s="16" t="str">
        <f>IF(A710="","",IFERROR(VLOOKUP(A710, Stock_New!A:M, 3, FALSE),""))</f>
        <v>سنتر محمد رشدي</v>
      </c>
      <c r="E710" s="16">
        <f>IF($A710="", "", IFERROR(VLOOKUP($A710, Stock_New!$A:$M, 6, FALSE), ""))</f>
        <v>13.5</v>
      </c>
      <c r="F710" s="239">
        <v>10.0</v>
      </c>
      <c r="G710" s="15"/>
      <c r="H710" s="33">
        <v>10.0</v>
      </c>
      <c r="I710" s="238">
        <v>46096.0</v>
      </c>
      <c r="J710" s="5" t="s">
        <v>72</v>
      </c>
      <c r="K710" s="5" t="s">
        <v>3107</v>
      </c>
      <c r="L710" s="16"/>
      <c r="M710" s="19"/>
      <c r="N710" s="16"/>
      <c r="O710" s="16"/>
      <c r="P710" s="16"/>
    </row>
    <row r="711" ht="22.5" customHeight="1">
      <c r="A711" s="138" t="s">
        <v>768</v>
      </c>
      <c r="B711" s="16" t="str">
        <f>IF(A711="","",IFERROR(VLOOKUP(A711, Stock_New!A:M, 2, FALSE),""))</f>
        <v>خزف</v>
      </c>
      <c r="C711" s="236">
        <v>1.0</v>
      </c>
      <c r="D711" s="16" t="str">
        <f>IF(A711="","",IFERROR(VLOOKUP(A711, Stock_New!A:M, 3, FALSE),""))</f>
        <v>ذكريا</v>
      </c>
      <c r="E711" s="16">
        <f>IF($A711="", "", IFERROR(VLOOKUP($A711, Stock_New!$A:$M, 6, FALSE), ""))</f>
        <v>36</v>
      </c>
      <c r="F711" s="239">
        <v>85.0</v>
      </c>
      <c r="G711" s="15"/>
      <c r="H711" s="33">
        <v>85.0</v>
      </c>
      <c r="I711" s="238">
        <v>46096.0</v>
      </c>
      <c r="J711" s="5" t="s">
        <v>72</v>
      </c>
      <c r="K711" s="5" t="s">
        <v>3088</v>
      </c>
      <c r="L711" s="16"/>
      <c r="M711" s="19"/>
      <c r="N711" s="16"/>
      <c r="O711" s="16"/>
      <c r="P711" s="16"/>
    </row>
    <row r="712" ht="22.5" customHeight="1">
      <c r="A712" s="138" t="s">
        <v>802</v>
      </c>
      <c r="B712" s="16" t="str">
        <f>IF(A712="","",IFERROR(VLOOKUP(A712, Stock_New!A:M, 2, FALSE),""))</f>
        <v>بخور</v>
      </c>
      <c r="C712" s="236">
        <f>1/5</f>
        <v>0.2</v>
      </c>
      <c r="D712" s="16" t="str">
        <f>IF(A712="","",IFERROR(VLOOKUP(A712, Stock_New!A:M, 3, FALSE),""))</f>
        <v/>
      </c>
      <c r="E712" s="16">
        <f>IF($A712="", "", IFERROR(VLOOKUP($A712, Stock_New!$A:$M, 6, FALSE), ""))</f>
        <v>64</v>
      </c>
      <c r="F712" s="239">
        <v>75.0</v>
      </c>
      <c r="G712" s="15"/>
      <c r="H712" s="33">
        <v>15.0</v>
      </c>
      <c r="I712" s="238">
        <v>46096.0</v>
      </c>
      <c r="J712" s="5" t="s">
        <v>72</v>
      </c>
      <c r="K712" s="5" t="s">
        <v>3091</v>
      </c>
      <c r="L712" s="16"/>
      <c r="M712" s="19"/>
      <c r="N712" s="16"/>
      <c r="O712" s="16"/>
      <c r="P712" s="16"/>
    </row>
    <row r="713" ht="22.5" customHeight="1">
      <c r="A713" s="138" t="s">
        <v>245</v>
      </c>
      <c r="B713" s="16" t="str">
        <f>IF(A713="","",IFERROR(VLOOKUP(A713, Stock_New!A:M, 2, FALSE),""))</f>
        <v>ورد لحدة</v>
      </c>
      <c r="C713" s="236">
        <v>1.0</v>
      </c>
      <c r="D713" s="16" t="str">
        <f>IF(A713="","",IFERROR(VLOOKUP(A713, Stock_New!A:M, 3, FALSE),""))</f>
        <v>شركة حسين علي</v>
      </c>
      <c r="E713" s="16">
        <f>IF($A713="", "", IFERROR(VLOOKUP($A713, Stock_New!$A:$M, 6, FALSE), ""))</f>
        <v>180</v>
      </c>
      <c r="F713" s="239">
        <v>200.0</v>
      </c>
      <c r="G713" s="15"/>
      <c r="H713" s="33">
        <v>200.0</v>
      </c>
      <c r="I713" s="238">
        <v>46096.0</v>
      </c>
      <c r="J713" s="5" t="s">
        <v>72</v>
      </c>
      <c r="K713" s="5" t="s">
        <v>3092</v>
      </c>
      <c r="L713" s="16"/>
      <c r="M713" s="19"/>
      <c r="N713" s="16"/>
      <c r="O713" s="16"/>
      <c r="P713" s="16"/>
    </row>
    <row r="714" ht="22.5" customHeight="1">
      <c r="A714" s="138" t="s">
        <v>812</v>
      </c>
      <c r="B714" s="16" t="str">
        <f>IF(A714="","",IFERROR(VLOOKUP(A714, Stock_New!A:M, 2, FALSE),""))</f>
        <v/>
      </c>
      <c r="C714" s="236">
        <v>4.0</v>
      </c>
      <c r="D714" s="16" t="str">
        <f>IF(A714="","",IFERROR(VLOOKUP(A714, Stock_New!A:M, 3, FALSE),""))</f>
        <v/>
      </c>
      <c r="E714" s="16" t="str">
        <f>IF($A714="", "", IFERROR(VLOOKUP($A714, Stock_New!$A:$M, 6, FALSE), ""))</f>
        <v/>
      </c>
      <c r="F714" s="239">
        <v>25.0</v>
      </c>
      <c r="G714" s="15"/>
      <c r="H714" s="33">
        <v>100.0</v>
      </c>
      <c r="I714" s="238">
        <v>46096.0</v>
      </c>
      <c r="J714" s="5" t="s">
        <v>72</v>
      </c>
      <c r="K714" s="5" t="s">
        <v>3108</v>
      </c>
      <c r="L714" s="16"/>
      <c r="M714" s="19"/>
      <c r="N714" s="16"/>
      <c r="O714" s="16"/>
      <c r="P714" s="16"/>
    </row>
    <row r="715" ht="22.5" customHeight="1">
      <c r="A715" s="138" t="s">
        <v>255</v>
      </c>
      <c r="B715" s="16" t="str">
        <f>IF(A715="","",IFERROR(VLOOKUP(A715, Stock_New!A:M, 2, FALSE),""))</f>
        <v>بوتات</v>
      </c>
      <c r="C715" s="236">
        <v>1.0</v>
      </c>
      <c r="D715" s="16" t="str">
        <f>IF(A715="","",IFERROR(VLOOKUP(A715, Stock_New!A:M, 3, FALSE),""))</f>
        <v>manufactured</v>
      </c>
      <c r="E715" s="16">
        <f>IF($A715="", "", IFERROR(VLOOKUP($A715, Stock_New!$A:$M, 6, FALSE), ""))</f>
        <v>27.3</v>
      </c>
      <c r="F715" s="239">
        <v>50.0</v>
      </c>
      <c r="G715" s="15"/>
      <c r="H715" s="33">
        <v>50.0</v>
      </c>
      <c r="I715" s="238">
        <v>46096.0</v>
      </c>
      <c r="J715" s="5" t="s">
        <v>72</v>
      </c>
      <c r="K715" s="5" t="s">
        <v>3093</v>
      </c>
      <c r="L715" s="16"/>
      <c r="M715" s="19"/>
      <c r="N715" s="16"/>
      <c r="O715" s="16"/>
      <c r="P715" s="16"/>
    </row>
    <row r="716" ht="22.5" customHeight="1">
      <c r="A716" s="138" t="s">
        <v>250</v>
      </c>
      <c r="B716" s="16" t="str">
        <f>IF(A716="","",IFERROR(VLOOKUP(A716, Stock_New!A:M, 2, FALSE),""))</f>
        <v>شجر</v>
      </c>
      <c r="C716" s="236">
        <v>1.0</v>
      </c>
      <c r="D716" s="16" t="str">
        <f>IF(A716="","",IFERROR(VLOOKUP(A716, Stock_New!A:M, 3, FALSE),""))</f>
        <v>ذكريا</v>
      </c>
      <c r="E716" s="16">
        <f>IF($A716="", "", IFERROR(VLOOKUP($A716, Stock_New!$A:$M, 6, FALSE), ""))</f>
        <v>174</v>
      </c>
      <c r="F716" s="239">
        <v>200.0</v>
      </c>
      <c r="G716" s="15"/>
      <c r="H716" s="33">
        <v>200.0</v>
      </c>
      <c r="I716" s="238">
        <v>46096.0</v>
      </c>
      <c r="J716" s="5" t="s">
        <v>72</v>
      </c>
      <c r="K716" s="5" t="s">
        <v>3094</v>
      </c>
      <c r="L716" s="16"/>
      <c r="M716" s="19"/>
      <c r="N716" s="16"/>
      <c r="O716" s="16"/>
      <c r="P716" s="16"/>
    </row>
    <row r="717" ht="22.5" customHeight="1">
      <c r="A717" s="138" t="s">
        <v>248</v>
      </c>
      <c r="B717" s="16" t="str">
        <f>IF(A717="","",IFERROR(VLOOKUP(A717, Stock_New!A:M, 2, FALSE),""))</f>
        <v>بوتات</v>
      </c>
      <c r="C717" s="236">
        <v>1.0</v>
      </c>
      <c r="D717" s="16" t="str">
        <f>IF(A717="","",IFERROR(VLOOKUP(A717, Stock_New!A:M, 3, FALSE),""))</f>
        <v>شركة حسين علي</v>
      </c>
      <c r="E717" s="16">
        <f>IF($A717="", "", IFERROR(VLOOKUP($A717, Stock_New!$A:$M, 6, FALSE), ""))</f>
        <v>120</v>
      </c>
      <c r="F717" s="239">
        <v>180.0</v>
      </c>
      <c r="G717" s="15"/>
      <c r="H717" s="33">
        <v>180.0</v>
      </c>
      <c r="I717" s="238">
        <v>46096.0</v>
      </c>
      <c r="J717" s="5" t="s">
        <v>72</v>
      </c>
      <c r="K717" s="5" t="s">
        <v>3095</v>
      </c>
      <c r="L717" s="16"/>
      <c r="M717" s="19"/>
      <c r="N717" s="16"/>
      <c r="O717" s="16"/>
      <c r="P717" s="16"/>
    </row>
    <row r="718" ht="22.5" customHeight="1">
      <c r="A718" s="138" t="s">
        <v>572</v>
      </c>
      <c r="B718" s="16" t="str">
        <f>IF(A718="","",IFERROR(VLOOKUP(A718, Stock_New!A:M, 2, FALSE),""))</f>
        <v>شمع</v>
      </c>
      <c r="C718" s="236">
        <v>1.0</v>
      </c>
      <c r="D718" s="16" t="str">
        <f>IF(A718="","",IFERROR(VLOOKUP(A718, Stock_New!A:M, 3, FALSE),""))</f>
        <v>سنتر محمد رشدي</v>
      </c>
      <c r="E718" s="16">
        <f>IF($A718="", "", IFERROR(VLOOKUP($A718, Stock_New!$A:$M, 6, FALSE), ""))</f>
        <v>5.25</v>
      </c>
      <c r="F718" s="239">
        <v>10.0</v>
      </c>
      <c r="G718" s="15"/>
      <c r="H718" s="33">
        <v>10.0</v>
      </c>
      <c r="I718" s="238">
        <v>46096.0</v>
      </c>
      <c r="J718" s="5" t="s">
        <v>72</v>
      </c>
      <c r="K718" s="5" t="s">
        <v>3097</v>
      </c>
      <c r="L718" s="16"/>
      <c r="M718" s="19"/>
      <c r="N718" s="16"/>
      <c r="O718" s="16"/>
      <c r="P718" s="16"/>
    </row>
    <row r="719" ht="22.5" customHeight="1">
      <c r="A719" s="138" t="s">
        <v>936</v>
      </c>
      <c r="B719" s="16" t="str">
        <f>IF(A719="","",IFERROR(VLOOKUP(A719, Stock_New!A:M, 2, FALSE),""))</f>
        <v>لزق</v>
      </c>
      <c r="C719" s="236">
        <v>1.0</v>
      </c>
      <c r="D719" s="16" t="str">
        <f>IF(A719="","",IFERROR(VLOOKUP(A719, Stock_New!A:M, 3, FALSE),""))</f>
        <v/>
      </c>
      <c r="E719" s="16">
        <f>IF($A719="", "", IFERROR(VLOOKUP($A719, Stock_New!$A:$M, 6, FALSE), ""))</f>
        <v>33.6</v>
      </c>
      <c r="F719" s="239">
        <v>50.0</v>
      </c>
      <c r="G719" s="15"/>
      <c r="H719" s="33">
        <v>50.0</v>
      </c>
      <c r="I719" s="238">
        <v>46096.0</v>
      </c>
      <c r="J719" s="5" t="s">
        <v>72</v>
      </c>
      <c r="K719" s="5" t="s">
        <v>3098</v>
      </c>
      <c r="L719" s="16"/>
      <c r="M719" s="19"/>
      <c r="N719" s="16"/>
      <c r="O719" s="16"/>
      <c r="P719" s="16"/>
    </row>
    <row r="720" ht="22.5" customHeight="1">
      <c r="A720" s="138" t="s">
        <v>83</v>
      </c>
      <c r="B720" s="16" t="str">
        <f>IF(A720="","",IFERROR(VLOOKUP(A720, Stock_New!A:M, 2, FALSE),""))</f>
        <v>شجر</v>
      </c>
      <c r="C720" s="236">
        <v>1.0</v>
      </c>
      <c r="D720" s="16" t="str">
        <f>IF(A720="","",IFERROR(VLOOKUP(A720, Stock_New!A:M, 3, FALSE),""))</f>
        <v>ذكريا</v>
      </c>
      <c r="E720" s="16">
        <f>IF($A720="", "", IFERROR(VLOOKUP($A720, Stock_New!$A:$M, 6, FALSE), ""))</f>
        <v>210</v>
      </c>
      <c r="F720" s="239">
        <v>220.0</v>
      </c>
      <c r="G720" s="15"/>
      <c r="H720" s="33">
        <v>220.0</v>
      </c>
      <c r="I720" s="238">
        <v>46096.0</v>
      </c>
      <c r="J720" s="5" t="s">
        <v>72</v>
      </c>
      <c r="K720" s="5" t="s">
        <v>3101</v>
      </c>
      <c r="L720" s="16"/>
      <c r="M720" s="19"/>
      <c r="N720" s="16"/>
      <c r="O720" s="16"/>
      <c r="P720" s="16"/>
    </row>
    <row r="721" ht="22.5" customHeight="1">
      <c r="A721" s="138" t="s">
        <v>165</v>
      </c>
      <c r="B721" s="16" t="str">
        <f>IF(A721="","",IFERROR(VLOOKUP(A721, Stock_New!A:M, 2, FALSE),""))</f>
        <v>بوتات</v>
      </c>
      <c r="C721" s="236">
        <v>1.0</v>
      </c>
      <c r="D721" s="16" t="str">
        <f>IF(A721="","",IFERROR(VLOOKUP(A721, Stock_New!A:M, 3, FALSE),""))</f>
        <v>ذكريا</v>
      </c>
      <c r="E721" s="16">
        <f>IF($A721="", "", IFERROR(VLOOKUP($A721, Stock_New!$A:$M, 6, FALSE), ""))</f>
        <v>106.88</v>
      </c>
      <c r="F721" s="239">
        <v>130.0</v>
      </c>
      <c r="G721" s="15"/>
      <c r="H721" s="33">
        <v>130.0</v>
      </c>
      <c r="I721" s="238">
        <v>46096.0</v>
      </c>
      <c r="J721" s="5" t="s">
        <v>72</v>
      </c>
      <c r="K721" s="5" t="s">
        <v>3102</v>
      </c>
      <c r="L721" s="16"/>
      <c r="M721" s="19"/>
      <c r="N721" s="16"/>
      <c r="O721" s="16"/>
      <c r="P721" s="16"/>
    </row>
    <row r="722" ht="22.5" customHeight="1">
      <c r="A722" s="138" t="s">
        <v>1029</v>
      </c>
      <c r="B722" s="16" t="str">
        <f>IF(A722="","",IFERROR(VLOOKUP(A722, Stock_New!A:M, 2, FALSE),""))</f>
        <v/>
      </c>
      <c r="C722" s="236">
        <v>2.0</v>
      </c>
      <c r="D722" s="16" t="str">
        <f>IF(A722="","",IFERROR(VLOOKUP(A722, Stock_New!A:M, 3, FALSE),""))</f>
        <v/>
      </c>
      <c r="E722" s="16" t="str">
        <f>IF($A722="", "", IFERROR(VLOOKUP($A722, Stock_New!$A:$M, 6, FALSE), ""))</f>
        <v/>
      </c>
      <c r="F722" s="239">
        <v>100.0</v>
      </c>
      <c r="G722" s="15"/>
      <c r="H722" s="33">
        <v>200.0</v>
      </c>
      <c r="I722" s="238">
        <v>46096.0</v>
      </c>
      <c r="J722" s="5" t="s">
        <v>72</v>
      </c>
      <c r="K722" s="5" t="s">
        <v>3109</v>
      </c>
      <c r="L722" s="16"/>
      <c r="M722" s="19"/>
      <c r="N722" s="16"/>
      <c r="O722" s="16"/>
      <c r="P722" s="16"/>
    </row>
    <row r="723" ht="22.5" customHeight="1">
      <c r="A723" s="138" t="s">
        <v>567</v>
      </c>
      <c r="B723" s="16" t="str">
        <f>IF(A723="","",IFERROR(VLOOKUP(A723, Stock_New!A:M, 2, FALSE),""))</f>
        <v>شمع</v>
      </c>
      <c r="C723" s="236">
        <v>1.0</v>
      </c>
      <c r="D723" s="16" t="str">
        <f>IF(A723="","",IFERROR(VLOOKUP(A723, Stock_New!A:M, 3, FALSE),""))</f>
        <v>سنتر محمد رشدي</v>
      </c>
      <c r="E723" s="16">
        <f>IF($A723="", "", IFERROR(VLOOKUP($A723, Stock_New!$A:$M, 6, FALSE), ""))</f>
        <v>61.2</v>
      </c>
      <c r="F723" s="239">
        <v>60.0</v>
      </c>
      <c r="G723" s="15"/>
      <c r="H723" s="33">
        <v>60.0</v>
      </c>
      <c r="I723" s="238">
        <v>46096.0</v>
      </c>
      <c r="J723" s="5" t="s">
        <v>72</v>
      </c>
      <c r="K723" s="5" t="s">
        <v>3103</v>
      </c>
      <c r="L723" s="16"/>
      <c r="M723" s="19"/>
      <c r="N723" s="16"/>
      <c r="O723" s="16"/>
      <c r="P723" s="16"/>
    </row>
    <row r="724" ht="22.5" customHeight="1">
      <c r="A724" s="138" t="s">
        <v>856</v>
      </c>
      <c r="B724" s="16" t="str">
        <f>IF(A724="","",IFERROR(VLOOKUP(A724, Stock_New!A:M, 2, FALSE),""))</f>
        <v>شمع</v>
      </c>
      <c r="C724" s="236">
        <v>4.0</v>
      </c>
      <c r="D724" s="16" t="str">
        <f>IF(A724="","",IFERROR(VLOOKUP(A724, Stock_New!A:M, 3, FALSE),""))</f>
        <v>سنتر محمد رشدي</v>
      </c>
      <c r="E724" s="16">
        <f>IF($A724="", "", IFERROR(VLOOKUP($A724, Stock_New!$A:$M, 6, FALSE), ""))</f>
        <v>5.5</v>
      </c>
      <c r="F724" s="239">
        <v>5.0</v>
      </c>
      <c r="G724" s="15"/>
      <c r="H724" s="33">
        <v>20.0</v>
      </c>
      <c r="I724" s="238">
        <v>46096.0</v>
      </c>
      <c r="J724" s="5" t="s">
        <v>72</v>
      </c>
      <c r="K724" s="5" t="s">
        <v>3104</v>
      </c>
      <c r="L724" s="16"/>
      <c r="M724" s="19"/>
      <c r="N724" s="16"/>
      <c r="O724" s="16"/>
      <c r="P724" s="16"/>
    </row>
    <row r="725" ht="22.5" customHeight="1">
      <c r="A725" s="138" t="s">
        <v>575</v>
      </c>
      <c r="B725" s="16" t="str">
        <f>IF(A725="","",IFERROR(VLOOKUP(A725, Stock_New!A:M, 2, FALSE),""))</f>
        <v>شمع</v>
      </c>
      <c r="C725" s="236">
        <v>1.0</v>
      </c>
      <c r="D725" s="16" t="str">
        <f>IF(A725="","",IFERROR(VLOOKUP(A725, Stock_New!A:M, 3, FALSE),""))</f>
        <v>سنتر محمد رشدي</v>
      </c>
      <c r="E725" s="16">
        <f>IF($A725="", "", IFERROR(VLOOKUP($A725, Stock_New!$A:$M, 6, FALSE), ""))</f>
        <v>5.4</v>
      </c>
      <c r="F725" s="239">
        <v>10.0</v>
      </c>
      <c r="G725" s="15"/>
      <c r="H725" s="33">
        <v>10.0</v>
      </c>
      <c r="I725" s="238">
        <v>46096.0</v>
      </c>
      <c r="J725" s="5" t="s">
        <v>72</v>
      </c>
      <c r="K725" s="5" t="s">
        <v>3105</v>
      </c>
      <c r="L725" s="16"/>
      <c r="M725" s="19"/>
      <c r="N725" s="16"/>
      <c r="O725" s="16"/>
      <c r="P725" s="16"/>
    </row>
    <row r="726" ht="22.5" customHeight="1">
      <c r="A726" s="138" t="s">
        <v>572</v>
      </c>
      <c r="B726" s="16" t="str">
        <f>IF(A726="","",IFERROR(VLOOKUP(A726, Stock_New!A:M, 2, FALSE),""))</f>
        <v>شمع</v>
      </c>
      <c r="C726" s="236">
        <v>1.0</v>
      </c>
      <c r="D726" s="16" t="str">
        <f>IF(A726="","",IFERROR(VLOOKUP(A726, Stock_New!A:M, 3, FALSE),""))</f>
        <v>سنتر محمد رشدي</v>
      </c>
      <c r="E726" s="16">
        <f>IF($A726="", "", IFERROR(VLOOKUP($A726, Stock_New!$A:$M, 6, FALSE), ""))</f>
        <v>5.25</v>
      </c>
      <c r="F726" s="239">
        <v>10.0</v>
      </c>
      <c r="G726" s="15"/>
      <c r="H726" s="33">
        <v>10.0</v>
      </c>
      <c r="I726" s="238">
        <v>46096.0</v>
      </c>
      <c r="J726" s="5" t="s">
        <v>72</v>
      </c>
      <c r="K726" s="5" t="s">
        <v>3106</v>
      </c>
      <c r="L726" s="16"/>
      <c r="M726" s="19"/>
      <c r="N726" s="16"/>
      <c r="O726" s="16"/>
      <c r="P726" s="16"/>
    </row>
    <row r="727" ht="22.5" customHeight="1">
      <c r="A727" s="138" t="s">
        <v>268</v>
      </c>
      <c r="B727" s="16" t="str">
        <f>IF(A727="","",IFERROR(VLOOKUP(A727, Stock_New!A:M, 2, FALSE),""))</f>
        <v>سيلفرات</v>
      </c>
      <c r="C727" s="236">
        <v>1.0</v>
      </c>
      <c r="D727" s="19" t="s">
        <v>154</v>
      </c>
      <c r="E727" s="16">
        <f>IF($A727="", "", IFERROR(VLOOKUP($A727, Stock_New!$A:$M, 6, FALSE), ""))</f>
        <v>214.5</v>
      </c>
      <c r="F727" s="239">
        <v>250.0</v>
      </c>
      <c r="G727" s="15"/>
      <c r="H727" s="33">
        <v>250.0</v>
      </c>
      <c r="I727" s="238">
        <v>46097.0</v>
      </c>
      <c r="J727" s="5" t="s">
        <v>72</v>
      </c>
      <c r="K727" s="5" t="s">
        <v>3112</v>
      </c>
      <c r="L727" s="16"/>
      <c r="M727" s="19"/>
      <c r="N727" s="16"/>
      <c r="O727" s="16"/>
      <c r="P727" s="16"/>
    </row>
    <row r="728" ht="22.5" customHeight="1">
      <c r="A728" s="138" t="s">
        <v>558</v>
      </c>
      <c r="B728" s="16" t="str">
        <f>IF(A728="","",IFERROR(VLOOKUP(A728, Stock_New!A:M, 2, FALSE),""))</f>
        <v>كهربائيات</v>
      </c>
      <c r="C728" s="236">
        <v>1.0</v>
      </c>
      <c r="D728" s="16" t="str">
        <f>IF(A728="","",IFERROR(VLOOKUP(A728, Stock_New!A:M, 3, FALSE),""))</f>
        <v>سنتر محمد رشدي</v>
      </c>
      <c r="E728" s="16">
        <f>IF($A728="", "", IFERROR(VLOOKUP($A728, Stock_New!$A:$M, 6, FALSE), ""))</f>
        <v>150</v>
      </c>
      <c r="F728" s="239">
        <v>150.0</v>
      </c>
      <c r="G728" s="15"/>
      <c r="H728" s="33">
        <v>150.0</v>
      </c>
      <c r="I728" s="238">
        <v>46097.0</v>
      </c>
      <c r="J728" s="5" t="s">
        <v>72</v>
      </c>
      <c r="K728" s="5" t="s">
        <v>3113</v>
      </c>
      <c r="L728" s="16"/>
      <c r="M728" s="19"/>
      <c r="N728" s="16"/>
      <c r="O728" s="16"/>
      <c r="P728" s="16"/>
    </row>
    <row r="729" ht="22.5" customHeight="1">
      <c r="A729" s="138" t="s">
        <v>689</v>
      </c>
      <c r="B729" s="16" t="str">
        <f>IF(A729="","",IFERROR(VLOOKUP(A729, Stock_New!A:M, 2, FALSE),""))</f>
        <v>كهربائيات</v>
      </c>
      <c r="C729" s="236">
        <v>1.0</v>
      </c>
      <c r="D729" s="16" t="str">
        <f>IF(A729="","",IFERROR(VLOOKUP(A729, Stock_New!A:M, 3, FALSE),""))</f>
        <v>سنتر محمد رشدي</v>
      </c>
      <c r="E729" s="16">
        <f>IF($A729="", "", IFERROR(VLOOKUP($A729, Stock_New!$A:$M, 6, FALSE), ""))</f>
        <v>156</v>
      </c>
      <c r="F729" s="239">
        <v>170.0</v>
      </c>
      <c r="G729" s="15"/>
      <c r="H729" s="33">
        <v>170.0</v>
      </c>
      <c r="I729" s="238">
        <v>46097.0</v>
      </c>
      <c r="J729" s="5" t="s">
        <v>72</v>
      </c>
      <c r="K729" s="5" t="s">
        <v>3114</v>
      </c>
      <c r="L729" s="16"/>
      <c r="M729" s="19"/>
      <c r="N729" s="16"/>
      <c r="O729" s="16"/>
      <c r="P729" s="16"/>
    </row>
    <row r="730" ht="22.5" customHeight="1">
      <c r="A730" s="138" t="s">
        <v>645</v>
      </c>
      <c r="B730" s="16" t="str">
        <f>IF(A730="","",IFERROR(VLOOKUP(A730, Stock_New!A:M, 2, FALSE),""))</f>
        <v>بوكيه</v>
      </c>
      <c r="C730" s="236">
        <v>4.0</v>
      </c>
      <c r="D730" s="16" t="str">
        <f>IF(A730="","",IFERROR(VLOOKUP(A730, Stock_New!A:M, 3, FALSE),""))</f>
        <v>المهندس</v>
      </c>
      <c r="E730" s="16">
        <f>IF($A730="", "", IFERROR(VLOOKUP($A730, Stock_New!$A:$M, 6, FALSE), ""))</f>
        <v>20.4</v>
      </c>
      <c r="F730" s="239">
        <v>20.0</v>
      </c>
      <c r="G730" s="15"/>
      <c r="H730" s="33">
        <v>80.0</v>
      </c>
      <c r="I730" s="238">
        <v>46097.0</v>
      </c>
      <c r="J730" s="5" t="s">
        <v>72</v>
      </c>
      <c r="K730" s="5" t="s">
        <v>3115</v>
      </c>
      <c r="L730" s="16"/>
      <c r="M730" s="19"/>
      <c r="N730" s="16"/>
      <c r="O730" s="16"/>
      <c r="P730" s="16"/>
    </row>
    <row r="731" ht="22.5" customHeight="1">
      <c r="A731" s="138" t="s">
        <v>235</v>
      </c>
      <c r="B731" s="16" t="str">
        <f>IF(A731="","",IFERROR(VLOOKUP(A731, Stock_New!A:M, 2, FALSE),""))</f>
        <v>خزف</v>
      </c>
      <c r="C731" s="236">
        <v>2.0</v>
      </c>
      <c r="D731" s="16" t="str">
        <f>IF(A731="","",IFERROR(VLOOKUP(A731, Stock_New!A:M, 3, FALSE),""))</f>
        <v>ذكريا</v>
      </c>
      <c r="E731" s="16">
        <f>IF($A731="", "", IFERROR(VLOOKUP($A731, Stock_New!$A:$M, 6, FALSE), ""))</f>
        <v>90</v>
      </c>
      <c r="F731" s="239">
        <v>110.0</v>
      </c>
      <c r="G731" s="15"/>
      <c r="H731" s="33">
        <v>220.0</v>
      </c>
      <c r="I731" s="238">
        <v>46097.0</v>
      </c>
      <c r="J731" s="5" t="s">
        <v>72</v>
      </c>
      <c r="K731" s="5" t="s">
        <v>3116</v>
      </c>
      <c r="L731" s="16"/>
      <c r="M731" s="19"/>
      <c r="N731" s="16"/>
      <c r="O731" s="16"/>
      <c r="P731" s="16"/>
    </row>
    <row r="732" ht="22.5" customHeight="1">
      <c r="A732" s="138" t="s">
        <v>806</v>
      </c>
      <c r="B732" s="16" t="str">
        <f>IF(A732="","",IFERROR(VLOOKUP(A732, Stock_New!A:M, 2, FALSE),""))</f>
        <v>ورد لوحدة</v>
      </c>
      <c r="C732" s="236">
        <f>2/7</f>
        <v>0.2857142857</v>
      </c>
      <c r="D732" s="16" t="str">
        <f>IF(A732="","",IFERROR(VLOOKUP(A732, Stock_New!A:M, 3, FALSE),""))</f>
        <v>شركة الفرسان</v>
      </c>
      <c r="E732" s="16">
        <f>IF($A732="", "", IFERROR(VLOOKUP($A732, Stock_New!$A:$M, 6, FALSE), ""))</f>
        <v>168</v>
      </c>
      <c r="F732" s="239">
        <v>175.0</v>
      </c>
      <c r="G732" s="15"/>
      <c r="H732" s="33">
        <v>50.0</v>
      </c>
      <c r="I732" s="238">
        <v>46097.0</v>
      </c>
      <c r="J732" s="5" t="s">
        <v>72</v>
      </c>
      <c r="K732" s="5" t="s">
        <v>3117</v>
      </c>
      <c r="L732" s="16"/>
      <c r="M732" s="19"/>
      <c r="N732" s="16"/>
      <c r="O732" s="16"/>
      <c r="P732" s="16"/>
    </row>
    <row r="733" ht="22.5" customHeight="1">
      <c r="A733" s="138" t="s">
        <v>518</v>
      </c>
      <c r="B733" s="16" t="str">
        <f>IF(A733="","",IFERROR(VLOOKUP(A733, Stock_New!A:M, 2, FALSE),""))</f>
        <v>ورد لوحدة</v>
      </c>
      <c r="C733" s="236">
        <f>2/9</f>
        <v>0.2222222222</v>
      </c>
      <c r="D733" s="16" t="str">
        <f>IF(A733="","",IFERROR(VLOOKUP(A733, Stock_New!A:M, 3, FALSE),""))</f>
        <v>شركة الفرسان</v>
      </c>
      <c r="E733" s="16">
        <f>IF($A733="", "", IFERROR(VLOOKUP($A733, Stock_New!$A:$M, 6, FALSE), ""))</f>
        <v>90</v>
      </c>
      <c r="F733" s="239">
        <v>135.0</v>
      </c>
      <c r="G733" s="15"/>
      <c r="H733" s="33">
        <v>30.0</v>
      </c>
      <c r="I733" s="238">
        <v>46097.0</v>
      </c>
      <c r="J733" s="5" t="s">
        <v>72</v>
      </c>
      <c r="K733" s="5" t="s">
        <v>3120</v>
      </c>
      <c r="L733" s="16"/>
      <c r="M733" s="19"/>
      <c r="N733" s="16"/>
      <c r="O733" s="16"/>
      <c r="P733" s="16"/>
    </row>
    <row r="734" ht="22.5" customHeight="1">
      <c r="A734" s="138" t="s">
        <v>220</v>
      </c>
      <c r="B734" s="16" t="str">
        <f>IF(A734="","",IFERROR(VLOOKUP(A734, Stock_New!A:M, 2, FALSE),""))</f>
        <v>ورد لوحدة</v>
      </c>
      <c r="C734" s="236">
        <f>2/12</f>
        <v>0.1666666667</v>
      </c>
      <c r="D734" s="16" t="str">
        <f>IF(A734="","",IFERROR(VLOOKUP(A734, Stock_New!A:M, 3, FALSE),""))</f>
        <v>شركة الفرسان</v>
      </c>
      <c r="E734" s="16">
        <f>IF($A734="", "", IFERROR(VLOOKUP($A734, Stock_New!$A:$M, 6, FALSE), ""))</f>
        <v>102</v>
      </c>
      <c r="F734" s="239">
        <v>120.0</v>
      </c>
      <c r="G734" s="15"/>
      <c r="H734" s="33">
        <v>20.0</v>
      </c>
      <c r="I734" s="238">
        <v>46097.0</v>
      </c>
      <c r="J734" s="5" t="s">
        <v>72</v>
      </c>
      <c r="K734" s="5" t="s">
        <v>3121</v>
      </c>
      <c r="L734" s="16"/>
      <c r="M734" s="19"/>
      <c r="N734" s="16"/>
      <c r="O734" s="16"/>
      <c r="P734" s="16"/>
    </row>
    <row r="735" ht="22.5" customHeight="1">
      <c r="A735" s="138" t="s">
        <v>412</v>
      </c>
      <c r="B735" s="16" t="str">
        <f>IF(A735="","",IFERROR(VLOOKUP(A735, Stock_New!A:M, 2, FALSE),""))</f>
        <v>سيلفرات</v>
      </c>
      <c r="C735" s="236">
        <v>1.0</v>
      </c>
      <c r="D735" s="16" t="str">
        <f>IF(A735="","",IFERROR(VLOOKUP(A735, Stock_New!A:M, 3, FALSE),""))</f>
        <v>ذكريا</v>
      </c>
      <c r="E735" s="16">
        <f>IF($A735="", "", IFERROR(VLOOKUP($A735, Stock_New!$A:$M, 6, FALSE), ""))</f>
        <v>234</v>
      </c>
      <c r="F735" s="239">
        <v>250.0</v>
      </c>
      <c r="G735" s="15"/>
      <c r="H735" s="33">
        <v>250.0</v>
      </c>
      <c r="I735" s="238">
        <v>46097.0</v>
      </c>
      <c r="J735" s="5" t="s">
        <v>72</v>
      </c>
      <c r="K735" s="5" t="s">
        <v>3122</v>
      </c>
      <c r="L735" s="16"/>
      <c r="M735" s="19"/>
      <c r="N735" s="16"/>
      <c r="O735" s="16"/>
      <c r="P735" s="16"/>
    </row>
    <row r="736" ht="22.5" customHeight="1">
      <c r="A736" s="138" t="s">
        <v>236</v>
      </c>
      <c r="B736" s="16" t="str">
        <f>IF(A736="","",IFERROR(VLOOKUP(A736, Stock_New!A:M, 2, FALSE),""))</f>
        <v>ورد لحدة</v>
      </c>
      <c r="C736" s="236">
        <v>1.0</v>
      </c>
      <c r="D736" s="16" t="str">
        <f>IF(A736="","",IFERROR(VLOOKUP(A736, Stock_New!A:M, 3, FALSE),""))</f>
        <v>شركة حسين علي</v>
      </c>
      <c r="E736" s="16">
        <f>IF($A736="", "", IFERROR(VLOOKUP($A736, Stock_New!$A:$M, 6, FALSE), ""))</f>
        <v>210</v>
      </c>
      <c r="F736" s="239">
        <v>180.0</v>
      </c>
      <c r="G736" s="15"/>
      <c r="H736" s="33">
        <v>180.0</v>
      </c>
      <c r="I736" s="238">
        <v>46097.0</v>
      </c>
      <c r="J736" s="5" t="s">
        <v>72</v>
      </c>
      <c r="K736" s="5" t="s">
        <v>3123</v>
      </c>
      <c r="L736" s="16"/>
      <c r="M736" s="19"/>
      <c r="N736" s="16"/>
      <c r="O736" s="16"/>
      <c r="P736" s="16"/>
    </row>
    <row r="737" ht="22.5" customHeight="1">
      <c r="A737" s="138" t="s">
        <v>34</v>
      </c>
      <c r="B737" s="16" t="str">
        <f>IF(A737="","",IFERROR(VLOOKUP(A737, Stock_New!A:M, 2, FALSE),""))</f>
        <v>شجر</v>
      </c>
      <c r="C737" s="236">
        <v>2.0</v>
      </c>
      <c r="D737" s="16" t="str">
        <f>IF(A737="","",IFERROR(VLOOKUP(A737, Stock_New!A:M, 3, FALSE),""))</f>
        <v>manufactured</v>
      </c>
      <c r="E737" s="16">
        <f>IF($A737="", "", IFERROR(VLOOKUP($A737, Stock_New!$A:$M, 6, FALSE), ""))</f>
        <v>108</v>
      </c>
      <c r="F737" s="239">
        <v>300.0</v>
      </c>
      <c r="G737" s="15"/>
      <c r="H737" s="33">
        <v>600.0</v>
      </c>
      <c r="I737" s="238">
        <v>46097.0</v>
      </c>
      <c r="J737" s="5" t="s">
        <v>72</v>
      </c>
      <c r="K737" s="5" t="s">
        <v>3124</v>
      </c>
      <c r="L737" s="16"/>
      <c r="M737" s="19" t="s">
        <v>5297</v>
      </c>
      <c r="N737" s="16"/>
      <c r="O737" s="16"/>
      <c r="P737" s="16"/>
    </row>
    <row r="738" ht="22.5" customHeight="1">
      <c r="A738" s="138" t="s">
        <v>216</v>
      </c>
      <c r="B738" s="16" t="str">
        <f>IF(A738="","",IFERROR(VLOOKUP(A738, Stock_New!A:M, 2, FALSE),""))</f>
        <v>ورد لوحدة</v>
      </c>
      <c r="C738" s="236">
        <v>1.0</v>
      </c>
      <c r="D738" s="16" t="str">
        <f>IF(A738="","",IFERROR(VLOOKUP(A738, Stock_New!A:M, 3, FALSE),""))</f>
        <v>شركة الفرسان</v>
      </c>
      <c r="E738" s="16">
        <f>IF($A738="", "", IFERROR(VLOOKUP($A738, Stock_New!$A:$M, 6, FALSE), ""))</f>
        <v>60</v>
      </c>
      <c r="F738" s="239">
        <v>70.0</v>
      </c>
      <c r="G738" s="15"/>
      <c r="H738" s="33">
        <v>70.0</v>
      </c>
      <c r="I738" s="238">
        <v>46097.0</v>
      </c>
      <c r="J738" s="5" t="s">
        <v>72</v>
      </c>
      <c r="K738" s="5" t="s">
        <v>3125</v>
      </c>
      <c r="L738" s="16"/>
      <c r="M738" s="19" t="s">
        <v>5297</v>
      </c>
      <c r="N738" s="16"/>
      <c r="O738" s="16"/>
      <c r="P738" s="16"/>
    </row>
    <row r="739" ht="22.5" customHeight="1">
      <c r="A739" s="138" t="s">
        <v>91</v>
      </c>
      <c r="B739" s="16" t="str">
        <f>IF(A739="","",IFERROR(VLOOKUP(A739, Stock_New!A:M, 2, FALSE),""))</f>
        <v>بوتات</v>
      </c>
      <c r="C739" s="236">
        <v>2.0</v>
      </c>
      <c r="D739" s="16" t="str">
        <f>IF(A739="","",IFERROR(VLOOKUP(A739, Stock_New!A:M, 3, FALSE),""))</f>
        <v>عبدالفتاح</v>
      </c>
      <c r="E739" s="16">
        <f>IF($A739="", "", IFERROR(VLOOKUP($A739, Stock_New!$A:$M, 6, FALSE), ""))</f>
        <v>42</v>
      </c>
      <c r="F739" s="239">
        <v>50.0</v>
      </c>
      <c r="G739" s="15"/>
      <c r="H739" s="33">
        <v>100.0</v>
      </c>
      <c r="I739" s="238">
        <v>46097.0</v>
      </c>
      <c r="J739" s="5" t="s">
        <v>72</v>
      </c>
      <c r="K739" s="5" t="s">
        <v>3128</v>
      </c>
      <c r="L739" s="16"/>
      <c r="M739" s="19" t="s">
        <v>5297</v>
      </c>
      <c r="N739" s="16"/>
      <c r="O739" s="16"/>
      <c r="P739" s="16"/>
    </row>
    <row r="740" ht="22.5" customHeight="1">
      <c r="A740" s="138" t="s">
        <v>593</v>
      </c>
      <c r="B740" s="16" t="str">
        <f>IF(A740="","",IFERROR(VLOOKUP(A740, Stock_New!A:M, 2, FALSE),""))</f>
        <v>مزرعة</v>
      </c>
      <c r="C740" s="236">
        <v>3.0</v>
      </c>
      <c r="D740" s="16" t="str">
        <f>IF(A740="","",IFERROR(VLOOKUP(A740, Stock_New!A:M, 3, FALSE),""))</f>
        <v>شركة الفرسان</v>
      </c>
      <c r="E740" s="16">
        <f>IF($A740="", "", IFERROR(VLOOKUP($A740, Stock_New!$A:$M, 6, FALSE), ""))</f>
        <v>66</v>
      </c>
      <c r="F740" s="239">
        <v>70.0</v>
      </c>
      <c r="G740" s="15"/>
      <c r="H740" s="33">
        <v>210.0</v>
      </c>
      <c r="I740" s="238">
        <v>46097.0</v>
      </c>
      <c r="J740" s="5" t="s">
        <v>72</v>
      </c>
      <c r="K740" s="5" t="s">
        <v>3129</v>
      </c>
      <c r="L740" s="16"/>
      <c r="M740" s="19" t="s">
        <v>5297</v>
      </c>
      <c r="N740" s="16"/>
      <c r="O740" s="16"/>
      <c r="P740" s="16"/>
    </row>
    <row r="741" ht="22.5" customHeight="1">
      <c r="A741" s="138" t="s">
        <v>255</v>
      </c>
      <c r="B741" s="16" t="str">
        <f>IF(A741="","",IFERROR(VLOOKUP(A741, Stock_New!A:M, 2, FALSE),""))</f>
        <v>بوتات</v>
      </c>
      <c r="C741" s="236">
        <v>1.0</v>
      </c>
      <c r="D741" s="16" t="str">
        <f>IF(A741="","",IFERROR(VLOOKUP(A741, Stock_New!A:M, 3, FALSE),""))</f>
        <v>manufactured</v>
      </c>
      <c r="E741" s="16">
        <f>IF($A741="", "", IFERROR(VLOOKUP($A741, Stock_New!$A:$M, 6, FALSE), ""))</f>
        <v>27.3</v>
      </c>
      <c r="F741" s="239">
        <v>50.0</v>
      </c>
      <c r="G741" s="15"/>
      <c r="H741" s="33">
        <v>50.0</v>
      </c>
      <c r="I741" s="238">
        <v>46097.0</v>
      </c>
      <c r="J741" s="5" t="s">
        <v>72</v>
      </c>
      <c r="K741" s="5" t="s">
        <v>3130</v>
      </c>
      <c r="L741" s="16"/>
      <c r="M741" s="19" t="s">
        <v>5297</v>
      </c>
      <c r="N741" s="16"/>
      <c r="O741" s="16"/>
      <c r="P741" s="16"/>
    </row>
    <row r="742" ht="22.5" customHeight="1">
      <c r="A742" s="138" t="s">
        <v>554</v>
      </c>
      <c r="B742" s="16" t="str">
        <f>IF(A742="","",IFERROR(VLOOKUP(A742, Stock_New!A:M, 2, FALSE),""))</f>
        <v>مقزمات</v>
      </c>
      <c r="C742" s="236">
        <v>1.0</v>
      </c>
      <c r="D742" s="16" t="str">
        <f>IF(A742="","",IFERROR(VLOOKUP(A742, Stock_New!A:M, 3, FALSE),""))</f>
        <v>manufactured</v>
      </c>
      <c r="E742" s="16">
        <f>IF($A742="", "", IFERROR(VLOOKUP($A742, Stock_New!$A:$M, 6, FALSE), ""))</f>
        <v>27.86666667</v>
      </c>
      <c r="F742" s="239">
        <v>40.0</v>
      </c>
      <c r="G742" s="15"/>
      <c r="H742" s="33">
        <v>40.0</v>
      </c>
      <c r="I742" s="238">
        <v>46097.0</v>
      </c>
      <c r="J742" s="5" t="s">
        <v>72</v>
      </c>
      <c r="K742" s="5" t="s">
        <v>3131</v>
      </c>
      <c r="L742" s="16"/>
      <c r="M742" s="19" t="s">
        <v>5297</v>
      </c>
      <c r="N742" s="16"/>
      <c r="O742" s="16"/>
      <c r="P742" s="16"/>
    </row>
    <row r="743" ht="22.5" customHeight="1">
      <c r="A743" s="138" t="s">
        <v>268</v>
      </c>
      <c r="B743" s="16" t="str">
        <f>IF(A743="","",IFERROR(VLOOKUP(A743, Stock_New!A:M, 2, FALSE),""))</f>
        <v>سيلفرات</v>
      </c>
      <c r="C743" s="236">
        <v>1.0</v>
      </c>
      <c r="D743" s="16" t="str">
        <f>IF(A743="","",IFERROR(VLOOKUP(A743, Stock_New!A:M, 3, FALSE),""))</f>
        <v>شركة حسين علي</v>
      </c>
      <c r="E743" s="16">
        <f>IF($A743="", "", IFERROR(VLOOKUP($A743, Stock_New!$A:$M, 6, FALSE), ""))</f>
        <v>214.5</v>
      </c>
      <c r="F743" s="239">
        <v>250.0</v>
      </c>
      <c r="G743" s="15"/>
      <c r="H743" s="33">
        <v>250.0</v>
      </c>
      <c r="I743" s="238">
        <v>46097.0</v>
      </c>
      <c r="J743" s="5" t="s">
        <v>72</v>
      </c>
      <c r="K743" s="5" t="s">
        <v>3132</v>
      </c>
      <c r="L743" s="16"/>
      <c r="M743" s="19"/>
      <c r="N743" s="16"/>
      <c r="O743" s="16"/>
      <c r="P743" s="16"/>
    </row>
    <row r="744" ht="22.5" customHeight="1">
      <c r="A744" s="138" t="s">
        <v>572</v>
      </c>
      <c r="B744" s="16" t="str">
        <f>IF(A744="","",IFERROR(VLOOKUP(A744, Stock_New!A:M, 2, FALSE),""))</f>
        <v>شمع</v>
      </c>
      <c r="C744" s="236">
        <v>5.0</v>
      </c>
      <c r="D744" s="16" t="str">
        <f>IF(A744="","",IFERROR(VLOOKUP(A744, Stock_New!A:M, 3, FALSE),""))</f>
        <v>سنتر محمد رشدي</v>
      </c>
      <c r="E744" s="16">
        <f>IF($A744="", "", IFERROR(VLOOKUP($A744, Stock_New!$A:$M, 6, FALSE), ""))</f>
        <v>5.25</v>
      </c>
      <c r="F744" s="239">
        <v>10.0</v>
      </c>
      <c r="G744" s="15"/>
      <c r="H744" s="33">
        <v>50.0</v>
      </c>
      <c r="I744" s="238">
        <v>46097.0</v>
      </c>
      <c r="J744" s="5" t="s">
        <v>72</v>
      </c>
      <c r="K744" s="5" t="s">
        <v>3133</v>
      </c>
      <c r="L744" s="16"/>
      <c r="M744" s="19"/>
      <c r="N744" s="16"/>
      <c r="O744" s="16"/>
      <c r="P744" s="16"/>
    </row>
    <row r="745" ht="22.5" customHeight="1">
      <c r="A745" s="138" t="s">
        <v>946</v>
      </c>
      <c r="B745" s="16" t="str">
        <f>IF(A745="","",IFERROR(VLOOKUP(A745, Stock_New!A:M, 2, FALSE),""))</f>
        <v>ورد لوحد</v>
      </c>
      <c r="C745" s="236">
        <f>3/5</f>
        <v>0.6</v>
      </c>
      <c r="D745" s="16" t="str">
        <f>IF(A745="","",IFERROR(VLOOKUP(A745, Stock_New!A:M, 3, FALSE),""))</f>
        <v>شركة الفرسان</v>
      </c>
      <c r="E745" s="16">
        <f>IF($A745="", "", IFERROR(VLOOKUP($A745, Stock_New!$A:$M, 6, FALSE), ""))</f>
        <v>90</v>
      </c>
      <c r="F745" s="239">
        <v>115.0</v>
      </c>
      <c r="G745" s="15"/>
      <c r="H745" s="33">
        <v>69.0</v>
      </c>
      <c r="I745" s="238">
        <v>46097.0</v>
      </c>
      <c r="J745" s="5" t="s">
        <v>72</v>
      </c>
      <c r="K745" s="5" t="s">
        <v>4070</v>
      </c>
      <c r="L745" s="16"/>
      <c r="M745" s="19"/>
      <c r="N745" s="16"/>
      <c r="O745" s="16"/>
      <c r="P745" s="16"/>
    </row>
    <row r="746" ht="22.5" customHeight="1">
      <c r="A746" s="138" t="s">
        <v>168</v>
      </c>
      <c r="B746" s="16" t="str">
        <f>IF(A746="","",IFERROR(VLOOKUP(A746, Stock_New!A:M, 2, FALSE),""))</f>
        <v>خزف</v>
      </c>
      <c r="C746" s="236">
        <v>1.0</v>
      </c>
      <c r="D746" s="16" t="str">
        <f>IF(A746="","",IFERROR(VLOOKUP(A746, Stock_New!A:M, 3, FALSE),""))</f>
        <v>شركة حسين علي</v>
      </c>
      <c r="E746" s="16">
        <f>IF($A746="", "", IFERROR(VLOOKUP($A746, Stock_New!$A:$M, 6, FALSE), ""))</f>
        <v>132</v>
      </c>
      <c r="F746" s="239">
        <v>220.0</v>
      </c>
      <c r="G746" s="15"/>
      <c r="H746" s="33">
        <v>220.0</v>
      </c>
      <c r="I746" s="238">
        <v>46097.0</v>
      </c>
      <c r="J746" s="5" t="s">
        <v>72</v>
      </c>
      <c r="K746" s="5" t="s">
        <v>3134</v>
      </c>
      <c r="L746" s="16"/>
      <c r="M746" s="19"/>
      <c r="N746" s="16"/>
      <c r="O746" s="16"/>
      <c r="P746" s="16"/>
    </row>
    <row r="747" ht="22.5" customHeight="1">
      <c r="A747" s="138" t="s">
        <v>812</v>
      </c>
      <c r="B747" s="16" t="str">
        <f>IF(A747="","",IFERROR(VLOOKUP(A747, Stock_New!A:M, 2, FALSE),""))</f>
        <v/>
      </c>
      <c r="C747" s="236">
        <v>4.0</v>
      </c>
      <c r="D747" s="16" t="str">
        <f>IF(A747="","",IFERROR(VLOOKUP(A747, Stock_New!A:M, 3, FALSE),""))</f>
        <v/>
      </c>
      <c r="E747" s="16" t="str">
        <f>IF($A747="", "", IFERROR(VLOOKUP($A747, Stock_New!$A:$M, 6, FALSE), ""))</f>
        <v/>
      </c>
      <c r="F747" s="239">
        <v>20.0</v>
      </c>
      <c r="G747" s="15"/>
      <c r="H747" s="33">
        <v>80.0</v>
      </c>
      <c r="I747" s="238">
        <v>46097.0</v>
      </c>
      <c r="J747" s="5" t="s">
        <v>72</v>
      </c>
      <c r="K747" s="5" t="s">
        <v>3135</v>
      </c>
      <c r="L747" s="16"/>
      <c r="M747" s="19"/>
      <c r="N747" s="16"/>
      <c r="O747" s="16"/>
      <c r="P747" s="16"/>
    </row>
    <row r="748" ht="22.5" customHeight="1">
      <c r="A748" s="138" t="s">
        <v>640</v>
      </c>
      <c r="B748" s="16" t="str">
        <f>IF(A748="","",IFERROR(VLOOKUP(A748, Stock_New!A:M, 2, FALSE),""))</f>
        <v>سيلفرات</v>
      </c>
      <c r="C748" s="236">
        <v>1.0</v>
      </c>
      <c r="D748" s="16" t="str">
        <f>IF(A748="","",IFERROR(VLOOKUP(A748, Stock_New!A:M, 3, FALSE),""))</f>
        <v>سنتر محمد رشدي</v>
      </c>
      <c r="E748" s="16">
        <f>IF($A748="", "", IFERROR(VLOOKUP($A748, Stock_New!$A:$M, 6, FALSE), ""))</f>
        <v>200.4</v>
      </c>
      <c r="F748" s="239">
        <v>210.0</v>
      </c>
      <c r="G748" s="15"/>
      <c r="H748" s="33">
        <v>210.0</v>
      </c>
      <c r="I748" s="238">
        <v>46097.0</v>
      </c>
      <c r="J748" s="5" t="s">
        <v>72</v>
      </c>
      <c r="K748" s="5" t="s">
        <v>3136</v>
      </c>
      <c r="L748" s="16"/>
      <c r="M748" s="19"/>
      <c r="N748" s="16"/>
      <c r="O748" s="16"/>
      <c r="P748" s="16"/>
    </row>
    <row r="749" ht="22.5" customHeight="1">
      <c r="A749" s="138" t="s">
        <v>812</v>
      </c>
      <c r="B749" s="16" t="str">
        <f>IF(A749="","",IFERROR(VLOOKUP(A749, Stock_New!A:M, 2, FALSE),""))</f>
        <v/>
      </c>
      <c r="C749" s="236">
        <v>2.0</v>
      </c>
      <c r="D749" s="16" t="str">
        <f>IF(A749="","",IFERROR(VLOOKUP(A749, Stock_New!A:M, 3, FALSE),""))</f>
        <v/>
      </c>
      <c r="E749" s="16" t="str">
        <f>IF($A749="", "", IFERROR(VLOOKUP($A749, Stock_New!$A:$M, 6, FALSE), ""))</f>
        <v/>
      </c>
      <c r="F749" s="239">
        <v>20.0</v>
      </c>
      <c r="G749" s="15"/>
      <c r="H749" s="33">
        <v>40.0</v>
      </c>
      <c r="I749" s="238">
        <v>46097.0</v>
      </c>
      <c r="J749" s="5" t="s">
        <v>72</v>
      </c>
      <c r="K749" s="5" t="s">
        <v>3139</v>
      </c>
      <c r="L749" s="16"/>
      <c r="M749" s="19"/>
      <c r="N749" s="16"/>
      <c r="O749" s="16"/>
      <c r="P749" s="16"/>
    </row>
    <row r="750" ht="22.5" customHeight="1">
      <c r="A750" s="138" t="s">
        <v>235</v>
      </c>
      <c r="B750" s="16" t="str">
        <f>IF(A750="","",IFERROR(VLOOKUP(A750, Stock_New!A:M, 2, FALSE),""))</f>
        <v>خزف</v>
      </c>
      <c r="C750" s="236">
        <v>3.0</v>
      </c>
      <c r="D750" s="16" t="str">
        <f>IF(A750="","",IFERROR(VLOOKUP(A750, Stock_New!A:M, 3, FALSE),""))</f>
        <v>ذكريا</v>
      </c>
      <c r="E750" s="16">
        <f>IF($A750="", "", IFERROR(VLOOKUP($A750, Stock_New!$A:$M, 6, FALSE), ""))</f>
        <v>90</v>
      </c>
      <c r="F750" s="239">
        <v>100.0</v>
      </c>
      <c r="G750" s="15"/>
      <c r="H750" s="33">
        <v>300.0</v>
      </c>
      <c r="I750" s="238">
        <v>46097.0</v>
      </c>
      <c r="J750" s="5" t="s">
        <v>72</v>
      </c>
      <c r="K750" s="5" t="s">
        <v>3140</v>
      </c>
      <c r="L750" s="16"/>
      <c r="M750" s="19"/>
      <c r="N750" s="16"/>
      <c r="O750" s="16"/>
      <c r="P750" s="16"/>
    </row>
    <row r="751" ht="22.5" customHeight="1">
      <c r="A751" s="138" t="s">
        <v>206</v>
      </c>
      <c r="B751" s="16" t="str">
        <f>IF(A751="","",IFERROR(VLOOKUP(A751, Stock_New!A:M, 2, FALSE),""))</f>
        <v>سيلفرات</v>
      </c>
      <c r="C751" s="236">
        <v>1.0</v>
      </c>
      <c r="D751" s="16" t="str">
        <f>IF(A751="","",IFERROR(VLOOKUP(A751, Stock_New!A:M, 3, FALSE),""))</f>
        <v>ذكريا</v>
      </c>
      <c r="E751" s="16">
        <f>IF($A751="", "", IFERROR(VLOOKUP($A751, Stock_New!$A:$M, 6, FALSE), ""))</f>
        <v>186</v>
      </c>
      <c r="F751" s="239">
        <v>200.0</v>
      </c>
      <c r="G751" s="15"/>
      <c r="H751" s="33">
        <v>200.0</v>
      </c>
      <c r="I751" s="238">
        <v>46097.0</v>
      </c>
      <c r="J751" s="5" t="s">
        <v>72</v>
      </c>
      <c r="K751" s="5" t="s">
        <v>3141</v>
      </c>
      <c r="L751" s="16"/>
      <c r="M751" s="19"/>
      <c r="N751" s="16"/>
      <c r="O751" s="16"/>
      <c r="P751" s="16"/>
    </row>
    <row r="752" ht="22.5" customHeight="1">
      <c r="A752" s="138" t="s">
        <v>572</v>
      </c>
      <c r="B752" s="16" t="str">
        <f>IF(A752="","",IFERROR(VLOOKUP(A752, Stock_New!A:M, 2, FALSE),""))</f>
        <v>شمع</v>
      </c>
      <c r="C752" s="236">
        <v>2.0</v>
      </c>
      <c r="D752" s="16" t="str">
        <f>IF(A752="","",IFERROR(VLOOKUP(A752, Stock_New!A:M, 3, FALSE),""))</f>
        <v>سنتر محمد رشدي</v>
      </c>
      <c r="E752" s="16">
        <f>IF($A752="", "", IFERROR(VLOOKUP($A752, Stock_New!$A:$M, 6, FALSE), ""))</f>
        <v>5.25</v>
      </c>
      <c r="F752" s="239">
        <v>10.0</v>
      </c>
      <c r="G752" s="15"/>
      <c r="H752" s="33">
        <v>20.0</v>
      </c>
      <c r="I752" s="238">
        <v>46097.0</v>
      </c>
      <c r="J752" s="5" t="s">
        <v>72</v>
      </c>
      <c r="K752" s="5" t="s">
        <v>3142</v>
      </c>
      <c r="L752" s="16"/>
      <c r="M752" s="19"/>
      <c r="N752" s="16"/>
      <c r="O752" s="16"/>
      <c r="P752" s="16"/>
    </row>
    <row r="753" ht="22.5" customHeight="1">
      <c r="A753" s="138" t="s">
        <v>567</v>
      </c>
      <c r="B753" s="16" t="str">
        <f>IF(A753="","",IFERROR(VLOOKUP(A753, Stock_New!A:M, 2, FALSE),""))</f>
        <v>شمع</v>
      </c>
      <c r="C753" s="236">
        <v>1.0</v>
      </c>
      <c r="D753" s="16" t="str">
        <f>IF(A753="","",IFERROR(VLOOKUP(A753, Stock_New!A:M, 3, FALSE),""))</f>
        <v>سنتر محمد رشدي</v>
      </c>
      <c r="E753" s="16">
        <f>IF($A753="", "", IFERROR(VLOOKUP($A753, Stock_New!$A:$M, 6, FALSE), ""))</f>
        <v>61.2</v>
      </c>
      <c r="F753" s="239">
        <v>75.0</v>
      </c>
      <c r="G753" s="15"/>
      <c r="H753" s="33">
        <v>75.0</v>
      </c>
      <c r="I753" s="238">
        <v>46097.0</v>
      </c>
      <c r="J753" s="5" t="s">
        <v>72</v>
      </c>
      <c r="K753" s="5" t="s">
        <v>3143</v>
      </c>
      <c r="L753" s="16"/>
      <c r="M753" s="19"/>
      <c r="N753" s="16"/>
      <c r="O753" s="16"/>
      <c r="P753" s="16"/>
    </row>
    <row r="754" ht="22.5" customHeight="1">
      <c r="A754" s="138" t="s">
        <v>159</v>
      </c>
      <c r="B754" s="16" t="str">
        <f>IF(A754="","",IFERROR(VLOOKUP(A754, Stock_New!A:M, 2, FALSE),""))</f>
        <v>شجر</v>
      </c>
      <c r="C754" s="236">
        <v>1.0</v>
      </c>
      <c r="D754" s="16" t="str">
        <f>IF(A754="","",IFERROR(VLOOKUP(A754, Stock_New!A:M, 3, FALSE),""))</f>
        <v>شركة حسين علي</v>
      </c>
      <c r="E754" s="16">
        <f>IF($A754="", "", IFERROR(VLOOKUP($A754, Stock_New!$A:$M, 6, FALSE), ""))</f>
        <v>280</v>
      </c>
      <c r="F754" s="239">
        <v>285.0</v>
      </c>
      <c r="G754" s="15"/>
      <c r="H754" s="33">
        <v>285.0</v>
      </c>
      <c r="I754" s="238">
        <v>46097.0</v>
      </c>
      <c r="J754" s="5" t="s">
        <v>72</v>
      </c>
      <c r="K754" s="5" t="s">
        <v>3144</v>
      </c>
      <c r="L754" s="16"/>
      <c r="M754" s="19"/>
      <c r="N754" s="16"/>
      <c r="O754" s="16"/>
      <c r="P754" s="16"/>
    </row>
    <row r="755" ht="22.5" customHeight="1">
      <c r="A755" s="138" t="s">
        <v>91</v>
      </c>
      <c r="B755" s="16" t="str">
        <f>IF(A755="","",IFERROR(VLOOKUP(A755, Stock_New!A:M, 2, FALSE),""))</f>
        <v>بوتات</v>
      </c>
      <c r="C755" s="236">
        <v>1.0</v>
      </c>
      <c r="D755" s="16" t="str">
        <f>IF(A755="","",IFERROR(VLOOKUP(A755, Stock_New!A:M, 3, FALSE),""))</f>
        <v>عبدالفتاح</v>
      </c>
      <c r="E755" s="16">
        <f>IF($A755="", "", IFERROR(VLOOKUP($A755, Stock_New!$A:$M, 6, FALSE), ""))</f>
        <v>42</v>
      </c>
      <c r="F755" s="239">
        <v>50.0</v>
      </c>
      <c r="G755" s="15"/>
      <c r="H755" s="33">
        <v>50.0</v>
      </c>
      <c r="I755" s="238">
        <v>46097.0</v>
      </c>
      <c r="J755" s="5" t="s">
        <v>72</v>
      </c>
      <c r="K755" s="5" t="s">
        <v>3145</v>
      </c>
      <c r="L755" s="16"/>
      <c r="M755" s="19"/>
      <c r="N755" s="16"/>
      <c r="O755" s="16"/>
      <c r="P755" s="16"/>
    </row>
    <row r="756" ht="22.5" customHeight="1">
      <c r="A756" s="138" t="s">
        <v>933</v>
      </c>
      <c r="B756" s="16" t="str">
        <f>IF(A756="","",IFERROR(VLOOKUP(A756, Stock_New!A:M, 2, FALSE),""))</f>
        <v>بوتات</v>
      </c>
      <c r="C756" s="236">
        <v>1.0</v>
      </c>
      <c r="D756" s="16" t="str">
        <f>IF(A756="","",IFERROR(VLOOKUP(A756, Stock_New!A:M, 3, FALSE),""))</f>
        <v>عبدالفتاح</v>
      </c>
      <c r="E756" s="16">
        <f>IF($A756="", "", IFERROR(VLOOKUP($A756, Stock_New!$A:$M, 6, FALSE), ""))</f>
        <v>12</v>
      </c>
      <c r="F756" s="239">
        <v>15.0</v>
      </c>
      <c r="G756" s="15"/>
      <c r="H756" s="33">
        <v>15.0</v>
      </c>
      <c r="I756" s="238">
        <v>46097.0</v>
      </c>
      <c r="J756" s="5" t="s">
        <v>72</v>
      </c>
      <c r="K756" s="5" t="s">
        <v>3146</v>
      </c>
      <c r="L756" s="16"/>
      <c r="M756" s="19"/>
      <c r="N756" s="16"/>
      <c r="O756" s="16"/>
      <c r="P756" s="16"/>
    </row>
    <row r="757" ht="22.5" customHeight="1">
      <c r="A757" s="138" t="s">
        <v>220</v>
      </c>
      <c r="B757" s="16" t="str">
        <f>IF(A757="","",IFERROR(VLOOKUP(A757, Stock_New!A:M, 2, FALSE),""))</f>
        <v>ورد لوحدة</v>
      </c>
      <c r="C757" s="236">
        <v>1.0</v>
      </c>
      <c r="D757" s="16" t="str">
        <f>IF(A757="","",IFERROR(VLOOKUP(A757, Stock_New!A:M, 3, FALSE),""))</f>
        <v>شركة الفرسان</v>
      </c>
      <c r="E757" s="16">
        <f>IF($A757="", "", IFERROR(VLOOKUP($A757, Stock_New!$A:$M, 6, FALSE), ""))</f>
        <v>102</v>
      </c>
      <c r="F757" s="239">
        <v>150.0</v>
      </c>
      <c r="G757" s="15"/>
      <c r="H757" s="33">
        <v>150.0</v>
      </c>
      <c r="I757" s="238">
        <v>46097.0</v>
      </c>
      <c r="J757" s="5" t="s">
        <v>72</v>
      </c>
      <c r="K757" s="5" t="s">
        <v>3147</v>
      </c>
      <c r="L757" s="16"/>
      <c r="M757" s="19"/>
      <c r="N757" s="16"/>
      <c r="O757" s="16"/>
      <c r="P757" s="16"/>
    </row>
    <row r="758" ht="22.5" customHeight="1">
      <c r="A758" s="138" t="s">
        <v>255</v>
      </c>
      <c r="B758" s="16" t="str">
        <f>IF(A758="","",IFERROR(VLOOKUP(A758, Stock_New!A:M, 2, FALSE),""))</f>
        <v>بوتات</v>
      </c>
      <c r="C758" s="236">
        <v>1.0</v>
      </c>
      <c r="D758" s="16" t="str">
        <f>IF(A758="","",IFERROR(VLOOKUP(A758, Stock_New!A:M, 3, FALSE),""))</f>
        <v>manufactured</v>
      </c>
      <c r="E758" s="16">
        <f>IF($A758="", "", IFERROR(VLOOKUP($A758, Stock_New!$A:$M, 6, FALSE), ""))</f>
        <v>27.3</v>
      </c>
      <c r="F758" s="239">
        <v>50.0</v>
      </c>
      <c r="G758" s="15"/>
      <c r="H758" s="33">
        <v>50.0</v>
      </c>
      <c r="I758" s="238">
        <v>46097.0</v>
      </c>
      <c r="J758" s="5" t="s">
        <v>72</v>
      </c>
      <c r="K758" s="5" t="s">
        <v>3148</v>
      </c>
      <c r="L758" s="16"/>
      <c r="M758" s="19"/>
      <c r="N758" s="16"/>
      <c r="O758" s="16"/>
      <c r="P758" s="16"/>
    </row>
    <row r="759" ht="22.5" customHeight="1">
      <c r="A759" s="138" t="s">
        <v>77</v>
      </c>
      <c r="B759" s="16" t="str">
        <f>IF(A759="","",IFERROR(VLOOKUP(A759, Stock_New!A:M, 2, FALSE),""))</f>
        <v>شجر</v>
      </c>
      <c r="C759" s="236">
        <v>1.0</v>
      </c>
      <c r="D759" s="16" t="str">
        <f>IF(A759="","",IFERROR(VLOOKUP(A759, Stock_New!A:M, 3, FALSE),""))</f>
        <v>manufactured</v>
      </c>
      <c r="E759" s="16">
        <f>IF($A759="", "", IFERROR(VLOOKUP($A759, Stock_New!$A:$M, 6, FALSE), ""))</f>
        <v>378</v>
      </c>
      <c r="F759" s="239">
        <v>370.0</v>
      </c>
      <c r="G759" s="15"/>
      <c r="H759" s="33">
        <v>370.0</v>
      </c>
      <c r="I759" s="238">
        <v>46097.0</v>
      </c>
      <c r="J759" s="5" t="s">
        <v>72</v>
      </c>
      <c r="K759" s="5" t="s">
        <v>3149</v>
      </c>
      <c r="L759" s="16"/>
      <c r="M759" s="19"/>
      <c r="N759" s="16"/>
      <c r="O759" s="16"/>
      <c r="P759" s="16"/>
    </row>
    <row r="760" ht="22.5" customHeight="1">
      <c r="A760" s="138" t="s">
        <v>830</v>
      </c>
      <c r="B760" s="16" t="str">
        <f>IF(A760="","",IFERROR(VLOOKUP(A760, Stock_New!A:M, 2, FALSE),""))</f>
        <v>بوتات</v>
      </c>
      <c r="C760" s="236">
        <v>1.0</v>
      </c>
      <c r="D760" s="16" t="str">
        <f>IF(A760="","",IFERROR(VLOOKUP(A760, Stock_New!A:M, 3, FALSE),""))</f>
        <v>شركة الفرسان</v>
      </c>
      <c r="E760" s="16">
        <f>IF($A760="", "", IFERROR(VLOOKUP($A760, Stock_New!$A:$M, 6, FALSE), ""))</f>
        <v>12</v>
      </c>
      <c r="F760" s="239">
        <v>15.0</v>
      </c>
      <c r="G760" s="15"/>
      <c r="H760" s="33">
        <v>15.0</v>
      </c>
      <c r="I760" s="238">
        <v>46097.0</v>
      </c>
      <c r="J760" s="5" t="s">
        <v>72</v>
      </c>
      <c r="K760" s="5" t="s">
        <v>3150</v>
      </c>
      <c r="L760" s="16"/>
      <c r="M760" s="19"/>
      <c r="N760" s="16"/>
      <c r="O760" s="16"/>
      <c r="P760" s="16"/>
    </row>
    <row r="761" ht="22.5" customHeight="1">
      <c r="A761" s="138" t="s">
        <v>741</v>
      </c>
      <c r="B761" s="16" t="str">
        <f>IF(A761="","",IFERROR(VLOOKUP(A761, Stock_New!A:M, 2, FALSE),""))</f>
        <v>ورد لوحدة</v>
      </c>
      <c r="C761" s="236">
        <f>2/10</f>
        <v>0.2</v>
      </c>
      <c r="D761" s="16" t="str">
        <f>IF(A761="","",IFERROR(VLOOKUP(A761, Stock_New!A:M, 3, FALSE),""))</f>
        <v>شركة الفرسان</v>
      </c>
      <c r="E761" s="16">
        <f>IF($A761="", "", IFERROR(VLOOKUP($A761, Stock_New!$A:$M, 6, FALSE), ""))</f>
        <v>180</v>
      </c>
      <c r="F761" s="239">
        <v>200.0</v>
      </c>
      <c r="G761" s="15"/>
      <c r="H761" s="33">
        <v>40.0</v>
      </c>
      <c r="I761" s="238">
        <v>46097.0</v>
      </c>
      <c r="J761" s="5" t="s">
        <v>72</v>
      </c>
      <c r="K761" s="5" t="s">
        <v>3151</v>
      </c>
      <c r="L761" s="16"/>
      <c r="M761" s="19"/>
      <c r="N761" s="16"/>
      <c r="O761" s="16"/>
      <c r="P761" s="16"/>
    </row>
    <row r="762" ht="22.5" customHeight="1">
      <c r="A762" s="138" t="s">
        <v>216</v>
      </c>
      <c r="B762" s="16" t="str">
        <f>IF(A762="","",IFERROR(VLOOKUP(A762, Stock_New!A:M, 2, FALSE),""))</f>
        <v>ورد لوحدة</v>
      </c>
      <c r="C762" s="236">
        <f>2/5</f>
        <v>0.4</v>
      </c>
      <c r="D762" s="16" t="str">
        <f>IF(A762="","",IFERROR(VLOOKUP(A762, Stock_New!A:M, 3, FALSE),""))</f>
        <v>شركة الفرسان</v>
      </c>
      <c r="E762" s="16">
        <f>IF($A762="", "", IFERROR(VLOOKUP($A762, Stock_New!$A:$M, 6, FALSE), ""))</f>
        <v>60</v>
      </c>
      <c r="F762" s="239">
        <f>62.5</f>
        <v>62.5</v>
      </c>
      <c r="G762" s="15"/>
      <c r="H762" s="33">
        <v>25.0</v>
      </c>
      <c r="I762" s="238">
        <v>46097.0</v>
      </c>
      <c r="J762" s="5" t="s">
        <v>72</v>
      </c>
      <c r="K762" s="5" t="s">
        <v>3152</v>
      </c>
      <c r="L762" s="16"/>
      <c r="M762" s="19"/>
      <c r="N762" s="16"/>
      <c r="O762" s="16"/>
      <c r="P762" s="16"/>
    </row>
    <row r="763" ht="22.5" customHeight="1">
      <c r="A763" s="138" t="s">
        <v>79</v>
      </c>
      <c r="B763" s="16" t="str">
        <f>IF(A763="","",IFERROR(VLOOKUP(A763, Stock_New!A:M, 2, FALSE),""))</f>
        <v>خزف</v>
      </c>
      <c r="C763" s="236">
        <v>1.0</v>
      </c>
      <c r="D763" s="16" t="str">
        <f>IF(A763="","",IFERROR(VLOOKUP(A763, Stock_New!A:M, 3, FALSE),""))</f>
        <v>ذكريا</v>
      </c>
      <c r="E763" s="16">
        <f>IF($A763="", "", IFERROR(VLOOKUP($A763, Stock_New!$A:$M, 6, FALSE), ""))</f>
        <v>72</v>
      </c>
      <c r="F763" s="239">
        <v>85.0</v>
      </c>
      <c r="G763" s="15"/>
      <c r="H763" s="33">
        <v>85.0</v>
      </c>
      <c r="I763" s="238">
        <v>46097.0</v>
      </c>
      <c r="J763" s="5" t="s">
        <v>72</v>
      </c>
      <c r="K763" s="5" t="s">
        <v>3153</v>
      </c>
      <c r="L763" s="16"/>
      <c r="M763" s="19"/>
      <c r="N763" s="16"/>
      <c r="O763" s="16"/>
      <c r="P763" s="16"/>
    </row>
    <row r="764" ht="22.5" customHeight="1">
      <c r="A764" s="138" t="s">
        <v>385</v>
      </c>
      <c r="B764" s="16" t="str">
        <f>IF(A764="","",IFERROR(VLOOKUP(A764, Stock_New!A:M, 2, FALSE),""))</f>
        <v>كهربائيات</v>
      </c>
      <c r="C764" s="236">
        <v>1.0</v>
      </c>
      <c r="D764" s="16" t="str">
        <f>IF(A764="","",IFERROR(VLOOKUP(A764, Stock_New!A:M, 3, FALSE),""))</f>
        <v>سنتر محمد رشدي</v>
      </c>
      <c r="E764" s="16">
        <f>IF($A764="", "", IFERROR(VLOOKUP($A764, Stock_New!$A:$M, 6, FALSE), ""))</f>
        <v>275.4</v>
      </c>
      <c r="F764" s="239">
        <v>290.0</v>
      </c>
      <c r="G764" s="15"/>
      <c r="H764" s="33">
        <v>290.0</v>
      </c>
      <c r="I764" s="238">
        <v>46097.0</v>
      </c>
      <c r="J764" s="5" t="s">
        <v>72</v>
      </c>
      <c r="K764" s="5" t="s">
        <v>3154</v>
      </c>
      <c r="L764" s="16"/>
      <c r="M764" s="19"/>
      <c r="N764" s="16"/>
      <c r="O764" s="16"/>
      <c r="P764" s="16"/>
    </row>
    <row r="765" ht="22.5" customHeight="1">
      <c r="A765" s="138" t="s">
        <v>637</v>
      </c>
      <c r="B765" s="16" t="str">
        <f>IF(A765="","",IFERROR(VLOOKUP(A765, Stock_New!A:M, 2, FALSE),""))</f>
        <v>سيلفرات</v>
      </c>
      <c r="C765" s="236">
        <v>1.0</v>
      </c>
      <c r="D765" s="16" t="str">
        <f>IF(A765="","",IFERROR(VLOOKUP(A765, Stock_New!A:M, 3, FALSE),""))</f>
        <v>سنتر محمد رشدي</v>
      </c>
      <c r="E765" s="16">
        <f>IF($A765="", "", IFERROR(VLOOKUP($A765, Stock_New!$A:$M, 6, FALSE), ""))</f>
        <v>200.4</v>
      </c>
      <c r="F765" s="239">
        <v>210.0</v>
      </c>
      <c r="G765" s="15"/>
      <c r="H765" s="33">
        <v>210.0</v>
      </c>
      <c r="I765" s="238">
        <v>46097.0</v>
      </c>
      <c r="J765" s="5" t="s">
        <v>72</v>
      </c>
      <c r="K765" s="5" t="s">
        <v>3157</v>
      </c>
      <c r="L765" s="16"/>
      <c r="M765" s="19"/>
      <c r="N765" s="16"/>
      <c r="O765" s="16"/>
      <c r="P765" s="16"/>
    </row>
    <row r="766" ht="22.5" customHeight="1">
      <c r="A766" s="138" t="s">
        <v>812</v>
      </c>
      <c r="B766" s="16" t="str">
        <f>IF(A766="","",IFERROR(VLOOKUP(A766, Stock_New!A:M, 2, FALSE),""))</f>
        <v/>
      </c>
      <c r="C766" s="236">
        <v>2.0</v>
      </c>
      <c r="D766" s="16" t="str">
        <f>IF(A766="","",IFERROR(VLOOKUP(A766, Stock_New!A:M, 3, FALSE),""))</f>
        <v/>
      </c>
      <c r="E766" s="16" t="str">
        <f>IF($A766="", "", IFERROR(VLOOKUP($A766, Stock_New!$A:$M, 6, FALSE), ""))</f>
        <v/>
      </c>
      <c r="F766" s="239">
        <v>20.0</v>
      </c>
      <c r="G766" s="15"/>
      <c r="H766" s="33">
        <v>40.0</v>
      </c>
      <c r="I766" s="238">
        <v>46097.0</v>
      </c>
      <c r="J766" s="5" t="s">
        <v>72</v>
      </c>
      <c r="K766" s="5" t="s">
        <v>3158</v>
      </c>
      <c r="L766" s="16"/>
      <c r="M766" s="19"/>
      <c r="N766" s="16"/>
      <c r="O766" s="16"/>
      <c r="P766" s="16"/>
    </row>
    <row r="767" ht="22.5" customHeight="1">
      <c r="A767" s="138" t="s">
        <v>946</v>
      </c>
      <c r="B767" s="16" t="str">
        <f>IF(A767="","",IFERROR(VLOOKUP(A767, Stock_New!A:M, 2, FALSE),""))</f>
        <v>ورد لوحد</v>
      </c>
      <c r="C767" s="236">
        <v>2.0</v>
      </c>
      <c r="D767" s="16" t="str">
        <f>IF(A767="","",IFERROR(VLOOKUP(A767, Stock_New!A:M, 3, FALSE),""))</f>
        <v>شركة الفرسان</v>
      </c>
      <c r="E767" s="16">
        <f>IF($A767="", "", IFERROR(VLOOKUP($A767, Stock_New!$A:$M, 6, FALSE), ""))</f>
        <v>90</v>
      </c>
      <c r="F767" s="239">
        <v>100.0</v>
      </c>
      <c r="G767" s="15"/>
      <c r="H767" s="33">
        <v>200.0</v>
      </c>
      <c r="I767" s="238">
        <v>46097.0</v>
      </c>
      <c r="J767" s="5" t="s">
        <v>72</v>
      </c>
      <c r="K767" s="5" t="s">
        <v>3161</v>
      </c>
      <c r="L767" s="16"/>
      <c r="M767" s="19"/>
      <c r="N767" s="16"/>
      <c r="O767" s="16"/>
      <c r="P767" s="16"/>
    </row>
    <row r="768" ht="22.5" customHeight="1">
      <c r="A768" s="138" t="s">
        <v>255</v>
      </c>
      <c r="B768" s="16" t="str">
        <f>IF(A768="","",IFERROR(VLOOKUP(A768, Stock_New!A:M, 2, FALSE),""))</f>
        <v>بوتات</v>
      </c>
      <c r="C768" s="236">
        <v>1.0</v>
      </c>
      <c r="D768" s="16" t="str">
        <f>IF(A768="","",IFERROR(VLOOKUP(A768, Stock_New!A:M, 3, FALSE),""))</f>
        <v>manufactured</v>
      </c>
      <c r="E768" s="16">
        <f>IF($A768="", "", IFERROR(VLOOKUP($A768, Stock_New!$A:$M, 6, FALSE), ""))</f>
        <v>27.3</v>
      </c>
      <c r="F768" s="239">
        <v>50.0</v>
      </c>
      <c r="G768" s="15"/>
      <c r="H768" s="33">
        <v>50.0</v>
      </c>
      <c r="I768" s="238">
        <v>46097.0</v>
      </c>
      <c r="J768" s="5" t="s">
        <v>72</v>
      </c>
      <c r="K768" s="5" t="s">
        <v>3163</v>
      </c>
      <c r="L768" s="16"/>
      <c r="M768" s="19"/>
      <c r="N768" s="16"/>
      <c r="O768" s="16"/>
      <c r="P768" s="16"/>
    </row>
    <row r="769" ht="22.5" customHeight="1">
      <c r="A769" s="138" t="s">
        <v>210</v>
      </c>
      <c r="B769" s="16" t="str">
        <f>IF(A769="","",IFERROR(VLOOKUP(A769, Stock_New!A:M, 2, FALSE),""))</f>
        <v>سيلفرات</v>
      </c>
      <c r="C769" s="236">
        <v>1.0</v>
      </c>
      <c r="D769" s="16" t="str">
        <f>IF(A769="","",IFERROR(VLOOKUP(A769, Stock_New!A:M, 3, FALSE),""))</f>
        <v>ذكريا</v>
      </c>
      <c r="E769" s="16">
        <f>IF($A769="", "", IFERROR(VLOOKUP($A769, Stock_New!$A:$M, 6, FALSE), ""))</f>
        <v>156</v>
      </c>
      <c r="F769" s="239">
        <v>150.0</v>
      </c>
      <c r="G769" s="15"/>
      <c r="H769" s="33">
        <v>150.0</v>
      </c>
      <c r="I769" s="238">
        <v>46097.0</v>
      </c>
      <c r="J769" s="5" t="s">
        <v>72</v>
      </c>
      <c r="K769" s="5" t="s">
        <v>3164</v>
      </c>
      <c r="L769" s="16"/>
      <c r="M769" s="19"/>
      <c r="N769" s="16"/>
      <c r="O769" s="16"/>
      <c r="P769" s="16"/>
    </row>
    <row r="770" ht="22.5" customHeight="1">
      <c r="A770" s="138" t="s">
        <v>74</v>
      </c>
      <c r="B770" s="16" t="str">
        <f>IF(A770="","",IFERROR(VLOOKUP(A770, Stock_New!A:M, 2, FALSE),""))</f>
        <v>سيلفرات</v>
      </c>
      <c r="C770" s="236">
        <v>3.0</v>
      </c>
      <c r="D770" s="16" t="str">
        <f>IF(A770="","",IFERROR(VLOOKUP(A770, Stock_New!A:M, 3, FALSE),""))</f>
        <v>ذكريا</v>
      </c>
      <c r="E770" s="16">
        <f>IF($A770="", "", IFERROR(VLOOKUP($A770, Stock_New!$A:$M, 6, FALSE), ""))</f>
        <v>144</v>
      </c>
      <c r="F770" s="239">
        <v>150.0</v>
      </c>
      <c r="G770" s="15"/>
      <c r="H770" s="33">
        <v>450.0</v>
      </c>
      <c r="I770" s="238">
        <v>46097.0</v>
      </c>
      <c r="J770" s="5" t="s">
        <v>72</v>
      </c>
      <c r="K770" s="5" t="s">
        <v>3165</v>
      </c>
      <c r="L770" s="16"/>
      <c r="M770" s="19"/>
      <c r="N770" s="16"/>
      <c r="O770" s="16"/>
      <c r="P770" s="16"/>
    </row>
    <row r="771" ht="22.5" customHeight="1">
      <c r="A771" s="138" t="s">
        <v>963</v>
      </c>
      <c r="B771" s="16" t="str">
        <f>IF(A771="","",IFERROR(VLOOKUP(A771, Stock_New!A:M, 2, FALSE),""))</f>
        <v>بوكيه</v>
      </c>
      <c r="C771" s="236">
        <v>1.0</v>
      </c>
      <c r="D771" s="16" t="str">
        <f>IF(A771="","",IFERROR(VLOOKUP(A771, Stock_New!A:M, 3, FALSE),""))</f>
        <v>manufactured</v>
      </c>
      <c r="E771" s="16">
        <f>IF($A771="", "", IFERROR(VLOOKUP($A771, Stock_New!$A:$M, 6, FALSE), ""))</f>
        <v>19.3125</v>
      </c>
      <c r="F771" s="239">
        <v>40.0</v>
      </c>
      <c r="G771" s="15"/>
      <c r="H771" s="33">
        <v>40.0</v>
      </c>
      <c r="I771" s="238">
        <v>46097.0</v>
      </c>
      <c r="J771" s="5" t="s">
        <v>72</v>
      </c>
      <c r="K771" s="5" t="s">
        <v>3166</v>
      </c>
      <c r="L771" s="16"/>
      <c r="M771" s="19"/>
      <c r="N771" s="16"/>
      <c r="O771" s="16"/>
      <c r="P771" s="16"/>
    </row>
    <row r="772" ht="22.5" customHeight="1">
      <c r="A772" s="138" t="s">
        <v>77</v>
      </c>
      <c r="B772" s="16" t="str">
        <f>IF(A772="","",IFERROR(VLOOKUP(A772, Stock_New!A:M, 2, FALSE),""))</f>
        <v>شجر</v>
      </c>
      <c r="C772" s="236">
        <v>1.0</v>
      </c>
      <c r="D772" s="16" t="str">
        <f>IF(A772="","",IFERROR(VLOOKUP(A772, Stock_New!A:M, 3, FALSE),""))</f>
        <v>manufactured</v>
      </c>
      <c r="E772" s="16">
        <f>IF($A772="", "", IFERROR(VLOOKUP($A772, Stock_New!$A:$M, 6, FALSE), ""))</f>
        <v>378</v>
      </c>
      <c r="F772" s="239">
        <v>420.0</v>
      </c>
      <c r="G772" s="15"/>
      <c r="H772" s="33">
        <v>420.0</v>
      </c>
      <c r="I772" s="238">
        <v>46097.0</v>
      </c>
      <c r="J772" s="5" t="s">
        <v>72</v>
      </c>
      <c r="K772" s="5" t="s">
        <v>3167</v>
      </c>
      <c r="L772" s="16"/>
      <c r="M772" s="19"/>
      <c r="N772" s="16"/>
      <c r="O772" s="16"/>
      <c r="P772" s="16"/>
    </row>
    <row r="773" ht="22.5" customHeight="1">
      <c r="A773" s="138" t="s">
        <v>702</v>
      </c>
      <c r="B773" s="16" t="str">
        <f>IF(A773="","",IFERROR(VLOOKUP(A773, Stock_New!A:M, 2, FALSE),""))</f>
        <v/>
      </c>
      <c r="C773" s="236">
        <v>2.0</v>
      </c>
      <c r="D773" s="16" t="str">
        <f>IF(A773="","",IFERROR(VLOOKUP(A773, Stock_New!A:M, 3, FALSE),""))</f>
        <v/>
      </c>
      <c r="E773" s="16" t="str">
        <f>IF($A773="", "", IFERROR(VLOOKUP($A773, Stock_New!$A:$M, 6, FALSE), ""))</f>
        <v/>
      </c>
      <c r="F773" s="239">
        <v>70.0</v>
      </c>
      <c r="G773" s="15"/>
      <c r="H773" s="33">
        <v>140.0</v>
      </c>
      <c r="I773" s="238">
        <v>46097.0</v>
      </c>
      <c r="J773" s="5" t="s">
        <v>72</v>
      </c>
      <c r="K773" s="5" t="s">
        <v>3216</v>
      </c>
      <c r="L773" s="16"/>
      <c r="M773" s="19"/>
      <c r="N773" s="16"/>
      <c r="O773" s="16"/>
      <c r="P773" s="16"/>
    </row>
    <row r="774" ht="22.5" customHeight="1">
      <c r="A774" s="138" t="s">
        <v>1049</v>
      </c>
      <c r="B774" s="16" t="str">
        <f>IF(A774="","",IFERROR(VLOOKUP(A774, Stock_New!A:M, 2, FALSE),""))</f>
        <v>بورسلين</v>
      </c>
      <c r="C774" s="236">
        <v>1.0</v>
      </c>
      <c r="D774" s="16" t="str">
        <f>IF(A774="","",IFERROR(VLOOKUP(A774, Stock_New!A:M, 3, FALSE),""))</f>
        <v>شركة حسين علي</v>
      </c>
      <c r="E774" s="16">
        <f>IF($A774="", "", IFERROR(VLOOKUP($A774, Stock_New!$A:$M, 6, FALSE), ""))</f>
        <v>114</v>
      </c>
      <c r="F774" s="239">
        <v>140.0</v>
      </c>
      <c r="G774" s="15"/>
      <c r="H774" s="33">
        <v>140.0</v>
      </c>
      <c r="I774" s="238">
        <v>46097.0</v>
      </c>
      <c r="J774" s="5" t="s">
        <v>72</v>
      </c>
      <c r="K774" s="5" t="s">
        <v>3168</v>
      </c>
      <c r="L774" s="16"/>
      <c r="M774" s="19"/>
      <c r="N774" s="16"/>
      <c r="O774" s="16"/>
      <c r="P774" s="16"/>
    </row>
    <row r="775" ht="22.5" customHeight="1">
      <c r="A775" s="138" t="s">
        <v>577</v>
      </c>
      <c r="B775" s="16" t="str">
        <f>IF(A775="","",IFERROR(VLOOKUP(A775, Stock_New!A:M, 2, FALSE),""))</f>
        <v>شمع</v>
      </c>
      <c r="C775" s="236">
        <v>1.0</v>
      </c>
      <c r="D775" s="16" t="str">
        <f>IF(A775="","",IFERROR(VLOOKUP(A775, Stock_New!A:M, 3, FALSE),""))</f>
        <v>محمد رشدي</v>
      </c>
      <c r="E775" s="16">
        <f>IF($A775="", "", IFERROR(VLOOKUP($A775, Stock_New!$A:$M, 6, FALSE), ""))</f>
        <v>210</v>
      </c>
      <c r="F775" s="239">
        <v>275.0</v>
      </c>
      <c r="G775" s="15"/>
      <c r="H775" s="33">
        <v>275.0</v>
      </c>
      <c r="I775" s="238">
        <v>46097.0</v>
      </c>
      <c r="J775" s="5" t="s">
        <v>72</v>
      </c>
      <c r="K775" s="5" t="s">
        <v>3171</v>
      </c>
      <c r="L775" s="16"/>
      <c r="M775" s="19"/>
      <c r="N775" s="16"/>
      <c r="O775" s="16"/>
      <c r="P775" s="16"/>
    </row>
    <row r="776" ht="22.5" customHeight="1">
      <c r="A776" s="138" t="s">
        <v>1055</v>
      </c>
      <c r="B776" s="16" t="str">
        <f>IF(A776="","",IFERROR(VLOOKUP(A776, Stock_New!A:M, 2, FALSE),""))</f>
        <v>حجر</v>
      </c>
      <c r="C776" s="236">
        <v>5.0</v>
      </c>
      <c r="D776" s="16" t="str">
        <f>IF(A776="","",IFERROR(VLOOKUP(A776, Stock_New!A:M, 3, FALSE),""))</f>
        <v>محمد رشدي</v>
      </c>
      <c r="E776" s="16">
        <f>IF($A776="", "", IFERROR(VLOOKUP($A776, Stock_New!$A:$M, 6, FALSE), ""))</f>
        <v>15</v>
      </c>
      <c r="F776" s="239">
        <v>15.0</v>
      </c>
      <c r="G776" s="15"/>
      <c r="H776" s="33">
        <v>75.0</v>
      </c>
      <c r="I776" s="238">
        <v>46097.0</v>
      </c>
      <c r="J776" s="5" t="s">
        <v>72</v>
      </c>
      <c r="K776" s="5" t="s">
        <v>3175</v>
      </c>
      <c r="L776" s="16"/>
      <c r="M776" s="19"/>
      <c r="N776" s="16"/>
      <c r="O776" s="16"/>
      <c r="P776" s="16"/>
    </row>
    <row r="777" ht="22.5" customHeight="1">
      <c r="A777" s="138" t="s">
        <v>572</v>
      </c>
      <c r="B777" s="16" t="str">
        <f>IF(A777="","",IFERROR(VLOOKUP(A777, Stock_New!A:M, 2, FALSE),""))</f>
        <v>شمع</v>
      </c>
      <c r="C777" s="236">
        <v>1.0</v>
      </c>
      <c r="D777" s="16" t="str">
        <f>IF(A777="","",IFERROR(VLOOKUP(A777, Stock_New!A:M, 3, FALSE),""))</f>
        <v>سنتر محمد رشدي</v>
      </c>
      <c r="E777" s="16">
        <f>IF($A777="", "", IFERROR(VLOOKUP($A777, Stock_New!$A:$M, 6, FALSE), ""))</f>
        <v>5.25</v>
      </c>
      <c r="F777" s="239">
        <v>10.0</v>
      </c>
      <c r="G777" s="15"/>
      <c r="H777" s="33">
        <v>10.0</v>
      </c>
      <c r="I777" s="238">
        <v>46097.0</v>
      </c>
      <c r="J777" s="5" t="s">
        <v>72</v>
      </c>
      <c r="K777" s="5" t="s">
        <v>3181</v>
      </c>
      <c r="L777" s="16"/>
      <c r="M777" s="19"/>
      <c r="N777" s="16"/>
      <c r="O777" s="16"/>
      <c r="P777" s="16"/>
    </row>
    <row r="778" ht="22.5" customHeight="1">
      <c r="A778" s="138" t="s">
        <v>144</v>
      </c>
      <c r="B778" s="16" t="str">
        <f>IF(A778="","",IFERROR(VLOOKUP(A778, Stock_New!A:M, 2, FALSE),""))</f>
        <v>كهربائيات</v>
      </c>
      <c r="C778" s="236">
        <v>2.0</v>
      </c>
      <c r="D778" s="16" t="str">
        <f>IF(A778="","",IFERROR(VLOOKUP(A778, Stock_New!A:M, 3, FALSE),""))</f>
        <v>شركة البطل</v>
      </c>
      <c r="E778" s="16">
        <f>IF($A778="", "", IFERROR(VLOOKUP($A778, Stock_New!$A:$M, 6, FALSE), ""))</f>
        <v>144</v>
      </c>
      <c r="F778" s="239">
        <v>165.0</v>
      </c>
      <c r="G778" s="15"/>
      <c r="H778" s="33">
        <v>330.0</v>
      </c>
      <c r="I778" s="238">
        <v>46097.0</v>
      </c>
      <c r="J778" s="5" t="s">
        <v>72</v>
      </c>
      <c r="K778" s="5" t="s">
        <v>3184</v>
      </c>
      <c r="L778" s="16"/>
      <c r="M778" s="19"/>
      <c r="N778" s="16"/>
      <c r="O778" s="16"/>
      <c r="P778" s="16"/>
    </row>
    <row r="779" ht="22.5" customHeight="1">
      <c r="A779" s="138" t="s">
        <v>79</v>
      </c>
      <c r="B779" s="16" t="str">
        <f>IF(A779="","",IFERROR(VLOOKUP(A779, Stock_New!A:M, 2, FALSE),""))</f>
        <v>خزف</v>
      </c>
      <c r="C779" s="236">
        <v>1.0</v>
      </c>
      <c r="D779" s="16" t="str">
        <f>IF(A779="","",IFERROR(VLOOKUP(A779, Stock_New!A:M, 3, FALSE),""))</f>
        <v>ذكريا</v>
      </c>
      <c r="E779" s="16">
        <f>IF($A779="", "", IFERROR(VLOOKUP($A779, Stock_New!$A:$M, 6, FALSE), ""))</f>
        <v>72</v>
      </c>
      <c r="F779" s="239">
        <v>85.0</v>
      </c>
      <c r="G779" s="15"/>
      <c r="H779" s="33">
        <v>85.0</v>
      </c>
      <c r="I779" s="238">
        <v>46097.0</v>
      </c>
      <c r="J779" s="5" t="s">
        <v>72</v>
      </c>
      <c r="K779" s="5" t="s">
        <v>3186</v>
      </c>
      <c r="L779" s="16"/>
      <c r="M779" s="19"/>
      <c r="N779" s="16"/>
      <c r="O779" s="16"/>
      <c r="P779" s="16"/>
    </row>
    <row r="780" ht="22.5" customHeight="1">
      <c r="A780" s="138" t="s">
        <v>868</v>
      </c>
      <c r="B780" s="16" t="str">
        <f>IF(A780="","",IFERROR(VLOOKUP(A780, Stock_New!A:M, 2, FALSE),""))</f>
        <v>كهربائيات</v>
      </c>
      <c r="C780" s="236">
        <v>1.0</v>
      </c>
      <c r="D780" s="16" t="str">
        <f>IF(A780="","",IFERROR(VLOOKUP(A780, Stock_New!A:M, 3, FALSE),""))</f>
        <v>سنتر محمد رشدي</v>
      </c>
      <c r="E780" s="16">
        <f>IF($A780="", "", IFERROR(VLOOKUP($A780, Stock_New!$A:$M, 6, FALSE), ""))</f>
        <v>150</v>
      </c>
      <c r="F780" s="239">
        <v>165.0</v>
      </c>
      <c r="G780" s="15"/>
      <c r="H780" s="33">
        <v>165.0</v>
      </c>
      <c r="I780" s="238">
        <v>46097.0</v>
      </c>
      <c r="J780" s="5" t="s">
        <v>72</v>
      </c>
      <c r="K780" s="5" t="s">
        <v>3188</v>
      </c>
      <c r="L780" s="16"/>
      <c r="M780" s="19"/>
      <c r="N780" s="16"/>
      <c r="O780" s="16"/>
      <c r="P780" s="16"/>
    </row>
    <row r="781" ht="22.5" customHeight="1">
      <c r="A781" s="138" t="s">
        <v>144</v>
      </c>
      <c r="B781" s="16" t="str">
        <f>IF(A781="","",IFERROR(VLOOKUP(A781, Stock_New!A:M, 2, FALSE),""))</f>
        <v>كهربائيات</v>
      </c>
      <c r="C781" s="236">
        <v>1.0</v>
      </c>
      <c r="D781" s="16" t="str">
        <f>IF(A781="","",IFERROR(VLOOKUP(A781, Stock_New!A:M, 3, FALSE),""))</f>
        <v>شركة البطل</v>
      </c>
      <c r="E781" s="16">
        <f>IF($A781="", "", IFERROR(VLOOKUP($A781, Stock_New!$A:$M, 6, FALSE), ""))</f>
        <v>144</v>
      </c>
      <c r="F781" s="239">
        <v>165.0</v>
      </c>
      <c r="G781" s="15"/>
      <c r="H781" s="33">
        <v>165.0</v>
      </c>
      <c r="I781" s="238">
        <v>46097.0</v>
      </c>
      <c r="J781" s="5" t="s">
        <v>72</v>
      </c>
      <c r="K781" s="5" t="s">
        <v>3192</v>
      </c>
      <c r="L781" s="16"/>
      <c r="M781" s="19"/>
      <c r="N781" s="16"/>
      <c r="O781" s="16"/>
      <c r="P781" s="16"/>
    </row>
    <row r="782" ht="22.5" customHeight="1">
      <c r="A782" s="138" t="s">
        <v>289</v>
      </c>
      <c r="B782" s="16" t="str">
        <f>IF(A782="","",IFERROR(VLOOKUP(A782, Stock_New!A:M, 2, FALSE),""))</f>
        <v>بوكيه</v>
      </c>
      <c r="C782" s="236">
        <v>1.0</v>
      </c>
      <c r="D782" s="16" t="str">
        <f>IF(A782="","",IFERROR(VLOOKUP(A782, Stock_New!A:M, 3, FALSE),""))</f>
        <v>manufactured</v>
      </c>
      <c r="E782" s="16">
        <f>IF($A782="", "", IFERROR(VLOOKUP($A782, Stock_New!$A:$M, 6, FALSE), ""))</f>
        <v>108.2857143</v>
      </c>
      <c r="F782" s="239">
        <v>200.0</v>
      </c>
      <c r="G782" s="15"/>
      <c r="H782" s="33">
        <v>200.0</v>
      </c>
      <c r="I782" s="238">
        <v>46097.0</v>
      </c>
      <c r="J782" s="5" t="s">
        <v>72</v>
      </c>
      <c r="K782" s="5" t="s">
        <v>3194</v>
      </c>
      <c r="L782" s="16"/>
      <c r="M782" s="19"/>
      <c r="N782" s="16"/>
      <c r="O782" s="16"/>
      <c r="P782" s="16"/>
    </row>
    <row r="783" ht="22.5" customHeight="1">
      <c r="A783" s="138" t="s">
        <v>268</v>
      </c>
      <c r="B783" s="16" t="str">
        <f>IF(A783="","",IFERROR(VLOOKUP(A783, Stock_New!A:M, 2, FALSE),""))</f>
        <v>سيلفرات</v>
      </c>
      <c r="C783" s="236">
        <v>1.0</v>
      </c>
      <c r="D783" s="16" t="str">
        <f>IF(A783="","",IFERROR(VLOOKUP(A783, Stock_New!A:M, 3, FALSE),""))</f>
        <v>شركة حسين علي</v>
      </c>
      <c r="E783" s="16">
        <f>IF($A783="", "", IFERROR(VLOOKUP($A783, Stock_New!$A:$M, 6, FALSE), ""))</f>
        <v>214.5</v>
      </c>
      <c r="F783" s="239">
        <v>250.0</v>
      </c>
      <c r="G783" s="15"/>
      <c r="H783" s="33">
        <v>250.0</v>
      </c>
      <c r="I783" s="238">
        <v>46097.0</v>
      </c>
      <c r="J783" s="5" t="s">
        <v>72</v>
      </c>
      <c r="K783" s="5" t="s">
        <v>3198</v>
      </c>
      <c r="L783" s="16"/>
      <c r="M783" s="19"/>
      <c r="N783" s="16"/>
      <c r="O783" s="16"/>
      <c r="P783" s="16"/>
    </row>
    <row r="784" ht="22.5" customHeight="1">
      <c r="A784" s="138" t="s">
        <v>462</v>
      </c>
      <c r="B784" s="16" t="str">
        <f>IF(A784="","",IFERROR(VLOOKUP(A784, Stock_New!A:M, 2, FALSE),""))</f>
        <v>شجر</v>
      </c>
      <c r="C784" s="236">
        <v>1.0</v>
      </c>
      <c r="D784" s="16" t="str">
        <f>IF(A784="","",IFERROR(VLOOKUP(A784, Stock_New!A:M, 3, FALSE),""))</f>
        <v>شركة حسين علي</v>
      </c>
      <c r="E784" s="16">
        <f>IF($A784="", "", IFERROR(VLOOKUP($A784, Stock_New!$A:$M, 6, FALSE), ""))</f>
        <v>252</v>
      </c>
      <c r="F784" s="239">
        <v>250.0</v>
      </c>
      <c r="G784" s="15"/>
      <c r="H784" s="33">
        <v>250.0</v>
      </c>
      <c r="I784" s="238">
        <v>46097.0</v>
      </c>
      <c r="J784" s="5" t="s">
        <v>72</v>
      </c>
      <c r="K784" s="5" t="s">
        <v>3200</v>
      </c>
      <c r="L784" s="16"/>
      <c r="M784" s="19"/>
      <c r="N784" s="16"/>
      <c r="O784" s="16"/>
      <c r="P784" s="16"/>
    </row>
    <row r="785" ht="22.5" customHeight="1">
      <c r="A785" s="138" t="s">
        <v>91</v>
      </c>
      <c r="B785" s="16" t="str">
        <f>IF(A785="","",IFERROR(VLOOKUP(A785, Stock_New!A:M, 2, FALSE),""))</f>
        <v>بوتات</v>
      </c>
      <c r="C785" s="236">
        <v>1.0</v>
      </c>
      <c r="D785" s="16" t="str">
        <f>IF(A785="","",IFERROR(VLOOKUP(A785, Stock_New!A:M, 3, FALSE),""))</f>
        <v>عبدالفتاح</v>
      </c>
      <c r="E785" s="16">
        <f>IF($A785="", "", IFERROR(VLOOKUP($A785, Stock_New!$A:$M, 6, FALSE), ""))</f>
        <v>42</v>
      </c>
      <c r="F785" s="239">
        <v>40.0</v>
      </c>
      <c r="G785" s="15"/>
      <c r="H785" s="33">
        <v>40.0</v>
      </c>
      <c r="I785" s="238">
        <v>46097.0</v>
      </c>
      <c r="J785" s="5" t="s">
        <v>72</v>
      </c>
      <c r="K785" s="5" t="s">
        <v>3204</v>
      </c>
      <c r="L785" s="16"/>
      <c r="M785" s="19"/>
      <c r="N785" s="16"/>
      <c r="O785" s="16"/>
      <c r="P785" s="16"/>
    </row>
    <row r="786" ht="22.5" customHeight="1">
      <c r="A786" s="138" t="s">
        <v>933</v>
      </c>
      <c r="B786" s="16" t="str">
        <f>IF(A786="","",IFERROR(VLOOKUP(A786, Stock_New!A:M, 2, FALSE),""))</f>
        <v>بوتات</v>
      </c>
      <c r="C786" s="236">
        <v>1.0</v>
      </c>
      <c r="D786" s="16" t="str">
        <f>IF(A786="","",IFERROR(VLOOKUP(A786, Stock_New!A:M, 3, FALSE),""))</f>
        <v>عبدالفتاح</v>
      </c>
      <c r="E786" s="16">
        <f>IF($A786="", "", IFERROR(VLOOKUP($A786, Stock_New!$A:$M, 6, FALSE), ""))</f>
        <v>12</v>
      </c>
      <c r="F786" s="239">
        <v>10.0</v>
      </c>
      <c r="G786" s="15"/>
      <c r="H786" s="33">
        <v>10.0</v>
      </c>
      <c r="I786" s="238">
        <v>46097.0</v>
      </c>
      <c r="J786" s="5" t="s">
        <v>72</v>
      </c>
      <c r="K786" s="5" t="s">
        <v>3206</v>
      </c>
      <c r="L786" s="16"/>
      <c r="M786" s="19"/>
      <c r="N786" s="16"/>
      <c r="O786" s="16"/>
      <c r="P786" s="16"/>
    </row>
    <row r="787" ht="22.5" customHeight="1">
      <c r="A787" s="138" t="s">
        <v>48</v>
      </c>
      <c r="B787" s="16" t="str">
        <f>IF(A787="","",IFERROR(VLOOKUP(A787, Stock_New!A:M, 2, FALSE),""))</f>
        <v>بوكيه</v>
      </c>
      <c r="C787" s="236">
        <v>2.0</v>
      </c>
      <c r="D787" s="16" t="str">
        <f>IF(A787="","",IFERROR(VLOOKUP(A787, Stock_New!A:M, 3, FALSE),""))</f>
        <v>ذكريا</v>
      </c>
      <c r="E787" s="16">
        <f>IF($A787="", "", IFERROR(VLOOKUP($A787, Stock_New!$A:$M, 6, FALSE), ""))</f>
        <v>44.4</v>
      </c>
      <c r="F787" s="239">
        <v>50.0</v>
      </c>
      <c r="G787" s="15"/>
      <c r="H787" s="33">
        <v>100.0</v>
      </c>
      <c r="I787" s="238">
        <v>46097.0</v>
      </c>
      <c r="J787" s="5" t="s">
        <v>72</v>
      </c>
      <c r="K787" s="5" t="s">
        <v>3207</v>
      </c>
      <c r="L787" s="16"/>
      <c r="M787" s="19"/>
      <c r="N787" s="16"/>
      <c r="O787" s="16"/>
      <c r="P787" s="16"/>
    </row>
    <row r="788" ht="22.5" customHeight="1">
      <c r="A788" s="138" t="s">
        <v>693</v>
      </c>
      <c r="B788" s="16" t="str">
        <f>IF(A788="","",IFERROR(VLOOKUP(A788, Stock_New!A:M, 2, FALSE),""))</f>
        <v>كهربائيات</v>
      </c>
      <c r="C788" s="236">
        <v>1.0</v>
      </c>
      <c r="D788" s="16" t="str">
        <f>IF(A788="","",IFERROR(VLOOKUP(A788, Stock_New!A:M, 3, FALSE),""))</f>
        <v>سنتر محمد رشدي</v>
      </c>
      <c r="E788" s="16">
        <f>IF($A788="", "", IFERROR(VLOOKUP($A788, Stock_New!$A:$M, 6, FALSE), ""))</f>
        <v>192</v>
      </c>
      <c r="F788" s="239">
        <v>195.0</v>
      </c>
      <c r="G788" s="15"/>
      <c r="H788" s="33">
        <v>195.0</v>
      </c>
      <c r="I788" s="238">
        <v>46097.0</v>
      </c>
      <c r="J788" s="5" t="s">
        <v>72</v>
      </c>
      <c r="K788" s="5" t="s">
        <v>3209</v>
      </c>
      <c r="L788" s="16"/>
      <c r="M788" s="19"/>
      <c r="N788" s="16"/>
      <c r="O788" s="16"/>
      <c r="P788" s="16"/>
    </row>
    <row r="789" ht="22.5" customHeight="1">
      <c r="A789" s="138" t="s">
        <v>559</v>
      </c>
      <c r="B789" s="16" t="str">
        <f>IF(A789="","",IFERROR(VLOOKUP(A789, Stock_New!A:M, 2, FALSE),""))</f>
        <v>مقزمات</v>
      </c>
      <c r="C789" s="236">
        <v>2.0</v>
      </c>
      <c r="D789" s="16" t="str">
        <f>IF(A789="","",IFERROR(VLOOKUP(A789, Stock_New!A:M, 3, FALSE),""))</f>
        <v>manufactured</v>
      </c>
      <c r="E789" s="16">
        <f>IF($A789="", "", IFERROR(VLOOKUP($A789, Stock_New!$A:$M, 6, FALSE), ""))</f>
        <v>38.8</v>
      </c>
      <c r="F789" s="239">
        <v>50.0</v>
      </c>
      <c r="G789" s="15"/>
      <c r="H789" s="33">
        <v>100.0</v>
      </c>
      <c r="I789" s="238">
        <v>46097.0</v>
      </c>
      <c r="J789" s="5" t="s">
        <v>72</v>
      </c>
      <c r="K789" s="5" t="s">
        <v>3211</v>
      </c>
      <c r="L789" s="16"/>
      <c r="M789" s="19"/>
      <c r="N789" s="16"/>
      <c r="O789" s="16"/>
      <c r="P789" s="16"/>
    </row>
    <row r="790" ht="22.5" customHeight="1">
      <c r="A790" s="138" t="s">
        <v>567</v>
      </c>
      <c r="B790" s="16" t="str">
        <f>IF(A790="","",IFERROR(VLOOKUP(A790, Stock_New!A:M, 2, FALSE),""))</f>
        <v>شمع</v>
      </c>
      <c r="C790" s="236">
        <v>1.0</v>
      </c>
      <c r="D790" s="16" t="str">
        <f>IF(A790="","",IFERROR(VLOOKUP(A790, Stock_New!A:M, 3, FALSE),""))</f>
        <v>سنتر محمد رشدي</v>
      </c>
      <c r="E790" s="16">
        <f>IF($A790="", "", IFERROR(VLOOKUP($A790, Stock_New!$A:$M, 6, FALSE), ""))</f>
        <v>61.2</v>
      </c>
      <c r="F790" s="239">
        <v>75.0</v>
      </c>
      <c r="G790" s="15"/>
      <c r="H790" s="33">
        <v>75.0</v>
      </c>
      <c r="I790" s="238">
        <v>46097.0</v>
      </c>
      <c r="J790" s="5" t="s">
        <v>72</v>
      </c>
      <c r="K790" s="5" t="s">
        <v>3213</v>
      </c>
      <c r="L790" s="16"/>
      <c r="M790" s="19"/>
      <c r="N790" s="16"/>
      <c r="O790" s="16"/>
      <c r="P790" s="16"/>
    </row>
    <row r="791" ht="22.5" customHeight="1">
      <c r="A791" s="138" t="s">
        <v>540</v>
      </c>
      <c r="B791" s="16" t="str">
        <f>IF(A791="","",IFERROR(VLOOKUP(A791, Stock_New!A:M, 2, FALSE),""))</f>
        <v>شمع</v>
      </c>
      <c r="C791" s="236">
        <v>2.0</v>
      </c>
      <c r="D791" s="16" t="str">
        <f>IF(A791="","",IFERROR(VLOOKUP(A791, Stock_New!A:M, 3, FALSE),""))</f>
        <v>سنتر محمد رشدي</v>
      </c>
      <c r="E791" s="16">
        <f>IF($A791="", "", IFERROR(VLOOKUP($A791, Stock_New!$A:$M, 6, FALSE), ""))</f>
        <v>13.36</v>
      </c>
      <c r="F791" s="239">
        <v>20.0</v>
      </c>
      <c r="G791" s="15"/>
      <c r="H791" s="33">
        <v>40.0</v>
      </c>
      <c r="I791" s="238">
        <v>46097.0</v>
      </c>
      <c r="J791" s="5" t="s">
        <v>72</v>
      </c>
      <c r="K791" s="5" t="s">
        <v>3215</v>
      </c>
      <c r="L791" s="16"/>
      <c r="M791" s="19"/>
      <c r="N791" s="16"/>
      <c r="O791" s="16"/>
      <c r="P791" s="16"/>
    </row>
    <row r="792" ht="22.5" customHeight="1">
      <c r="A792" s="138" t="s">
        <v>946</v>
      </c>
      <c r="B792" s="16" t="str">
        <f>IF(A792="","",IFERROR(VLOOKUP(A792, Stock_New!A:M, 2, FALSE),""))</f>
        <v>ورد لوحد</v>
      </c>
      <c r="C792" s="236">
        <v>1.0</v>
      </c>
      <c r="D792" s="16" t="str">
        <f>IF(A792="","",IFERROR(VLOOKUP(A792, Stock_New!A:M, 3, FALSE),""))</f>
        <v>شركة الفرسان</v>
      </c>
      <c r="E792" s="16">
        <f>IF($A792="", "", IFERROR(VLOOKUP($A792, Stock_New!$A:$M, 6, FALSE), ""))</f>
        <v>90</v>
      </c>
      <c r="F792" s="239">
        <v>100.0</v>
      </c>
      <c r="G792" s="15"/>
      <c r="H792" s="33">
        <v>100.0</v>
      </c>
      <c r="I792" s="238">
        <v>46097.0</v>
      </c>
      <c r="J792" s="5" t="s">
        <v>72</v>
      </c>
      <c r="K792" s="5" t="s">
        <v>3218</v>
      </c>
      <c r="L792" s="16"/>
      <c r="M792" s="19"/>
      <c r="N792" s="16"/>
      <c r="O792" s="16"/>
      <c r="P792" s="16"/>
    </row>
    <row r="793" ht="22.5" customHeight="1">
      <c r="A793" s="138" t="s">
        <v>554</v>
      </c>
      <c r="B793" s="16" t="str">
        <f>IF(A793="","",IFERROR(VLOOKUP(A793, Stock_New!A:M, 2, FALSE),""))</f>
        <v>مقزمات</v>
      </c>
      <c r="C793" s="236">
        <v>2.0</v>
      </c>
      <c r="D793" s="16" t="str">
        <f>IF(A793="","",IFERROR(VLOOKUP(A793, Stock_New!A:M, 3, FALSE),""))</f>
        <v>manufactured</v>
      </c>
      <c r="E793" s="16">
        <f>IF($A793="", "", IFERROR(VLOOKUP($A793, Stock_New!$A:$M, 6, FALSE), ""))</f>
        <v>27.86666667</v>
      </c>
      <c r="F793" s="239">
        <v>40.0</v>
      </c>
      <c r="G793" s="15"/>
      <c r="H793" s="33">
        <v>80.0</v>
      </c>
      <c r="I793" s="238">
        <v>46097.0</v>
      </c>
      <c r="J793" s="5" t="s">
        <v>72</v>
      </c>
      <c r="K793" s="5" t="s">
        <v>3220</v>
      </c>
      <c r="L793" s="16"/>
      <c r="M793" s="19"/>
      <c r="N793" s="16"/>
      <c r="O793" s="16"/>
      <c r="P793" s="16"/>
    </row>
    <row r="794" ht="22.5" customHeight="1">
      <c r="A794" s="138" t="s">
        <v>416</v>
      </c>
      <c r="B794" s="16" t="str">
        <f>IF(A794="","",IFERROR(VLOOKUP(A794, Stock_New!A:M, 2, FALSE),""))</f>
        <v>ورد لوحده</v>
      </c>
      <c r="C794" s="236">
        <v>1.0</v>
      </c>
      <c r="D794" s="16" t="str">
        <f>IF(A794="","",IFERROR(VLOOKUP(A794, Stock_New!A:M, 3, FALSE),""))</f>
        <v>ذكريا</v>
      </c>
      <c r="E794" s="16">
        <f>IF($A794="", "", IFERROR(VLOOKUP($A794, Stock_New!$A:$M, 6, FALSE), ""))</f>
        <v>36</v>
      </c>
      <c r="F794" s="239">
        <v>60.0</v>
      </c>
      <c r="G794" s="15"/>
      <c r="H794" s="33">
        <v>60.0</v>
      </c>
      <c r="I794" s="238">
        <v>46097.0</v>
      </c>
      <c r="J794" s="5" t="s">
        <v>72</v>
      </c>
      <c r="K794" s="5" t="s">
        <v>3222</v>
      </c>
      <c r="L794" s="16"/>
      <c r="M794" s="19"/>
      <c r="N794" s="16"/>
      <c r="O794" s="16"/>
      <c r="P794" s="16"/>
    </row>
    <row r="795" ht="22.5" customHeight="1">
      <c r="A795" s="138" t="s">
        <v>812</v>
      </c>
      <c r="B795" s="16" t="str">
        <f>IF(A795="","",IFERROR(VLOOKUP(A795, Stock_New!A:M, 2, FALSE),""))</f>
        <v/>
      </c>
      <c r="C795" s="236">
        <v>2.0</v>
      </c>
      <c r="D795" s="16" t="str">
        <f>IF(A795="","",IFERROR(VLOOKUP(A795, Stock_New!A:M, 3, FALSE),""))</f>
        <v/>
      </c>
      <c r="E795" s="16" t="str">
        <f>IF($A795="", "", IFERROR(VLOOKUP($A795, Stock_New!$A:$M, 6, FALSE), ""))</f>
        <v/>
      </c>
      <c r="F795" s="239">
        <v>20.0</v>
      </c>
      <c r="G795" s="15"/>
      <c r="H795" s="33">
        <v>40.0</v>
      </c>
      <c r="I795" s="238">
        <v>46097.0</v>
      </c>
      <c r="J795" s="5" t="s">
        <v>72</v>
      </c>
      <c r="K795" s="5" t="s">
        <v>3224</v>
      </c>
      <c r="L795" s="16"/>
      <c r="M795" s="19"/>
      <c r="N795" s="16"/>
      <c r="O795" s="16"/>
      <c r="P795" s="16"/>
    </row>
    <row r="796" ht="22.5" customHeight="1">
      <c r="A796" s="138" t="s">
        <v>255</v>
      </c>
      <c r="B796" s="16" t="str">
        <f>IF(A796="","",IFERROR(VLOOKUP(A796, Stock_New!A:M, 2, FALSE),""))</f>
        <v>بوتات</v>
      </c>
      <c r="C796" s="236">
        <v>1.0</v>
      </c>
      <c r="D796" s="16" t="str">
        <f>IF(A796="","",IFERROR(VLOOKUP(A796, Stock_New!A:M, 3, FALSE),""))</f>
        <v>manufactured</v>
      </c>
      <c r="E796" s="16">
        <f>IF($A796="", "", IFERROR(VLOOKUP($A796, Stock_New!$A:$M, 6, FALSE), ""))</f>
        <v>27.3</v>
      </c>
      <c r="F796" s="239">
        <v>50.0</v>
      </c>
      <c r="G796" s="15"/>
      <c r="H796" s="33">
        <v>50.0</v>
      </c>
      <c r="I796" s="238">
        <v>46097.0</v>
      </c>
      <c r="J796" s="5" t="s">
        <v>72</v>
      </c>
      <c r="K796" s="5" t="s">
        <v>3226</v>
      </c>
      <c r="L796" s="16"/>
      <c r="M796" s="19"/>
      <c r="N796" s="16"/>
      <c r="O796" s="16"/>
      <c r="P796" s="16"/>
    </row>
    <row r="797" ht="22.5" customHeight="1">
      <c r="A797" s="138" t="s">
        <v>91</v>
      </c>
      <c r="B797" s="16" t="str">
        <f>IF(A797="","",IFERROR(VLOOKUP(A797, Stock_New!A:M, 2, FALSE),""))</f>
        <v>بوتات</v>
      </c>
      <c r="C797" s="236">
        <v>2.0</v>
      </c>
      <c r="D797" s="16" t="str">
        <f>IF(A797="","",IFERROR(VLOOKUP(A797, Stock_New!A:M, 3, FALSE),""))</f>
        <v>عبدالفتاح</v>
      </c>
      <c r="E797" s="16">
        <f>IF($A797="", "", IFERROR(VLOOKUP($A797, Stock_New!$A:$M, 6, FALSE), ""))</f>
        <v>42</v>
      </c>
      <c r="F797" s="239">
        <v>50.0</v>
      </c>
      <c r="G797" s="15"/>
      <c r="H797" s="33">
        <v>100.0</v>
      </c>
      <c r="I797" s="238">
        <v>46097.0</v>
      </c>
      <c r="J797" s="5" t="s">
        <v>72</v>
      </c>
      <c r="K797" s="5" t="s">
        <v>3228</v>
      </c>
      <c r="L797" s="16"/>
      <c r="M797" s="19"/>
      <c r="N797" s="16"/>
      <c r="O797" s="16"/>
      <c r="P797" s="16"/>
    </row>
    <row r="798" ht="22.5" customHeight="1">
      <c r="A798" s="138" t="s">
        <v>144</v>
      </c>
      <c r="B798" s="16" t="str">
        <f>IF(A798="","",IFERROR(VLOOKUP(A798, Stock_New!A:M, 2, FALSE),""))</f>
        <v>كهربائيات</v>
      </c>
      <c r="C798" s="236">
        <v>1.0</v>
      </c>
      <c r="D798" s="16" t="str">
        <f>IF(A798="","",IFERROR(VLOOKUP(A798, Stock_New!A:M, 3, FALSE),""))</f>
        <v>شركة البطل</v>
      </c>
      <c r="E798" s="16">
        <f>IF($A798="", "", IFERROR(VLOOKUP($A798, Stock_New!$A:$M, 6, FALSE), ""))</f>
        <v>144</v>
      </c>
      <c r="F798" s="239">
        <v>170.0</v>
      </c>
      <c r="G798" s="15"/>
      <c r="H798" s="33">
        <v>170.0</v>
      </c>
      <c r="I798" s="238">
        <v>46097.0</v>
      </c>
      <c r="J798" s="5" t="s">
        <v>72</v>
      </c>
      <c r="K798" s="5" t="s">
        <v>3230</v>
      </c>
      <c r="L798" s="16"/>
      <c r="M798" s="19"/>
      <c r="N798" s="16"/>
      <c r="O798" s="16"/>
      <c r="P798" s="16"/>
    </row>
    <row r="799" ht="22.5" customHeight="1">
      <c r="A799" s="138" t="s">
        <v>1021</v>
      </c>
      <c r="B799" s="16" t="str">
        <f>IF(A799="","",IFERROR(VLOOKUP(A799, Stock_New!A:M, 2, FALSE),""))</f>
        <v>العاب</v>
      </c>
      <c r="C799" s="236">
        <v>1.0</v>
      </c>
      <c r="D799" s="16" t="str">
        <f>IF(A799="","",IFERROR(VLOOKUP(A799, Stock_New!A:M, 3, FALSE),""))</f>
        <v>محمد رشدي</v>
      </c>
      <c r="E799" s="16">
        <f>IF($A799="", "", IFERROR(VLOOKUP($A799, Stock_New!$A:$M, 6, FALSE), ""))</f>
        <v>138</v>
      </c>
      <c r="F799" s="239">
        <v>170.0</v>
      </c>
      <c r="G799" s="15"/>
      <c r="H799" s="33">
        <v>170.0</v>
      </c>
      <c r="I799" s="238">
        <v>46097.0</v>
      </c>
      <c r="J799" s="5" t="s">
        <v>72</v>
      </c>
      <c r="K799" s="5" t="s">
        <v>3232</v>
      </c>
      <c r="L799" s="16"/>
      <c r="M799" s="19"/>
      <c r="N799" s="16"/>
      <c r="O799" s="16"/>
      <c r="P799" s="16"/>
    </row>
    <row r="800" ht="22.5" customHeight="1">
      <c r="A800" s="138" t="s">
        <v>177</v>
      </c>
      <c r="B800" s="16" t="str">
        <f>IF(A800="","",IFERROR(VLOOKUP(A800, Stock_New!A:M, 2, FALSE),""))</f>
        <v>بورسلين</v>
      </c>
      <c r="C800" s="236">
        <v>1.0</v>
      </c>
      <c r="D800" s="16" t="str">
        <f>IF(A800="","",IFERROR(VLOOKUP(A800, Stock_New!A:M, 3, FALSE),""))</f>
        <v>شركة حسين علي</v>
      </c>
      <c r="E800" s="16">
        <f>IF($A800="", "", IFERROR(VLOOKUP($A800, Stock_New!$A:$M, 6, FALSE), ""))</f>
        <v>90</v>
      </c>
      <c r="F800" s="239">
        <v>100.0</v>
      </c>
      <c r="G800" s="15"/>
      <c r="H800" s="33">
        <v>100.0</v>
      </c>
      <c r="I800" s="238">
        <v>46097.0</v>
      </c>
      <c r="J800" s="5" t="s">
        <v>72</v>
      </c>
      <c r="K800" s="5" t="s">
        <v>3236</v>
      </c>
      <c r="L800" s="16"/>
      <c r="M800" s="19" t="s">
        <v>5025</v>
      </c>
      <c r="N800" s="16"/>
      <c r="O800" s="16"/>
      <c r="P800" s="15"/>
    </row>
    <row r="801" ht="22.5" customHeight="1">
      <c r="A801" s="138" t="s">
        <v>1049</v>
      </c>
      <c r="B801" s="16" t="str">
        <f>IF(A801="","",IFERROR(VLOOKUP(A801, Stock_New!A:M, 2, FALSE),""))</f>
        <v>بورسلين</v>
      </c>
      <c r="C801" s="236">
        <v>1.0</v>
      </c>
      <c r="D801" s="16" t="str">
        <f>IF(A801="","",IFERROR(VLOOKUP(A801, Stock_New!A:M, 3, FALSE),""))</f>
        <v>شركة حسين علي</v>
      </c>
      <c r="E801" s="16">
        <f>IF($A801="", "", IFERROR(VLOOKUP($A801, Stock_New!$A:$M, 6, FALSE), ""))</f>
        <v>114</v>
      </c>
      <c r="F801" s="239">
        <v>140.0</v>
      </c>
      <c r="G801" s="15"/>
      <c r="H801" s="33">
        <v>140.0</v>
      </c>
      <c r="I801" s="238">
        <v>46097.0</v>
      </c>
      <c r="J801" s="5" t="s">
        <v>72</v>
      </c>
      <c r="K801" s="5" t="s">
        <v>3237</v>
      </c>
      <c r="L801" s="16"/>
      <c r="M801" s="19" t="s">
        <v>5025</v>
      </c>
      <c r="N801" s="16"/>
      <c r="O801" s="16"/>
      <c r="P801" s="16"/>
    </row>
    <row r="802" ht="22.5" customHeight="1">
      <c r="A802" s="138" t="s">
        <v>100</v>
      </c>
      <c r="B802" s="16" t="str">
        <f>IF(A802="","",IFERROR(VLOOKUP(A802, Stock_New!A:M, 2, FALSE),""))</f>
        <v>شجر</v>
      </c>
      <c r="C802" s="236">
        <v>2.0</v>
      </c>
      <c r="D802" s="16" t="str">
        <f>IF(A802="","",IFERROR(VLOOKUP(A802, Stock_New!A:M, 3, FALSE),""))</f>
        <v>شركة حسين علي</v>
      </c>
      <c r="E802" s="16">
        <f>IF($A802="", "", IFERROR(VLOOKUP($A802, Stock_New!$A:$M, 6, FALSE), ""))</f>
        <v>495</v>
      </c>
      <c r="F802" s="239">
        <v>500.0</v>
      </c>
      <c r="G802" s="15"/>
      <c r="H802" s="33">
        <v>1000.0</v>
      </c>
      <c r="I802" s="238">
        <v>46097.0</v>
      </c>
      <c r="J802" s="5" t="s">
        <v>72</v>
      </c>
      <c r="K802" s="5" t="s">
        <v>3239</v>
      </c>
      <c r="L802" s="16"/>
      <c r="M802" s="19" t="s">
        <v>5025</v>
      </c>
      <c r="N802" s="16"/>
      <c r="O802" s="16"/>
      <c r="P802" s="16"/>
    </row>
    <row r="803" ht="22.5" customHeight="1">
      <c r="A803" s="138" t="s">
        <v>123</v>
      </c>
      <c r="B803" s="16" t="str">
        <f>IF(A803="","",IFERROR(VLOOKUP(A803, Stock_New!A:M, 2, FALSE),""))</f>
        <v>تحف</v>
      </c>
      <c r="C803" s="236">
        <v>1.0</v>
      </c>
      <c r="D803" s="16" t="str">
        <f>IF(A803="","",IFERROR(VLOOKUP(A803, Stock_New!A:M, 3, FALSE),""))</f>
        <v>محمد رشدي</v>
      </c>
      <c r="E803" s="16">
        <f>IF($A803="", "", IFERROR(VLOOKUP($A803, Stock_New!$A:$M, 6, FALSE), ""))</f>
        <v>588</v>
      </c>
      <c r="F803" s="239">
        <v>600.0</v>
      </c>
      <c r="G803" s="15"/>
      <c r="H803" s="33">
        <v>600.0</v>
      </c>
      <c r="I803" s="238">
        <v>46097.0</v>
      </c>
      <c r="J803" s="5" t="s">
        <v>72</v>
      </c>
      <c r="K803" s="5" t="s">
        <v>3243</v>
      </c>
      <c r="L803" s="16"/>
      <c r="M803" s="19" t="s">
        <v>5025</v>
      </c>
      <c r="N803" s="16"/>
      <c r="O803" s="16"/>
      <c r="P803" s="16"/>
    </row>
    <row r="804" ht="22.5" customHeight="1">
      <c r="A804" s="138" t="s">
        <v>190</v>
      </c>
      <c r="B804" s="16" t="str">
        <f>IF(A804="","",IFERROR(VLOOKUP(A804, Stock_New!A:M, 2, FALSE),""))</f>
        <v>سيلفرات</v>
      </c>
      <c r="C804" s="236">
        <v>2.0</v>
      </c>
      <c r="D804" s="16" t="str">
        <f>IF(A804="","",IFERROR(VLOOKUP(A804, Stock_New!A:M, 3, FALSE),""))</f>
        <v>شركة الفرسان</v>
      </c>
      <c r="E804" s="16">
        <f>IF($A804="", "", IFERROR(VLOOKUP($A804, Stock_New!$A:$M, 6, FALSE), ""))</f>
        <v>420</v>
      </c>
      <c r="F804" s="239">
        <v>400.0</v>
      </c>
      <c r="G804" s="15"/>
      <c r="H804" s="33">
        <v>800.0</v>
      </c>
      <c r="I804" s="238">
        <v>46097.0</v>
      </c>
      <c r="J804" s="5" t="s">
        <v>72</v>
      </c>
      <c r="K804" s="5" t="s">
        <v>3247</v>
      </c>
      <c r="L804" s="16"/>
      <c r="M804" s="19" t="s">
        <v>5025</v>
      </c>
      <c r="N804" s="16"/>
      <c r="O804" s="16"/>
      <c r="P804" s="16"/>
    </row>
    <row r="805" ht="22.5" customHeight="1">
      <c r="A805" s="138" t="s">
        <v>685</v>
      </c>
      <c r="B805" s="16" t="str">
        <f>IF(A805="","",IFERROR(VLOOKUP(A805, Stock_New!A:M, 2, FALSE),""))</f>
        <v>كهربائيات</v>
      </c>
      <c r="C805" s="236">
        <v>1.0</v>
      </c>
      <c r="D805" s="16" t="str">
        <f>IF(A805="","",IFERROR(VLOOKUP(A805, Stock_New!A:M, 3, FALSE),""))</f>
        <v>سنتر محمد رشدي</v>
      </c>
      <c r="E805" s="16">
        <f>IF($A805="", "", IFERROR(VLOOKUP($A805, Stock_New!$A:$M, 6, FALSE), ""))</f>
        <v>192</v>
      </c>
      <c r="F805" s="239">
        <v>165.0</v>
      </c>
      <c r="G805" s="15"/>
      <c r="H805" s="33">
        <v>165.0</v>
      </c>
      <c r="I805" s="238">
        <v>46097.0</v>
      </c>
      <c r="J805" s="5" t="s">
        <v>72</v>
      </c>
      <c r="K805" s="5" t="s">
        <v>3268</v>
      </c>
      <c r="L805" s="16"/>
      <c r="M805" s="19"/>
      <c r="N805" s="16"/>
      <c r="O805" s="16"/>
      <c r="P805" s="16"/>
    </row>
    <row r="806" ht="22.5" customHeight="1">
      <c r="A806" s="138" t="s">
        <v>549</v>
      </c>
      <c r="B806" s="16" t="str">
        <f>IF(A806="","",IFERROR(VLOOKUP(A806, Stock_New!A:M, 2, FALSE),""))</f>
        <v>بخور</v>
      </c>
      <c r="C806" s="236">
        <v>2.0</v>
      </c>
      <c r="D806" s="16" t="str">
        <f>IF(A806="","",IFERROR(VLOOKUP(A806, Stock_New!A:M, 3, FALSE),""))</f>
        <v>سنتر محمد رشدي</v>
      </c>
      <c r="E806" s="16">
        <f>IF($A806="", "", IFERROR(VLOOKUP($A806, Stock_New!$A:$M, 6, FALSE), ""))</f>
        <v>21</v>
      </c>
      <c r="F806" s="239">
        <v>25.0</v>
      </c>
      <c r="G806" s="15"/>
      <c r="H806" s="33">
        <v>50.0</v>
      </c>
      <c r="I806" s="238">
        <v>46097.0</v>
      </c>
      <c r="J806" s="5" t="s">
        <v>72</v>
      </c>
      <c r="K806" s="5" t="s">
        <v>3251</v>
      </c>
      <c r="L806" s="16"/>
      <c r="M806" s="19"/>
      <c r="N806" s="16"/>
      <c r="O806" s="16"/>
      <c r="P806" s="16"/>
    </row>
    <row r="807" ht="22.5" customHeight="1">
      <c r="A807" s="138" t="s">
        <v>953</v>
      </c>
      <c r="B807" s="16" t="str">
        <f>IF(A807="","",IFERROR(VLOOKUP(A807, Stock_New!A:M, 2, FALSE),""))</f>
        <v>ديكور زجاج</v>
      </c>
      <c r="C807" s="236">
        <v>2.0</v>
      </c>
      <c r="D807" s="16" t="str">
        <f>IF(A807="","",IFERROR(VLOOKUP(A807, Stock_New!A:M, 3, FALSE),""))</f>
        <v>سنتر محمد رشدي</v>
      </c>
      <c r="E807" s="16">
        <f>IF($A807="", "", IFERROR(VLOOKUP($A807, Stock_New!$A:$M, 6, FALSE), ""))</f>
        <v>112.8</v>
      </c>
      <c r="F807" s="239">
        <v>130.0</v>
      </c>
      <c r="G807" s="15"/>
      <c r="H807" s="33">
        <v>260.0</v>
      </c>
      <c r="I807" s="238">
        <v>46097.0</v>
      </c>
      <c r="J807" s="5" t="s">
        <v>72</v>
      </c>
      <c r="K807" s="5" t="s">
        <v>3253</v>
      </c>
      <c r="L807" s="16"/>
      <c r="M807" s="19"/>
      <c r="N807" s="16"/>
      <c r="O807" s="16"/>
      <c r="P807" s="16"/>
    </row>
    <row r="808" ht="22.5" customHeight="1">
      <c r="A808" s="138" t="s">
        <v>611</v>
      </c>
      <c r="B808" s="16" t="str">
        <f>IF(A808="","",IFERROR(VLOOKUP(A808, Stock_New!A:M, 2, FALSE),""))</f>
        <v>مجسم</v>
      </c>
      <c r="C808" s="236">
        <v>1.0</v>
      </c>
      <c r="D808" s="16" t="str">
        <f>IF(A808="","",IFERROR(VLOOKUP(A808, Stock_New!A:M, 3, FALSE),""))</f>
        <v>سنتر محمد رشدي</v>
      </c>
      <c r="E808" s="16">
        <f>IF($A808="", "", IFERROR(VLOOKUP($A808, Stock_New!$A:$M, 6, FALSE), ""))</f>
        <v>34.8</v>
      </c>
      <c r="F808" s="239">
        <v>50.0</v>
      </c>
      <c r="G808" s="15"/>
      <c r="H808" s="33">
        <v>50.0</v>
      </c>
      <c r="I808" s="238">
        <v>46097.0</v>
      </c>
      <c r="J808" s="5" t="s">
        <v>72</v>
      </c>
      <c r="K808" s="5" t="s">
        <v>3255</v>
      </c>
      <c r="L808" s="16"/>
      <c r="M808" s="19"/>
      <c r="N808" s="16"/>
      <c r="O808" s="16"/>
      <c r="P808" s="16"/>
    </row>
    <row r="809" ht="22.5" customHeight="1">
      <c r="A809" s="138" t="s">
        <v>1079</v>
      </c>
      <c r="B809" s="16" t="str">
        <f>IF(A809="","",IFERROR(VLOOKUP(A809, Stock_New!A:M, 2, FALSE),""))</f>
        <v>سيلفرات</v>
      </c>
      <c r="C809" s="236">
        <v>1.0</v>
      </c>
      <c r="D809" s="16" t="str">
        <f>IF(A809="","",IFERROR(VLOOKUP(A809, Stock_New!A:M, 3, FALSE),""))</f>
        <v>شركة حسين علي</v>
      </c>
      <c r="E809" s="16">
        <f>IF($A809="", "", IFERROR(VLOOKUP($A809, Stock_New!$A:$M, 6, FALSE), ""))</f>
        <v>108</v>
      </c>
      <c r="F809" s="239">
        <v>150.0</v>
      </c>
      <c r="G809" s="15"/>
      <c r="H809" s="33">
        <v>150.0</v>
      </c>
      <c r="I809" s="238">
        <v>46097.0</v>
      </c>
      <c r="J809" s="5" t="s">
        <v>72</v>
      </c>
      <c r="K809" s="5" t="s">
        <v>3256</v>
      </c>
      <c r="L809" s="16"/>
      <c r="M809" s="19"/>
      <c r="N809" s="16"/>
      <c r="O809" s="16"/>
      <c r="P809" s="16"/>
    </row>
    <row r="810" ht="22.5" customHeight="1">
      <c r="A810" s="138" t="s">
        <v>210</v>
      </c>
      <c r="B810" s="16" t="str">
        <f>IF(A810="","",IFERROR(VLOOKUP(A810, Stock_New!A:M, 2, FALSE),""))</f>
        <v>سيلفرات</v>
      </c>
      <c r="C810" s="236">
        <v>1.0</v>
      </c>
      <c r="D810" s="16" t="str">
        <f>IF(A810="","",IFERROR(VLOOKUP(A810, Stock_New!A:M, 3, FALSE),""))</f>
        <v>ذكريا</v>
      </c>
      <c r="E810" s="16">
        <f>IF($A810="", "", IFERROR(VLOOKUP($A810, Stock_New!$A:$M, 6, FALSE), ""))</f>
        <v>156</v>
      </c>
      <c r="F810" s="239">
        <v>150.0</v>
      </c>
      <c r="G810" s="15"/>
      <c r="H810" s="33">
        <v>150.0</v>
      </c>
      <c r="I810" s="238">
        <v>46097.0</v>
      </c>
      <c r="J810" s="5" t="s">
        <v>72</v>
      </c>
      <c r="K810" s="5" t="s">
        <v>3260</v>
      </c>
      <c r="L810" s="16"/>
      <c r="M810" s="19"/>
      <c r="N810" s="16"/>
      <c r="O810" s="16"/>
      <c r="P810" s="16"/>
    </row>
    <row r="811" ht="22.5" customHeight="1">
      <c r="A811" s="138" t="s">
        <v>38</v>
      </c>
      <c r="B811" s="16" t="str">
        <f>IF(A811="","",IFERROR(VLOOKUP(A811, Stock_New!A:M, 2, FALSE),""))</f>
        <v>شجر صناعي</v>
      </c>
      <c r="C811" s="236">
        <v>1.0</v>
      </c>
      <c r="D811" s="16" t="str">
        <f>IF(A811="","",IFERROR(VLOOKUP(A811, Stock_New!A:M, 3, FALSE),""))</f>
        <v>manufactured</v>
      </c>
      <c r="E811" s="16">
        <f>IF($A811="", "", IFERROR(VLOOKUP($A811, Stock_New!$A:$M, 6, FALSE), ""))</f>
        <v>209.16</v>
      </c>
      <c r="F811" s="239">
        <v>300.0</v>
      </c>
      <c r="G811" s="15"/>
      <c r="H811" s="33">
        <v>300.0</v>
      </c>
      <c r="I811" s="238">
        <v>46097.0</v>
      </c>
      <c r="J811" s="5" t="s">
        <v>72</v>
      </c>
      <c r="K811" s="5" t="s">
        <v>3262</v>
      </c>
      <c r="L811" s="16"/>
      <c r="M811" s="19"/>
      <c r="N811" s="16"/>
      <c r="O811" s="16"/>
      <c r="P811" s="16"/>
    </row>
    <row r="812" ht="22.5" customHeight="1">
      <c r="A812" s="138" t="s">
        <v>248</v>
      </c>
      <c r="B812" s="16" t="str">
        <f>IF(A812="","",IFERROR(VLOOKUP(A812, Stock_New!A:M, 2, FALSE),""))</f>
        <v>بوتات</v>
      </c>
      <c r="C812" s="236">
        <v>1.0</v>
      </c>
      <c r="D812" s="16" t="str">
        <f>IF(A812="","",IFERROR(VLOOKUP(A812, Stock_New!A:M, 3, FALSE),""))</f>
        <v>شركة حسين علي</v>
      </c>
      <c r="E812" s="16">
        <f>IF($A812="", "", IFERROR(VLOOKUP($A812, Stock_New!$A:$M, 6, FALSE), ""))</f>
        <v>120</v>
      </c>
      <c r="F812" s="239">
        <v>185.0</v>
      </c>
      <c r="G812" s="15"/>
      <c r="H812" s="33">
        <v>185.0</v>
      </c>
      <c r="I812" s="238">
        <v>46097.0</v>
      </c>
      <c r="J812" s="5" t="s">
        <v>72</v>
      </c>
      <c r="K812" s="5" t="s">
        <v>3264</v>
      </c>
      <c r="L812" s="16"/>
      <c r="M812" s="19"/>
      <c r="N812" s="16"/>
      <c r="O812" s="16"/>
      <c r="P812" s="16"/>
    </row>
    <row r="813" ht="22.5" customHeight="1">
      <c r="A813" s="138" t="s">
        <v>946</v>
      </c>
      <c r="B813" s="16" t="str">
        <f>IF(A813="","",IFERROR(VLOOKUP(A813, Stock_New!A:M, 2, FALSE),""))</f>
        <v>ورد لوحد</v>
      </c>
      <c r="C813" s="236">
        <v>2.0</v>
      </c>
      <c r="D813" s="16" t="str">
        <f>IF(A813="","",IFERROR(VLOOKUP(A813, Stock_New!A:M, 3, FALSE),""))</f>
        <v>شركة الفرسان</v>
      </c>
      <c r="E813" s="16">
        <f>IF($A813="", "", IFERROR(VLOOKUP($A813, Stock_New!$A:$M, 6, FALSE), ""))</f>
        <v>90</v>
      </c>
      <c r="F813" s="239">
        <v>95.0</v>
      </c>
      <c r="G813" s="15"/>
      <c r="H813" s="33">
        <v>200.0</v>
      </c>
      <c r="I813" s="238">
        <v>46097.0</v>
      </c>
      <c r="J813" s="5" t="s">
        <v>72</v>
      </c>
      <c r="K813" s="5" t="s">
        <v>3266</v>
      </c>
      <c r="L813" s="16"/>
      <c r="M813" s="19"/>
      <c r="N813" s="16"/>
      <c r="O813" s="16"/>
      <c r="P813" s="16"/>
    </row>
    <row r="814" ht="22.5" customHeight="1">
      <c r="A814" s="138" t="s">
        <v>294</v>
      </c>
      <c r="B814" s="16" t="str">
        <f>IF(A814="","",IFERROR(VLOOKUP(A814, Stock_New!A:M, 2, FALSE),""))</f>
        <v>بوكيه</v>
      </c>
      <c r="C814" s="236">
        <v>2.0</v>
      </c>
      <c r="D814" s="16" t="str">
        <f>IF(A814="","",IFERROR(VLOOKUP(A814, Stock_New!A:M, 3, FALSE),""))</f>
        <v>ذكريا</v>
      </c>
      <c r="E814" s="16">
        <f>IF($A814="", "", IFERROR(VLOOKUP($A814, Stock_New!$A:$M, 6, FALSE), ""))</f>
        <v>96</v>
      </c>
      <c r="F814" s="239">
        <v>120.0</v>
      </c>
      <c r="G814" s="15"/>
      <c r="H814" s="33">
        <v>240.0</v>
      </c>
      <c r="I814" s="238">
        <v>46098.0</v>
      </c>
      <c r="J814" s="5" t="s">
        <v>72</v>
      </c>
      <c r="K814" s="5" t="s">
        <v>3272</v>
      </c>
      <c r="L814" s="16"/>
      <c r="M814" s="19"/>
      <c r="N814" s="16"/>
      <c r="O814" s="16"/>
      <c r="P814" s="16"/>
    </row>
    <row r="815" ht="22.5" customHeight="1">
      <c r="A815" s="138" t="s">
        <v>645</v>
      </c>
      <c r="B815" s="16" t="str">
        <f>IF(A815="","",IFERROR(VLOOKUP(A815, Stock_New!A:M, 2, FALSE),""))</f>
        <v>بوكيه</v>
      </c>
      <c r="C815" s="236">
        <v>3.0</v>
      </c>
      <c r="D815" s="16" t="str">
        <f>IF(A815="","",IFERROR(VLOOKUP(A815, Stock_New!A:M, 3, FALSE),""))</f>
        <v>المهندس</v>
      </c>
      <c r="E815" s="16">
        <f>IF($A815="", "", IFERROR(VLOOKUP($A815, Stock_New!$A:$M, 6, FALSE), ""))</f>
        <v>20.4</v>
      </c>
      <c r="F815" s="239">
        <v>25.0</v>
      </c>
      <c r="G815" s="15"/>
      <c r="H815" s="33">
        <v>75.0</v>
      </c>
      <c r="I815" s="238">
        <v>46098.0</v>
      </c>
      <c r="J815" s="5" t="s">
        <v>72</v>
      </c>
      <c r="K815" s="5" t="s">
        <v>3274</v>
      </c>
      <c r="L815" s="16"/>
      <c r="M815" s="19"/>
      <c r="N815" s="16"/>
      <c r="O815" s="16"/>
      <c r="P815" s="16"/>
    </row>
    <row r="816" ht="22.5" customHeight="1">
      <c r="A816" s="138" t="s">
        <v>294</v>
      </c>
      <c r="B816" s="16" t="str">
        <f>IF(A816="","",IFERROR(VLOOKUP(A816, Stock_New!A:M, 2, FALSE),""))</f>
        <v>بوكيه</v>
      </c>
      <c r="C816" s="236">
        <v>2.0</v>
      </c>
      <c r="D816" s="16" t="str">
        <f>IF(A816="","",IFERROR(VLOOKUP(A816, Stock_New!A:M, 3, FALSE),""))</f>
        <v>ذكريا</v>
      </c>
      <c r="E816" s="16">
        <f>IF($A816="", "", IFERROR(VLOOKUP($A816, Stock_New!$A:$M, 6, FALSE), ""))</f>
        <v>96</v>
      </c>
      <c r="F816" s="239">
        <v>120.0</v>
      </c>
      <c r="H816" s="33">
        <v>240.0</v>
      </c>
      <c r="I816" s="238">
        <v>46098.0</v>
      </c>
      <c r="J816" s="5" t="s">
        <v>72</v>
      </c>
      <c r="K816" s="5" t="s">
        <v>3276</v>
      </c>
      <c r="L816" s="16"/>
      <c r="M816" s="19"/>
      <c r="N816" s="16"/>
      <c r="O816" s="16"/>
      <c r="P816" s="16"/>
    </row>
    <row r="817" ht="22.5" customHeight="1">
      <c r="A817" s="138" t="s">
        <v>645</v>
      </c>
      <c r="B817" s="16" t="str">
        <f>IF(A817="","",IFERROR(VLOOKUP(A817, Stock_New!A:M, 2, FALSE),""))</f>
        <v>بوكيه</v>
      </c>
      <c r="C817" s="236">
        <v>3.0</v>
      </c>
      <c r="D817" s="16" t="str">
        <f>IF(A817="","",IFERROR(VLOOKUP(A817, Stock_New!A:M, 3, FALSE),""))</f>
        <v>المهندس</v>
      </c>
      <c r="E817" s="16">
        <f>IF($A817="", "", IFERROR(VLOOKUP($A817, Stock_New!$A:$M, 6, FALSE), ""))</f>
        <v>20.4</v>
      </c>
      <c r="F817" s="239">
        <v>25.0</v>
      </c>
      <c r="H817" s="33">
        <v>75.0</v>
      </c>
      <c r="I817" s="238"/>
      <c r="J817" s="5" t="s">
        <v>72</v>
      </c>
      <c r="K817" s="5" t="s">
        <v>3278</v>
      </c>
      <c r="L817" s="16"/>
      <c r="M817" s="19"/>
      <c r="N817" s="16"/>
      <c r="O817" s="16"/>
      <c r="P817" s="16"/>
    </row>
    <row r="818" ht="22.5" customHeight="1">
      <c r="A818" s="138" t="s">
        <v>662</v>
      </c>
      <c r="B818" s="16" t="str">
        <f>IF(A818="","",IFERROR(VLOOKUP(A818, Stock_New!A:M, 2, FALSE),""))</f>
        <v>بوكيه</v>
      </c>
      <c r="C818" s="236">
        <v>1.0</v>
      </c>
      <c r="D818" s="16" t="str">
        <f>IF(A818="","",IFERROR(VLOOKUP(A818, Stock_New!A:M, 3, FALSE),""))</f>
        <v>المهندس</v>
      </c>
      <c r="E818" s="16">
        <f>IF($A818="", "", IFERROR(VLOOKUP($A818, Stock_New!$A:$M, 6, FALSE), ""))</f>
        <v>60</v>
      </c>
      <c r="F818" s="239">
        <v>75.0</v>
      </c>
      <c r="H818" s="33">
        <v>75.0</v>
      </c>
      <c r="I818" s="238"/>
      <c r="J818" s="5" t="s">
        <v>72</v>
      </c>
      <c r="K818" s="5" t="s">
        <v>3280</v>
      </c>
      <c r="L818" s="16"/>
      <c r="M818" s="19"/>
      <c r="N818" s="16"/>
      <c r="O818" s="16"/>
      <c r="P818" s="16"/>
    </row>
    <row r="819" ht="22.5" customHeight="1">
      <c r="A819" s="138" t="s">
        <v>34</v>
      </c>
      <c r="B819" s="16" t="str">
        <f>IF(A819="","",IFERROR(VLOOKUP(A819, Stock_New!A:M, 2, FALSE),""))</f>
        <v>شجر</v>
      </c>
      <c r="C819" s="236">
        <v>1.0</v>
      </c>
      <c r="D819" s="16" t="str">
        <f>IF(A819="","",IFERROR(VLOOKUP(A819, Stock_New!A:M, 3, FALSE),""))</f>
        <v>manufactured</v>
      </c>
      <c r="E819" s="16">
        <f>IF($A819="", "", IFERROR(VLOOKUP($A819, Stock_New!$A:$M, 6, FALSE), ""))</f>
        <v>108</v>
      </c>
      <c r="F819" s="239">
        <v>300.0</v>
      </c>
      <c r="H819" s="33">
        <v>300.0</v>
      </c>
      <c r="I819" s="238"/>
      <c r="J819" s="5" t="s">
        <v>72</v>
      </c>
      <c r="K819" s="5" t="s">
        <v>3282</v>
      </c>
      <c r="L819" s="16"/>
      <c r="M819" s="19"/>
      <c r="N819" s="16"/>
      <c r="O819" s="16"/>
      <c r="P819" s="16"/>
    </row>
    <row r="820" ht="22.5" customHeight="1">
      <c r="A820" s="138" t="s">
        <v>177</v>
      </c>
      <c r="B820" s="16" t="str">
        <f>IF(A820="","",IFERROR(VLOOKUP(A820, Stock_New!A:M, 2, FALSE),""))</f>
        <v>بورسلين</v>
      </c>
      <c r="C820" s="236">
        <v>3.0</v>
      </c>
      <c r="D820" s="16" t="str">
        <f>IF(A820="","",IFERROR(VLOOKUP(A820, Stock_New!A:M, 3, FALSE),""))</f>
        <v>شركة حسين علي</v>
      </c>
      <c r="E820" s="16">
        <f>IF($A820="", "", IFERROR(VLOOKUP($A820, Stock_New!$A:$M, 6, FALSE), ""))</f>
        <v>90</v>
      </c>
      <c r="F820" s="239">
        <v>100.0</v>
      </c>
      <c r="H820" s="33">
        <v>300.0</v>
      </c>
      <c r="I820" s="238"/>
      <c r="J820" s="5" t="s">
        <v>72</v>
      </c>
      <c r="K820" s="5" t="s">
        <v>3284</v>
      </c>
      <c r="L820" s="16"/>
      <c r="M820" s="19"/>
      <c r="N820" s="16"/>
      <c r="O820" s="16"/>
      <c r="P820" s="16"/>
    </row>
    <row r="821" ht="22.5" customHeight="1">
      <c r="A821" s="138" t="s">
        <v>963</v>
      </c>
      <c r="B821" s="16" t="str">
        <f>IF(A821="","",IFERROR(VLOOKUP(A821, Stock_New!A:M, 2, FALSE),""))</f>
        <v>بوكيه</v>
      </c>
      <c r="C821" s="236">
        <v>1.0</v>
      </c>
      <c r="D821" s="16" t="str">
        <f>IF(A821="","",IFERROR(VLOOKUP(A821, Stock_New!A:M, 3, FALSE),""))</f>
        <v>manufactured</v>
      </c>
      <c r="E821" s="16">
        <f>IF($A821="", "", IFERROR(VLOOKUP($A821, Stock_New!$A:$M, 6, FALSE), ""))</f>
        <v>19.3125</v>
      </c>
      <c r="F821" s="239">
        <v>20.0</v>
      </c>
      <c r="H821" s="33">
        <v>20.0</v>
      </c>
      <c r="I821" s="238"/>
      <c r="J821" s="5" t="s">
        <v>72</v>
      </c>
      <c r="K821" s="5" t="s">
        <v>3286</v>
      </c>
      <c r="L821" s="16"/>
      <c r="M821" s="19"/>
      <c r="N821" s="16"/>
      <c r="O821" s="16"/>
      <c r="P821" s="16"/>
    </row>
    <row r="822" ht="22.5" customHeight="1">
      <c r="A822" s="138" t="s">
        <v>48</v>
      </c>
      <c r="B822" s="16" t="str">
        <f>IF(A822="","",IFERROR(VLOOKUP(A822, Stock_New!A:M, 2, FALSE),""))</f>
        <v>بوكيه</v>
      </c>
      <c r="C822" s="236">
        <v>1.0</v>
      </c>
      <c r="D822" s="16" t="str">
        <f>IF(A822="","",IFERROR(VLOOKUP(A822, Stock_New!A:M, 3, FALSE),""))</f>
        <v>ذكريا</v>
      </c>
      <c r="E822" s="16">
        <f>IF($A822="", "", IFERROR(VLOOKUP($A822, Stock_New!$A:$M, 6, FALSE), ""))</f>
        <v>44.4</v>
      </c>
      <c r="F822" s="239">
        <v>50.0</v>
      </c>
      <c r="H822" s="33">
        <v>50.0</v>
      </c>
      <c r="I822" s="238"/>
      <c r="J822" s="5" t="s">
        <v>72</v>
      </c>
      <c r="K822" s="5" t="s">
        <v>3287</v>
      </c>
      <c r="L822" s="16"/>
      <c r="M822" s="19"/>
      <c r="N822" s="16"/>
      <c r="O822" s="16"/>
      <c r="P822" s="16"/>
    </row>
    <row r="823" ht="22.5" customHeight="1">
      <c r="A823" s="138" t="s">
        <v>172</v>
      </c>
      <c r="B823" s="16" t="str">
        <f>IF(A823="","",IFERROR(VLOOKUP(A823, Stock_New!A:M, 2, FALSE),""))</f>
        <v>بوكيه</v>
      </c>
      <c r="C823" s="236">
        <v>1.0</v>
      </c>
      <c r="D823" s="16" t="str">
        <f>IF(A823="","",IFERROR(VLOOKUP(A823, Stock_New!A:M, 3, FALSE),""))</f>
        <v>ذكريا</v>
      </c>
      <c r="E823" s="16">
        <f>IF($A823="", "", IFERROR(VLOOKUP($A823, Stock_New!$A:$M, 6, FALSE), ""))</f>
        <v>33.84</v>
      </c>
      <c r="F823" s="239">
        <v>30.0</v>
      </c>
      <c r="H823" s="33">
        <v>30.0</v>
      </c>
      <c r="I823" s="238"/>
      <c r="J823" s="5" t="s">
        <v>72</v>
      </c>
      <c r="K823" s="5" t="s">
        <v>3289</v>
      </c>
      <c r="L823" s="16"/>
      <c r="M823" s="19"/>
      <c r="N823" s="16"/>
      <c r="O823" s="16"/>
      <c r="P823" s="16"/>
    </row>
    <row r="824" ht="22.5" customHeight="1">
      <c r="A824" s="138" t="s">
        <v>645</v>
      </c>
      <c r="B824" s="16" t="str">
        <f>IF(A824="","",IFERROR(VLOOKUP(A824, Stock_New!A:M, 2, FALSE),""))</f>
        <v>بوكيه</v>
      </c>
      <c r="C824" s="236">
        <v>2.0</v>
      </c>
      <c r="D824" s="16" t="str">
        <f>IF(A824="","",IFERROR(VLOOKUP(A824, Stock_New!A:M, 3, FALSE),""))</f>
        <v>المهندس</v>
      </c>
      <c r="E824" s="16">
        <f>IF($A824="", "", IFERROR(VLOOKUP($A824, Stock_New!$A:$M, 6, FALSE), ""))</f>
        <v>20.4</v>
      </c>
      <c r="F824" s="239">
        <v>25.0</v>
      </c>
      <c r="H824" s="33">
        <v>50.0</v>
      </c>
      <c r="I824" s="238"/>
      <c r="J824" s="5" t="s">
        <v>72</v>
      </c>
      <c r="K824" s="5" t="s">
        <v>3291</v>
      </c>
      <c r="L824" s="16"/>
      <c r="M824" s="19"/>
      <c r="N824" s="16"/>
      <c r="O824" s="16"/>
      <c r="P824" s="16"/>
    </row>
    <row r="825" ht="22.5" customHeight="1">
      <c r="A825" s="138" t="s">
        <v>902</v>
      </c>
      <c r="B825" s="16" t="str">
        <f>IF(A825="","",IFERROR(VLOOKUP(A825, Stock_New!A:M, 2, FALSE),""))</f>
        <v>خشب</v>
      </c>
      <c r="C825" s="236">
        <v>1.0</v>
      </c>
      <c r="D825" s="16" t="str">
        <f>IF(A825="","",IFERROR(VLOOKUP(A825, Stock_New!A:M, 3, FALSE),""))</f>
        <v>شركة حسين علي</v>
      </c>
      <c r="E825" s="16">
        <f>IF($A825="", "", IFERROR(VLOOKUP($A825, Stock_New!$A:$M, 6, FALSE), ""))</f>
        <v>108.35</v>
      </c>
      <c r="F825" s="239">
        <v>100.0</v>
      </c>
      <c r="H825" s="33">
        <v>100.0</v>
      </c>
      <c r="I825" s="238"/>
      <c r="J825" s="5" t="s">
        <v>72</v>
      </c>
      <c r="K825" s="5" t="s">
        <v>3293</v>
      </c>
      <c r="L825" s="16"/>
      <c r="M825" s="19"/>
      <c r="N825" s="16"/>
      <c r="O825" s="16"/>
      <c r="P825" s="16"/>
    </row>
    <row r="826" ht="22.5" customHeight="1">
      <c r="A826" s="138" t="s">
        <v>511</v>
      </c>
      <c r="B826" s="16" t="str">
        <f>IF(A826="","",IFERROR(VLOOKUP(A826, Stock_New!A:M, 2, FALSE),""))</f>
        <v>خزف</v>
      </c>
      <c r="C826" s="236">
        <v>1.0</v>
      </c>
      <c r="D826" s="16" t="str">
        <f>IF(A826="","",IFERROR(VLOOKUP(A826, Stock_New!A:M, 3, FALSE),""))</f>
        <v>ذكريا</v>
      </c>
      <c r="E826" s="16">
        <f>IF($A826="", "", IFERROR(VLOOKUP($A826, Stock_New!$A:$M, 6, FALSE), ""))</f>
        <v>48</v>
      </c>
      <c r="F826" s="239">
        <v>80.0</v>
      </c>
      <c r="H826" s="33">
        <v>80.0</v>
      </c>
      <c r="I826" s="238"/>
      <c r="J826" s="5" t="s">
        <v>72</v>
      </c>
      <c r="K826" s="5" t="s">
        <v>3295</v>
      </c>
      <c r="L826" s="16"/>
      <c r="M826" s="19"/>
      <c r="N826" s="16"/>
      <c r="O826" s="16"/>
      <c r="P826" s="16"/>
    </row>
    <row r="827" ht="22.5" customHeight="1">
      <c r="A827" s="138" t="s">
        <v>898</v>
      </c>
      <c r="B827" s="16" t="str">
        <f>IF(A827="","",IFERROR(VLOOKUP(A827, Stock_New!A:M, 2, FALSE),""))</f>
        <v/>
      </c>
      <c r="C827" s="236">
        <v>1.0</v>
      </c>
      <c r="D827" s="16" t="str">
        <f>IF(A827="","",IFERROR(VLOOKUP(A827, Stock_New!A:M, 3, FALSE),""))</f>
        <v/>
      </c>
      <c r="E827" s="16" t="str">
        <f>IF($A827="", "", IFERROR(VLOOKUP($A827, Stock_New!$A:$M, 6, FALSE), ""))</f>
        <v/>
      </c>
      <c r="F827" s="239">
        <v>20.0</v>
      </c>
      <c r="H827" s="33">
        <v>20.0</v>
      </c>
      <c r="I827" s="238"/>
      <c r="J827" s="5" t="s">
        <v>72</v>
      </c>
      <c r="K827" s="5" t="s">
        <v>3297</v>
      </c>
      <c r="L827" s="16"/>
      <c r="M827" s="19"/>
      <c r="N827" s="16"/>
      <c r="O827" s="16"/>
      <c r="P827" s="16"/>
    </row>
    <row r="828" ht="22.5" customHeight="1">
      <c r="A828" s="138" t="s">
        <v>77</v>
      </c>
      <c r="B828" s="16" t="str">
        <f>IF(A828="","",IFERROR(VLOOKUP(A828, Stock_New!A:M, 2, FALSE),""))</f>
        <v>شجر</v>
      </c>
      <c r="C828" s="236">
        <v>1.0</v>
      </c>
      <c r="D828" s="16" t="str">
        <f>IF(A828="","",IFERROR(VLOOKUP(A828, Stock_New!A:M, 3, FALSE),""))</f>
        <v>manufactured</v>
      </c>
      <c r="E828" s="16">
        <f>IF($A828="", "", IFERROR(VLOOKUP($A828, Stock_New!$A:$M, 6, FALSE), ""))</f>
        <v>378</v>
      </c>
      <c r="F828" s="239">
        <v>400.0</v>
      </c>
      <c r="H828" s="33">
        <v>400.0</v>
      </c>
      <c r="I828" s="238"/>
      <c r="J828" s="5" t="s">
        <v>72</v>
      </c>
      <c r="K828" s="5" t="s">
        <v>3501</v>
      </c>
      <c r="L828" s="16"/>
      <c r="M828" s="19"/>
      <c r="N828" s="16"/>
      <c r="O828" s="16"/>
      <c r="P828" s="16"/>
    </row>
    <row r="829" ht="22.5" customHeight="1">
      <c r="A829" s="138" t="s">
        <v>1043</v>
      </c>
      <c r="B829" s="16" t="str">
        <f>IF(A829="","",IFERROR(VLOOKUP(A829, Stock_New!A:M, 2, FALSE),""))</f>
        <v>براويز</v>
      </c>
      <c r="C829" s="236">
        <v>2.0</v>
      </c>
      <c r="D829" s="16" t="str">
        <f>IF(A829="","",IFERROR(VLOOKUP(A829, Stock_New!A:M, 3, FALSE),""))</f>
        <v>شركة الفرسان</v>
      </c>
      <c r="E829" s="16">
        <f>IF($A829="", "", IFERROR(VLOOKUP($A829, Stock_New!$A:$M, 6, FALSE), ""))</f>
        <v>102</v>
      </c>
      <c r="F829" s="239">
        <v>140.0</v>
      </c>
      <c r="H829" s="33">
        <v>280.0</v>
      </c>
      <c r="I829" s="238"/>
      <c r="J829" s="5" t="s">
        <v>72</v>
      </c>
      <c r="K829" s="5" t="s">
        <v>3299</v>
      </c>
      <c r="L829" s="16"/>
      <c r="M829" s="19"/>
      <c r="N829" s="16"/>
      <c r="O829" s="16"/>
      <c r="P829" s="16"/>
    </row>
    <row r="830" ht="22.5" customHeight="1">
      <c r="A830" s="138" t="s">
        <v>462</v>
      </c>
      <c r="B830" s="16" t="str">
        <f>IF(A830="","",IFERROR(VLOOKUP(A830, Stock_New!A:M, 2, FALSE),""))</f>
        <v>شجر</v>
      </c>
      <c r="C830" s="236">
        <v>1.0</v>
      </c>
      <c r="D830" s="16" t="str">
        <f>IF(A830="","",IFERROR(VLOOKUP(A830, Stock_New!A:M, 3, FALSE),""))</f>
        <v>شركة حسين علي</v>
      </c>
      <c r="E830" s="16">
        <f>IF($A830="", "", IFERROR(VLOOKUP($A830, Stock_New!$A:$M, 6, FALSE), ""))</f>
        <v>252</v>
      </c>
      <c r="F830" s="239">
        <v>220.0</v>
      </c>
      <c r="H830" s="33">
        <v>220.0</v>
      </c>
      <c r="I830" s="238"/>
      <c r="J830" s="5" t="s">
        <v>72</v>
      </c>
      <c r="K830" s="5" t="s">
        <v>3303</v>
      </c>
      <c r="L830" s="16"/>
      <c r="M830" s="19"/>
      <c r="N830" s="16"/>
      <c r="O830" s="16"/>
      <c r="P830" s="16"/>
    </row>
    <row r="831" ht="22.5" customHeight="1">
      <c r="A831" s="138" t="s">
        <v>165</v>
      </c>
      <c r="B831" s="16" t="str">
        <f>IF(A831="","",IFERROR(VLOOKUP(A831, Stock_New!A:M, 2, FALSE),""))</f>
        <v>بوتات</v>
      </c>
      <c r="C831" s="236">
        <v>1.0</v>
      </c>
      <c r="D831" s="16" t="str">
        <f>IF(A831="","",IFERROR(VLOOKUP(A831, Stock_New!A:M, 3, FALSE),""))</f>
        <v>ذكريا</v>
      </c>
      <c r="E831" s="16">
        <f>IF($A831="", "", IFERROR(VLOOKUP($A831, Stock_New!$A:$M, 6, FALSE), ""))</f>
        <v>106.88</v>
      </c>
      <c r="F831" s="239">
        <v>100.0</v>
      </c>
      <c r="H831" s="33">
        <v>100.0</v>
      </c>
      <c r="I831" s="238"/>
      <c r="J831" s="5" t="s">
        <v>72</v>
      </c>
      <c r="K831" s="5" t="s">
        <v>3304</v>
      </c>
      <c r="L831" s="16"/>
      <c r="M831" s="19"/>
      <c r="N831" s="16"/>
      <c r="O831" s="16"/>
      <c r="P831" s="16"/>
    </row>
    <row r="832" ht="22.5" customHeight="1">
      <c r="A832" s="138" t="s">
        <v>206</v>
      </c>
      <c r="B832" s="16" t="str">
        <f>IF(A832="","",IFERROR(VLOOKUP(A832, Stock_New!A:M, 2, FALSE),""))</f>
        <v>سيلفرات</v>
      </c>
      <c r="C832" s="236">
        <v>1.0</v>
      </c>
      <c r="D832" s="16" t="str">
        <f>IF(A832="","",IFERROR(VLOOKUP(A832, Stock_New!A:M, 3, FALSE),""))</f>
        <v>ذكريا</v>
      </c>
      <c r="E832" s="16">
        <f>IF($A832="", "", IFERROR(VLOOKUP($A832, Stock_New!$A:$M, 6, FALSE), ""))</f>
        <v>186</v>
      </c>
      <c r="F832" s="239">
        <v>200.0</v>
      </c>
      <c r="H832" s="33">
        <v>200.0</v>
      </c>
      <c r="I832" s="238"/>
      <c r="J832" s="5" t="s">
        <v>72</v>
      </c>
      <c r="K832" s="5" t="s">
        <v>3306</v>
      </c>
      <c r="L832" s="16"/>
      <c r="M832" s="19"/>
      <c r="N832" s="16"/>
      <c r="O832" s="16"/>
      <c r="P832" s="16"/>
    </row>
    <row r="833" ht="22.5" customHeight="1">
      <c r="A833" s="138" t="s">
        <v>1043</v>
      </c>
      <c r="B833" s="16" t="str">
        <f>IF(A833="","",IFERROR(VLOOKUP(A833, Stock_New!A:M, 2, FALSE),""))</f>
        <v>براويز</v>
      </c>
      <c r="C833" s="236">
        <v>1.0</v>
      </c>
      <c r="D833" s="16" t="str">
        <f>IF(A833="","",IFERROR(VLOOKUP(A833, Stock_New!A:M, 3, FALSE),""))</f>
        <v>شركة الفرسان</v>
      </c>
      <c r="E833" s="16">
        <f>IF($A833="", "", IFERROR(VLOOKUP($A833, Stock_New!$A:$M, 6, FALSE), ""))</f>
        <v>102</v>
      </c>
      <c r="F833" s="239">
        <v>140.0</v>
      </c>
      <c r="H833" s="33">
        <v>140.0</v>
      </c>
      <c r="I833" s="238"/>
      <c r="J833" s="5" t="s">
        <v>72</v>
      </c>
      <c r="K833" s="5" t="s">
        <v>3308</v>
      </c>
      <c r="L833" s="16"/>
      <c r="M833" s="19"/>
      <c r="N833" s="16"/>
      <c r="O833" s="16"/>
      <c r="P833" s="16"/>
    </row>
    <row r="834" ht="22.5" customHeight="1">
      <c r="A834" s="138" t="s">
        <v>255</v>
      </c>
      <c r="B834" s="16" t="str">
        <f>IF(A834="","",IFERROR(VLOOKUP(A834, Stock_New!A:M, 2, FALSE),""))</f>
        <v>بوتات</v>
      </c>
      <c r="C834" s="236">
        <v>2.0</v>
      </c>
      <c r="D834" s="16" t="str">
        <f>IF(A834="","",IFERROR(VLOOKUP(A834, Stock_New!A:M, 3, FALSE),""))</f>
        <v>manufactured</v>
      </c>
      <c r="E834" s="16">
        <f>IF($A834="", "", IFERROR(VLOOKUP($A834, Stock_New!$A:$M, 6, FALSE), ""))</f>
        <v>27.3</v>
      </c>
      <c r="F834" s="239">
        <v>50.0</v>
      </c>
      <c r="H834" s="33">
        <v>100.0</v>
      </c>
      <c r="I834" s="238"/>
      <c r="J834" s="5" t="s">
        <v>72</v>
      </c>
      <c r="K834" s="5" t="s">
        <v>3310</v>
      </c>
      <c r="L834" s="16"/>
      <c r="M834" s="19"/>
      <c r="N834" s="16"/>
      <c r="O834" s="16"/>
      <c r="P834" s="16"/>
    </row>
    <row r="835" ht="22.5" customHeight="1">
      <c r="A835" s="138" t="s">
        <v>756</v>
      </c>
      <c r="B835" s="16" t="str">
        <f>IF(A835="","",IFERROR(VLOOKUP(A835, Stock_New!A:M, 2, FALSE),""))</f>
        <v>ورد لوحدة</v>
      </c>
      <c r="C835" s="236">
        <v>2.0</v>
      </c>
      <c r="D835" s="16" t="str">
        <f>IF(A835="","",IFERROR(VLOOKUP(A835, Stock_New!A:M, 3, FALSE),""))</f>
        <v>شركة حسين علي</v>
      </c>
      <c r="E835" s="16">
        <f>IF($A835="", "", IFERROR(VLOOKUP($A835, Stock_New!$A:$M, 6, FALSE), ""))</f>
        <v>36</v>
      </c>
      <c r="F835" s="239">
        <v>70.0</v>
      </c>
      <c r="H835" s="33">
        <v>140.0</v>
      </c>
      <c r="I835" s="238"/>
      <c r="J835" s="5" t="s">
        <v>72</v>
      </c>
      <c r="K835" s="5" t="s">
        <v>3311</v>
      </c>
      <c r="L835" s="16"/>
      <c r="M835" s="19"/>
      <c r="N835" s="16"/>
      <c r="O835" s="16"/>
      <c r="P835" s="16"/>
    </row>
    <row r="836" ht="22.5" customHeight="1">
      <c r="A836" s="138" t="s">
        <v>46</v>
      </c>
      <c r="B836" s="16" t="str">
        <f>IF(A836="","",IFERROR(VLOOKUP(A836, Stock_New!A:M, 2, FALSE),""))</f>
        <v>بوكيه</v>
      </c>
      <c r="C836" s="236">
        <v>1.0</v>
      </c>
      <c r="D836" s="16" t="str">
        <f>IF(A836="","",IFERROR(VLOOKUP(A836, Stock_New!A:M, 3, FALSE),""))</f>
        <v>manufactured</v>
      </c>
      <c r="E836" s="16">
        <f>IF($A836="", "", IFERROR(VLOOKUP($A836, Stock_New!$A:$M, 6, FALSE), ""))</f>
        <v>116.256</v>
      </c>
      <c r="F836" s="239">
        <v>270.0</v>
      </c>
      <c r="H836" s="33">
        <v>270.0</v>
      </c>
      <c r="I836" s="238"/>
      <c r="J836" s="5" t="s">
        <v>72</v>
      </c>
      <c r="K836" s="5" t="s">
        <v>3313</v>
      </c>
      <c r="L836" s="16"/>
      <c r="M836" s="19"/>
      <c r="N836" s="16"/>
      <c r="O836" s="16"/>
      <c r="P836" s="16"/>
    </row>
    <row r="837" ht="22.5" customHeight="1">
      <c r="A837" s="138" t="s">
        <v>559</v>
      </c>
      <c r="B837" s="16" t="str">
        <f>IF(A837="","",IFERROR(VLOOKUP(A837, Stock_New!A:M, 2, FALSE),""))</f>
        <v>مقزمات</v>
      </c>
      <c r="C837" s="236">
        <v>1.0</v>
      </c>
      <c r="D837" s="16" t="str">
        <f>IF(A837="","",IFERROR(VLOOKUP(A837, Stock_New!A:M, 3, FALSE),""))</f>
        <v>manufactured</v>
      </c>
      <c r="E837" s="16">
        <f>IF($A837="", "", IFERROR(VLOOKUP($A837, Stock_New!$A:$M, 6, FALSE), ""))</f>
        <v>38.8</v>
      </c>
      <c r="F837" s="239">
        <v>40.0</v>
      </c>
      <c r="H837" s="33">
        <v>40.0</v>
      </c>
      <c r="I837" s="238"/>
      <c r="J837" s="5" t="s">
        <v>72</v>
      </c>
      <c r="K837" s="5" t="s">
        <v>3317</v>
      </c>
      <c r="L837" s="16"/>
      <c r="M837" s="19"/>
      <c r="N837" s="16"/>
      <c r="O837" s="16"/>
      <c r="P837" s="16"/>
    </row>
    <row r="838" ht="22.5" customHeight="1">
      <c r="A838" s="138" t="s">
        <v>788</v>
      </c>
      <c r="B838" s="16" t="str">
        <f>IF(A838="","",IFERROR(VLOOKUP(A838, Stock_New!A:M, 2, FALSE),""))</f>
        <v>سيلفرات</v>
      </c>
      <c r="C838" s="236">
        <v>1.0</v>
      </c>
      <c r="D838" s="16" t="str">
        <f>IF(A838="","",IFERROR(VLOOKUP(A838, Stock_New!A:M, 3, FALSE),""))</f>
        <v>شركة حسين علي</v>
      </c>
      <c r="E838" s="16">
        <f>IF($A838="", "", IFERROR(VLOOKUP($A838, Stock_New!$A:$M, 6, FALSE), ""))</f>
        <v>106.5</v>
      </c>
      <c r="F838" s="239">
        <v>130.0</v>
      </c>
      <c r="H838" s="33">
        <v>130.0</v>
      </c>
      <c r="I838" s="238"/>
      <c r="J838" s="5" t="s">
        <v>72</v>
      </c>
      <c r="K838" s="5" t="s">
        <v>3319</v>
      </c>
      <c r="L838" s="16"/>
      <c r="M838" s="19"/>
      <c r="N838" s="16"/>
      <c r="O838" s="16"/>
      <c r="P838" s="16"/>
    </row>
    <row r="839" ht="22.5" customHeight="1">
      <c r="A839" s="138" t="s">
        <v>48</v>
      </c>
      <c r="B839" s="16" t="str">
        <f>IF(A839="","",IFERROR(VLOOKUP(A839, Stock_New!A:M, 2, FALSE),""))</f>
        <v>بوكيه</v>
      </c>
      <c r="C839" s="236">
        <v>1.0</v>
      </c>
      <c r="D839" s="16" t="str">
        <f>IF(A839="","",IFERROR(VLOOKUP(A839, Stock_New!A:M, 3, FALSE),""))</f>
        <v>ذكريا</v>
      </c>
      <c r="E839" s="16">
        <f>IF($A839="", "", IFERROR(VLOOKUP($A839, Stock_New!$A:$M, 6, FALSE), ""))</f>
        <v>44.4</v>
      </c>
      <c r="F839" s="239">
        <v>50.0</v>
      </c>
      <c r="H839" s="33">
        <v>50.0</v>
      </c>
      <c r="I839" s="238"/>
      <c r="J839" s="5" t="s">
        <v>72</v>
      </c>
      <c r="K839" s="5" t="s">
        <v>3321</v>
      </c>
      <c r="L839" s="16"/>
      <c r="M839" s="19"/>
      <c r="N839" s="16"/>
      <c r="O839" s="16"/>
      <c r="P839" s="16"/>
    </row>
    <row r="840" ht="22.5" customHeight="1">
      <c r="A840" s="138" t="s">
        <v>593</v>
      </c>
      <c r="B840" s="16" t="str">
        <f>IF(A840="","",IFERROR(VLOOKUP(A840, Stock_New!A:M, 2, FALSE),""))</f>
        <v>مزرعة</v>
      </c>
      <c r="C840" s="236">
        <v>2.0</v>
      </c>
      <c r="D840" s="16" t="str">
        <f>IF(A840="","",IFERROR(VLOOKUP(A840, Stock_New!A:M, 3, FALSE),""))</f>
        <v>شركة الفرسان</v>
      </c>
      <c r="E840" s="16">
        <f>IF($A840="", "", IFERROR(VLOOKUP($A840, Stock_New!$A:$M, 6, FALSE), ""))</f>
        <v>66</v>
      </c>
      <c r="F840" s="239">
        <v>80.0</v>
      </c>
      <c r="H840" s="33">
        <v>160.0</v>
      </c>
      <c r="I840" s="238"/>
      <c r="J840" s="5" t="s">
        <v>72</v>
      </c>
      <c r="K840" s="5" t="s">
        <v>3482</v>
      </c>
      <c r="L840" s="16"/>
      <c r="M840" s="19"/>
      <c r="N840" s="16"/>
      <c r="O840" s="16"/>
      <c r="P840" s="16"/>
    </row>
    <row r="841" ht="22.5" customHeight="1">
      <c r="A841" s="138" t="s">
        <v>554</v>
      </c>
      <c r="B841" s="16" t="str">
        <f>IF(A841="","",IFERROR(VLOOKUP(A841, Stock_New!A:M, 2, FALSE),""))</f>
        <v>مقزمات</v>
      </c>
      <c r="C841" s="236">
        <v>1.0</v>
      </c>
      <c r="D841" s="16" t="str">
        <f>IF(A841="","",IFERROR(VLOOKUP(A841, Stock_New!A:M, 3, FALSE),""))</f>
        <v>manufactured</v>
      </c>
      <c r="E841" s="16">
        <f>IF($A841="", "", IFERROR(VLOOKUP($A841, Stock_New!$A:$M, 6, FALSE), ""))</f>
        <v>27.86666667</v>
      </c>
      <c r="F841" s="239">
        <v>40.0</v>
      </c>
      <c r="H841" s="33">
        <v>40.0</v>
      </c>
      <c r="I841" s="238"/>
      <c r="J841" s="5" t="s">
        <v>72</v>
      </c>
      <c r="K841" s="5" t="s">
        <v>3323</v>
      </c>
      <c r="L841" s="16"/>
      <c r="M841" s="19"/>
      <c r="N841" s="16"/>
      <c r="O841" s="16"/>
      <c r="P841" s="16"/>
    </row>
    <row r="842" ht="22.5" customHeight="1">
      <c r="A842" s="138" t="s">
        <v>306</v>
      </c>
      <c r="B842" s="16" t="str">
        <f>IF(A842="","",IFERROR(VLOOKUP(A842, Stock_New!A:M, 2, FALSE),""))</f>
        <v>ورد لوحدة</v>
      </c>
      <c r="C842" s="236">
        <v>4.0</v>
      </c>
      <c r="D842" s="16" t="str">
        <f>IF(A842="","",IFERROR(VLOOKUP(A842, Stock_New!A:M, 3, FALSE),""))</f>
        <v>شركة الفرسان</v>
      </c>
      <c r="E842" s="16">
        <f>IF($A842="", "", IFERROR(VLOOKUP($A842, Stock_New!$A:$M, 6, FALSE), ""))</f>
        <v>11</v>
      </c>
      <c r="F842" s="239">
        <v>25.0</v>
      </c>
      <c r="H842" s="33">
        <v>100.0</v>
      </c>
      <c r="I842" s="238"/>
      <c r="J842" s="5" t="s">
        <v>72</v>
      </c>
      <c r="K842" s="5" t="s">
        <v>3325</v>
      </c>
      <c r="L842" s="16"/>
      <c r="M842" s="19"/>
      <c r="N842" s="16"/>
      <c r="O842" s="16"/>
      <c r="P842" s="16"/>
    </row>
    <row r="843" ht="22.5" customHeight="1">
      <c r="A843" s="138" t="s">
        <v>788</v>
      </c>
      <c r="B843" s="16" t="str">
        <f>IF(A843="","",IFERROR(VLOOKUP(A843, Stock_New!A:M, 2, FALSE),""))</f>
        <v>سيلفرات</v>
      </c>
      <c r="C843" s="236">
        <v>1.0</v>
      </c>
      <c r="D843" s="16" t="str">
        <f>IF(A843="","",IFERROR(VLOOKUP(A843, Stock_New!A:M, 3, FALSE),""))</f>
        <v>شركة حسين علي</v>
      </c>
      <c r="E843" s="16">
        <f>IF($A843="", "", IFERROR(VLOOKUP($A843, Stock_New!$A:$M, 6, FALSE), ""))</f>
        <v>106.5</v>
      </c>
      <c r="F843" s="239">
        <v>130.0</v>
      </c>
      <c r="H843" s="33">
        <v>130.0</v>
      </c>
      <c r="I843" s="238"/>
      <c r="J843" s="5" t="s">
        <v>72</v>
      </c>
      <c r="K843" s="5" t="s">
        <v>3327</v>
      </c>
      <c r="L843" s="16"/>
      <c r="M843" s="19"/>
      <c r="N843" s="16"/>
      <c r="O843" s="16"/>
      <c r="P843" s="16"/>
    </row>
    <row r="844" ht="22.5" customHeight="1">
      <c r="A844" s="138" t="s">
        <v>34</v>
      </c>
      <c r="B844" s="16" t="str">
        <f>IF(A844="","",IFERROR(VLOOKUP(A844, Stock_New!A:M, 2, FALSE),""))</f>
        <v>شجر</v>
      </c>
      <c r="C844" s="236">
        <v>1.0</v>
      </c>
      <c r="D844" s="16" t="str">
        <f>IF(A844="","",IFERROR(VLOOKUP(A844, Stock_New!A:M, 3, FALSE),""))</f>
        <v>manufactured</v>
      </c>
      <c r="E844" s="16">
        <f>IF($A844="", "", IFERROR(VLOOKUP($A844, Stock_New!$A:$M, 6, FALSE), ""))</f>
        <v>108</v>
      </c>
      <c r="F844" s="239">
        <v>300.0</v>
      </c>
      <c r="H844" s="33">
        <v>300.0</v>
      </c>
      <c r="I844" s="238"/>
      <c r="J844" s="5" t="s">
        <v>72</v>
      </c>
      <c r="K844" s="5" t="s">
        <v>3330</v>
      </c>
      <c r="L844" s="16"/>
      <c r="M844" s="19"/>
      <c r="N844" s="16"/>
      <c r="O844" s="16"/>
      <c r="P844" s="16"/>
    </row>
    <row r="845" ht="22.5" customHeight="1">
      <c r="A845" s="138" t="s">
        <v>960</v>
      </c>
      <c r="B845" s="16" t="str">
        <f>IF(A845="","",IFERROR(VLOOKUP(A845, Stock_New!A:M, 2, FALSE),""))</f>
        <v>لوح</v>
      </c>
      <c r="C845" s="236">
        <v>2.0</v>
      </c>
      <c r="D845" s="16" t="str">
        <f>IF(A845="","",IFERROR(VLOOKUP(A845, Stock_New!A:M, 3, FALSE),""))</f>
        <v>شركة الفرسان</v>
      </c>
      <c r="E845" s="16">
        <f>IF($A845="", "", IFERROR(VLOOKUP($A845, Stock_New!$A:$M, 6, FALSE), ""))</f>
        <v>96</v>
      </c>
      <c r="F845" s="239">
        <v>125.0</v>
      </c>
      <c r="H845" s="33">
        <v>250.0</v>
      </c>
      <c r="I845" s="238"/>
      <c r="J845" s="5" t="s">
        <v>72</v>
      </c>
      <c r="K845" s="5" t="s">
        <v>3332</v>
      </c>
      <c r="L845" s="16"/>
      <c r="M845" s="19"/>
      <c r="N845" s="16"/>
      <c r="O845" s="16"/>
      <c r="P845" s="16"/>
    </row>
    <row r="846" ht="22.5" customHeight="1">
      <c r="A846" s="138" t="s">
        <v>34</v>
      </c>
      <c r="B846" s="16" t="str">
        <f>IF(A846="","",IFERROR(VLOOKUP(A846, Stock_New!A:M, 2, FALSE),""))</f>
        <v>شجر</v>
      </c>
      <c r="C846" s="236">
        <v>1.0</v>
      </c>
      <c r="D846" s="16" t="str">
        <f>IF(A846="","",IFERROR(VLOOKUP(A846, Stock_New!A:M, 3, FALSE),""))</f>
        <v>manufactured</v>
      </c>
      <c r="E846" s="16">
        <f>IF($A846="", "", IFERROR(VLOOKUP($A846, Stock_New!$A:$M, 6, FALSE), ""))</f>
        <v>108</v>
      </c>
      <c r="F846" s="239">
        <v>300.0</v>
      </c>
      <c r="H846" s="33">
        <v>300.0</v>
      </c>
      <c r="I846" s="238"/>
      <c r="J846" s="5" t="s">
        <v>72</v>
      </c>
      <c r="K846" s="5" t="s">
        <v>3334</v>
      </c>
      <c r="L846" s="16"/>
      <c r="M846" s="19"/>
      <c r="N846" s="16"/>
      <c r="O846" s="16"/>
      <c r="P846" s="16"/>
    </row>
    <row r="847" ht="22.5" customHeight="1">
      <c r="A847" s="138" t="s">
        <v>559</v>
      </c>
      <c r="B847" s="16" t="str">
        <f>IF(A847="","",IFERROR(VLOOKUP(A847, Stock_New!A:M, 2, FALSE),""))</f>
        <v>مقزمات</v>
      </c>
      <c r="C847" s="236">
        <v>2.0</v>
      </c>
      <c r="D847" s="16" t="str">
        <f>IF(A847="","",IFERROR(VLOOKUP(A847, Stock_New!A:M, 3, FALSE),""))</f>
        <v>manufactured</v>
      </c>
      <c r="E847" s="16">
        <f>IF($A847="", "", IFERROR(VLOOKUP($A847, Stock_New!$A:$M, 6, FALSE), ""))</f>
        <v>38.8</v>
      </c>
      <c r="F847" s="239">
        <v>50.0</v>
      </c>
      <c r="H847" s="33">
        <v>100.0</v>
      </c>
      <c r="I847" s="238"/>
      <c r="J847" s="5" t="s">
        <v>72</v>
      </c>
      <c r="K847" s="5" t="s">
        <v>3336</v>
      </c>
      <c r="L847" s="16"/>
      <c r="M847" s="19"/>
      <c r="N847" s="16"/>
      <c r="O847" s="16"/>
      <c r="P847" s="16"/>
    </row>
    <row r="848" ht="22.5" customHeight="1">
      <c r="A848" s="138" t="s">
        <v>220</v>
      </c>
      <c r="B848" s="16" t="str">
        <f>IF(A848="","",IFERROR(VLOOKUP(A848, Stock_New!A:M, 2, FALSE),""))</f>
        <v>ورد لوحدة</v>
      </c>
      <c r="C848" s="236">
        <v>1.0</v>
      </c>
      <c r="D848" s="16" t="str">
        <f>IF(A848="","",IFERROR(VLOOKUP(A848, Stock_New!A:M, 3, FALSE),""))</f>
        <v>شركة الفرسان</v>
      </c>
      <c r="E848" s="16">
        <f>IF($A848="", "", IFERROR(VLOOKUP($A848, Stock_New!$A:$M, 6, FALSE), ""))</f>
        <v>102</v>
      </c>
      <c r="F848" s="239">
        <v>150.0</v>
      </c>
      <c r="H848" s="33">
        <v>150.0</v>
      </c>
      <c r="I848" s="238"/>
      <c r="J848" s="5" t="s">
        <v>72</v>
      </c>
      <c r="K848" s="5" t="s">
        <v>3337</v>
      </c>
      <c r="L848" s="16"/>
      <c r="M848" s="19"/>
      <c r="N848" s="16"/>
      <c r="O848" s="16"/>
      <c r="P848" s="16"/>
    </row>
    <row r="849" ht="22.5" customHeight="1">
      <c r="A849" s="138" t="s">
        <v>255</v>
      </c>
      <c r="B849" s="16" t="str">
        <f>IF(A849="","",IFERROR(VLOOKUP(A849, Stock_New!A:M, 2, FALSE),""))</f>
        <v>بوتات</v>
      </c>
      <c r="C849" s="236">
        <v>1.0</v>
      </c>
      <c r="D849" s="16" t="str">
        <f>IF(A849="","",IFERROR(VLOOKUP(A849, Stock_New!A:M, 3, FALSE),""))</f>
        <v>manufactured</v>
      </c>
      <c r="E849" s="16">
        <f>IF($A849="", "", IFERROR(VLOOKUP($A849, Stock_New!$A:$M, 6, FALSE), ""))</f>
        <v>27.3</v>
      </c>
      <c r="F849" s="239">
        <v>50.0</v>
      </c>
      <c r="H849" s="33">
        <v>50.0</v>
      </c>
      <c r="I849" s="238"/>
      <c r="J849" s="5" t="s">
        <v>72</v>
      </c>
      <c r="K849" s="5" t="s">
        <v>3339</v>
      </c>
      <c r="L849" s="16"/>
      <c r="M849" s="19"/>
      <c r="N849" s="16"/>
      <c r="O849" s="16"/>
      <c r="P849" s="16"/>
    </row>
    <row r="850" ht="22.5" customHeight="1">
      <c r="A850" s="138" t="s">
        <v>946</v>
      </c>
      <c r="B850" s="16" t="str">
        <f>IF(A850="","",IFERROR(VLOOKUP(A850, Stock_New!A:M, 2, FALSE),""))</f>
        <v>ورد لوحد</v>
      </c>
      <c r="C850" s="236">
        <v>1.0</v>
      </c>
      <c r="D850" s="16" t="str">
        <f>IF(A850="","",IFERROR(VLOOKUP(A850, Stock_New!A:M, 3, FALSE),""))</f>
        <v>شركة الفرسان</v>
      </c>
      <c r="E850" s="16">
        <f>IF($A850="", "", IFERROR(VLOOKUP($A850, Stock_New!$A:$M, 6, FALSE), ""))</f>
        <v>90</v>
      </c>
      <c r="F850" s="239">
        <v>100.0</v>
      </c>
      <c r="H850" s="33">
        <v>100.0</v>
      </c>
      <c r="I850" s="238"/>
      <c r="J850" s="5" t="s">
        <v>72</v>
      </c>
      <c r="K850" s="5" t="s">
        <v>3341</v>
      </c>
      <c r="L850" s="16"/>
      <c r="M850" s="19"/>
      <c r="N850" s="16"/>
      <c r="O850" s="16"/>
      <c r="P850" s="16"/>
    </row>
    <row r="851" ht="22.5" customHeight="1">
      <c r="A851" s="138" t="s">
        <v>885</v>
      </c>
      <c r="B851" s="16" t="str">
        <f>IF(A851="","",IFERROR(VLOOKUP(A851, Stock_New!A:M, 2, FALSE),""))</f>
        <v>ورد لوحدة</v>
      </c>
      <c r="C851" s="236">
        <v>1.0</v>
      </c>
      <c r="D851" s="16" t="str">
        <f>IF(A851="","",IFERROR(VLOOKUP(A851, Stock_New!A:M, 3, FALSE),""))</f>
        <v>شركة حسين علي</v>
      </c>
      <c r="E851" s="16">
        <f>IF($A851="", "", IFERROR(VLOOKUP($A851, Stock_New!$A:$M, 6, FALSE), ""))</f>
        <v>162</v>
      </c>
      <c r="F851" s="239">
        <v>160.0</v>
      </c>
      <c r="H851" s="33">
        <v>160.0</v>
      </c>
      <c r="I851" s="238"/>
      <c r="J851" s="5" t="s">
        <v>72</v>
      </c>
      <c r="K851" s="5" t="s">
        <v>3343</v>
      </c>
      <c r="L851" s="16"/>
      <c r="M851" s="19"/>
      <c r="N851" s="16"/>
      <c r="O851" s="16"/>
      <c r="P851" s="16"/>
    </row>
    <row r="852" ht="22.5" customHeight="1">
      <c r="A852" s="138" t="s">
        <v>255</v>
      </c>
      <c r="B852" s="16" t="str">
        <f>IF(A852="","",IFERROR(VLOOKUP(A852, Stock_New!A:M, 2, FALSE),""))</f>
        <v>بوتات</v>
      </c>
      <c r="C852" s="236">
        <v>1.0</v>
      </c>
      <c r="D852" s="16" t="str">
        <f>IF(A852="","",IFERROR(VLOOKUP(A852, Stock_New!A:M, 3, FALSE),""))</f>
        <v>manufactured</v>
      </c>
      <c r="E852" s="16">
        <f>IF($A852="", "", IFERROR(VLOOKUP($A852, Stock_New!$A:$M, 6, FALSE), ""))</f>
        <v>27.3</v>
      </c>
      <c r="F852" s="239">
        <v>50.0</v>
      </c>
      <c r="H852" s="33">
        <v>50.0</v>
      </c>
      <c r="I852" s="238"/>
      <c r="J852" s="5" t="s">
        <v>72</v>
      </c>
      <c r="K852" s="5" t="s">
        <v>3345</v>
      </c>
      <c r="L852" s="16"/>
      <c r="M852" s="19"/>
      <c r="N852" s="16"/>
      <c r="O852" s="16"/>
      <c r="P852" s="16"/>
    </row>
    <row r="853" ht="22.5" customHeight="1">
      <c r="A853" s="138" t="s">
        <v>812</v>
      </c>
      <c r="B853" s="16" t="str">
        <f>IF(A853="","",IFERROR(VLOOKUP(A853, Stock_New!A:M, 2, FALSE),""))</f>
        <v/>
      </c>
      <c r="C853" s="236">
        <v>2.0</v>
      </c>
      <c r="D853" s="16" t="str">
        <f>IF(A853="","",IFERROR(VLOOKUP(A853, Stock_New!A:M, 3, FALSE),""))</f>
        <v/>
      </c>
      <c r="E853" s="16" t="str">
        <f>IF($A853="", "", IFERROR(VLOOKUP($A853, Stock_New!$A:$M, 6, FALSE), ""))</f>
        <v/>
      </c>
      <c r="F853" s="239">
        <v>20.0</v>
      </c>
      <c r="H853" s="33">
        <v>40.0</v>
      </c>
      <c r="I853" s="238"/>
      <c r="J853" s="5" t="s">
        <v>72</v>
      </c>
      <c r="K853" s="5" t="s">
        <v>3346</v>
      </c>
      <c r="L853" s="16"/>
      <c r="M853" s="19"/>
      <c r="N853" s="16"/>
      <c r="O853" s="16"/>
      <c r="P853" s="16"/>
    </row>
    <row r="854" ht="22.5" customHeight="1">
      <c r="A854" s="138" t="s">
        <v>559</v>
      </c>
      <c r="B854" s="16" t="str">
        <f>IF(A854="","",IFERROR(VLOOKUP(A854, Stock_New!A:M, 2, FALSE),""))</f>
        <v>مقزمات</v>
      </c>
      <c r="C854" s="236">
        <v>2.0</v>
      </c>
      <c r="D854" s="16" t="str">
        <f>IF(A854="","",IFERROR(VLOOKUP(A854, Stock_New!A:M, 3, FALSE),""))</f>
        <v>manufactured</v>
      </c>
      <c r="E854" s="16">
        <f>IF($A854="", "", IFERROR(VLOOKUP($A854, Stock_New!$A:$M, 6, FALSE), ""))</f>
        <v>38.8</v>
      </c>
      <c r="F854" s="239">
        <v>50.0</v>
      </c>
      <c r="H854" s="33">
        <v>100.0</v>
      </c>
      <c r="I854" s="238"/>
      <c r="J854" s="5" t="s">
        <v>72</v>
      </c>
      <c r="K854" s="5" t="s">
        <v>3348</v>
      </c>
      <c r="L854" s="16"/>
      <c r="M854" s="19"/>
      <c r="N854" s="16"/>
      <c r="O854" s="16"/>
      <c r="P854" s="16"/>
    </row>
    <row r="855" ht="22.5" customHeight="1">
      <c r="A855" s="138" t="s">
        <v>172</v>
      </c>
      <c r="B855" s="16" t="str">
        <f>IF(A855="","",IFERROR(VLOOKUP(A855, Stock_New!A:M, 2, FALSE),""))</f>
        <v>بوكيه</v>
      </c>
      <c r="C855" s="236">
        <v>1.0</v>
      </c>
      <c r="D855" s="16" t="str">
        <f>IF(A855="","",IFERROR(VLOOKUP(A855, Stock_New!A:M, 3, FALSE),""))</f>
        <v>ذكريا</v>
      </c>
      <c r="E855" s="16">
        <f>IF($A855="", "", IFERROR(VLOOKUP($A855, Stock_New!$A:$M, 6, FALSE), ""))</f>
        <v>33.84</v>
      </c>
      <c r="F855" s="239">
        <v>35.0</v>
      </c>
      <c r="H855" s="33">
        <v>35.0</v>
      </c>
      <c r="I855" s="238"/>
      <c r="J855" s="5" t="s">
        <v>72</v>
      </c>
      <c r="K855" s="5" t="s">
        <v>3476</v>
      </c>
      <c r="L855" s="16"/>
      <c r="M855" s="19"/>
      <c r="N855" s="16"/>
      <c r="O855" s="16"/>
      <c r="P855" s="16"/>
    </row>
    <row r="856" ht="22.5" customHeight="1">
      <c r="A856" s="138" t="s">
        <v>871</v>
      </c>
      <c r="B856" s="16" t="str">
        <f>IF(A856="","",IFERROR(VLOOKUP(A856, Stock_New!A:M, 2, FALSE),""))</f>
        <v>سيلفرات</v>
      </c>
      <c r="C856" s="236">
        <v>1.0</v>
      </c>
      <c r="D856" s="16" t="str">
        <f>IF(A856="","",IFERROR(VLOOKUP(A856, Stock_New!A:M, 3, FALSE),""))</f>
        <v>شركة حسين علي</v>
      </c>
      <c r="E856" s="16">
        <f>IF($A856="", "", IFERROR(VLOOKUP($A856, Stock_New!$A:$M, 6, FALSE), ""))</f>
        <v>111.6</v>
      </c>
      <c r="F856" s="239">
        <v>120.0</v>
      </c>
      <c r="H856" s="33">
        <v>120.0</v>
      </c>
      <c r="I856" s="238"/>
      <c r="J856" s="5" t="s">
        <v>72</v>
      </c>
      <c r="K856" s="5" t="s">
        <v>3350</v>
      </c>
      <c r="L856" s="16"/>
      <c r="M856" s="19"/>
      <c r="N856" s="16"/>
      <c r="O856" s="16"/>
      <c r="P856" s="16"/>
    </row>
    <row r="857" ht="22.5" customHeight="1">
      <c r="A857" s="138" t="s">
        <v>826</v>
      </c>
      <c r="B857" s="16" t="str">
        <f>IF(A857="","",IFERROR(VLOOKUP(A857, Stock_New!A:M, 2, FALSE),""))</f>
        <v>ساعة</v>
      </c>
      <c r="C857" s="236">
        <v>1.0</v>
      </c>
      <c r="D857" s="16" t="str">
        <f>IF(A857="","",IFERROR(VLOOKUP(A857, Stock_New!A:M, 3, FALSE),""))</f>
        <v>سنتر محمد رشدي</v>
      </c>
      <c r="E857" s="16">
        <f>IF($A857="", "", IFERROR(VLOOKUP($A857, Stock_New!$A:$M, 6, FALSE), ""))</f>
        <v>168</v>
      </c>
      <c r="F857" s="239">
        <v>175.0</v>
      </c>
      <c r="H857" s="33">
        <v>175.0</v>
      </c>
      <c r="I857" s="238"/>
      <c r="J857" s="5" t="s">
        <v>72</v>
      </c>
      <c r="K857" s="5" t="s">
        <v>3352</v>
      </c>
      <c r="L857" s="16"/>
      <c r="M857" s="19"/>
      <c r="N857" s="16"/>
      <c r="O857" s="16"/>
      <c r="P857" s="16"/>
    </row>
    <row r="858" ht="22.5" customHeight="1">
      <c r="A858" s="138" t="s">
        <v>1043</v>
      </c>
      <c r="B858" s="16" t="str">
        <f>IF(A858="","",IFERROR(VLOOKUP(A858, Stock_New!A:M, 2, FALSE),""))</f>
        <v>براويز</v>
      </c>
      <c r="C858" s="236">
        <v>1.0</v>
      </c>
      <c r="D858" s="16" t="str">
        <f>IF(A858="","",IFERROR(VLOOKUP(A858, Stock_New!A:M, 3, FALSE),""))</f>
        <v>شركة الفرسان</v>
      </c>
      <c r="E858" s="16">
        <f>IF($A858="", "", IFERROR(VLOOKUP($A858, Stock_New!$A:$M, 6, FALSE), ""))</f>
        <v>102</v>
      </c>
      <c r="F858" s="239">
        <v>120.0</v>
      </c>
      <c r="H858" s="33">
        <v>120.0</v>
      </c>
      <c r="I858" s="238"/>
      <c r="J858" s="5" t="s">
        <v>72</v>
      </c>
      <c r="K858" s="5" t="s">
        <v>3356</v>
      </c>
      <c r="L858" s="16"/>
      <c r="M858" s="19"/>
      <c r="N858" s="16"/>
      <c r="O858" s="16"/>
      <c r="P858" s="16"/>
    </row>
    <row r="859" ht="22.5" customHeight="1">
      <c r="A859" s="138" t="s">
        <v>1004</v>
      </c>
      <c r="B859" s="16" t="str">
        <f>IF(A859="","",IFERROR(VLOOKUP(A859, Stock_New!A:M, 2, FALSE),""))</f>
        <v>ورد لوحدة</v>
      </c>
      <c r="C859" s="236">
        <v>1.0</v>
      </c>
      <c r="D859" s="16" t="str">
        <f>IF(A859="","",IFERROR(VLOOKUP(A859, Stock_New!A:M, 3, FALSE),""))</f>
        <v>شركة حسين علي</v>
      </c>
      <c r="E859" s="16">
        <f>IF($A859="", "", IFERROR(VLOOKUP($A859, Stock_New!$A:$M, 6, FALSE), ""))</f>
        <v>78</v>
      </c>
      <c r="F859" s="239">
        <v>90.0</v>
      </c>
      <c r="H859" s="33">
        <v>90.0</v>
      </c>
      <c r="I859" s="238"/>
      <c r="J859" s="5" t="s">
        <v>72</v>
      </c>
      <c r="K859" s="5" t="s">
        <v>3358</v>
      </c>
      <c r="L859" s="16"/>
      <c r="M859" s="19"/>
      <c r="N859" s="16"/>
      <c r="O859" s="16"/>
      <c r="P859" s="16"/>
    </row>
    <row r="860" ht="22.5" customHeight="1">
      <c r="A860" s="138" t="s">
        <v>839</v>
      </c>
      <c r="B860" s="16" t="str">
        <f>IF(A860="","",IFERROR(VLOOKUP(A860, Stock_New!A:M, 2, FALSE),""))</f>
        <v>فازة زجاج</v>
      </c>
      <c r="C860" s="236">
        <v>1.0</v>
      </c>
      <c r="D860" s="16" t="str">
        <f>IF(A860="","",IFERROR(VLOOKUP(A860, Stock_New!A:M, 3, FALSE),""))</f>
        <v>سنتر محمد رشدي</v>
      </c>
      <c r="E860" s="16">
        <f>IF($A860="", "", IFERROR(VLOOKUP($A860, Stock_New!$A:$M, 6, FALSE), ""))</f>
        <v>166.8</v>
      </c>
      <c r="F860" s="239">
        <v>160.0</v>
      </c>
      <c r="H860" s="33">
        <v>160.0</v>
      </c>
      <c r="I860" s="238"/>
      <c r="J860" s="5" t="s">
        <v>72</v>
      </c>
      <c r="K860" s="5" t="s">
        <v>3360</v>
      </c>
      <c r="L860" s="16"/>
      <c r="M860" s="19"/>
      <c r="N860" s="16"/>
      <c r="O860" s="16"/>
      <c r="P860" s="16"/>
    </row>
    <row r="861" ht="22.5" customHeight="1">
      <c r="A861" s="138" t="s">
        <v>812</v>
      </c>
      <c r="B861" s="16" t="str">
        <f>IF(A861="","",IFERROR(VLOOKUP(A861, Stock_New!A:M, 2, FALSE),""))</f>
        <v/>
      </c>
      <c r="C861" s="236">
        <v>2.0</v>
      </c>
      <c r="D861" s="16" t="str">
        <f>IF(A861="","",IFERROR(VLOOKUP(A861, Stock_New!A:M, 3, FALSE),""))</f>
        <v/>
      </c>
      <c r="E861" s="16" t="str">
        <f>IF($A861="", "", IFERROR(VLOOKUP($A861, Stock_New!$A:$M, 6, FALSE), ""))</f>
        <v/>
      </c>
      <c r="F861" s="239">
        <v>20.0</v>
      </c>
      <c r="H861" s="33">
        <v>40.0</v>
      </c>
      <c r="I861" s="238"/>
      <c r="J861" s="5" t="s">
        <v>72</v>
      </c>
      <c r="K861" s="5" t="s">
        <v>3364</v>
      </c>
      <c r="L861" s="16"/>
      <c r="M861" s="19"/>
      <c r="N861" s="16"/>
      <c r="O861" s="16"/>
      <c r="P861" s="16"/>
    </row>
    <row r="862" ht="22.5" customHeight="1">
      <c r="A862" s="138" t="s">
        <v>888</v>
      </c>
      <c r="B862" s="16" t="str">
        <f>IF(A862="","",IFERROR(VLOOKUP(A862, Stock_New!A:M, 2, FALSE),""))</f>
        <v>سيلفر</v>
      </c>
      <c r="C862" s="236">
        <v>1.0</v>
      </c>
      <c r="D862" s="16" t="str">
        <f>IF(A862="","",IFERROR(VLOOKUP(A862, Stock_New!A:M, 3, FALSE),""))</f>
        <v>سنتر محمد رشدي</v>
      </c>
      <c r="E862" s="16">
        <f>IF($A862="", "", IFERROR(VLOOKUP($A862, Stock_New!$A:$M, 6, FALSE), ""))</f>
        <v>154.8</v>
      </c>
      <c r="F862" s="239">
        <v>175.0</v>
      </c>
      <c r="H862" s="33">
        <v>175.0</v>
      </c>
      <c r="I862" s="238"/>
      <c r="J862" s="5" t="s">
        <v>72</v>
      </c>
      <c r="K862" s="5" t="s">
        <v>3366</v>
      </c>
      <c r="L862" s="16"/>
      <c r="M862" s="19"/>
      <c r="N862" s="16"/>
      <c r="O862" s="16"/>
      <c r="P862" s="16"/>
    </row>
    <row r="863" ht="22.5" customHeight="1">
      <c r="A863" s="138" t="s">
        <v>646</v>
      </c>
      <c r="B863" s="16" t="str">
        <f>IF(A863="","",IFERROR(VLOOKUP(A863, Stock_New!A:M, 2, FALSE),""))</f>
        <v>سيلفرات</v>
      </c>
      <c r="C863" s="236">
        <v>1.0</v>
      </c>
      <c r="D863" s="16" t="str">
        <f>IF(A863="","",IFERROR(VLOOKUP(A863, Stock_New!A:M, 3, FALSE),""))</f>
        <v>سنتر محمد رشدي</v>
      </c>
      <c r="E863" s="16">
        <f>IF($A863="", "", IFERROR(VLOOKUP($A863, Stock_New!$A:$M, 6, FALSE), ""))</f>
        <v>199.2</v>
      </c>
      <c r="F863" s="239">
        <v>190.0</v>
      </c>
      <c r="H863" s="33">
        <v>190.0</v>
      </c>
      <c r="I863" s="238"/>
      <c r="J863" s="5" t="s">
        <v>72</v>
      </c>
      <c r="K863" s="5" t="s">
        <v>3368</v>
      </c>
      <c r="L863" s="16"/>
      <c r="M863" s="19"/>
      <c r="N863" s="16"/>
      <c r="O863" s="16"/>
      <c r="P863" s="16"/>
    </row>
    <row r="864" ht="22.5" customHeight="1">
      <c r="A864" s="138" t="s">
        <v>255</v>
      </c>
      <c r="B864" s="16" t="str">
        <f>IF(A864="","",IFERROR(VLOOKUP(A864, Stock_New!A:M, 2, FALSE),""))</f>
        <v>بوتات</v>
      </c>
      <c r="C864" s="236">
        <v>1.0</v>
      </c>
      <c r="D864" s="16" t="str">
        <f>IF(A864="","",IFERROR(VLOOKUP(A864, Stock_New!A:M, 3, FALSE),""))</f>
        <v>manufactured</v>
      </c>
      <c r="E864" s="16">
        <f>IF($A864="", "", IFERROR(VLOOKUP($A864, Stock_New!$A:$M, 6, FALSE), ""))</f>
        <v>27.3</v>
      </c>
      <c r="F864" s="239">
        <v>35.0</v>
      </c>
      <c r="H864" s="33">
        <v>35.0</v>
      </c>
      <c r="I864" s="238"/>
      <c r="J864" s="5" t="s">
        <v>72</v>
      </c>
      <c r="K864" s="5" t="s">
        <v>3371</v>
      </c>
      <c r="L864" s="16"/>
      <c r="M864" s="19"/>
      <c r="N864" s="16"/>
      <c r="O864" s="16"/>
      <c r="P864" s="16"/>
    </row>
    <row r="865" ht="22.5" customHeight="1">
      <c r="A865" s="138" t="s">
        <v>756</v>
      </c>
      <c r="B865" s="16" t="str">
        <f>IF(A865="","",IFERROR(VLOOKUP(A865, Stock_New!A:M, 2, FALSE),""))</f>
        <v>ورد لوحدة</v>
      </c>
      <c r="C865" s="236">
        <v>1.0</v>
      </c>
      <c r="D865" s="16" t="str">
        <f>IF(A865="","",IFERROR(VLOOKUP(A865, Stock_New!A:M, 3, FALSE),""))</f>
        <v>شركة حسين علي</v>
      </c>
      <c r="E865" s="16">
        <f>IF($A865="", "", IFERROR(VLOOKUP($A865, Stock_New!$A:$M, 6, FALSE), ""))</f>
        <v>36</v>
      </c>
      <c r="F865" s="239">
        <v>30.0</v>
      </c>
      <c r="H865" s="33">
        <v>30.0</v>
      </c>
      <c r="I865" s="238"/>
      <c r="J865" s="5" t="s">
        <v>72</v>
      </c>
      <c r="K865" s="5" t="s">
        <v>3373</v>
      </c>
      <c r="L865" s="16"/>
      <c r="M865" s="19"/>
      <c r="N865" s="16"/>
      <c r="O865" s="16"/>
      <c r="P865" s="16"/>
    </row>
    <row r="866" ht="22.5" customHeight="1">
      <c r="A866" s="138" t="s">
        <v>898</v>
      </c>
      <c r="B866" s="16" t="str">
        <f>IF(A866="","",IFERROR(VLOOKUP(A866, Stock_New!A:M, 2, FALSE),""))</f>
        <v/>
      </c>
      <c r="C866" s="236">
        <v>2.0</v>
      </c>
      <c r="D866" s="16" t="str">
        <f>IF(A866="","",IFERROR(VLOOKUP(A866, Stock_New!A:M, 3, FALSE),""))</f>
        <v/>
      </c>
      <c r="E866" s="16" t="str">
        <f>IF($A866="", "", IFERROR(VLOOKUP($A866, Stock_New!$A:$M, 6, FALSE), ""))</f>
        <v/>
      </c>
      <c r="F866" s="239">
        <v>20.0</v>
      </c>
      <c r="H866" s="33">
        <v>40.0</v>
      </c>
      <c r="I866" s="238"/>
      <c r="J866" s="5" t="s">
        <v>72</v>
      </c>
      <c r="K866" s="5" t="s">
        <v>3507</v>
      </c>
      <c r="L866" s="16"/>
      <c r="M866" s="19"/>
      <c r="N866" s="16"/>
      <c r="O866" s="16"/>
      <c r="P866" s="16"/>
    </row>
    <row r="867" ht="22.5" customHeight="1">
      <c r="A867" s="138" t="s">
        <v>861</v>
      </c>
      <c r="B867" s="16" t="str">
        <f>IF(A867="","",IFERROR(VLOOKUP(A867, Stock_New!A:M, 2, FALSE),""))</f>
        <v>بخور</v>
      </c>
      <c r="C867" s="236">
        <v>2.0</v>
      </c>
      <c r="D867" s="16" t="str">
        <f>IF(A867="","",IFERROR(VLOOKUP(A867, Stock_New!A:M, 3, FALSE),""))</f>
        <v/>
      </c>
      <c r="E867" s="16">
        <f>IF($A867="", "", IFERROR(VLOOKUP($A867, Stock_New!$A:$M, 6, FALSE), ""))</f>
        <v>28</v>
      </c>
      <c r="F867" s="239">
        <v>35.0</v>
      </c>
      <c r="H867" s="33">
        <v>70.0</v>
      </c>
      <c r="I867" s="238"/>
      <c r="J867" s="5" t="s">
        <v>72</v>
      </c>
      <c r="K867" s="5" t="s">
        <v>3375</v>
      </c>
      <c r="L867" s="16"/>
      <c r="M867" s="19"/>
      <c r="N867" s="16"/>
      <c r="O867" s="16"/>
      <c r="P867" s="16"/>
    </row>
    <row r="868" ht="22.5" customHeight="1">
      <c r="A868" s="138" t="s">
        <v>255</v>
      </c>
      <c r="B868" s="16" t="str">
        <f>IF(A868="","",IFERROR(VLOOKUP(A868, Stock_New!A:M, 2, FALSE),""))</f>
        <v>بوتات</v>
      </c>
      <c r="C868" s="236">
        <v>1.0</v>
      </c>
      <c r="D868" s="16" t="str">
        <f>IF(A868="","",IFERROR(VLOOKUP(A868, Stock_New!A:M, 3, FALSE),""))</f>
        <v>manufactured</v>
      </c>
      <c r="E868" s="16">
        <f>IF($A868="", "", IFERROR(VLOOKUP($A868, Stock_New!$A:$M, 6, FALSE), ""))</f>
        <v>27.3</v>
      </c>
      <c r="F868" s="239">
        <v>50.0</v>
      </c>
      <c r="H868" s="33">
        <v>50.0</v>
      </c>
      <c r="I868" s="238"/>
      <c r="J868" s="5" t="s">
        <v>72</v>
      </c>
      <c r="K868" s="5" t="s">
        <v>3377</v>
      </c>
      <c r="L868" s="16"/>
      <c r="M868" s="19"/>
      <c r="N868" s="16"/>
      <c r="O868" s="16"/>
      <c r="P868" s="16"/>
    </row>
    <row r="869" ht="22.5" customHeight="1">
      <c r="A869" s="138" t="s">
        <v>756</v>
      </c>
      <c r="B869" s="16" t="str">
        <f>IF(A869="","",IFERROR(VLOOKUP(A869, Stock_New!A:M, 2, FALSE),""))</f>
        <v>ورد لوحدة</v>
      </c>
      <c r="C869" s="236">
        <v>1.0</v>
      </c>
      <c r="D869" s="16" t="str">
        <f>IF(A869="","",IFERROR(VLOOKUP(A869, Stock_New!A:M, 3, FALSE),""))</f>
        <v>شركة حسين علي</v>
      </c>
      <c r="E869" s="16">
        <f>IF($A869="", "", IFERROR(VLOOKUP($A869, Stock_New!$A:$M, 6, FALSE), ""))</f>
        <v>36</v>
      </c>
      <c r="F869" s="239">
        <v>50.0</v>
      </c>
      <c r="H869" s="33">
        <v>50.0</v>
      </c>
      <c r="I869" s="238"/>
      <c r="J869" s="5" t="s">
        <v>72</v>
      </c>
      <c r="K869" s="5" t="s">
        <v>3379</v>
      </c>
      <c r="L869" s="16"/>
      <c r="M869" s="19"/>
      <c r="N869" s="16"/>
      <c r="O869" s="16"/>
      <c r="P869" s="16"/>
    </row>
    <row r="870" ht="22.5" customHeight="1">
      <c r="A870" s="138" t="s">
        <v>255</v>
      </c>
      <c r="B870" s="16" t="str">
        <f>IF(A870="","",IFERROR(VLOOKUP(A870, Stock_New!A:M, 2, FALSE),""))</f>
        <v>بوتات</v>
      </c>
      <c r="C870" s="236">
        <v>1.0</v>
      </c>
      <c r="D870" s="16" t="str">
        <f>IF(A870="","",IFERROR(VLOOKUP(A870, Stock_New!A:M, 3, FALSE),""))</f>
        <v>manufactured</v>
      </c>
      <c r="E870" s="16">
        <f>IF($A870="", "", IFERROR(VLOOKUP($A870, Stock_New!$A:$M, 6, FALSE), ""))</f>
        <v>27.3</v>
      </c>
      <c r="F870" s="239">
        <v>50.0</v>
      </c>
      <c r="H870" s="33">
        <v>50.0</v>
      </c>
      <c r="I870" s="238"/>
      <c r="J870" s="5" t="s">
        <v>72</v>
      </c>
      <c r="K870" s="5" t="s">
        <v>3381</v>
      </c>
      <c r="L870" s="16"/>
      <c r="M870" s="19"/>
      <c r="N870" s="16"/>
      <c r="O870" s="16"/>
      <c r="P870" s="16"/>
    </row>
    <row r="871" ht="22.5" customHeight="1">
      <c r="A871" s="138" t="s">
        <v>662</v>
      </c>
      <c r="B871" s="16" t="str">
        <f>IF(A871="","",IFERROR(VLOOKUP(A871, Stock_New!A:M, 2, FALSE),""))</f>
        <v>بوكيه</v>
      </c>
      <c r="C871" s="236">
        <v>1.0</v>
      </c>
      <c r="D871" s="16" t="str">
        <f>IF(A871="","",IFERROR(VLOOKUP(A871, Stock_New!A:M, 3, FALSE),""))</f>
        <v>المهندس</v>
      </c>
      <c r="E871" s="16">
        <f>IF($A871="", "", IFERROR(VLOOKUP($A871, Stock_New!$A:$M, 6, FALSE), ""))</f>
        <v>60</v>
      </c>
      <c r="F871" s="239">
        <v>75.0</v>
      </c>
      <c r="G871" s="15"/>
      <c r="H871" s="33">
        <v>75.0</v>
      </c>
      <c r="I871" s="238">
        <v>46098.0</v>
      </c>
      <c r="J871" s="5" t="s">
        <v>72</v>
      </c>
      <c r="K871" s="5" t="s">
        <v>3383</v>
      </c>
      <c r="L871" s="16"/>
      <c r="M871" s="19"/>
      <c r="N871" s="16"/>
      <c r="O871" s="16"/>
      <c r="P871" s="16"/>
    </row>
    <row r="872" ht="22.5" customHeight="1">
      <c r="A872" s="138" t="s">
        <v>34</v>
      </c>
      <c r="B872" s="16" t="str">
        <f>IF(A872="","",IFERROR(VLOOKUP(A872, Stock_New!A:M, 2, FALSE),""))</f>
        <v>شجر</v>
      </c>
      <c r="C872" s="236">
        <v>1.0</v>
      </c>
      <c r="D872" s="16" t="str">
        <f>IF(A872="","",IFERROR(VLOOKUP(A872, Stock_New!A:M, 3, FALSE),""))</f>
        <v>manufactured</v>
      </c>
      <c r="E872" s="16">
        <f>IF($A872="", "", IFERROR(VLOOKUP($A872, Stock_New!$A:$M, 6, FALSE), ""))</f>
        <v>108</v>
      </c>
      <c r="F872" s="239">
        <v>300.0</v>
      </c>
      <c r="G872" s="15"/>
      <c r="H872" s="33">
        <v>300.0</v>
      </c>
      <c r="I872" s="238">
        <v>46098.0</v>
      </c>
      <c r="J872" s="5" t="s">
        <v>72</v>
      </c>
      <c r="K872" s="5" t="s">
        <v>3384</v>
      </c>
      <c r="L872" s="16"/>
      <c r="M872" s="19"/>
      <c r="N872" s="16"/>
      <c r="O872" s="16"/>
      <c r="P872" s="16"/>
    </row>
    <row r="873" ht="22.5" customHeight="1">
      <c r="A873" s="138" t="s">
        <v>177</v>
      </c>
      <c r="B873" s="16" t="str">
        <f>IF(A873="","",IFERROR(VLOOKUP(A873, Stock_New!A:M, 2, FALSE),""))</f>
        <v>بورسلين</v>
      </c>
      <c r="C873" s="236">
        <v>3.0</v>
      </c>
      <c r="D873" s="16" t="str">
        <f>IF(A873="","",IFERROR(VLOOKUP(A873, Stock_New!A:M, 3, FALSE),""))</f>
        <v>شركة حسين علي</v>
      </c>
      <c r="E873" s="16">
        <f>IF($A873="", "", IFERROR(VLOOKUP($A873, Stock_New!$A:$M, 6, FALSE), ""))</f>
        <v>90</v>
      </c>
      <c r="F873" s="239">
        <v>100.0</v>
      </c>
      <c r="G873" s="15"/>
      <c r="H873" s="33">
        <v>300.0</v>
      </c>
      <c r="I873" s="238">
        <v>46098.0</v>
      </c>
      <c r="J873" s="5" t="s">
        <v>72</v>
      </c>
      <c r="K873" s="5" t="s">
        <v>3468</v>
      </c>
      <c r="L873" s="16"/>
      <c r="M873" s="19"/>
      <c r="N873" s="16"/>
      <c r="O873" s="16"/>
      <c r="P873" s="16"/>
    </row>
    <row r="874" ht="22.5" customHeight="1">
      <c r="A874" s="373"/>
      <c r="B874" s="16" t="str">
        <f>IF(A874="","",IFERROR(VLOOKUP(A874, Stock_New!A:M, 2, FALSE),""))</f>
        <v/>
      </c>
      <c r="C874" s="236"/>
      <c r="D874" s="16" t="str">
        <f>IF(A874="","",IFERROR(VLOOKUP(A874, Stock_New!A:M, 3, FALSE),""))</f>
        <v/>
      </c>
      <c r="E874" s="16" t="str">
        <f>IF($A874="", "", IFERROR(VLOOKUP($A874, Stock_New!$A:$M, 6, FALSE), ""))</f>
        <v/>
      </c>
      <c r="F874" s="239"/>
      <c r="H874" s="33">
        <f>F874*C874</f>
        <v>0</v>
      </c>
      <c r="I874" s="238"/>
      <c r="J874" s="5" t="s">
        <v>782</v>
      </c>
      <c r="K874" s="5"/>
      <c r="L874" s="16"/>
      <c r="M874" s="19"/>
      <c r="N874" s="16"/>
      <c r="O874" s="16"/>
      <c r="P874" s="16"/>
    </row>
    <row r="875" ht="22.5" customHeight="1">
      <c r="A875" s="138" t="s">
        <v>963</v>
      </c>
      <c r="B875" s="16" t="str">
        <f>IF(A875="","",IFERROR(VLOOKUP(A875, Stock_New!A:M, 2, FALSE),""))</f>
        <v>بوكيه</v>
      </c>
      <c r="C875" s="236">
        <v>1.0</v>
      </c>
      <c r="D875" s="16" t="str">
        <f>IF(A875="","",IFERROR(VLOOKUP(A875, Stock_New!A:M, 3, FALSE),""))</f>
        <v>manufactured</v>
      </c>
      <c r="E875" s="16">
        <f>IF($A875="", "", IFERROR(VLOOKUP($A875, Stock_New!$A:$M, 6, FALSE), ""))</f>
        <v>19.3125</v>
      </c>
      <c r="F875" s="239">
        <v>40.0</v>
      </c>
      <c r="G875" s="16"/>
      <c r="H875" s="33">
        <v>40.0</v>
      </c>
      <c r="I875" s="238">
        <v>46098.0</v>
      </c>
      <c r="J875" s="5" t="s">
        <v>72</v>
      </c>
      <c r="K875" s="5" t="s">
        <v>3386</v>
      </c>
      <c r="L875" s="16"/>
      <c r="M875" s="19"/>
      <c r="N875" s="16"/>
      <c r="O875" s="16"/>
      <c r="P875" s="16"/>
    </row>
    <row r="876" ht="22.5" customHeight="1">
      <c r="A876" s="138" t="s">
        <v>48</v>
      </c>
      <c r="B876" s="16" t="str">
        <f>IF(A876="","",IFERROR(VLOOKUP(A876, Stock_New!A:M, 2, FALSE),""))</f>
        <v>بوكيه</v>
      </c>
      <c r="C876" s="236">
        <v>1.0</v>
      </c>
      <c r="D876" s="16" t="str">
        <f>IF(A876="","",IFERROR(VLOOKUP(A876, Stock_New!A:M, 3, FALSE),""))</f>
        <v>ذكريا</v>
      </c>
      <c r="E876" s="16">
        <f>IF($A876="", "", IFERROR(VLOOKUP($A876, Stock_New!$A:$M, 6, FALSE), ""))</f>
        <v>44.4</v>
      </c>
      <c r="F876" s="239">
        <v>50.0</v>
      </c>
      <c r="G876" s="16"/>
      <c r="H876" s="33">
        <v>50.0</v>
      </c>
      <c r="I876" s="238">
        <v>46098.0</v>
      </c>
      <c r="J876" s="5" t="s">
        <v>72</v>
      </c>
      <c r="K876" s="5" t="s">
        <v>3388</v>
      </c>
      <c r="L876" s="16"/>
      <c r="M876" s="19"/>
      <c r="N876" s="16"/>
      <c r="O876" s="16"/>
      <c r="P876" s="16"/>
    </row>
    <row r="877" ht="22.5" customHeight="1">
      <c r="A877" s="138" t="s">
        <v>172</v>
      </c>
      <c r="B877" s="16" t="str">
        <f>IF(A877="","",IFERROR(VLOOKUP(A877, Stock_New!A:M, 2, FALSE),""))</f>
        <v>بوكيه</v>
      </c>
      <c r="C877" s="236">
        <v>1.0</v>
      </c>
      <c r="D877" s="16" t="str">
        <f>IF(A877="","",IFERROR(VLOOKUP(A877, Stock_New!A:M, 3, FALSE),""))</f>
        <v>ذكريا</v>
      </c>
      <c r="E877" s="16">
        <f>IF($A877="", "", IFERROR(VLOOKUP($A877, Stock_New!$A:$M, 6, FALSE), ""))</f>
        <v>33.84</v>
      </c>
      <c r="F877" s="239">
        <v>40.0</v>
      </c>
      <c r="G877" s="16"/>
      <c r="H877" s="33">
        <v>40.0</v>
      </c>
      <c r="I877" s="238">
        <v>46098.0</v>
      </c>
      <c r="J877" s="5" t="s">
        <v>72</v>
      </c>
      <c r="K877" s="5" t="s">
        <v>3478</v>
      </c>
      <c r="L877" s="16"/>
      <c r="M877" s="19"/>
      <c r="N877" s="16"/>
      <c r="O877" s="16"/>
      <c r="P877" s="16"/>
    </row>
    <row r="878" ht="22.5" customHeight="1">
      <c r="A878" s="138" t="s">
        <v>645</v>
      </c>
      <c r="B878" s="16" t="str">
        <f>IF(A878="","",IFERROR(VLOOKUP(A878, Stock_New!A:M, 2, FALSE),""))</f>
        <v>بوكيه</v>
      </c>
      <c r="C878" s="236">
        <v>2.0</v>
      </c>
      <c r="D878" s="16"/>
      <c r="E878" s="16">
        <f>IF($A878="", "", IFERROR(VLOOKUP($A878, Stock_New!$A:$M, 6, FALSE), ""))</f>
        <v>20.4</v>
      </c>
      <c r="F878" s="239">
        <v>25.0</v>
      </c>
      <c r="G878" s="16"/>
      <c r="H878" s="33">
        <v>50.0</v>
      </c>
      <c r="I878" s="238">
        <v>46098.0</v>
      </c>
      <c r="J878" s="5" t="s">
        <v>72</v>
      </c>
      <c r="K878" s="5" t="s">
        <v>3390</v>
      </c>
      <c r="L878" s="16"/>
      <c r="M878" s="19"/>
      <c r="N878" s="16"/>
      <c r="O878" s="16"/>
      <c r="P878" s="16"/>
    </row>
    <row r="879" ht="22.5" customHeight="1">
      <c r="A879" s="138" t="s">
        <v>902</v>
      </c>
      <c r="B879" s="16" t="str">
        <f>IF(A879="","",IFERROR(VLOOKUP(A879, Stock_New!A:M, 2, FALSE),""))</f>
        <v>خشب</v>
      </c>
      <c r="C879" s="236">
        <v>1.0</v>
      </c>
      <c r="D879" s="16" t="str">
        <f>IF(A879="","",IFERROR(VLOOKUP(A879, Stock_New!A:M, 3, FALSE),""))</f>
        <v>شركة حسين علي</v>
      </c>
      <c r="E879" s="16">
        <f>IF($A879="", "", IFERROR(VLOOKUP($A879, Stock_New!$A:$M, 6, FALSE), ""))</f>
        <v>108.35</v>
      </c>
      <c r="F879" s="239">
        <v>100.0</v>
      </c>
      <c r="G879" s="16"/>
      <c r="H879" s="33">
        <v>100.0</v>
      </c>
      <c r="I879" s="238">
        <v>46098.0</v>
      </c>
      <c r="J879" s="5" t="s">
        <v>72</v>
      </c>
      <c r="K879" s="5" t="s">
        <v>3392</v>
      </c>
      <c r="L879" s="16"/>
      <c r="M879" s="19"/>
      <c r="N879" s="16"/>
      <c r="O879" s="16"/>
      <c r="P879" s="16"/>
    </row>
    <row r="880" ht="22.5" customHeight="1">
      <c r="A880" s="138" t="s">
        <v>768</v>
      </c>
      <c r="B880" s="16" t="str">
        <f>IF(A880="","",IFERROR(VLOOKUP(A880, Stock_New!A:M, 2, FALSE),""))</f>
        <v>خزف</v>
      </c>
      <c r="C880" s="236">
        <v>1.0</v>
      </c>
      <c r="D880" s="16" t="str">
        <f>IF(A880="","",IFERROR(VLOOKUP(A880, Stock_New!A:M, 3, FALSE),""))</f>
        <v>ذكريا</v>
      </c>
      <c r="E880" s="16">
        <f>IF($A880="", "", IFERROR(VLOOKUP($A880, Stock_New!$A:$M, 6, FALSE), ""))</f>
        <v>36</v>
      </c>
      <c r="F880" s="239">
        <v>80.0</v>
      </c>
      <c r="G880" s="16"/>
      <c r="H880" s="33">
        <v>80.0</v>
      </c>
      <c r="I880" s="238">
        <v>46098.0</v>
      </c>
      <c r="J880" s="5" t="s">
        <v>72</v>
      </c>
      <c r="K880" s="5" t="s">
        <v>3394</v>
      </c>
      <c r="L880" s="16"/>
      <c r="M880" s="19"/>
      <c r="N880" s="16"/>
      <c r="O880" s="16"/>
      <c r="P880" s="16"/>
    </row>
    <row r="881" ht="22.5" customHeight="1">
      <c r="A881" s="138" t="s">
        <v>812</v>
      </c>
      <c r="B881" s="16" t="str">
        <f>IF(A881="","",IFERROR(VLOOKUP(A881, Stock_New!A:M, 2, FALSE),""))</f>
        <v/>
      </c>
      <c r="C881" s="236">
        <v>1.0</v>
      </c>
      <c r="D881" s="16" t="str">
        <f>IF(A881="","",IFERROR(VLOOKUP(A881, Stock_New!A:M, 3, FALSE),""))</f>
        <v/>
      </c>
      <c r="E881" s="16" t="str">
        <f>IF($A881="", "", IFERROR(VLOOKUP($A881, Stock_New!$A:$M, 6, FALSE), ""))</f>
        <v/>
      </c>
      <c r="F881" s="239">
        <v>20.0</v>
      </c>
      <c r="G881" s="16"/>
      <c r="H881" s="33">
        <v>20.0</v>
      </c>
      <c r="I881" s="238">
        <v>46098.0</v>
      </c>
      <c r="J881" s="5" t="s">
        <v>72</v>
      </c>
      <c r="K881" s="5" t="s">
        <v>3398</v>
      </c>
      <c r="L881" s="16"/>
      <c r="M881" s="19"/>
      <c r="N881" s="16"/>
      <c r="O881" s="16"/>
      <c r="P881" s="16"/>
    </row>
    <row r="882" ht="22.5" customHeight="1">
      <c r="A882" s="138" t="s">
        <v>77</v>
      </c>
      <c r="B882" s="16" t="str">
        <f>IF(A882="","",IFERROR(VLOOKUP(A882, Stock_New!A:M, 2, FALSE),""))</f>
        <v>شجر</v>
      </c>
      <c r="C882" s="236">
        <v>1.0</v>
      </c>
      <c r="D882" s="16" t="str">
        <f>IF(A882="","",IFERROR(VLOOKUP(A882, Stock_New!A:M, 3, FALSE),""))</f>
        <v>manufactured</v>
      </c>
      <c r="E882" s="16">
        <f>IF($A882="", "", IFERROR(VLOOKUP($A882, Stock_New!$A:$M, 6, FALSE), ""))</f>
        <v>378</v>
      </c>
      <c r="F882" s="239">
        <v>400.0</v>
      </c>
      <c r="G882" s="16"/>
      <c r="H882" s="33">
        <v>400.0</v>
      </c>
      <c r="I882" s="238">
        <v>46098.0</v>
      </c>
      <c r="J882" s="5" t="s">
        <v>72</v>
      </c>
      <c r="K882" s="5" t="s">
        <v>3503</v>
      </c>
      <c r="L882" s="16"/>
      <c r="M882" s="19"/>
      <c r="N882" s="16"/>
      <c r="O882" s="16"/>
      <c r="P882" s="16"/>
    </row>
    <row r="883" ht="22.5" customHeight="1">
      <c r="A883" s="138" t="s">
        <v>1043</v>
      </c>
      <c r="B883" s="16" t="str">
        <f>IF(A883="","",IFERROR(VLOOKUP(A883, Stock_New!A:M, 2, FALSE),""))</f>
        <v>براويز</v>
      </c>
      <c r="C883" s="236">
        <v>2.0</v>
      </c>
      <c r="D883" s="16" t="str">
        <f>IF(A883="","",IFERROR(VLOOKUP(A883, Stock_New!A:M, 3, FALSE),""))</f>
        <v>شركة الفرسان</v>
      </c>
      <c r="E883" s="16">
        <f>IF($A883="", "", IFERROR(VLOOKUP($A883, Stock_New!$A:$M, 6, FALSE), ""))</f>
        <v>102</v>
      </c>
      <c r="F883" s="239">
        <v>140.0</v>
      </c>
      <c r="G883" s="16"/>
      <c r="H883" s="33">
        <v>280.0</v>
      </c>
      <c r="I883" s="238">
        <v>46098.0</v>
      </c>
      <c r="J883" s="5" t="s">
        <v>72</v>
      </c>
      <c r="K883" s="5" t="s">
        <v>3400</v>
      </c>
      <c r="L883" s="16"/>
      <c r="M883" s="19"/>
      <c r="N883" s="16"/>
      <c r="O883" s="16"/>
      <c r="P883" s="16"/>
    </row>
    <row r="884" ht="22.5" customHeight="1">
      <c r="A884" s="138" t="s">
        <v>250</v>
      </c>
      <c r="B884" s="16" t="str">
        <f>IF(A884="","",IFERROR(VLOOKUP(A884, Stock_New!A:M, 2, FALSE),""))</f>
        <v>شجر</v>
      </c>
      <c r="C884" s="236">
        <v>1.0</v>
      </c>
      <c r="D884" s="16" t="str">
        <f>IF(A884="","",IFERROR(VLOOKUP(A884, Stock_New!A:M, 3, FALSE),""))</f>
        <v>ذكريا</v>
      </c>
      <c r="E884" s="16">
        <f>IF($A884="", "", IFERROR(VLOOKUP($A884, Stock_New!$A:$M, 6, FALSE), ""))</f>
        <v>174</v>
      </c>
      <c r="F884" s="239">
        <v>220.0</v>
      </c>
      <c r="G884" s="16"/>
      <c r="H884" s="33">
        <v>220.0</v>
      </c>
      <c r="I884" s="238">
        <v>46098.0</v>
      </c>
      <c r="J884" s="5" t="s">
        <v>72</v>
      </c>
      <c r="K884" s="5" t="s">
        <v>3483</v>
      </c>
      <c r="L884" s="16"/>
      <c r="M884" s="19"/>
      <c r="N884" s="16"/>
      <c r="O884" s="16"/>
      <c r="P884" s="16"/>
    </row>
    <row r="885" ht="22.5" customHeight="1">
      <c r="A885" s="138" t="s">
        <v>165</v>
      </c>
      <c r="B885" s="16" t="str">
        <f>IF(A885="","",IFERROR(VLOOKUP(A885, Stock_New!A:M, 2, FALSE),""))</f>
        <v>بوتات</v>
      </c>
      <c r="C885" s="236">
        <v>1.0</v>
      </c>
      <c r="D885" s="16" t="str">
        <f>IF(A885="","",IFERROR(VLOOKUP(A885, Stock_New!A:M, 3, FALSE),""))</f>
        <v>ذكريا</v>
      </c>
      <c r="E885" s="16">
        <f>IF($A885="", "", IFERROR(VLOOKUP($A885, Stock_New!$A:$M, 6, FALSE), ""))</f>
        <v>106.88</v>
      </c>
      <c r="F885" s="239">
        <v>100.0</v>
      </c>
      <c r="G885" s="16"/>
      <c r="H885" s="33">
        <v>100.0</v>
      </c>
      <c r="I885" s="238">
        <v>46098.0</v>
      </c>
      <c r="J885" s="5" t="s">
        <v>72</v>
      </c>
      <c r="K885" s="5" t="s">
        <v>3402</v>
      </c>
      <c r="L885" s="16"/>
      <c r="M885" s="19"/>
      <c r="N885" s="16"/>
      <c r="O885" s="16"/>
      <c r="P885" s="16"/>
    </row>
    <row r="886" ht="22.5" customHeight="1">
      <c r="A886" s="138" t="s">
        <v>206</v>
      </c>
      <c r="B886" s="16" t="str">
        <f>IF(A886="","",IFERROR(VLOOKUP(A886, Stock_New!A:M, 2, FALSE),""))</f>
        <v>سيلفرات</v>
      </c>
      <c r="C886" s="236">
        <v>1.0</v>
      </c>
      <c r="D886" s="16" t="str">
        <f>IF(A886="","",IFERROR(VLOOKUP(A886, Stock_New!A:M, 3, FALSE),""))</f>
        <v>ذكريا</v>
      </c>
      <c r="E886" s="16">
        <f>IF($A886="", "", IFERROR(VLOOKUP($A886, Stock_New!$A:$M, 6, FALSE), ""))</f>
        <v>186</v>
      </c>
      <c r="F886" s="239">
        <v>200.0</v>
      </c>
      <c r="G886" s="16"/>
      <c r="H886" s="33">
        <v>200.0</v>
      </c>
      <c r="I886" s="238">
        <v>46098.0</v>
      </c>
      <c r="J886" s="5" t="s">
        <v>72</v>
      </c>
      <c r="K886" s="5" t="s">
        <v>3404</v>
      </c>
      <c r="L886" s="16"/>
      <c r="M886" s="19"/>
      <c r="N886" s="16"/>
      <c r="O886" s="16"/>
      <c r="P886" s="16"/>
    </row>
    <row r="887" ht="22.5" customHeight="1">
      <c r="A887" s="138" t="s">
        <v>1043</v>
      </c>
      <c r="B887" s="16" t="str">
        <f>IF(A887="","",IFERROR(VLOOKUP(A887, Stock_New!A:M, 2, FALSE),""))</f>
        <v>براويز</v>
      </c>
      <c r="C887" s="236">
        <v>1.0</v>
      </c>
      <c r="D887" s="16" t="str">
        <f>IF(A887="","",IFERROR(VLOOKUP(A887, Stock_New!A:M, 3, FALSE),""))</f>
        <v>شركة الفرسان</v>
      </c>
      <c r="E887" s="16">
        <f>IF($A887="", "", IFERROR(VLOOKUP($A887, Stock_New!$A:$M, 6, FALSE), ""))</f>
        <v>102</v>
      </c>
      <c r="F887" s="239">
        <v>140.0</v>
      </c>
      <c r="G887" s="16"/>
      <c r="H887" s="33">
        <v>140.0</v>
      </c>
      <c r="I887" s="238">
        <v>46098.0</v>
      </c>
      <c r="J887" s="5" t="s">
        <v>72</v>
      </c>
      <c r="K887" s="5" t="s">
        <v>3470</v>
      </c>
      <c r="L887" s="16"/>
      <c r="M887" s="19"/>
      <c r="N887" s="16"/>
      <c r="O887" s="16"/>
      <c r="P887" s="16"/>
    </row>
    <row r="888" ht="22.5" customHeight="1">
      <c r="A888" s="138" t="s">
        <v>309</v>
      </c>
      <c r="B888" s="16" t="str">
        <f>IF(A888="","",IFERROR(VLOOKUP(A888, Stock_New!A:M, 2, FALSE),""))</f>
        <v>بوتات</v>
      </c>
      <c r="C888" s="236">
        <v>2.0</v>
      </c>
      <c r="D888" s="16" t="str">
        <f>IF(A888="","",IFERROR(VLOOKUP(A888, Stock_New!A:M, 3, FALSE),""))</f>
        <v>شركة حسين علي</v>
      </c>
      <c r="E888" s="16">
        <f>IF($A888="", "", IFERROR(VLOOKUP($A888, Stock_New!$A:$M, 6, FALSE), ""))</f>
        <v>24</v>
      </c>
      <c r="F888" s="239">
        <v>50.0</v>
      </c>
      <c r="G888" s="16"/>
      <c r="H888" s="33">
        <v>100.0</v>
      </c>
      <c r="I888" s="238">
        <v>46098.0</v>
      </c>
      <c r="J888" s="5" t="s">
        <v>72</v>
      </c>
      <c r="K888" s="5" t="s">
        <v>3485</v>
      </c>
      <c r="L888" s="16"/>
      <c r="M888" s="19"/>
      <c r="N888" s="16"/>
      <c r="O888" s="16"/>
      <c r="P888" s="16"/>
    </row>
    <row r="889" ht="22.5" customHeight="1">
      <c r="A889" s="138" t="s">
        <v>756</v>
      </c>
      <c r="B889" s="16" t="str">
        <f>IF(A889="","",IFERROR(VLOOKUP(A889, Stock_New!A:M, 2, FALSE),""))</f>
        <v>ورد لوحدة</v>
      </c>
      <c r="C889" s="236">
        <v>2.0</v>
      </c>
      <c r="D889" s="16" t="str">
        <f>IF(A889="","",IFERROR(VLOOKUP(A889, Stock_New!A:M, 3, FALSE),""))</f>
        <v>شركة حسين علي</v>
      </c>
      <c r="E889" s="16">
        <f>IF($A889="", "", IFERROR(VLOOKUP($A889, Stock_New!$A:$M, 6, FALSE), ""))</f>
        <v>36</v>
      </c>
      <c r="F889" s="239">
        <v>70.0</v>
      </c>
      <c r="G889" s="16"/>
      <c r="H889" s="33">
        <v>140.0</v>
      </c>
      <c r="I889" s="238">
        <v>46098.0</v>
      </c>
      <c r="J889" s="5" t="s">
        <v>72</v>
      </c>
      <c r="K889" s="5" t="s">
        <v>3405</v>
      </c>
      <c r="L889" s="16"/>
      <c r="M889" s="19"/>
      <c r="N889" s="16"/>
      <c r="O889" s="16"/>
      <c r="P889" s="16"/>
    </row>
    <row r="890" ht="22.5" customHeight="1">
      <c r="A890" s="138" t="s">
        <v>46</v>
      </c>
      <c r="B890" s="16" t="str">
        <f>IF(A890="","",IFERROR(VLOOKUP(A890, Stock_New!A:M, 2, FALSE),""))</f>
        <v>بوكيه</v>
      </c>
      <c r="C890" s="236">
        <v>1.0</v>
      </c>
      <c r="D890" s="16" t="str">
        <f>IF(A890="","",IFERROR(VLOOKUP(A890, Stock_New!A:M, 3, FALSE),""))</f>
        <v>manufactured</v>
      </c>
      <c r="E890" s="16">
        <f>IF($A890="", "", IFERROR(VLOOKUP($A890, Stock_New!$A:$M, 6, FALSE), ""))</f>
        <v>116.256</v>
      </c>
      <c r="F890" s="239">
        <v>270.0</v>
      </c>
      <c r="G890" s="16"/>
      <c r="H890" s="33">
        <v>270.0</v>
      </c>
      <c r="I890" s="238">
        <v>46098.0</v>
      </c>
      <c r="J890" s="5" t="s">
        <v>72</v>
      </c>
      <c r="K890" s="5" t="s">
        <v>3407</v>
      </c>
      <c r="L890" s="16"/>
      <c r="M890" s="19"/>
      <c r="N890" s="16"/>
      <c r="O890" s="16"/>
      <c r="P890" s="16"/>
    </row>
    <row r="891" ht="22.5" customHeight="1">
      <c r="A891" s="138" t="s">
        <v>559</v>
      </c>
      <c r="B891" s="16" t="str">
        <f>IF(A891="","",IFERROR(VLOOKUP(A891, Stock_New!A:M, 2, FALSE),""))</f>
        <v>مقزمات</v>
      </c>
      <c r="C891" s="236">
        <v>1.0</v>
      </c>
      <c r="D891" s="16" t="str">
        <f>IF(A891="","",IFERROR(VLOOKUP(A891, Stock_New!A:M, 3, FALSE),""))</f>
        <v>manufactured</v>
      </c>
      <c r="E891" s="16">
        <f>IF($A891="", "", IFERROR(VLOOKUP($A891, Stock_New!$A:$M, 6, FALSE), ""))</f>
        <v>38.8</v>
      </c>
      <c r="F891" s="239">
        <v>50.0</v>
      </c>
      <c r="G891" s="16"/>
      <c r="H891" s="33">
        <v>50.0</v>
      </c>
      <c r="I891" s="238">
        <v>46098.0</v>
      </c>
      <c r="J891" s="5" t="s">
        <v>72</v>
      </c>
      <c r="K891" s="5" t="s">
        <v>3409</v>
      </c>
      <c r="L891" s="16"/>
      <c r="M891" s="19"/>
      <c r="N891" s="16"/>
      <c r="O891" s="16"/>
      <c r="P891" s="16"/>
    </row>
    <row r="892" ht="22.5" customHeight="1">
      <c r="A892" s="138" t="s">
        <v>788</v>
      </c>
      <c r="B892" s="16" t="str">
        <f>IF(A892="","",IFERROR(VLOOKUP(A892, Stock_New!A:M, 2, FALSE),""))</f>
        <v>سيلفرات</v>
      </c>
      <c r="C892" s="236">
        <v>1.0</v>
      </c>
      <c r="D892" s="16" t="str">
        <f>IF(A892="","",IFERROR(VLOOKUP(A892, Stock_New!A:M, 3, FALSE),""))</f>
        <v>شركة حسين علي</v>
      </c>
      <c r="E892" s="16">
        <f>IF($A892="", "", IFERROR(VLOOKUP($A892, Stock_New!$A:$M, 6, FALSE), ""))</f>
        <v>106.5</v>
      </c>
      <c r="F892" s="239">
        <v>130.0</v>
      </c>
      <c r="G892" s="16"/>
      <c r="H892" s="33">
        <v>130.0</v>
      </c>
      <c r="I892" s="238">
        <v>46098.0</v>
      </c>
      <c r="J892" s="5" t="s">
        <v>72</v>
      </c>
      <c r="K892" s="5" t="s">
        <v>3411</v>
      </c>
      <c r="L892" s="16"/>
      <c r="M892" s="19"/>
      <c r="N892" s="16"/>
      <c r="O892" s="16"/>
      <c r="P892" s="16"/>
    </row>
    <row r="893" ht="22.5" customHeight="1">
      <c r="A893" s="138" t="s">
        <v>593</v>
      </c>
      <c r="B893" s="16" t="str">
        <f>IF(A893="","",IFERROR(VLOOKUP(A893, Stock_New!A:M, 2, FALSE),""))</f>
        <v>مزرعة</v>
      </c>
      <c r="C893" s="236">
        <v>2.0</v>
      </c>
      <c r="D893" s="16" t="str">
        <f>IF(A893="","",IFERROR(VLOOKUP(A893, Stock_New!A:M, 3, FALSE),""))</f>
        <v>شركة الفرسان</v>
      </c>
      <c r="E893" s="16">
        <f>IF($A893="", "", IFERROR(VLOOKUP($A893, Stock_New!$A:$M, 6, FALSE), ""))</f>
        <v>66</v>
      </c>
      <c r="F893" s="239">
        <v>80.0</v>
      </c>
      <c r="G893" s="16"/>
      <c r="H893" s="33">
        <v>160.0</v>
      </c>
      <c r="I893" s="238">
        <v>46098.0</v>
      </c>
      <c r="J893" s="5" t="s">
        <v>72</v>
      </c>
      <c r="K893" s="5" t="s">
        <v>3487</v>
      </c>
      <c r="L893" s="16"/>
      <c r="M893" s="19"/>
      <c r="N893" s="16"/>
      <c r="O893" s="16"/>
      <c r="P893" s="16"/>
    </row>
    <row r="894" ht="22.5" customHeight="1">
      <c r="A894" s="138" t="s">
        <v>554</v>
      </c>
      <c r="B894" s="16" t="str">
        <f>IF(A894="","",IFERROR(VLOOKUP(A894, Stock_New!A:M, 2, FALSE),""))</f>
        <v>مقزمات</v>
      </c>
      <c r="C894" s="236">
        <v>1.0</v>
      </c>
      <c r="D894" s="16" t="str">
        <f>IF(A894="","",IFERROR(VLOOKUP(A894, Stock_New!A:M, 3, FALSE),""))</f>
        <v>manufactured</v>
      </c>
      <c r="E894" s="16">
        <f>IF($A894="", "", IFERROR(VLOOKUP($A894, Stock_New!$A:$M, 6, FALSE), ""))</f>
        <v>27.86666667</v>
      </c>
      <c r="F894" s="239">
        <v>40.0</v>
      </c>
      <c r="G894" s="16"/>
      <c r="H894" s="33">
        <v>40.0</v>
      </c>
      <c r="I894" s="238">
        <v>46098.0</v>
      </c>
      <c r="J894" s="5" t="s">
        <v>72</v>
      </c>
      <c r="K894" s="5" t="s">
        <v>3413</v>
      </c>
      <c r="L894" s="16"/>
      <c r="M894" s="19"/>
      <c r="N894" s="16"/>
      <c r="O894" s="16"/>
      <c r="P894" s="16"/>
    </row>
    <row r="895" ht="22.5" customHeight="1">
      <c r="A895" s="138" t="s">
        <v>306</v>
      </c>
      <c r="B895" s="16" t="str">
        <f>IF(A895="","",IFERROR(VLOOKUP(A895, Stock_New!A:M, 2, FALSE),""))</f>
        <v>ورد لوحدة</v>
      </c>
      <c r="C895" s="236">
        <v>4.0</v>
      </c>
      <c r="D895" s="16" t="str">
        <f>IF(A895="","",IFERROR(VLOOKUP(A895, Stock_New!A:M, 3, FALSE),""))</f>
        <v>شركة الفرسان</v>
      </c>
      <c r="E895" s="16">
        <f>IF($A895="", "", IFERROR(VLOOKUP($A895, Stock_New!$A:$M, 6, FALSE), ""))</f>
        <v>11</v>
      </c>
      <c r="F895" s="239">
        <v>25.0</v>
      </c>
      <c r="G895" s="16"/>
      <c r="H895" s="33">
        <v>100.0</v>
      </c>
      <c r="I895" s="238">
        <v>46098.0</v>
      </c>
      <c r="J895" s="5" t="s">
        <v>72</v>
      </c>
      <c r="K895" s="5" t="s">
        <v>3415</v>
      </c>
      <c r="L895" s="16"/>
      <c r="M895" s="19"/>
      <c r="N895" s="16"/>
      <c r="O895" s="16"/>
      <c r="P895" s="16"/>
    </row>
    <row r="896" ht="22.5" customHeight="1">
      <c r="A896" s="138" t="s">
        <v>788</v>
      </c>
      <c r="B896" s="16" t="str">
        <f>IF(A896="","",IFERROR(VLOOKUP(A896, Stock_New!A:M, 2, FALSE),""))</f>
        <v>سيلفرات</v>
      </c>
      <c r="C896" s="236">
        <v>1.0</v>
      </c>
      <c r="D896" s="16" t="str">
        <f>IF(A896="","",IFERROR(VLOOKUP(A896, Stock_New!A:M, 3, FALSE),""))</f>
        <v>شركة حسين علي</v>
      </c>
      <c r="E896" s="16">
        <f>IF($A896="", "", IFERROR(VLOOKUP($A896, Stock_New!$A:$M, 6, FALSE), ""))</f>
        <v>106.5</v>
      </c>
      <c r="F896" s="239">
        <v>130.0</v>
      </c>
      <c r="G896" s="16"/>
      <c r="H896" s="33">
        <v>130.0</v>
      </c>
      <c r="I896" s="238">
        <v>46098.0</v>
      </c>
      <c r="J896" s="5" t="s">
        <v>72</v>
      </c>
      <c r="K896" s="5" t="s">
        <v>3417</v>
      </c>
      <c r="L896" s="16"/>
      <c r="M896" s="19"/>
      <c r="N896" s="16"/>
      <c r="O896" s="16"/>
      <c r="P896" s="16"/>
    </row>
    <row r="897" ht="22.5" customHeight="1">
      <c r="A897" s="138" t="s">
        <v>34</v>
      </c>
      <c r="B897" s="16" t="str">
        <f>IF(A897="","",IFERROR(VLOOKUP(A897, Stock_New!A:M, 2, FALSE),""))</f>
        <v>شجر</v>
      </c>
      <c r="C897" s="236">
        <v>1.0</v>
      </c>
      <c r="D897" s="16" t="str">
        <f>IF(A897="","",IFERROR(VLOOKUP(A897, Stock_New!A:M, 3, FALSE),""))</f>
        <v>manufactured</v>
      </c>
      <c r="E897" s="16">
        <f>IF($A897="", "", IFERROR(VLOOKUP($A897, Stock_New!$A:$M, 6, FALSE), ""))</f>
        <v>108</v>
      </c>
      <c r="F897" s="239">
        <v>300.0</v>
      </c>
      <c r="G897" s="16"/>
      <c r="H897" s="33">
        <v>300.0</v>
      </c>
      <c r="I897" s="238">
        <v>46098.0</v>
      </c>
      <c r="J897" s="5" t="s">
        <v>72</v>
      </c>
      <c r="K897" s="5" t="s">
        <v>3419</v>
      </c>
      <c r="L897" s="16"/>
      <c r="M897" s="19"/>
      <c r="N897" s="16"/>
      <c r="O897" s="16"/>
      <c r="P897" s="16"/>
    </row>
    <row r="898" ht="22.5" customHeight="1">
      <c r="A898" s="138" t="s">
        <v>1043</v>
      </c>
      <c r="B898" s="16" t="str">
        <f>IF(A898="","",IFERROR(VLOOKUP(A898, Stock_New!A:M, 2, FALSE),""))</f>
        <v>براويز</v>
      </c>
      <c r="C898" s="236">
        <v>2.0</v>
      </c>
      <c r="D898" s="16" t="str">
        <f>IF(A898="","",IFERROR(VLOOKUP(A898, Stock_New!A:M, 3, FALSE),""))</f>
        <v>شركة الفرسان</v>
      </c>
      <c r="E898" s="16">
        <f>IF($A898="", "", IFERROR(VLOOKUP($A898, Stock_New!$A:$M, 6, FALSE), ""))</f>
        <v>102</v>
      </c>
      <c r="F898" s="239">
        <v>125.0</v>
      </c>
      <c r="G898" s="16"/>
      <c r="H898" s="33">
        <v>250.0</v>
      </c>
      <c r="I898" s="238">
        <v>46098.0</v>
      </c>
      <c r="J898" s="5" t="s">
        <v>72</v>
      </c>
      <c r="K898" s="5" t="s">
        <v>3472</v>
      </c>
      <c r="L898" s="16"/>
      <c r="M898" s="19"/>
      <c r="N898" s="16"/>
      <c r="O898" s="16"/>
      <c r="P898" s="16"/>
    </row>
    <row r="899" ht="22.5" customHeight="1">
      <c r="A899" s="138" t="s">
        <v>34</v>
      </c>
      <c r="B899" s="16" t="str">
        <f>IF(A899="","",IFERROR(VLOOKUP(A899, Stock_New!A:M, 2, FALSE),""))</f>
        <v>شجر</v>
      </c>
      <c r="C899" s="236">
        <v>1.0</v>
      </c>
      <c r="D899" s="16" t="str">
        <f>IF(A899="","",IFERROR(VLOOKUP(A899, Stock_New!A:M, 3, FALSE),""))</f>
        <v>manufactured</v>
      </c>
      <c r="E899" s="16">
        <f>IF($A899="", "", IFERROR(VLOOKUP($A899, Stock_New!$A:$M, 6, FALSE), ""))</f>
        <v>108</v>
      </c>
      <c r="F899" s="239">
        <v>300.0</v>
      </c>
      <c r="G899" s="16"/>
      <c r="H899" s="33">
        <v>300.0</v>
      </c>
      <c r="I899" s="238">
        <v>46098.0</v>
      </c>
      <c r="J899" s="5" t="s">
        <v>72</v>
      </c>
      <c r="K899" s="5" t="s">
        <v>3505</v>
      </c>
      <c r="L899" s="16"/>
      <c r="M899" s="19"/>
      <c r="N899" s="16"/>
      <c r="O899" s="16"/>
      <c r="P899" s="16"/>
    </row>
    <row r="900" ht="22.5" customHeight="1">
      <c r="A900" s="138" t="s">
        <v>559</v>
      </c>
      <c r="B900" s="16" t="str">
        <f>IF(A900="","",IFERROR(VLOOKUP(A900, Stock_New!A:M, 2, FALSE),""))</f>
        <v>مقزمات</v>
      </c>
      <c r="C900" s="236">
        <v>2.0</v>
      </c>
      <c r="D900" s="16" t="str">
        <f>IF(A900="","",IFERROR(VLOOKUP(A900, Stock_New!A:M, 3, FALSE),""))</f>
        <v>manufactured</v>
      </c>
      <c r="E900" s="16">
        <f>IF($A900="", "", IFERROR(VLOOKUP($A900, Stock_New!$A:$M, 6, FALSE), ""))</f>
        <v>38.8</v>
      </c>
      <c r="F900" s="239">
        <v>50.0</v>
      </c>
      <c r="G900" s="16"/>
      <c r="H900" s="33">
        <v>100.0</v>
      </c>
      <c r="I900" s="238">
        <v>46098.0</v>
      </c>
      <c r="J900" s="5" t="s">
        <v>72</v>
      </c>
      <c r="K900" s="5" t="s">
        <v>3423</v>
      </c>
      <c r="L900" s="16"/>
      <c r="M900" s="19"/>
      <c r="N900" s="16"/>
      <c r="O900" s="16"/>
      <c r="P900" s="16"/>
    </row>
    <row r="901" ht="22.5" customHeight="1">
      <c r="A901" s="138" t="s">
        <v>220</v>
      </c>
      <c r="B901" s="16" t="str">
        <f>IF(A901="","",IFERROR(VLOOKUP(A901, Stock_New!A:M, 2, FALSE),""))</f>
        <v>ورد لوحدة</v>
      </c>
      <c r="C901" s="236">
        <v>1.0</v>
      </c>
      <c r="D901" s="16" t="str">
        <f>IF(A901="","",IFERROR(VLOOKUP(A901, Stock_New!A:M, 3, FALSE),""))</f>
        <v>شركة الفرسان</v>
      </c>
      <c r="E901" s="16">
        <f>IF($A901="", "", IFERROR(VLOOKUP($A901, Stock_New!$A:$M, 6, FALSE), ""))</f>
        <v>102</v>
      </c>
      <c r="F901" s="239">
        <v>150.0</v>
      </c>
      <c r="G901" s="16"/>
      <c r="H901" s="33">
        <v>150.0</v>
      </c>
      <c r="I901" s="238">
        <v>46098.0</v>
      </c>
      <c r="J901" s="5" t="s">
        <v>72</v>
      </c>
      <c r="K901" s="5" t="s">
        <v>3424</v>
      </c>
      <c r="L901" s="16"/>
      <c r="M901" s="19"/>
      <c r="N901" s="16"/>
      <c r="O901" s="16"/>
      <c r="P901" s="16"/>
    </row>
    <row r="902" ht="22.5" customHeight="1">
      <c r="A902" s="138" t="s">
        <v>309</v>
      </c>
      <c r="B902" s="16" t="str">
        <f>IF(A902="","",IFERROR(VLOOKUP(A902, Stock_New!A:M, 2, FALSE),""))</f>
        <v>بوتات</v>
      </c>
      <c r="C902" s="236">
        <v>1.0</v>
      </c>
      <c r="D902" s="16" t="str">
        <f>IF(A902="","",IFERROR(VLOOKUP(A902, Stock_New!A:M, 3, FALSE),""))</f>
        <v>شركة حسين علي</v>
      </c>
      <c r="E902" s="16">
        <f>IF($A902="", "", IFERROR(VLOOKUP($A902, Stock_New!$A:$M, 6, FALSE), ""))</f>
        <v>24</v>
      </c>
      <c r="F902" s="239">
        <v>50.0</v>
      </c>
      <c r="G902" s="16"/>
      <c r="H902" s="33">
        <v>50.0</v>
      </c>
      <c r="I902" s="238">
        <v>46098.0</v>
      </c>
      <c r="J902" s="5" t="s">
        <v>72</v>
      </c>
      <c r="K902" s="5" t="s">
        <v>3489</v>
      </c>
      <c r="L902" s="16"/>
      <c r="M902" s="19"/>
      <c r="N902" s="16"/>
      <c r="O902" s="16"/>
      <c r="P902" s="16"/>
    </row>
    <row r="903" ht="22.5" customHeight="1">
      <c r="A903" s="138" t="s">
        <v>946</v>
      </c>
      <c r="B903" s="16" t="str">
        <f>IF(A903="","",IFERROR(VLOOKUP(A903, Stock_New!A:M, 2, FALSE),""))</f>
        <v>ورد لوحد</v>
      </c>
      <c r="C903" s="236">
        <v>1.0</v>
      </c>
      <c r="D903" s="16" t="str">
        <f>IF(A903="","",IFERROR(VLOOKUP(A903, Stock_New!A:M, 3, FALSE),""))</f>
        <v>شركة الفرسان</v>
      </c>
      <c r="E903" s="16">
        <f>IF($A903="", "", IFERROR(VLOOKUP($A903, Stock_New!$A:$M, 6, FALSE), ""))</f>
        <v>90</v>
      </c>
      <c r="F903" s="239">
        <v>100.0</v>
      </c>
      <c r="G903" s="16"/>
      <c r="H903" s="33">
        <v>100.0</v>
      </c>
      <c r="I903" s="238">
        <v>46098.0</v>
      </c>
      <c r="J903" s="5" t="s">
        <v>72</v>
      </c>
      <c r="K903" s="5" t="s">
        <v>3425</v>
      </c>
      <c r="L903" s="16"/>
      <c r="M903" s="19"/>
      <c r="N903" s="16"/>
      <c r="O903" s="16"/>
      <c r="P903" s="16"/>
    </row>
    <row r="904" ht="22.5" customHeight="1">
      <c r="A904" s="138" t="s">
        <v>885</v>
      </c>
      <c r="B904" s="16" t="str">
        <f>IF(A904="","",IFERROR(VLOOKUP(A904, Stock_New!A:M, 2, FALSE),""))</f>
        <v>ورد لوحدة</v>
      </c>
      <c r="C904" s="236">
        <v>1.0</v>
      </c>
      <c r="D904" s="16" t="str">
        <f>IF(A904="","",IFERROR(VLOOKUP(A904, Stock_New!A:M, 3, FALSE),""))</f>
        <v>شركة حسين علي</v>
      </c>
      <c r="E904" s="16">
        <f>IF($A904="", "", IFERROR(VLOOKUP($A904, Stock_New!$A:$M, 6, FALSE), ""))</f>
        <v>162</v>
      </c>
      <c r="F904" s="239">
        <v>150.0</v>
      </c>
      <c r="G904" s="16"/>
      <c r="H904" s="33">
        <v>150.0</v>
      </c>
      <c r="I904" s="238">
        <v>46098.0</v>
      </c>
      <c r="J904" s="5" t="s">
        <v>72</v>
      </c>
      <c r="K904" s="5" t="s">
        <v>3427</v>
      </c>
      <c r="L904" s="16"/>
      <c r="M904" s="19"/>
      <c r="N904" s="16"/>
      <c r="O904" s="16"/>
      <c r="P904" s="16"/>
    </row>
    <row r="905" ht="22.5" customHeight="1">
      <c r="A905" s="138" t="s">
        <v>309</v>
      </c>
      <c r="B905" s="16" t="str">
        <f>IF(A905="","",IFERROR(VLOOKUP(A905, Stock_New!A:M, 2, FALSE),""))</f>
        <v>بوتات</v>
      </c>
      <c r="C905" s="236">
        <v>1.0</v>
      </c>
      <c r="D905" s="16" t="str">
        <f>IF(A905="","",IFERROR(VLOOKUP(A905, Stock_New!A:M, 3, FALSE),""))</f>
        <v>شركة حسين علي</v>
      </c>
      <c r="E905" s="16">
        <f>IF($A905="", "", IFERROR(VLOOKUP($A905, Stock_New!$A:$M, 6, FALSE), ""))</f>
        <v>24</v>
      </c>
      <c r="F905" s="239">
        <v>40.0</v>
      </c>
      <c r="G905" s="16"/>
      <c r="H905" s="33">
        <v>40.0</v>
      </c>
      <c r="I905" s="238">
        <v>46098.0</v>
      </c>
      <c r="J905" s="5" t="s">
        <v>72</v>
      </c>
      <c r="K905" s="5" t="s">
        <v>3491</v>
      </c>
      <c r="L905" s="16"/>
      <c r="M905" s="19"/>
      <c r="N905" s="16"/>
      <c r="O905" s="16"/>
      <c r="P905" s="16"/>
    </row>
    <row r="906" ht="22.5" customHeight="1">
      <c r="A906" s="138" t="s">
        <v>812</v>
      </c>
      <c r="B906" s="16" t="str">
        <f>IF(A906="","",IFERROR(VLOOKUP(A906, Stock_New!A:M, 2, FALSE),""))</f>
        <v/>
      </c>
      <c r="C906" s="236">
        <v>3.0</v>
      </c>
      <c r="D906" s="16" t="str">
        <f>IF(A906="","",IFERROR(VLOOKUP(A906, Stock_New!A:M, 3, FALSE),""))</f>
        <v/>
      </c>
      <c r="E906" s="16" t="str">
        <f>IF($A906="", "", IFERROR(VLOOKUP($A906, Stock_New!$A:$M, 6, FALSE), ""))</f>
        <v/>
      </c>
      <c r="F906" s="239">
        <v>20.0</v>
      </c>
      <c r="G906" s="16"/>
      <c r="H906" s="33">
        <v>60.0</v>
      </c>
      <c r="I906" s="238">
        <v>46098.0</v>
      </c>
      <c r="J906" s="5" t="s">
        <v>72</v>
      </c>
      <c r="K906" s="5" t="s">
        <v>3428</v>
      </c>
      <c r="L906" s="16"/>
      <c r="M906" s="19"/>
      <c r="N906" s="16"/>
      <c r="O906" s="16"/>
      <c r="P906" s="16"/>
    </row>
    <row r="907" ht="22.5" customHeight="1">
      <c r="A907" s="138" t="s">
        <v>559</v>
      </c>
      <c r="B907" s="16" t="str">
        <f>IF(A907="","",IFERROR(VLOOKUP(A907, Stock_New!A:M, 2, FALSE),""))</f>
        <v>مقزمات</v>
      </c>
      <c r="C907" s="236">
        <v>2.0</v>
      </c>
      <c r="D907" s="16" t="str">
        <f>IF(A907="","",IFERROR(VLOOKUP(A907, Stock_New!A:M, 3, FALSE),""))</f>
        <v>manufactured</v>
      </c>
      <c r="E907" s="16">
        <f>IF($A907="", "", IFERROR(VLOOKUP($A907, Stock_New!$A:$M, 6, FALSE), ""))</f>
        <v>38.8</v>
      </c>
      <c r="F907" s="239">
        <v>40.0</v>
      </c>
      <c r="G907" s="16"/>
      <c r="H907" s="33">
        <v>80.0</v>
      </c>
      <c r="I907" s="213">
        <v>46098.0</v>
      </c>
      <c r="J907" s="5" t="s">
        <v>72</v>
      </c>
      <c r="K907" s="5" t="s">
        <v>3430</v>
      </c>
      <c r="L907" s="16"/>
      <c r="M907" s="19"/>
      <c r="N907" s="16"/>
      <c r="O907" s="16"/>
      <c r="P907" s="16"/>
    </row>
    <row r="908" ht="22.5" customHeight="1">
      <c r="A908" s="138" t="s">
        <v>172</v>
      </c>
      <c r="B908" s="16" t="str">
        <f>IF(A908="","",IFERROR(VLOOKUP(A908, Stock_New!A:M, 2, FALSE),""))</f>
        <v>بوكيه</v>
      </c>
      <c r="C908" s="236">
        <v>1.0</v>
      </c>
      <c r="D908" s="16" t="str">
        <f>IF(A908="","",IFERROR(VLOOKUP(A908, Stock_New!A:M, 3, FALSE),""))</f>
        <v>ذكريا</v>
      </c>
      <c r="E908" s="16">
        <f>IF($A908="", "", IFERROR(VLOOKUP($A908, Stock_New!$A:$M, 6, FALSE), ""))</f>
        <v>33.84</v>
      </c>
      <c r="F908" s="239">
        <v>40.0</v>
      </c>
      <c r="G908" s="16"/>
      <c r="H908" s="33">
        <v>40.0</v>
      </c>
      <c r="I908" s="213">
        <v>46098.0</v>
      </c>
      <c r="J908" s="5" t="s">
        <v>72</v>
      </c>
      <c r="K908" s="5" t="s">
        <v>3480</v>
      </c>
      <c r="L908" s="16"/>
      <c r="M908" s="19"/>
      <c r="N908" s="16"/>
      <c r="O908" s="16"/>
      <c r="P908" s="16"/>
    </row>
    <row r="909" ht="22.5" customHeight="1">
      <c r="A909" s="138" t="s">
        <v>871</v>
      </c>
      <c r="B909" s="16" t="str">
        <f>IF(A909="","",IFERROR(VLOOKUP(A909, Stock_New!A:M, 2, FALSE),""))</f>
        <v>سيلفرات</v>
      </c>
      <c r="C909" s="236">
        <v>1.0</v>
      </c>
      <c r="D909" s="16" t="str">
        <f>IF(A909="","",IFERROR(VLOOKUP(A909, Stock_New!A:M, 3, FALSE),""))</f>
        <v>شركة حسين علي</v>
      </c>
      <c r="E909" s="16">
        <f>IF($A909="", "", IFERROR(VLOOKUP($A909, Stock_New!$A:$M, 6, FALSE), ""))</f>
        <v>111.6</v>
      </c>
      <c r="F909" s="239">
        <v>115.0</v>
      </c>
      <c r="G909" s="16"/>
      <c r="H909" s="33">
        <v>115.0</v>
      </c>
      <c r="I909" s="213">
        <v>46098.0</v>
      </c>
      <c r="J909" s="5" t="s">
        <v>72</v>
      </c>
      <c r="K909" s="5" t="s">
        <v>3432</v>
      </c>
      <c r="L909" s="16"/>
      <c r="M909" s="19"/>
      <c r="N909" s="16"/>
      <c r="O909" s="16"/>
      <c r="P909" s="16"/>
    </row>
    <row r="910" ht="22.5" customHeight="1">
      <c r="A910" s="138" t="s">
        <v>826</v>
      </c>
      <c r="B910" s="16" t="str">
        <f>IF(A910="","",IFERROR(VLOOKUP(A910, Stock_New!A:M, 2, FALSE),""))</f>
        <v>ساعة</v>
      </c>
      <c r="C910" s="236">
        <v>1.0</v>
      </c>
      <c r="D910" s="16" t="str">
        <f>IF(A910="","",IFERROR(VLOOKUP(A910, Stock_New!A:M, 3, FALSE),""))</f>
        <v>سنتر محمد رشدي</v>
      </c>
      <c r="E910" s="16">
        <f>IF($A910="", "", IFERROR(VLOOKUP($A910, Stock_New!$A:$M, 6, FALSE), ""))</f>
        <v>168</v>
      </c>
      <c r="F910" s="239">
        <v>175.0</v>
      </c>
      <c r="G910" s="16"/>
      <c r="H910" s="33">
        <v>175.0</v>
      </c>
      <c r="I910" s="213">
        <v>46098.0</v>
      </c>
      <c r="J910" s="5" t="s">
        <v>72</v>
      </c>
      <c r="K910" s="5" t="s">
        <v>3493</v>
      </c>
      <c r="L910" s="16"/>
      <c r="M910" s="19"/>
      <c r="N910" s="16"/>
      <c r="O910" s="16"/>
      <c r="P910" s="16"/>
    </row>
    <row r="911" ht="22.5" customHeight="1">
      <c r="A911" s="138" t="s">
        <v>1043</v>
      </c>
      <c r="B911" s="16" t="str">
        <f>IF(A911="","",IFERROR(VLOOKUP(A911, Stock_New!A:M, 2, FALSE),""))</f>
        <v>براويز</v>
      </c>
      <c r="C911" s="236">
        <v>1.0</v>
      </c>
      <c r="D911" s="16" t="str">
        <f>IF(A911="","",IFERROR(VLOOKUP(A911, Stock_New!A:M, 3, FALSE),""))</f>
        <v>شركة الفرسان</v>
      </c>
      <c r="E911" s="16">
        <f>IF($A911="", "", IFERROR(VLOOKUP($A911, Stock_New!$A:$M, 6, FALSE), ""))</f>
        <v>102</v>
      </c>
      <c r="F911" s="239">
        <v>140.0</v>
      </c>
      <c r="G911" s="16"/>
      <c r="H911" s="33">
        <v>140.0</v>
      </c>
      <c r="I911" s="213">
        <v>46098.0</v>
      </c>
      <c r="J911" s="5" t="s">
        <v>72</v>
      </c>
      <c r="K911" s="5" t="s">
        <v>3474</v>
      </c>
      <c r="L911" s="16"/>
      <c r="M911" s="19"/>
      <c r="N911" s="16"/>
      <c r="O911" s="16"/>
      <c r="P911" s="16"/>
    </row>
    <row r="912" ht="22.5" customHeight="1">
      <c r="A912" s="138" t="s">
        <v>839</v>
      </c>
      <c r="B912" s="16" t="str">
        <f>IF(A912="","",IFERROR(VLOOKUP(A912, Stock_New!A:M, 2, FALSE),""))</f>
        <v>فازة زجاج</v>
      </c>
      <c r="C912" s="236">
        <v>1.0</v>
      </c>
      <c r="D912" s="16" t="str">
        <f>IF(A912="","",IFERROR(VLOOKUP(A912, Stock_New!A:M, 3, FALSE),""))</f>
        <v>سنتر محمد رشدي</v>
      </c>
      <c r="E912" s="16">
        <f>IF($A912="", "", IFERROR(VLOOKUP($A912, Stock_New!$A:$M, 6, FALSE), ""))</f>
        <v>166.8</v>
      </c>
      <c r="F912" s="239">
        <v>170.0</v>
      </c>
      <c r="G912" s="16"/>
      <c r="H912" s="33">
        <v>170.0</v>
      </c>
      <c r="I912" s="213">
        <v>46098.0</v>
      </c>
      <c r="J912" s="5" t="s">
        <v>72</v>
      </c>
      <c r="K912" s="5" t="s">
        <v>3434</v>
      </c>
      <c r="L912" s="16"/>
      <c r="M912" s="19"/>
      <c r="N912" s="16"/>
      <c r="O912" s="16"/>
      <c r="P912" s="16"/>
    </row>
    <row r="913" ht="22.5" customHeight="1">
      <c r="A913" s="138" t="s">
        <v>1004</v>
      </c>
      <c r="B913" s="16" t="str">
        <f>IF(A913="","",IFERROR(VLOOKUP(A913, Stock_New!A:M, 2, FALSE),""))</f>
        <v>ورد لوحدة</v>
      </c>
      <c r="C913" s="236">
        <v>1.0</v>
      </c>
      <c r="D913" s="16" t="str">
        <f>IF(A913="","",IFERROR(VLOOKUP(A913, Stock_New!A:M, 3, FALSE),""))</f>
        <v>شركة حسين علي</v>
      </c>
      <c r="E913" s="16">
        <f>IF($A913="", "", IFERROR(VLOOKUP($A913, Stock_New!$A:$M, 6, FALSE), ""))</f>
        <v>78</v>
      </c>
      <c r="F913" s="239">
        <v>100.0</v>
      </c>
      <c r="G913" s="16"/>
      <c r="H913" s="33">
        <v>100.0</v>
      </c>
      <c r="I913" s="213">
        <v>46098.0</v>
      </c>
      <c r="J913" s="5" t="s">
        <v>72</v>
      </c>
      <c r="K913" s="5" t="s">
        <v>3436</v>
      </c>
      <c r="L913" s="16"/>
      <c r="M913" s="19"/>
      <c r="N913" s="16"/>
      <c r="O913" s="16"/>
      <c r="P913" s="16"/>
    </row>
    <row r="914" ht="22.5" customHeight="1">
      <c r="A914" s="138" t="s">
        <v>812</v>
      </c>
      <c r="B914" s="16" t="str">
        <f>IF(A914="","",IFERROR(VLOOKUP(A914, Stock_New!A:M, 2, FALSE),""))</f>
        <v/>
      </c>
      <c r="C914" s="236">
        <v>2.0</v>
      </c>
      <c r="D914" s="16" t="str">
        <f>IF(A914="","",IFERROR(VLOOKUP(A914, Stock_New!A:M, 3, FALSE),""))</f>
        <v/>
      </c>
      <c r="E914" s="16" t="str">
        <f>IF($A914="", "", IFERROR(VLOOKUP($A914, Stock_New!$A:$M, 6, FALSE), ""))</f>
        <v/>
      </c>
      <c r="F914" s="239">
        <v>20.0</v>
      </c>
      <c r="G914" s="16"/>
      <c r="H914" s="33">
        <v>40.0</v>
      </c>
      <c r="I914" s="213">
        <v>46098.0</v>
      </c>
      <c r="J914" s="5" t="s">
        <v>72</v>
      </c>
      <c r="K914" s="5" t="s">
        <v>3438</v>
      </c>
      <c r="L914" s="16"/>
      <c r="M914" s="19"/>
      <c r="N914" s="16"/>
      <c r="O914" s="16"/>
      <c r="P914" s="16"/>
    </row>
    <row r="915" ht="22.5" customHeight="1">
      <c r="A915" s="138" t="s">
        <v>923</v>
      </c>
      <c r="B915" s="16" t="str">
        <f>IF(A915="","",IFERROR(VLOOKUP(A915, Stock_New!A:M, 2, FALSE),""))</f>
        <v>سيلفرات</v>
      </c>
      <c r="C915" s="236">
        <v>1.0</v>
      </c>
      <c r="D915" s="16" t="str">
        <f>IF(A915="","",IFERROR(VLOOKUP(A915, Stock_New!A:M, 3, FALSE),""))</f>
        <v>محمد رشدي</v>
      </c>
      <c r="E915" s="16">
        <f>IF($A915="", "", IFERROR(VLOOKUP($A915, Stock_New!$A:$M, 6, FALSE), ""))</f>
        <v>154.8</v>
      </c>
      <c r="F915" s="239">
        <v>150.0</v>
      </c>
      <c r="G915" s="16"/>
      <c r="H915" s="33">
        <v>150.0</v>
      </c>
      <c r="I915" s="213">
        <v>46098.0</v>
      </c>
      <c r="J915" s="5" t="s">
        <v>72</v>
      </c>
      <c r="K915" s="5" t="s">
        <v>3439</v>
      </c>
      <c r="L915" s="16"/>
      <c r="M915" s="19"/>
      <c r="N915" s="16"/>
      <c r="O915" s="16"/>
      <c r="P915" s="16"/>
    </row>
    <row r="916" ht="22.5" customHeight="1">
      <c r="A916" s="138" t="s">
        <v>643</v>
      </c>
      <c r="B916" s="16" t="str">
        <f>IF(A916="","",IFERROR(VLOOKUP(A916, Stock_New!A:M, 2, FALSE),""))</f>
        <v>سيلفرات</v>
      </c>
      <c r="C916" s="236">
        <v>1.0</v>
      </c>
      <c r="D916" s="16" t="str">
        <f>IF(A916="","",IFERROR(VLOOKUP(A916, Stock_New!A:M, 3, FALSE),""))</f>
        <v>سنتر محمد رشدي</v>
      </c>
      <c r="E916" s="16">
        <f>IF($A916="", "", IFERROR(VLOOKUP($A916, Stock_New!$A:$M, 6, FALSE), ""))</f>
        <v>199.2</v>
      </c>
      <c r="F916" s="239">
        <v>190.0</v>
      </c>
      <c r="G916" s="16"/>
      <c r="H916" s="33">
        <v>190.0</v>
      </c>
      <c r="I916" s="213">
        <v>46098.0</v>
      </c>
      <c r="J916" s="5" t="s">
        <v>72</v>
      </c>
      <c r="K916" s="5" t="s">
        <v>3512</v>
      </c>
      <c r="L916" s="16"/>
      <c r="M916" s="19"/>
      <c r="N916" s="16"/>
      <c r="O916" s="16"/>
      <c r="P916" s="16"/>
    </row>
    <row r="917" ht="22.5" customHeight="1">
      <c r="A917" s="138" t="s">
        <v>309</v>
      </c>
      <c r="B917" s="16" t="str">
        <f>IF(A917="","",IFERROR(VLOOKUP(A917, Stock_New!A:M, 2, FALSE),""))</f>
        <v>بوتات</v>
      </c>
      <c r="C917" s="236">
        <v>1.0</v>
      </c>
      <c r="D917" s="16" t="str">
        <f>IF(A917="","",IFERROR(VLOOKUP(A917, Stock_New!A:M, 3, FALSE),""))</f>
        <v>شركة حسين علي</v>
      </c>
      <c r="E917" s="16">
        <f>IF($A917="", "", IFERROR(VLOOKUP($A917, Stock_New!$A:$M, 6, FALSE), ""))</f>
        <v>24</v>
      </c>
      <c r="F917" s="239">
        <v>40.0</v>
      </c>
      <c r="G917" s="16"/>
      <c r="H917" s="33">
        <v>40.0</v>
      </c>
      <c r="I917" s="213">
        <v>46098.0</v>
      </c>
      <c r="J917" s="5" t="s">
        <v>72</v>
      </c>
      <c r="K917" s="5" t="s">
        <v>3495</v>
      </c>
      <c r="L917" s="16"/>
      <c r="M917" s="19"/>
      <c r="N917" s="16"/>
      <c r="O917" s="16"/>
      <c r="P917" s="16"/>
    </row>
    <row r="918" ht="22.5" customHeight="1">
      <c r="A918" s="138" t="s">
        <v>1097</v>
      </c>
      <c r="B918" s="16" t="str">
        <f>IF(A918="","",IFERROR(VLOOKUP(A918, Stock_New!A:M, 2, FALSE),""))</f>
        <v/>
      </c>
      <c r="C918" s="236">
        <v>1.0</v>
      </c>
      <c r="D918" s="16" t="str">
        <f>IF(A918="","",IFERROR(VLOOKUP(A918, Stock_New!A:M, 3, FALSE),""))</f>
        <v/>
      </c>
      <c r="E918" s="16" t="str">
        <f>IF($A918="", "", IFERROR(VLOOKUP($A918, Stock_New!$A:$M, 6, FALSE), ""))</f>
        <v/>
      </c>
      <c r="F918" s="239">
        <v>30.0</v>
      </c>
      <c r="G918" s="16"/>
      <c r="H918" s="33">
        <v>30.0</v>
      </c>
      <c r="I918" s="213">
        <v>46098.0</v>
      </c>
      <c r="J918" s="5" t="s">
        <v>72</v>
      </c>
      <c r="K918" s="5" t="s">
        <v>3443</v>
      </c>
      <c r="L918" s="16"/>
      <c r="M918" s="19"/>
      <c r="N918" s="16"/>
      <c r="O918" s="16"/>
      <c r="P918" s="16"/>
    </row>
    <row r="919" ht="22.5" customHeight="1">
      <c r="A919" s="138" t="s">
        <v>898</v>
      </c>
      <c r="B919" s="16" t="str">
        <f>IF(A919="","",IFERROR(VLOOKUP(A919, Stock_New!A:M, 2, FALSE),""))</f>
        <v/>
      </c>
      <c r="C919" s="236">
        <v>2.0</v>
      </c>
      <c r="D919" s="16"/>
      <c r="E919" s="16" t="str">
        <f>IF($A919="", "", IFERROR(VLOOKUP($A919, Stock_New!$A:$M, 6, FALSE), ""))</f>
        <v/>
      </c>
      <c r="F919" s="239">
        <v>20.0</v>
      </c>
      <c r="G919" s="16"/>
      <c r="H919" s="33">
        <v>40.0</v>
      </c>
      <c r="I919" s="213">
        <v>46098.0</v>
      </c>
      <c r="J919" s="5" t="s">
        <v>72</v>
      </c>
      <c r="K919" s="5" t="s">
        <v>3509</v>
      </c>
      <c r="L919" s="16"/>
      <c r="M919" s="19"/>
      <c r="N919" s="16"/>
      <c r="O919" s="16"/>
      <c r="P919" s="16"/>
    </row>
    <row r="920" ht="22.5" customHeight="1">
      <c r="A920" s="138" t="s">
        <v>861</v>
      </c>
      <c r="B920" s="16" t="str">
        <f>IF(A920="","",IFERROR(VLOOKUP(A920, Stock_New!A:M, 2, FALSE),""))</f>
        <v>بخور</v>
      </c>
      <c r="C920" s="236">
        <v>2.0</v>
      </c>
      <c r="D920" s="16" t="str">
        <f>IF(A920="","",IFERROR(VLOOKUP(A920, Stock_New!A:M, 3, FALSE),""))</f>
        <v/>
      </c>
      <c r="E920" s="16">
        <f>IF($A920="", "", IFERROR(VLOOKUP($A920, Stock_New!$A:$M, 6, FALSE), ""))</f>
        <v>28</v>
      </c>
      <c r="F920" s="239">
        <v>35.0</v>
      </c>
      <c r="G920" s="16"/>
      <c r="H920" s="33">
        <v>70.0</v>
      </c>
      <c r="I920" s="213">
        <v>46098.0</v>
      </c>
      <c r="J920" s="5" t="s">
        <v>72</v>
      </c>
      <c r="K920" s="5" t="s">
        <v>3447</v>
      </c>
      <c r="L920" s="16"/>
      <c r="M920" s="19"/>
      <c r="N920" s="16"/>
      <c r="O920" s="16"/>
      <c r="P920" s="16"/>
    </row>
    <row r="921" ht="22.5" customHeight="1">
      <c r="A921" s="138" t="s">
        <v>309</v>
      </c>
      <c r="B921" s="16" t="str">
        <f>IF(A921="","",IFERROR(VLOOKUP(A921, Stock_New!A:M, 2, FALSE),""))</f>
        <v>بوتات</v>
      </c>
      <c r="C921" s="236">
        <v>1.0</v>
      </c>
      <c r="D921" s="16" t="str">
        <f>IF(A921="","",IFERROR(VLOOKUP(A921, Stock_New!A:M, 3, FALSE),""))</f>
        <v>شركة حسين علي</v>
      </c>
      <c r="E921" s="16">
        <f>IF($A921="", "", IFERROR(VLOOKUP($A921, Stock_New!$A:$M, 6, FALSE), ""))</f>
        <v>24</v>
      </c>
      <c r="F921" s="239">
        <v>50.0</v>
      </c>
      <c r="G921" s="16"/>
      <c r="H921" s="33">
        <v>50.0</v>
      </c>
      <c r="I921" s="213">
        <v>46098.0</v>
      </c>
      <c r="J921" s="5" t="s">
        <v>72</v>
      </c>
      <c r="K921" s="5" t="s">
        <v>3497</v>
      </c>
      <c r="L921" s="16"/>
      <c r="M921" s="19"/>
      <c r="N921" s="16"/>
      <c r="O921" s="16"/>
      <c r="P921" s="16"/>
    </row>
    <row r="922" ht="22.5" customHeight="1">
      <c r="A922" s="138" t="s">
        <v>1097</v>
      </c>
      <c r="B922" s="16" t="str">
        <f>IF(A922="","",IFERROR(VLOOKUP(A922, Stock_New!A:M, 2, FALSE),""))</f>
        <v/>
      </c>
      <c r="C922" s="236">
        <v>1.0</v>
      </c>
      <c r="D922" s="16" t="str">
        <f>IF(A922="","",IFERROR(VLOOKUP(A922, Stock_New!A:M, 3, FALSE),""))</f>
        <v/>
      </c>
      <c r="E922" s="16" t="str">
        <f>IF($A922="", "", IFERROR(VLOOKUP($A922, Stock_New!$A:$M, 6, FALSE), ""))</f>
        <v/>
      </c>
      <c r="F922" s="239">
        <v>50.0</v>
      </c>
      <c r="G922" s="16"/>
      <c r="H922" s="33">
        <v>50.0</v>
      </c>
      <c r="I922" s="213">
        <v>46098.0</v>
      </c>
      <c r="J922" s="5" t="s">
        <v>72</v>
      </c>
      <c r="K922" s="5" t="s">
        <v>3449</v>
      </c>
      <c r="L922" s="16"/>
      <c r="M922" s="19"/>
      <c r="N922" s="16"/>
      <c r="O922" s="16"/>
      <c r="P922" s="16"/>
    </row>
    <row r="923" ht="22.5" customHeight="1">
      <c r="A923" s="138" t="s">
        <v>309</v>
      </c>
      <c r="B923" s="16" t="str">
        <f>IF(A923="","",IFERROR(VLOOKUP(A923, Stock_New!A:M, 2, FALSE),""))</f>
        <v>بوتات</v>
      </c>
      <c r="C923" s="236">
        <v>1.0</v>
      </c>
      <c r="D923" s="16" t="str">
        <f>IF(A923="","",IFERROR(VLOOKUP(A923, Stock_New!A:M, 3, FALSE),""))</f>
        <v>شركة حسين علي</v>
      </c>
      <c r="E923" s="16">
        <f>IF($A923="", "", IFERROR(VLOOKUP($A923, Stock_New!$A:$M, 6, FALSE), ""))</f>
        <v>24</v>
      </c>
      <c r="F923" s="239">
        <v>50.0</v>
      </c>
      <c r="G923" s="16"/>
      <c r="H923" s="33">
        <v>50.0</v>
      </c>
      <c r="I923" s="213">
        <v>46098.0</v>
      </c>
      <c r="J923" s="5" t="s">
        <v>72</v>
      </c>
      <c r="K923" s="5" t="s">
        <v>3499</v>
      </c>
      <c r="L923" s="16"/>
      <c r="M923" s="19"/>
      <c r="N923" s="16"/>
      <c r="O923" s="16"/>
      <c r="P923" s="16"/>
    </row>
    <row r="924" ht="22.5" customHeight="1">
      <c r="A924" s="138" t="s">
        <v>841</v>
      </c>
      <c r="B924" s="16" t="str">
        <f>IF(A924="","",IFERROR(VLOOKUP(A924, Stock_New!A:M, 2, FALSE),""))</f>
        <v>لزق</v>
      </c>
      <c r="C924" s="236">
        <v>1.0</v>
      </c>
      <c r="D924" s="16" t="str">
        <f>IF(A924="","",IFERROR(VLOOKUP(A924, Stock_New!A:M, 3, FALSE),""))</f>
        <v/>
      </c>
      <c r="E924" s="16">
        <f>IF($A924="", "", IFERROR(VLOOKUP($A924, Stock_New!$A:$M, 6, FALSE), ""))</f>
        <v>18</v>
      </c>
      <c r="F924" s="239">
        <v>40.0</v>
      </c>
      <c r="G924" s="16"/>
      <c r="H924" s="33">
        <v>40.0</v>
      </c>
      <c r="I924" s="238">
        <v>46098.0</v>
      </c>
      <c r="J924" s="5" t="s">
        <v>72</v>
      </c>
      <c r="K924" s="5" t="s">
        <v>3451</v>
      </c>
      <c r="L924" s="16"/>
      <c r="M924" s="19"/>
      <c r="N924" s="16"/>
      <c r="O924" s="16"/>
      <c r="P924" s="16"/>
    </row>
    <row r="925" ht="22.5" customHeight="1">
      <c r="A925" s="138" t="s">
        <v>962</v>
      </c>
      <c r="B925" s="16" t="str">
        <f>IF(A925="","",IFERROR(VLOOKUP(A925, Stock_New!A:M, 2, FALSE),""))</f>
        <v>ورد لوحدة</v>
      </c>
      <c r="C925" s="236">
        <v>1.0</v>
      </c>
      <c r="D925" s="16" t="str">
        <f>IF(A925="","",IFERROR(VLOOKUP(A925, Stock_New!A:M, 3, FALSE),""))</f>
        <v>شركة الفرسان</v>
      </c>
      <c r="E925" s="16">
        <f>IF($A925="", "", IFERROR(VLOOKUP($A925, Stock_New!$A:$M, 6, FALSE), ""))</f>
        <v>150</v>
      </c>
      <c r="F925" s="239">
        <v>150.0</v>
      </c>
      <c r="G925" s="16"/>
      <c r="H925" s="33">
        <v>150.0</v>
      </c>
      <c r="I925" s="238">
        <v>46098.0</v>
      </c>
      <c r="J925" s="5" t="s">
        <v>72</v>
      </c>
      <c r="K925" s="5" t="s">
        <v>3452</v>
      </c>
      <c r="L925" s="16"/>
      <c r="M925" s="19"/>
      <c r="N925" s="16"/>
      <c r="O925" s="16"/>
      <c r="P925" s="16"/>
    </row>
    <row r="926" ht="22.5" customHeight="1">
      <c r="A926" s="138" t="s">
        <v>500</v>
      </c>
      <c r="B926" s="16" t="str">
        <f>IF(A926="","",IFERROR(VLOOKUP(A926, Stock_New!A:M, 2, FALSE),""))</f>
        <v>ورد لوحدة</v>
      </c>
      <c r="C926" s="236">
        <v>1.0</v>
      </c>
      <c r="D926" s="16" t="str">
        <f>IF(A926="","",IFERROR(VLOOKUP(A926, Stock_New!A:M, 3, FALSE),""))</f>
        <v>شركة الفرسان</v>
      </c>
      <c r="E926" s="16">
        <f>IF($A926="", "", IFERROR(VLOOKUP($A926, Stock_New!$A:$M, 6, FALSE), ""))</f>
        <v>150</v>
      </c>
      <c r="F926" s="239">
        <v>150.0</v>
      </c>
      <c r="G926" s="16"/>
      <c r="H926" s="33">
        <v>150.0</v>
      </c>
      <c r="I926" s="238">
        <v>46098.0</v>
      </c>
      <c r="J926" s="5" t="s">
        <v>72</v>
      </c>
      <c r="K926" s="5" t="s">
        <v>3456</v>
      </c>
      <c r="L926" s="16"/>
      <c r="M926" s="19"/>
      <c r="N926" s="16"/>
      <c r="O926" s="16"/>
      <c r="P926" s="16"/>
    </row>
    <row r="927" ht="22.5" customHeight="1">
      <c r="A927" s="138" t="s">
        <v>1035</v>
      </c>
      <c r="B927" s="16" t="str">
        <f>IF(A927="","",IFERROR(VLOOKUP(A927, Stock_New!A:M, 2, FALSE),""))</f>
        <v>خشب</v>
      </c>
      <c r="C927" s="236">
        <v>2.0</v>
      </c>
      <c r="D927" s="16" t="str">
        <f>IF(A927="","",IFERROR(VLOOKUP(A927, Stock_New!A:M, 3, FALSE),""))</f>
        <v>سنتر محمد رشدي</v>
      </c>
      <c r="E927" s="16">
        <f>IF($A927="", "", IFERROR(VLOOKUP($A927, Stock_New!$A:$M, 6, FALSE), ""))</f>
        <v>107.7</v>
      </c>
      <c r="F927" s="239">
        <v>100.0</v>
      </c>
      <c r="G927" s="16"/>
      <c r="H927" s="33">
        <v>200.0</v>
      </c>
      <c r="I927" s="238">
        <v>46098.0</v>
      </c>
      <c r="J927" s="5" t="s">
        <v>72</v>
      </c>
      <c r="K927" s="5" t="s">
        <v>3458</v>
      </c>
      <c r="L927" s="16"/>
      <c r="M927" s="19"/>
      <c r="N927" s="16"/>
      <c r="O927" s="16"/>
      <c r="P927" s="16"/>
    </row>
    <row r="928" ht="22.5" customHeight="1">
      <c r="A928" s="138" t="s">
        <v>554</v>
      </c>
      <c r="B928" s="16" t="str">
        <f>IF(A928="","",IFERROR(VLOOKUP(A928, Stock_New!A:M, 2, FALSE),""))</f>
        <v>مقزمات</v>
      </c>
      <c r="C928" s="236">
        <v>1.0</v>
      </c>
      <c r="D928" s="16" t="str">
        <f>IF(A928="","",IFERROR(VLOOKUP(A928, Stock_New!A:M, 3, FALSE),""))</f>
        <v>manufactured</v>
      </c>
      <c r="E928" s="16">
        <f>IF($A928="", "", IFERROR(VLOOKUP($A928, Stock_New!$A:$M, 6, FALSE), ""))</f>
        <v>27.86666667</v>
      </c>
      <c r="F928" s="239">
        <v>40.0</v>
      </c>
      <c r="G928" s="16"/>
      <c r="H928" s="33">
        <v>40.0</v>
      </c>
      <c r="I928" s="238">
        <v>46089.0</v>
      </c>
      <c r="J928" s="5" t="s">
        <v>72</v>
      </c>
      <c r="K928" s="5" t="s">
        <v>3463</v>
      </c>
      <c r="L928" s="16"/>
      <c r="M928" s="19"/>
      <c r="N928" s="16"/>
      <c r="O928" s="16"/>
      <c r="P928" s="16"/>
    </row>
    <row r="929" ht="22.5" customHeight="1">
      <c r="A929" s="138" t="s">
        <v>294</v>
      </c>
      <c r="B929" s="16" t="str">
        <f>IF(A929="","",IFERROR(VLOOKUP(A929, Stock_New!A:M, 2, FALSE),""))</f>
        <v>بوكيه</v>
      </c>
      <c r="C929" s="236">
        <v>2.0</v>
      </c>
      <c r="D929" s="16"/>
      <c r="E929" s="16">
        <f>IF($A929="", "", IFERROR(VLOOKUP($A929, Stock_New!$A:$M, 6, FALSE), ""))</f>
        <v>96</v>
      </c>
      <c r="F929" s="239">
        <v>120.0</v>
      </c>
      <c r="G929" s="16"/>
      <c r="H929" s="33">
        <v>240.0</v>
      </c>
      <c r="I929" s="238">
        <v>46099.0</v>
      </c>
      <c r="J929" s="5" t="s">
        <v>72</v>
      </c>
      <c r="K929" s="5" t="s">
        <v>3513</v>
      </c>
      <c r="L929" s="16"/>
      <c r="M929" s="19"/>
      <c r="N929" s="16"/>
      <c r="O929" s="16"/>
      <c r="P929" s="16"/>
    </row>
    <row r="930" ht="22.5" customHeight="1">
      <c r="A930" s="138" t="s">
        <v>352</v>
      </c>
      <c r="B930" s="16" t="str">
        <f>IF(A930="","",IFERROR(VLOOKUP(A930, Stock_New!A:M, 2, FALSE),""))</f>
        <v>خزف</v>
      </c>
      <c r="C930" s="236">
        <v>2.0</v>
      </c>
      <c r="D930" s="16" t="str">
        <f>IF(A930="","",IFERROR(VLOOKUP(A930, Stock_New!A:M, 3, FALSE),""))</f>
        <v>ذكريا</v>
      </c>
      <c r="E930" s="16">
        <f>IF($A930="", "", IFERROR(VLOOKUP($A930, Stock_New!$A:$M, 6, FALSE), ""))</f>
        <v>38.4</v>
      </c>
      <c r="F930" s="239">
        <v>65.0</v>
      </c>
      <c r="G930" s="16"/>
      <c r="H930" s="33">
        <v>130.0</v>
      </c>
      <c r="I930" s="238">
        <v>46099.0</v>
      </c>
      <c r="J930" s="5" t="s">
        <v>72</v>
      </c>
      <c r="K930" s="5" t="s">
        <v>3464</v>
      </c>
      <c r="L930" s="16"/>
      <c r="M930" s="19"/>
      <c r="N930" s="16"/>
      <c r="O930" s="16"/>
      <c r="P930" s="16"/>
    </row>
    <row r="931" ht="22.5" customHeight="1">
      <c r="A931" s="138" t="s">
        <v>352</v>
      </c>
      <c r="B931" s="16" t="str">
        <f>IF(A931="","",IFERROR(VLOOKUP(A931, Stock_New!A:M, 2, FALSE),""))</f>
        <v>خزف</v>
      </c>
      <c r="C931" s="236">
        <v>2.0</v>
      </c>
      <c r="D931" s="16" t="str">
        <f>IF(A931="","",IFERROR(VLOOKUP(A931, Stock_New!A:M, 3, FALSE),""))</f>
        <v>ذكريا</v>
      </c>
      <c r="E931" s="16">
        <f>IF($A931="", "", IFERROR(VLOOKUP($A931, Stock_New!$A:$M, 6, FALSE), ""))</f>
        <v>38.4</v>
      </c>
      <c r="F931" s="239">
        <v>65.0</v>
      </c>
      <c r="G931" s="16"/>
      <c r="H931" s="33">
        <v>130.0</v>
      </c>
      <c r="I931" s="238">
        <v>46099.0</v>
      </c>
      <c r="J931" s="5" t="s">
        <v>72</v>
      </c>
      <c r="K931" s="5" t="s">
        <v>3515</v>
      </c>
      <c r="L931" s="16"/>
      <c r="M931" s="19"/>
      <c r="N931" s="16"/>
      <c r="O931" s="16"/>
      <c r="P931" s="16"/>
    </row>
    <row r="932" ht="22.5" customHeight="1">
      <c r="A932" s="138" t="s">
        <v>511</v>
      </c>
      <c r="B932" s="16" t="str">
        <f>IF(A932="","",IFERROR(VLOOKUP(A932, Stock_New!A:M, 2, FALSE),""))</f>
        <v>خزف</v>
      </c>
      <c r="C932" s="236">
        <v>1.0</v>
      </c>
      <c r="D932" s="16" t="str">
        <f>IF(A932="","",IFERROR(VLOOKUP(A932, Stock_New!A:M, 3, FALSE),""))</f>
        <v>ذكريا</v>
      </c>
      <c r="E932" s="16">
        <f>IF($A932="", "", IFERROR(VLOOKUP($A932, Stock_New!$A:$M, 6, FALSE), ""))</f>
        <v>48</v>
      </c>
      <c r="F932" s="239">
        <v>65.0</v>
      </c>
      <c r="G932" s="16"/>
      <c r="H932" s="33">
        <v>65.0</v>
      </c>
      <c r="I932" s="238">
        <v>46099.0</v>
      </c>
      <c r="J932" s="5" t="s">
        <v>72</v>
      </c>
      <c r="K932" s="5" t="s">
        <v>3517</v>
      </c>
      <c r="L932" s="16"/>
      <c r="M932" s="19"/>
      <c r="N932" s="16"/>
      <c r="O932" s="16"/>
      <c r="P932" s="16"/>
    </row>
    <row r="933" ht="22.5" customHeight="1">
      <c r="A933" s="138" t="s">
        <v>454</v>
      </c>
      <c r="B933" s="16" t="str">
        <f>IF(A933="","",IFERROR(VLOOKUP(A933, Stock_New!A:M, 2, FALSE),""))</f>
        <v>ورد لوحده</v>
      </c>
      <c r="C933" s="236">
        <f>1/2</f>
        <v>0.5</v>
      </c>
      <c r="D933" s="16" t="str">
        <f>IF(A933="","",IFERROR(VLOOKUP(A933, Stock_New!A:M, 3, FALSE),""))</f>
        <v>ذكريا</v>
      </c>
      <c r="E933" s="16">
        <f>IF($A933="", "", IFERROR(VLOOKUP($A933, Stock_New!$A:$M, 6, FALSE), ""))</f>
        <v>252</v>
      </c>
      <c r="F933" s="239">
        <v>250.0</v>
      </c>
      <c r="G933" s="16"/>
      <c r="H933" s="33">
        <v>125.0</v>
      </c>
      <c r="I933" s="238">
        <v>46099.0</v>
      </c>
      <c r="J933" s="5" t="s">
        <v>72</v>
      </c>
      <c r="K933" s="5" t="s">
        <v>3519</v>
      </c>
      <c r="L933" s="16"/>
      <c r="M933" s="19"/>
      <c r="N933" s="16"/>
      <c r="O933" s="16"/>
      <c r="P933" s="16"/>
    </row>
    <row r="934" ht="22.5" customHeight="1">
      <c r="A934" s="138" t="s">
        <v>797</v>
      </c>
      <c r="B934" s="16" t="str">
        <f>IF(A934="","",IFERROR(VLOOKUP(A934, Stock_New!A:M, 2, FALSE),""))</f>
        <v>كهربائيات</v>
      </c>
      <c r="C934" s="236">
        <v>1.0</v>
      </c>
      <c r="D934" s="16" t="str">
        <f>IF(A934="","",IFERROR(VLOOKUP(A934, Stock_New!A:M, 3, FALSE),""))</f>
        <v>سنتر محمد رشدي</v>
      </c>
      <c r="E934" s="16">
        <f>IF($A934="", "", IFERROR(VLOOKUP($A934, Stock_New!$A:$M, 6, FALSE), ""))</f>
        <v>174</v>
      </c>
      <c r="F934" s="239">
        <v>180.0</v>
      </c>
      <c r="G934" s="16"/>
      <c r="H934" s="33">
        <v>180.0</v>
      </c>
      <c r="I934" s="238">
        <v>46099.0</v>
      </c>
      <c r="J934" s="5" t="s">
        <v>72</v>
      </c>
      <c r="K934" s="5" t="s">
        <v>3521</v>
      </c>
      <c r="L934" s="16"/>
      <c r="M934" s="19"/>
      <c r="N934" s="16"/>
      <c r="O934" s="16"/>
      <c r="P934" s="16"/>
    </row>
    <row r="935" ht="22.5" customHeight="1">
      <c r="A935" s="138" t="s">
        <v>851</v>
      </c>
      <c r="B935" s="16" t="str">
        <f>IF(A935="","",IFERROR(VLOOKUP(A935, Stock_New!A:M, 2, FALSE),""))</f>
        <v>كهربائيات</v>
      </c>
      <c r="C935" s="236">
        <v>1.0</v>
      </c>
      <c r="D935" s="16" t="str">
        <f>IF(A935="","",IFERROR(VLOOKUP(A935, Stock_New!A:M, 3, FALSE),""))</f>
        <v>سنتر محمد رشدي</v>
      </c>
      <c r="E935" s="16">
        <f>IF($A935="", "", IFERROR(VLOOKUP($A935, Stock_New!$A:$M, 6, FALSE), ""))</f>
        <v>164.4</v>
      </c>
      <c r="F935" s="239">
        <v>175.0</v>
      </c>
      <c r="G935" s="16"/>
      <c r="H935" s="33">
        <v>175.0</v>
      </c>
      <c r="I935" s="238">
        <v>46099.0</v>
      </c>
      <c r="J935" s="5" t="s">
        <v>72</v>
      </c>
      <c r="K935" s="5" t="s">
        <v>3525</v>
      </c>
      <c r="L935" s="16"/>
      <c r="M935" s="19" t="s">
        <v>5025</v>
      </c>
      <c r="N935" s="16"/>
      <c r="O935" s="16"/>
      <c r="P935" s="16"/>
    </row>
    <row r="936" ht="22.5" customHeight="1">
      <c r="A936" s="138" t="s">
        <v>699</v>
      </c>
      <c r="B936" s="16" t="str">
        <f>IF(A936="","",IFERROR(VLOOKUP(A936, Stock_New!A:M, 2, FALSE),""))</f>
        <v>بوكيه</v>
      </c>
      <c r="C936" s="236">
        <v>2.0</v>
      </c>
      <c r="D936" s="16" t="str">
        <f>IF(A936="","",IFERROR(VLOOKUP(A936, Stock_New!A:M, 3, FALSE),""))</f>
        <v>manufactured</v>
      </c>
      <c r="E936" s="16">
        <f>IF($A936="", "", IFERROR(VLOOKUP($A936, Stock_New!$A:$M, 6, FALSE), ""))</f>
        <v>24</v>
      </c>
      <c r="F936" s="239">
        <v>50.0</v>
      </c>
      <c r="G936" s="16"/>
      <c r="H936" s="33">
        <v>100.0</v>
      </c>
      <c r="I936" s="238">
        <v>46099.0</v>
      </c>
      <c r="J936" s="5" t="s">
        <v>72</v>
      </c>
      <c r="K936" s="5" t="s">
        <v>3604</v>
      </c>
      <c r="L936" s="16"/>
      <c r="M936" s="19"/>
      <c r="N936" s="16"/>
      <c r="O936" s="16"/>
      <c r="P936" s="16"/>
    </row>
    <row r="937" ht="22.5" customHeight="1">
      <c r="A937" s="138" t="s">
        <v>48</v>
      </c>
      <c r="B937" s="16" t="str">
        <f>IF(A937="","",IFERROR(VLOOKUP(A937, Stock_New!A:M, 2, FALSE),""))</f>
        <v>بوكيه</v>
      </c>
      <c r="C937" s="236">
        <v>1.0</v>
      </c>
      <c r="D937" s="16" t="str">
        <f>IF(A937="","",IFERROR(VLOOKUP(A937, Stock_New!A:M, 3, FALSE),""))</f>
        <v>ذكريا</v>
      </c>
      <c r="E937" s="16">
        <f>IF($A937="", "", IFERROR(VLOOKUP($A937, Stock_New!$A:$M, 6, FALSE), ""))</f>
        <v>44.4</v>
      </c>
      <c r="F937" s="239">
        <v>50.0</v>
      </c>
      <c r="G937" s="16"/>
      <c r="H937" s="33">
        <v>50.0</v>
      </c>
      <c r="I937" s="238">
        <v>46099.0</v>
      </c>
      <c r="J937" s="5" t="s">
        <v>72</v>
      </c>
      <c r="K937" s="5" t="s">
        <v>3529</v>
      </c>
      <c r="L937" s="16"/>
      <c r="M937" s="19"/>
      <c r="N937" s="16"/>
      <c r="O937" s="16"/>
      <c r="P937" s="16"/>
    </row>
    <row r="938" ht="22.5" customHeight="1">
      <c r="A938" s="138" t="s">
        <v>724</v>
      </c>
      <c r="B938" s="16" t="str">
        <f>IF(A938="","",IFERROR(VLOOKUP(A938, Stock_New!A:M, 2, FALSE),""))</f>
        <v>بوكيه</v>
      </c>
      <c r="C938" s="236">
        <v>1.0</v>
      </c>
      <c r="D938" s="16" t="str">
        <f>IF(A938="","",IFERROR(VLOOKUP(A938, Stock_New!A:M, 3, FALSE),""))</f>
        <v>المهندس</v>
      </c>
      <c r="E938" s="16">
        <f>IF($A938="", "", IFERROR(VLOOKUP($A938, Stock_New!$A:$M, 6, FALSE), ""))</f>
        <v>42</v>
      </c>
      <c r="F938" s="239">
        <v>50.0</v>
      </c>
      <c r="G938" s="16"/>
      <c r="H938" s="33">
        <v>50.0</v>
      </c>
      <c r="I938" s="238">
        <v>46099.0</v>
      </c>
      <c r="J938" s="5" t="s">
        <v>72</v>
      </c>
      <c r="K938" s="5" t="s">
        <v>3531</v>
      </c>
      <c r="L938" s="16"/>
      <c r="M938" s="19"/>
      <c r="N938" s="16"/>
      <c r="O938" s="16"/>
      <c r="P938" s="16"/>
    </row>
    <row r="939" ht="22.5" customHeight="1">
      <c r="A939" s="138" t="s">
        <v>245</v>
      </c>
      <c r="B939" s="16" t="str">
        <f>IF(A939="","",IFERROR(VLOOKUP(A939, Stock_New!A:M, 2, FALSE),""))</f>
        <v>ورد لحدة</v>
      </c>
      <c r="C939" s="236">
        <v>1.0</v>
      </c>
      <c r="D939" s="16" t="str">
        <f>IF(A939="","",IFERROR(VLOOKUP(A939, Stock_New!A:M, 3, FALSE),""))</f>
        <v>شركة حسين علي</v>
      </c>
      <c r="E939" s="16">
        <f>IF($A939="", "", IFERROR(VLOOKUP($A939, Stock_New!$A:$M, 6, FALSE), ""))</f>
        <v>180</v>
      </c>
      <c r="F939" s="239">
        <v>200.0</v>
      </c>
      <c r="G939" s="16"/>
      <c r="H939" s="33">
        <v>200.0</v>
      </c>
      <c r="I939" s="238">
        <v>46099.0</v>
      </c>
      <c r="J939" s="5" t="s">
        <v>72</v>
      </c>
      <c r="K939" s="5" t="s">
        <v>3533</v>
      </c>
      <c r="L939" s="16"/>
      <c r="M939" s="19"/>
      <c r="N939" s="16"/>
      <c r="O939" s="16"/>
      <c r="P939" s="16"/>
    </row>
    <row r="940" ht="22.5" customHeight="1">
      <c r="A940" s="138" t="s">
        <v>309</v>
      </c>
      <c r="B940" s="16" t="str">
        <f>IF(A940="","",IFERROR(VLOOKUP(A940, Stock_New!A:M, 2, FALSE),""))</f>
        <v>بوتات</v>
      </c>
      <c r="C940" s="236">
        <v>1.0</v>
      </c>
      <c r="D940" s="16" t="str">
        <f>IF(A940="","",IFERROR(VLOOKUP(A940, Stock_New!A:M, 3, FALSE),""))</f>
        <v>شركة حسين علي</v>
      </c>
      <c r="E940" s="16">
        <f>IF($A940="", "", IFERROR(VLOOKUP($A940, Stock_New!$A:$M, 6, FALSE), ""))</f>
        <v>24</v>
      </c>
      <c r="F940" s="239">
        <v>50.0</v>
      </c>
      <c r="G940" s="16"/>
      <c r="H940" s="33">
        <v>50.0</v>
      </c>
      <c r="I940" s="238">
        <v>46099.0</v>
      </c>
      <c r="J940" s="5" t="s">
        <v>72</v>
      </c>
      <c r="K940" s="5" t="s">
        <v>3535</v>
      </c>
      <c r="L940" s="16"/>
      <c r="M940" s="19"/>
      <c r="N940" s="16"/>
      <c r="O940" s="16"/>
      <c r="P940" s="16"/>
    </row>
    <row r="941" ht="22.5" customHeight="1">
      <c r="A941" s="138" t="s">
        <v>898</v>
      </c>
      <c r="B941" s="16" t="str">
        <f>IF(A941="","",IFERROR(VLOOKUP(A941, Stock_New!A:M, 2, FALSE),""))</f>
        <v/>
      </c>
      <c r="C941" s="236">
        <v>4.0</v>
      </c>
      <c r="D941" s="16" t="str">
        <f>IF(A941="","",IFERROR(VLOOKUP(A941, Stock_New!A:M, 3, FALSE),""))</f>
        <v/>
      </c>
      <c r="E941" s="16" t="str">
        <f>IF($A941="", "", IFERROR(VLOOKUP($A941, Stock_New!$A:$M, 6, FALSE), ""))</f>
        <v/>
      </c>
      <c r="F941" s="239">
        <v>25.0</v>
      </c>
      <c r="G941" s="16"/>
      <c r="H941" s="33">
        <v>100.0</v>
      </c>
      <c r="I941" s="238">
        <v>46099.0</v>
      </c>
      <c r="J941" s="5" t="s">
        <v>72</v>
      </c>
      <c r="K941" s="5" t="s">
        <v>3537</v>
      </c>
      <c r="L941" s="16"/>
      <c r="M941" s="19"/>
      <c r="N941" s="16"/>
      <c r="O941" s="16"/>
      <c r="P941" s="16"/>
    </row>
    <row r="942" ht="22.5" customHeight="1">
      <c r="A942" s="138" t="s">
        <v>960</v>
      </c>
      <c r="B942" s="16" t="str">
        <f>IF(A942="","",IFERROR(VLOOKUP(A942, Stock_New!A:M, 2, FALSE),""))</f>
        <v>لوح</v>
      </c>
      <c r="C942" s="236">
        <v>1.0</v>
      </c>
      <c r="D942" s="16" t="str">
        <f>IF(A942="","",IFERROR(VLOOKUP(A942, Stock_New!A:M, 3, FALSE),""))</f>
        <v>شركة الفرسان</v>
      </c>
      <c r="E942" s="16">
        <f>IF($A942="", "", IFERROR(VLOOKUP($A942, Stock_New!$A:$M, 6, FALSE), ""))</f>
        <v>96</v>
      </c>
      <c r="F942" s="239">
        <v>140.0</v>
      </c>
      <c r="G942" s="16"/>
      <c r="H942" s="33">
        <v>140.0</v>
      </c>
      <c r="I942" s="238">
        <v>46099.0</v>
      </c>
      <c r="J942" s="5" t="s">
        <v>72</v>
      </c>
      <c r="K942" s="5" t="s">
        <v>3539</v>
      </c>
      <c r="L942" s="16"/>
      <c r="M942" s="19"/>
      <c r="N942" s="16"/>
      <c r="O942" s="16"/>
      <c r="P942" s="16"/>
    </row>
    <row r="943" ht="22.5" customHeight="1">
      <c r="A943" s="138" t="s">
        <v>1114</v>
      </c>
      <c r="B943" s="16" t="str">
        <f>IF(A943="","",IFERROR(VLOOKUP(A943, Stock_New!A:M, 2, FALSE),""))</f>
        <v>ديكور مكتب</v>
      </c>
      <c r="C943" s="236">
        <v>3.0</v>
      </c>
      <c r="D943" s="16" t="str">
        <f>IF(A943="","",IFERROR(VLOOKUP(A943, Stock_New!A:M, 3, FALSE),""))</f>
        <v>محمد رشدي</v>
      </c>
      <c r="E943" s="16">
        <f>IF($A943="", "", IFERROR(VLOOKUP($A943, Stock_New!$A:$M, 6, FALSE), ""))</f>
        <v>105.6</v>
      </c>
      <c r="F943" s="239">
        <v>135.0</v>
      </c>
      <c r="G943" s="16"/>
      <c r="H943" s="33">
        <v>405.0</v>
      </c>
      <c r="I943" s="238">
        <v>46099.0</v>
      </c>
      <c r="J943" s="5" t="s">
        <v>72</v>
      </c>
      <c r="K943" s="5" t="s">
        <v>3540</v>
      </c>
      <c r="L943" s="16"/>
      <c r="M943" s="19"/>
      <c r="N943" s="16"/>
      <c r="O943" s="16"/>
      <c r="P943" s="16"/>
    </row>
    <row r="944" ht="22.5" customHeight="1">
      <c r="A944" s="138" t="s">
        <v>309</v>
      </c>
      <c r="B944" s="16" t="str">
        <f>IF(A944="","",IFERROR(VLOOKUP(A944, Stock_New!A:M, 2, FALSE),""))</f>
        <v>بوتات</v>
      </c>
      <c r="C944" s="236">
        <v>1.0</v>
      </c>
      <c r="D944" s="16" t="str">
        <f>IF(A944="","",IFERROR(VLOOKUP(A944, Stock_New!A:M, 3, FALSE),""))</f>
        <v>شركة حسين علي</v>
      </c>
      <c r="E944" s="16">
        <f>IF($A944="", "", IFERROR(VLOOKUP($A944, Stock_New!$A:$M, 6, FALSE), ""))</f>
        <v>24</v>
      </c>
      <c r="F944" s="239">
        <v>50.0</v>
      </c>
      <c r="G944" s="16"/>
      <c r="H944" s="33">
        <v>50.0</v>
      </c>
      <c r="I944" s="238">
        <v>46099.0</v>
      </c>
      <c r="J944" s="5" t="s">
        <v>72</v>
      </c>
      <c r="K944" s="5" t="s">
        <v>3544</v>
      </c>
      <c r="L944" s="16"/>
      <c r="M944" s="19"/>
      <c r="N944" s="16"/>
      <c r="O944" s="16"/>
      <c r="P944" s="16"/>
    </row>
    <row r="945" ht="22.5" customHeight="1">
      <c r="A945" s="138" t="s">
        <v>648</v>
      </c>
      <c r="B945" s="16" t="str">
        <f>IF(A945="","",IFERROR(VLOOKUP(A945, Stock_New!A:M, 2, FALSE),""))</f>
        <v>سيلفرات</v>
      </c>
      <c r="C945" s="236">
        <v>2.0</v>
      </c>
      <c r="D945" s="16" t="str">
        <f>IF(A945="","",IFERROR(VLOOKUP(A945, Stock_New!A:M, 3, FALSE),""))</f>
        <v>شركة حسين علي</v>
      </c>
      <c r="E945" s="16">
        <f>IF($A945="", "", IFERROR(VLOOKUP($A945, Stock_New!$A:$M, 6, FALSE), ""))</f>
        <v>180</v>
      </c>
      <c r="F945" s="239">
        <v>200.0</v>
      </c>
      <c r="G945" s="16"/>
      <c r="H945" s="33">
        <v>400.0</v>
      </c>
      <c r="I945" s="238">
        <v>46099.0</v>
      </c>
      <c r="J945" s="5" t="s">
        <v>72</v>
      </c>
      <c r="K945" s="5" t="s">
        <v>3546</v>
      </c>
      <c r="L945" s="16"/>
      <c r="M945" s="19"/>
      <c r="N945" s="16"/>
      <c r="O945" s="16"/>
      <c r="P945" s="16"/>
    </row>
    <row r="946" ht="22.5" customHeight="1">
      <c r="A946" s="138" t="s">
        <v>1079</v>
      </c>
      <c r="B946" s="16" t="str">
        <f>IF(A946="","",IFERROR(VLOOKUP(A946, Stock_New!A:M, 2, FALSE),""))</f>
        <v>سيلفرات</v>
      </c>
      <c r="C946" s="236">
        <v>1.0</v>
      </c>
      <c r="D946" s="16" t="str">
        <f>IF(A946="","",IFERROR(VLOOKUP(A946, Stock_New!A:M, 3, FALSE),""))</f>
        <v>شركة حسين علي</v>
      </c>
      <c r="E946" s="16">
        <f>IF($A946="", "", IFERROR(VLOOKUP($A946, Stock_New!$A:$M, 6, FALSE), ""))</f>
        <v>108</v>
      </c>
      <c r="F946" s="239">
        <v>150.0</v>
      </c>
      <c r="G946" s="16"/>
      <c r="H946" s="33">
        <v>150.0</v>
      </c>
      <c r="I946" s="238">
        <v>46099.0</v>
      </c>
      <c r="J946" s="5" t="s">
        <v>72</v>
      </c>
      <c r="K946" s="5" t="s">
        <v>3550</v>
      </c>
      <c r="L946" s="16"/>
      <c r="M946" s="19"/>
      <c r="N946" s="16"/>
      <c r="O946" s="16"/>
      <c r="P946" s="16"/>
    </row>
    <row r="947" ht="22.5" customHeight="1">
      <c r="A947" s="138" t="s">
        <v>172</v>
      </c>
      <c r="B947" s="16" t="str">
        <f>IF(A947="","",IFERROR(VLOOKUP(A947, Stock_New!A:M, 2, FALSE),""))</f>
        <v>بوكيه</v>
      </c>
      <c r="C947" s="236">
        <v>2.0</v>
      </c>
      <c r="D947" s="16" t="str">
        <f>IF(A947="","",IFERROR(VLOOKUP(A947, Stock_New!A:M, 3, FALSE),""))</f>
        <v>ذكريا</v>
      </c>
      <c r="E947" s="16">
        <f>IF($A947="", "", IFERROR(VLOOKUP($A947, Stock_New!$A:$M, 6, FALSE), ""))</f>
        <v>33.84</v>
      </c>
      <c r="F947" s="239">
        <v>40.0</v>
      </c>
      <c r="G947" s="16"/>
      <c r="H947" s="33">
        <v>80.0</v>
      </c>
      <c r="I947" s="238">
        <v>46099.0</v>
      </c>
      <c r="J947" s="5" t="s">
        <v>72</v>
      </c>
      <c r="K947" s="5" t="s">
        <v>3553</v>
      </c>
      <c r="L947" s="16"/>
      <c r="M947" s="19"/>
      <c r="N947" s="16"/>
      <c r="O947" s="16"/>
      <c r="P947" s="16"/>
    </row>
    <row r="948" ht="22.5" customHeight="1">
      <c r="A948" s="138" t="s">
        <v>662</v>
      </c>
      <c r="B948" s="16" t="str">
        <f>IF(A948="","",IFERROR(VLOOKUP(A948, Stock_New!A:M, 2, FALSE),""))</f>
        <v>بوكيه</v>
      </c>
      <c r="C948" s="236">
        <v>1.0</v>
      </c>
      <c r="D948" s="16" t="str">
        <f>IF(A948="","",IFERROR(VLOOKUP(A948, Stock_New!A:M, 3, FALSE),""))</f>
        <v>المهندس</v>
      </c>
      <c r="E948" s="16">
        <f>IF($A948="", "", IFERROR(VLOOKUP($A948, Stock_New!$A:$M, 6, FALSE), ""))</f>
        <v>60</v>
      </c>
      <c r="F948" s="239">
        <v>70.0</v>
      </c>
      <c r="G948" s="16"/>
      <c r="H948" s="33">
        <v>70.0</v>
      </c>
      <c r="I948" s="238">
        <v>46099.0</v>
      </c>
      <c r="J948" s="5" t="s">
        <v>72</v>
      </c>
      <c r="K948" s="5" t="s">
        <v>3555</v>
      </c>
      <c r="L948" s="16"/>
      <c r="M948" s="19"/>
      <c r="N948" s="16"/>
      <c r="O948" s="16"/>
      <c r="P948" s="16"/>
    </row>
    <row r="949" ht="22.5" customHeight="1">
      <c r="A949" s="138" t="s">
        <v>177</v>
      </c>
      <c r="B949" s="16" t="str">
        <f>IF(A949="","",IFERROR(VLOOKUP(A949, Stock_New!A:M, 2, FALSE),""))</f>
        <v>بورسلين</v>
      </c>
      <c r="C949" s="236">
        <v>1.0</v>
      </c>
      <c r="D949" s="16" t="str">
        <f>IF(A949="","",IFERROR(VLOOKUP(A949, Stock_New!A:M, 3, FALSE),""))</f>
        <v>شركة حسين علي</v>
      </c>
      <c r="E949" s="16">
        <f>IF($A949="", "", IFERROR(VLOOKUP($A949, Stock_New!$A:$M, 6, FALSE), ""))</f>
        <v>90</v>
      </c>
      <c r="F949" s="239">
        <v>100.0</v>
      </c>
      <c r="G949" s="16"/>
      <c r="H949" s="33">
        <v>100.0</v>
      </c>
      <c r="I949" s="238">
        <v>46099.0</v>
      </c>
      <c r="J949" s="5" t="s">
        <v>72</v>
      </c>
      <c r="K949" s="5" t="s">
        <v>3557</v>
      </c>
      <c r="L949" s="16"/>
      <c r="M949" s="19"/>
      <c r="N949" s="16"/>
      <c r="O949" s="16"/>
      <c r="P949" s="16"/>
    </row>
    <row r="950" ht="22.5" customHeight="1">
      <c r="A950" s="138" t="s">
        <v>232</v>
      </c>
      <c r="B950" s="16" t="str">
        <f>IF(A950="","",IFERROR(VLOOKUP(A950, Stock_New!A:M, 2, FALSE),""))</f>
        <v>شجر</v>
      </c>
      <c r="C950" s="236">
        <v>1.0</v>
      </c>
      <c r="D950" s="16" t="str">
        <f>IF(A950="","",IFERROR(VLOOKUP(A950, Stock_New!A:M, 3, FALSE),""))</f>
        <v>ذكريا</v>
      </c>
      <c r="E950" s="16">
        <f>IF($A950="", "", IFERROR(VLOOKUP($A950, Stock_New!$A:$M, 6, FALSE), ""))</f>
        <v>390</v>
      </c>
      <c r="F950" s="239">
        <v>400.0</v>
      </c>
      <c r="G950" s="16"/>
      <c r="H950" s="33">
        <v>400.0</v>
      </c>
      <c r="I950" s="238">
        <v>46099.0</v>
      </c>
      <c r="J950" s="5" t="s">
        <v>72</v>
      </c>
      <c r="K950" s="5" t="s">
        <v>3559</v>
      </c>
      <c r="L950" s="16"/>
      <c r="M950" s="19"/>
      <c r="N950" s="16"/>
      <c r="O950" s="16"/>
      <c r="P950" s="16"/>
    </row>
    <row r="951" ht="22.5" customHeight="1">
      <c r="A951" s="138" t="s">
        <v>248</v>
      </c>
      <c r="B951" s="16" t="str">
        <f>IF(A951="","",IFERROR(VLOOKUP(A951, Stock_New!A:M, 2, FALSE),""))</f>
        <v>بوتات</v>
      </c>
      <c r="C951" s="236">
        <v>1.0</v>
      </c>
      <c r="D951" s="16" t="str">
        <f>IF(A951="","",IFERROR(VLOOKUP(A951, Stock_New!A:M, 3, FALSE),""))</f>
        <v>شركة حسين علي</v>
      </c>
      <c r="E951" s="16">
        <f>IF($A951="", "", IFERROR(VLOOKUP($A951, Stock_New!$A:$M, 6, FALSE), ""))</f>
        <v>120</v>
      </c>
      <c r="F951" s="239">
        <v>200.0</v>
      </c>
      <c r="G951" s="16"/>
      <c r="H951" s="33">
        <v>200.0</v>
      </c>
      <c r="I951" s="238">
        <v>46099.0</v>
      </c>
      <c r="J951" s="5" t="s">
        <v>72</v>
      </c>
      <c r="K951" s="5" t="s">
        <v>3561</v>
      </c>
      <c r="L951" s="16"/>
      <c r="M951" s="19"/>
      <c r="N951" s="16"/>
      <c r="O951" s="16"/>
      <c r="P951" s="16"/>
    </row>
    <row r="952" ht="22.5" customHeight="1">
      <c r="A952" s="138" t="s">
        <v>1049</v>
      </c>
      <c r="B952" s="16" t="str">
        <f>IF(A952="","",IFERROR(VLOOKUP(A952, Stock_New!A:M, 2, FALSE),""))</f>
        <v>بورسلين</v>
      </c>
      <c r="C952" s="236">
        <v>2.0</v>
      </c>
      <c r="D952" s="16" t="str">
        <f>IF(A952="","",IFERROR(VLOOKUP(A952, Stock_New!A:M, 3, FALSE),""))</f>
        <v>شركة حسين علي</v>
      </c>
      <c r="E952" s="16">
        <f>IF($A952="", "", IFERROR(VLOOKUP($A952, Stock_New!$A:$M, 6, FALSE), ""))</f>
        <v>114</v>
      </c>
      <c r="F952" s="239">
        <v>140.0</v>
      </c>
      <c r="G952" s="16"/>
      <c r="H952" s="33">
        <v>280.0</v>
      </c>
      <c r="I952" s="238">
        <v>46099.0</v>
      </c>
      <c r="J952" s="5" t="s">
        <v>72</v>
      </c>
      <c r="K952" s="5" t="s">
        <v>3563</v>
      </c>
      <c r="L952" s="16"/>
      <c r="M952" s="19"/>
      <c r="N952" s="16"/>
      <c r="O952" s="16"/>
      <c r="P952" s="16"/>
    </row>
    <row r="953" ht="22.5" customHeight="1">
      <c r="A953" s="138" t="s">
        <v>648</v>
      </c>
      <c r="B953" s="16" t="str">
        <f>IF(A953="","",IFERROR(VLOOKUP(A953, Stock_New!A:M, 2, FALSE),""))</f>
        <v>سيلفرات</v>
      </c>
      <c r="C953" s="236">
        <v>1.0</v>
      </c>
      <c r="D953" s="16" t="str">
        <f>IF(A953="","",IFERROR(VLOOKUP(A953, Stock_New!A:M, 3, FALSE),""))</f>
        <v>شركة حسين علي</v>
      </c>
      <c r="E953" s="16">
        <f>IF($A953="", "", IFERROR(VLOOKUP($A953, Stock_New!$A:$M, 6, FALSE), ""))</f>
        <v>180</v>
      </c>
      <c r="F953" s="239">
        <v>200.0</v>
      </c>
      <c r="G953" s="16"/>
      <c r="H953" s="33">
        <v>200.0</v>
      </c>
      <c r="I953" s="238">
        <v>46099.0</v>
      </c>
      <c r="J953" s="5" t="s">
        <v>72</v>
      </c>
      <c r="K953" s="5" t="s">
        <v>3565</v>
      </c>
      <c r="L953" s="16"/>
      <c r="M953" s="19"/>
      <c r="N953" s="16"/>
      <c r="O953" s="16"/>
      <c r="P953" s="16"/>
    </row>
    <row r="954" ht="22.5" customHeight="1">
      <c r="A954" s="138" t="s">
        <v>74</v>
      </c>
      <c r="B954" s="16" t="str">
        <f>IF(A954="","",IFERROR(VLOOKUP(A954, Stock_New!A:M, 2, FALSE),""))</f>
        <v>سيلفرات</v>
      </c>
      <c r="C954" s="236">
        <v>1.0</v>
      </c>
      <c r="D954" s="16" t="str">
        <f>IF(A954="","",IFERROR(VLOOKUP(A954, Stock_New!A:M, 3, FALSE),""))</f>
        <v>ذكريا</v>
      </c>
      <c r="E954" s="16">
        <f>IF($A954="", "", IFERROR(VLOOKUP($A954, Stock_New!$A:$M, 6, FALSE), ""))</f>
        <v>144</v>
      </c>
      <c r="F954" s="239">
        <v>150.0</v>
      </c>
      <c r="G954" s="16"/>
      <c r="H954" s="33">
        <v>150.0</v>
      </c>
      <c r="I954" s="238">
        <v>46099.0</v>
      </c>
      <c r="J954" s="5" t="s">
        <v>72</v>
      </c>
      <c r="K954" s="5" t="s">
        <v>3567</v>
      </c>
      <c r="L954" s="16"/>
      <c r="M954" s="19"/>
      <c r="N954" s="16"/>
      <c r="O954" s="16"/>
      <c r="P954" s="16"/>
    </row>
    <row r="955" ht="22.5" customHeight="1">
      <c r="A955" s="138" t="s">
        <v>168</v>
      </c>
      <c r="B955" s="16" t="str">
        <f>IF(A955="","",IFERROR(VLOOKUP(A955, Stock_New!A:M, 2, FALSE),""))</f>
        <v>خزف</v>
      </c>
      <c r="C955" s="236">
        <v>1.0</v>
      </c>
      <c r="D955" s="16" t="str">
        <f>IF(A955="","",IFERROR(VLOOKUP(A955, Stock_New!A:M, 3, FALSE),""))</f>
        <v>شركة حسين علي</v>
      </c>
      <c r="E955" s="16">
        <f>IF($A955="", "", IFERROR(VLOOKUP($A955, Stock_New!$A:$M, 6, FALSE), ""))</f>
        <v>132</v>
      </c>
      <c r="F955" s="239">
        <v>220.0</v>
      </c>
      <c r="G955" s="16"/>
      <c r="H955" s="33">
        <v>220.0</v>
      </c>
      <c r="I955" s="238">
        <v>46099.0</v>
      </c>
      <c r="J955" s="5" t="s">
        <v>72</v>
      </c>
      <c r="K955" s="5" t="s">
        <v>3569</v>
      </c>
      <c r="L955" s="16"/>
      <c r="M955" s="19"/>
      <c r="N955" s="16"/>
      <c r="O955" s="16"/>
      <c r="P955" s="16"/>
    </row>
    <row r="956" ht="22.5" customHeight="1">
      <c r="A956" s="138" t="s">
        <v>812</v>
      </c>
      <c r="B956" s="16" t="str">
        <f>IF(A956="","",IFERROR(VLOOKUP(A956, Stock_New!A:M, 2, FALSE),""))</f>
        <v/>
      </c>
      <c r="C956" s="236">
        <v>4.0</v>
      </c>
      <c r="D956" s="16" t="str">
        <f>IF(A956="","",IFERROR(VLOOKUP(A956, Stock_New!A:M, 3, FALSE),""))</f>
        <v/>
      </c>
      <c r="E956" s="16" t="str">
        <f>IF($A956="", "", IFERROR(VLOOKUP($A956, Stock_New!$A:$M, 6, FALSE), ""))</f>
        <v/>
      </c>
      <c r="F956" s="239">
        <v>20.0</v>
      </c>
      <c r="G956" s="16"/>
      <c r="H956" s="33">
        <v>80.0</v>
      </c>
      <c r="I956" s="238">
        <v>46099.0</v>
      </c>
      <c r="J956" s="5" t="s">
        <v>72</v>
      </c>
      <c r="K956" s="5" t="s">
        <v>3571</v>
      </c>
      <c r="L956" s="16"/>
      <c r="M956" s="19"/>
      <c r="N956" s="16"/>
      <c r="O956" s="16"/>
      <c r="P956" s="16"/>
    </row>
    <row r="957" ht="22.5" customHeight="1">
      <c r="A957" s="138" t="s">
        <v>187</v>
      </c>
      <c r="B957" s="16" t="str">
        <f>IF(A957="","",IFERROR(VLOOKUP(A957, Stock_New!A:M, 2, FALSE),""))</f>
        <v>سيلفرات</v>
      </c>
      <c r="C957" s="236">
        <v>1.0</v>
      </c>
      <c r="D957" s="16" t="str">
        <f>IF(A957="","",IFERROR(VLOOKUP(A957, Stock_New!A:M, 3, FALSE),""))</f>
        <v>شركة التقوى</v>
      </c>
      <c r="E957" s="16">
        <f>IF($A957="", "", IFERROR(VLOOKUP($A957, Stock_New!$A:$M, 6, FALSE), ""))</f>
        <v>420</v>
      </c>
      <c r="F957" s="239">
        <v>400.0</v>
      </c>
      <c r="G957" s="16"/>
      <c r="H957" s="33">
        <v>400.0</v>
      </c>
      <c r="I957" s="238">
        <v>46099.0</v>
      </c>
      <c r="J957" s="5" t="s">
        <v>72</v>
      </c>
      <c r="K957" s="5" t="s">
        <v>3572</v>
      </c>
      <c r="L957" s="16"/>
      <c r="M957" s="19"/>
      <c r="N957" s="16"/>
      <c r="O957" s="16"/>
      <c r="P957" s="16"/>
    </row>
    <row r="958" ht="22.5" customHeight="1">
      <c r="A958" s="138" t="s">
        <v>554</v>
      </c>
      <c r="B958" s="16" t="str">
        <f>IF(A958="","",IFERROR(VLOOKUP(A958, Stock_New!A:M, 2, FALSE),""))</f>
        <v>مقزمات</v>
      </c>
      <c r="C958" s="236">
        <v>2.0</v>
      </c>
      <c r="D958" s="16" t="str">
        <f>IF(A958="","",IFERROR(VLOOKUP(A958, Stock_New!A:M, 3, FALSE),""))</f>
        <v>manufactured</v>
      </c>
      <c r="E958" s="16">
        <f>IF($A958="", "", IFERROR(VLOOKUP($A958, Stock_New!$A:$M, 6, FALSE), ""))</f>
        <v>27.86666667</v>
      </c>
      <c r="F958" s="239">
        <v>40.0</v>
      </c>
      <c r="G958" s="16"/>
      <c r="H958" s="33">
        <v>80.0</v>
      </c>
      <c r="I958" s="238">
        <v>46099.0</v>
      </c>
      <c r="J958" s="5" t="s">
        <v>72</v>
      </c>
      <c r="K958" s="5" t="s">
        <v>3574</v>
      </c>
      <c r="L958" s="16"/>
      <c r="M958" s="19"/>
      <c r="N958" s="16"/>
      <c r="O958" s="16"/>
      <c r="P958" s="16"/>
    </row>
    <row r="959" ht="22.5" customHeight="1">
      <c r="A959" s="138" t="s">
        <v>724</v>
      </c>
      <c r="B959" s="16" t="str">
        <f>IF(A959="","",IFERROR(VLOOKUP(A959, Stock_New!A:M, 2, FALSE),""))</f>
        <v>بوكيه</v>
      </c>
      <c r="C959" s="236">
        <v>2.0</v>
      </c>
      <c r="D959" s="16" t="str">
        <f>IF(A959="","",IFERROR(VLOOKUP(A959, Stock_New!A:M, 3, FALSE),""))</f>
        <v>المهندس</v>
      </c>
      <c r="E959" s="16">
        <f>IF($A959="", "", IFERROR(VLOOKUP($A959, Stock_New!$A:$M, 6, FALSE), ""))</f>
        <v>42</v>
      </c>
      <c r="F959" s="239">
        <v>50.0</v>
      </c>
      <c r="G959" s="16"/>
      <c r="H959" s="33">
        <v>100.0</v>
      </c>
      <c r="I959" s="238">
        <v>46099.0</v>
      </c>
      <c r="J959" s="5" t="s">
        <v>72</v>
      </c>
      <c r="K959" s="5" t="s">
        <v>3600</v>
      </c>
      <c r="L959" s="16"/>
      <c r="M959" s="19"/>
      <c r="N959" s="16"/>
      <c r="O959" s="16"/>
      <c r="P959" s="16"/>
    </row>
    <row r="960" ht="22.5" customHeight="1">
      <c r="A960" s="138" t="s">
        <v>802</v>
      </c>
      <c r="B960" s="16" t="str">
        <f>IF(A960="","",IFERROR(VLOOKUP(A960, Stock_New!A:M, 2, FALSE),""))</f>
        <v>بخور</v>
      </c>
      <c r="C960" s="236">
        <f>1/5</f>
        <v>0.2</v>
      </c>
      <c r="D960" s="16" t="str">
        <f>IF(A960="","",IFERROR(VLOOKUP(A960, Stock_New!A:M, 3, FALSE),""))</f>
        <v/>
      </c>
      <c r="E960" s="16">
        <f>IF($A960="", "", IFERROR(VLOOKUP($A960, Stock_New!$A:$M, 6, FALSE), ""))</f>
        <v>64</v>
      </c>
      <c r="F960" s="239">
        <v>75.0</v>
      </c>
      <c r="G960" s="16"/>
      <c r="H960" s="33">
        <v>15.0</v>
      </c>
      <c r="I960" s="238">
        <v>46099.0</v>
      </c>
      <c r="J960" s="5" t="s">
        <v>72</v>
      </c>
      <c r="K960" s="5" t="s">
        <v>3576</v>
      </c>
      <c r="L960" s="16"/>
      <c r="M960" s="19"/>
      <c r="N960" s="16"/>
      <c r="O960" s="16"/>
      <c r="P960" s="16"/>
    </row>
    <row r="961" ht="22.5" customHeight="1">
      <c r="A961" s="138" t="s">
        <v>236</v>
      </c>
      <c r="B961" s="16" t="str">
        <f>IF(A961="","",IFERROR(VLOOKUP(A961, Stock_New!A:M, 2, FALSE),""))</f>
        <v>ورد لحدة</v>
      </c>
      <c r="C961" s="236">
        <v>1.0</v>
      </c>
      <c r="D961" s="16" t="str">
        <f>IF(A961="","",IFERROR(VLOOKUP(A961, Stock_New!A:M, 3, FALSE),""))</f>
        <v>شركة حسين علي</v>
      </c>
      <c r="E961" s="16">
        <f>IF($A961="", "", IFERROR(VLOOKUP($A961, Stock_New!$A:$M, 6, FALSE), ""))</f>
        <v>210</v>
      </c>
      <c r="F961" s="239">
        <v>250.0</v>
      </c>
      <c r="G961" s="16"/>
      <c r="H961" s="33">
        <v>250.0</v>
      </c>
      <c r="I961" s="238">
        <v>46099.0</v>
      </c>
      <c r="J961" s="5" t="s">
        <v>72</v>
      </c>
      <c r="K961" s="5" t="s">
        <v>3578</v>
      </c>
      <c r="L961" s="16"/>
      <c r="M961" s="19"/>
      <c r="N961" s="16"/>
      <c r="O961" s="16"/>
      <c r="P961" s="16"/>
    </row>
    <row r="962" ht="22.5" customHeight="1">
      <c r="A962" s="138" t="s">
        <v>309</v>
      </c>
      <c r="B962" s="16" t="str">
        <f>IF(A962="","",IFERROR(VLOOKUP(A962, Stock_New!A:M, 2, FALSE),""))</f>
        <v>بوتات</v>
      </c>
      <c r="C962" s="236">
        <v>1.0</v>
      </c>
      <c r="D962" s="16" t="str">
        <f>IF(A962="","",IFERROR(VLOOKUP(A962, Stock_New!A:M, 3, FALSE),""))</f>
        <v>شركة حسين علي</v>
      </c>
      <c r="E962" s="16">
        <f>IF($A962="", "", IFERROR(VLOOKUP($A962, Stock_New!$A:$M, 6, FALSE), ""))</f>
        <v>24</v>
      </c>
      <c r="F962" s="239">
        <v>50.0</v>
      </c>
      <c r="G962" s="16"/>
      <c r="H962" s="33">
        <v>50.0</v>
      </c>
      <c r="I962" s="238">
        <v>46099.0</v>
      </c>
      <c r="J962" s="5" t="s">
        <v>72</v>
      </c>
      <c r="K962" s="5" t="s">
        <v>3580</v>
      </c>
      <c r="L962" s="16"/>
      <c r="M962" s="19"/>
      <c r="N962" s="16"/>
      <c r="O962" s="16"/>
      <c r="P962" s="16"/>
    </row>
    <row r="963" ht="22.5" customHeight="1">
      <c r="A963" s="138" t="s">
        <v>746</v>
      </c>
      <c r="B963" s="16" t="str">
        <f>IF(A963="","",IFERROR(VLOOKUP(A963, Stock_New!A:M, 2, FALSE),""))</f>
        <v>كهربائيات</v>
      </c>
      <c r="C963" s="236">
        <v>1.0</v>
      </c>
      <c r="D963" s="16" t="str">
        <f>IF(A963="","",IFERROR(VLOOKUP(A963, Stock_New!A:M, 3, FALSE),""))</f>
        <v>سنتر محمد رشدي</v>
      </c>
      <c r="E963" s="16">
        <f>IF($A963="", "", IFERROR(VLOOKUP($A963, Stock_New!$A:$M, 6, FALSE), ""))</f>
        <v>180</v>
      </c>
      <c r="F963" s="239">
        <v>175.0</v>
      </c>
      <c r="G963" s="16"/>
      <c r="H963" s="33">
        <v>175.0</v>
      </c>
      <c r="I963" s="238">
        <v>46099.0</v>
      </c>
      <c r="J963" s="5" t="s">
        <v>72</v>
      </c>
      <c r="K963" s="5" t="s">
        <v>3582</v>
      </c>
      <c r="L963" s="16"/>
      <c r="M963" s="19"/>
      <c r="N963" s="16"/>
      <c r="O963" s="16"/>
      <c r="P963" s="16"/>
    </row>
    <row r="964" ht="22.5" customHeight="1">
      <c r="A964" s="138" t="s">
        <v>549</v>
      </c>
      <c r="B964" s="16" t="str">
        <f>IF(A964="","",IFERROR(VLOOKUP(A964, Stock_New!A:M, 2, FALSE),""))</f>
        <v>بخور</v>
      </c>
      <c r="C964" s="236">
        <v>1.0</v>
      </c>
      <c r="D964" s="16" t="str">
        <f>IF(A964="","",IFERROR(VLOOKUP(A964, Stock_New!A:M, 3, FALSE),""))</f>
        <v>سنتر محمد رشدي</v>
      </c>
      <c r="E964" s="16">
        <f>IF($A964="", "", IFERROR(VLOOKUP($A964, Stock_New!$A:$M, 6, FALSE), ""))</f>
        <v>21</v>
      </c>
      <c r="F964" s="239">
        <v>25.0</v>
      </c>
      <c r="G964" s="16"/>
      <c r="H964" s="33">
        <v>25.0</v>
      </c>
      <c r="I964" s="238">
        <v>46099.0</v>
      </c>
      <c r="J964" s="5" t="s">
        <v>72</v>
      </c>
      <c r="K964" s="5" t="s">
        <v>3586</v>
      </c>
      <c r="L964" s="16"/>
      <c r="M964" s="19"/>
      <c r="N964" s="16"/>
      <c r="O964" s="16"/>
      <c r="P964" s="16"/>
    </row>
    <row r="965" ht="22.5" customHeight="1">
      <c r="A965" s="138" t="s">
        <v>802</v>
      </c>
      <c r="B965" s="16" t="str">
        <f>IF(A965="","",IFERROR(VLOOKUP(A965, Stock_New!A:M, 2, FALSE),""))</f>
        <v>بخور</v>
      </c>
      <c r="C965" s="236">
        <f>1/5</f>
        <v>0.2</v>
      </c>
      <c r="D965" s="16" t="str">
        <f>IF(A965="","",IFERROR(VLOOKUP(A965, Stock_New!A:M, 3, FALSE),""))</f>
        <v/>
      </c>
      <c r="E965" s="16">
        <f>IF($A965="", "", IFERROR(VLOOKUP($A965, Stock_New!$A:$M, 6, FALSE), ""))</f>
        <v>64</v>
      </c>
      <c r="F965" s="239">
        <v>75.0</v>
      </c>
      <c r="G965" s="16"/>
      <c r="H965" s="33">
        <v>15.0</v>
      </c>
      <c r="I965" s="238">
        <v>46099.0</v>
      </c>
      <c r="J965" s="5" t="s">
        <v>72</v>
      </c>
      <c r="K965" s="5" t="s">
        <v>3608</v>
      </c>
      <c r="L965" s="16"/>
      <c r="M965" s="19"/>
      <c r="N965" s="16"/>
      <c r="O965" s="16"/>
      <c r="P965" s="16"/>
    </row>
    <row r="966" ht="22.5" customHeight="1">
      <c r="A966" s="138" t="s">
        <v>363</v>
      </c>
      <c r="B966" s="16" t="str">
        <f>IF(A966="","",IFERROR(VLOOKUP(A966, Stock_New!A:M, 2, FALSE),""))</f>
        <v>ورد لوحدة</v>
      </c>
      <c r="C966" s="236">
        <f>8/18</f>
        <v>0.4444444444</v>
      </c>
      <c r="D966" s="16" t="str">
        <f>IF(A966="","",IFERROR(VLOOKUP(A966, Stock_New!A:M, 3, FALSE),""))</f>
        <v>شركة الفرسان</v>
      </c>
      <c r="E966" s="16">
        <f>IF($A966="", "", IFERROR(VLOOKUP($A966, Stock_New!$A:$M, 6, FALSE), ""))</f>
        <v>132</v>
      </c>
      <c r="F966" s="239">
        <v>170.0</v>
      </c>
      <c r="G966" s="16"/>
      <c r="H966" s="33">
        <v>75.56</v>
      </c>
      <c r="I966" s="238">
        <v>46099.0</v>
      </c>
      <c r="J966" s="5" t="s">
        <v>72</v>
      </c>
      <c r="K966" s="5" t="s">
        <v>3588</v>
      </c>
      <c r="L966" s="16"/>
      <c r="M966" s="19"/>
      <c r="N966" s="16"/>
      <c r="O966" s="16"/>
      <c r="P966" s="16"/>
    </row>
    <row r="967" ht="22.5" customHeight="1">
      <c r="A967" s="138" t="s">
        <v>1124</v>
      </c>
      <c r="B967" s="16" t="str">
        <f>IF(A967="","",IFERROR(VLOOKUP(A967, Stock_New!A:M, 2, FALSE),""))</f>
        <v/>
      </c>
      <c r="C967" s="236">
        <v>1.0</v>
      </c>
      <c r="D967" s="16" t="str">
        <f>IF(A967="","",IFERROR(VLOOKUP(A967, Stock_New!A:M, 3, FALSE),""))</f>
        <v/>
      </c>
      <c r="E967" s="16" t="str">
        <f>IF($A967="", "", IFERROR(VLOOKUP($A967, Stock_New!$A:$M, 6, FALSE), ""))</f>
        <v/>
      </c>
      <c r="F967" s="239">
        <v>50.0</v>
      </c>
      <c r="G967" s="16"/>
      <c r="H967" s="33">
        <v>50.0</v>
      </c>
      <c r="I967" s="238">
        <v>46100.0</v>
      </c>
      <c r="J967" s="5" t="s">
        <v>72</v>
      </c>
      <c r="K967" s="5" t="s">
        <v>3592</v>
      </c>
      <c r="L967" s="16"/>
      <c r="M967" s="19"/>
      <c r="N967" s="16"/>
      <c r="O967" s="16"/>
      <c r="P967" s="16"/>
    </row>
    <row r="968" ht="22.5" customHeight="1">
      <c r="A968" s="138" t="s">
        <v>724</v>
      </c>
      <c r="B968" s="16" t="str">
        <f>IF(A968="","",IFERROR(VLOOKUP(A968, Stock_New!A:M, 2, FALSE),""))</f>
        <v>بوكيه</v>
      </c>
      <c r="C968" s="236">
        <v>2.0</v>
      </c>
      <c r="D968" s="16" t="str">
        <f>IF(A968="","",IFERROR(VLOOKUP(A968, Stock_New!A:M, 3, FALSE),""))</f>
        <v>المهندس</v>
      </c>
      <c r="E968" s="16">
        <f>IF($A968="", "", IFERROR(VLOOKUP($A968, Stock_New!$A:$M, 6, FALSE), ""))</f>
        <v>42</v>
      </c>
      <c r="F968" s="239">
        <v>50.0</v>
      </c>
      <c r="G968" s="16"/>
      <c r="H968" s="33">
        <v>100.0</v>
      </c>
      <c r="I968" s="238">
        <v>46100.0</v>
      </c>
      <c r="J968" s="5" t="s">
        <v>72</v>
      </c>
      <c r="K968" s="5" t="s">
        <v>3602</v>
      </c>
      <c r="L968" s="16"/>
      <c r="M968" s="19"/>
      <c r="N968" s="16"/>
      <c r="O968" s="16"/>
      <c r="P968" s="16"/>
    </row>
    <row r="969" ht="22.5" customHeight="1">
      <c r="A969" s="138" t="s">
        <v>515</v>
      </c>
      <c r="B969" s="16" t="str">
        <f>IF(A969="","",IFERROR(VLOOKUP(A969, Stock_New!A:M, 2, FALSE),""))</f>
        <v>ورد لوحده</v>
      </c>
      <c r="C969" s="236">
        <v>2.0</v>
      </c>
      <c r="D969" s="16"/>
      <c r="E969" s="16">
        <f>IF($A969="", "", IFERROR(VLOOKUP($A969, Stock_New!$A:$M, 6, FALSE), ""))</f>
        <v>60</v>
      </c>
      <c r="F969" s="239">
        <v>60.0</v>
      </c>
      <c r="G969" s="16"/>
      <c r="H969" s="33">
        <v>120.0</v>
      </c>
      <c r="I969" s="238">
        <v>46100.0</v>
      </c>
      <c r="J969" s="5" t="s">
        <v>72</v>
      </c>
      <c r="K969" s="5" t="s">
        <v>3606</v>
      </c>
      <c r="L969" s="16"/>
      <c r="M969" s="19"/>
      <c r="N969" s="16"/>
      <c r="O969" s="16"/>
      <c r="P969" s="16"/>
    </row>
    <row r="970" ht="22.5" customHeight="1">
      <c r="A970" s="138" t="s">
        <v>395</v>
      </c>
      <c r="B970" s="16" t="str">
        <f>IF(A970="","",IFERROR(VLOOKUP(A970, Stock_New!A:M, 2, FALSE),""))</f>
        <v>ورد لوحدة</v>
      </c>
      <c r="C970" s="236">
        <f>1/2</f>
        <v>0.5</v>
      </c>
      <c r="D970" s="16" t="str">
        <f>IF(A970="","",IFERROR(VLOOKUP(A970, Stock_New!A:M, 3, FALSE),""))</f>
        <v>شركة حسين علي</v>
      </c>
      <c r="E970" s="16">
        <f>IF($A970="", "", IFERROR(VLOOKUP($A970, Stock_New!$A:$M, 6, FALSE), ""))</f>
        <v>60</v>
      </c>
      <c r="F970" s="239">
        <v>100.0</v>
      </c>
      <c r="G970" s="16"/>
      <c r="H970" s="33">
        <v>50.0</v>
      </c>
      <c r="I970" s="238">
        <v>46100.0</v>
      </c>
      <c r="J970" s="5" t="s">
        <v>72</v>
      </c>
      <c r="K970" s="5" t="s">
        <v>3596</v>
      </c>
      <c r="L970" s="16"/>
      <c r="M970" s="19"/>
      <c r="N970" s="16"/>
      <c r="O970" s="16"/>
      <c r="P970" s="16"/>
    </row>
    <row r="971" ht="22.5" customHeight="1">
      <c r="A971" s="138" t="s">
        <v>34</v>
      </c>
      <c r="B971" s="16" t="str">
        <f>IF(A971="","",IFERROR(VLOOKUP(A971, Stock_New!A:M, 2, FALSE),""))</f>
        <v>شجر</v>
      </c>
      <c r="C971" s="236">
        <v>1.0</v>
      </c>
      <c r="D971" s="16" t="str">
        <f>IF(A971="","",IFERROR(VLOOKUP(A971, Stock_New!A:M, 3, FALSE),""))</f>
        <v>manufactured</v>
      </c>
      <c r="E971" s="16">
        <f>IF($A971="", "", IFERROR(VLOOKUP($A971, Stock_New!$A:$M, 6, FALSE), ""))</f>
        <v>108</v>
      </c>
      <c r="F971" s="239">
        <v>250.0</v>
      </c>
      <c r="G971" s="16"/>
      <c r="H971" s="33">
        <v>250.0</v>
      </c>
      <c r="I971" s="238">
        <v>46100.0</v>
      </c>
      <c r="J971" s="5" t="s">
        <v>72</v>
      </c>
      <c r="K971" s="5" t="s">
        <v>3609</v>
      </c>
      <c r="L971" s="16"/>
      <c r="M971" s="19"/>
      <c r="N971" s="16"/>
      <c r="O971" s="16"/>
      <c r="P971" s="16"/>
    </row>
    <row r="972" ht="22.5" customHeight="1">
      <c r="A972" s="138" t="s">
        <v>91</v>
      </c>
      <c r="B972" s="16" t="str">
        <f>IF(A972="","",IFERROR(VLOOKUP(A972, Stock_New!A:M, 2, FALSE),""))</f>
        <v>بوتات</v>
      </c>
      <c r="C972" s="236">
        <v>1.0</v>
      </c>
      <c r="D972" s="16" t="str">
        <f>IF(A972="","",IFERROR(VLOOKUP(A972, Stock_New!A:M, 3, FALSE),""))</f>
        <v>عبدالفتاح</v>
      </c>
      <c r="E972" s="16">
        <f>IF($A972="", "", IFERROR(VLOOKUP($A972, Stock_New!$A:$M, 6, FALSE), ""))</f>
        <v>42</v>
      </c>
      <c r="F972" s="239">
        <v>50.0</v>
      </c>
      <c r="G972" s="16"/>
      <c r="H972" s="33">
        <v>50.0</v>
      </c>
      <c r="I972" s="238">
        <v>46100.0</v>
      </c>
      <c r="J972" s="5" t="s">
        <v>72</v>
      </c>
      <c r="K972" s="5" t="s">
        <v>3611</v>
      </c>
      <c r="L972" s="16"/>
      <c r="M972" s="19"/>
      <c r="N972" s="16"/>
      <c r="O972" s="16"/>
      <c r="P972" s="16"/>
    </row>
    <row r="973" ht="22.5" customHeight="1">
      <c r="A973" s="138" t="s">
        <v>554</v>
      </c>
      <c r="B973" s="16" t="str">
        <f>IF(A973="","",IFERROR(VLOOKUP(A973, Stock_New!A:M, 2, FALSE),""))</f>
        <v>مقزمات</v>
      </c>
      <c r="C973" s="236">
        <v>2.0</v>
      </c>
      <c r="D973" s="16" t="str">
        <f>IF(A973="","",IFERROR(VLOOKUP(A973, Stock_New!A:M, 3, FALSE),""))</f>
        <v>manufactured</v>
      </c>
      <c r="E973" s="16">
        <f>IF($A973="", "", IFERROR(VLOOKUP($A973, Stock_New!$A:$M, 6, FALSE), ""))</f>
        <v>27.86666667</v>
      </c>
      <c r="F973" s="239">
        <v>40.0</v>
      </c>
      <c r="G973" s="16"/>
      <c r="H973" s="33">
        <v>80.0</v>
      </c>
      <c r="I973" s="238">
        <v>46100.0</v>
      </c>
      <c r="J973" s="5" t="s">
        <v>72</v>
      </c>
      <c r="K973" s="5" t="s">
        <v>3614</v>
      </c>
      <c r="L973" s="16"/>
      <c r="M973" s="19"/>
      <c r="N973" s="16"/>
      <c r="O973" s="16"/>
      <c r="P973" s="16"/>
    </row>
    <row r="974" ht="22.5" customHeight="1">
      <c r="A974" s="138" t="s">
        <v>645</v>
      </c>
      <c r="B974" s="16" t="str">
        <f>IF(A974="","",IFERROR(VLOOKUP(A974, Stock_New!A:M, 2, FALSE),""))</f>
        <v>بوكيه</v>
      </c>
      <c r="C974" s="236">
        <v>4.0</v>
      </c>
      <c r="D974" s="16" t="str">
        <f>IF(A974="","",IFERROR(VLOOKUP(A974, Stock_New!A:M, 3, FALSE),""))</f>
        <v>المهندس</v>
      </c>
      <c r="E974" s="16">
        <f>IF($A974="", "", IFERROR(VLOOKUP($A974, Stock_New!$A:$M, 6, FALSE), ""))</f>
        <v>20.4</v>
      </c>
      <c r="F974" s="239">
        <v>25.0</v>
      </c>
      <c r="G974" s="16"/>
      <c r="H974" s="33">
        <v>100.0</v>
      </c>
      <c r="I974" s="238">
        <v>46100.0</v>
      </c>
      <c r="J974" s="5" t="s">
        <v>72</v>
      </c>
      <c r="K974" s="5" t="s">
        <v>3615</v>
      </c>
      <c r="L974" s="16"/>
      <c r="M974" s="19"/>
      <c r="N974" s="16"/>
      <c r="O974" s="16"/>
      <c r="P974" s="16"/>
    </row>
    <row r="975" ht="22.5" customHeight="1">
      <c r="A975" s="138" t="s">
        <v>100</v>
      </c>
      <c r="B975" s="16" t="str">
        <f>IF(A975="","",IFERROR(VLOOKUP(A975, Stock_New!A:M, 2, FALSE),""))</f>
        <v>شجر</v>
      </c>
      <c r="C975" s="236">
        <v>2.0</v>
      </c>
      <c r="D975" s="16" t="str">
        <f>IF(A975="","",IFERROR(VLOOKUP(A975, Stock_New!A:M, 3, FALSE),""))</f>
        <v>شركة حسين علي</v>
      </c>
      <c r="E975" s="16">
        <f>IF($A975="", "", IFERROR(VLOOKUP($A975, Stock_New!$A:$M, 6, FALSE), ""))</f>
        <v>495</v>
      </c>
      <c r="F975" s="239">
        <v>500.0</v>
      </c>
      <c r="G975" s="16"/>
      <c r="H975" s="33">
        <v>1000.0</v>
      </c>
      <c r="I975" s="238">
        <v>46100.0</v>
      </c>
      <c r="J975" s="5" t="s">
        <v>72</v>
      </c>
      <c r="K975" s="5" t="s">
        <v>3616</v>
      </c>
      <c r="L975" s="16"/>
      <c r="M975" s="19"/>
      <c r="N975" s="16"/>
      <c r="O975" s="16"/>
      <c r="P975" s="16"/>
    </row>
    <row r="976" ht="22.5" customHeight="1">
      <c r="A976" s="138" t="s">
        <v>248</v>
      </c>
      <c r="B976" s="16" t="str">
        <f>IF(A976="","",IFERROR(VLOOKUP(A976, Stock_New!A:M, 2, FALSE),""))</f>
        <v>بوتات</v>
      </c>
      <c r="C976" s="236">
        <v>2.0</v>
      </c>
      <c r="D976" s="16" t="str">
        <f>IF(A976="","",IFERROR(VLOOKUP(A976, Stock_New!A:M, 3, FALSE),""))</f>
        <v>شركة حسين علي</v>
      </c>
      <c r="E976" s="16">
        <f>IF($A976="", "", IFERROR(VLOOKUP($A976, Stock_New!$A:$M, 6, FALSE), ""))</f>
        <v>120</v>
      </c>
      <c r="F976" s="239">
        <v>150.0</v>
      </c>
      <c r="G976" s="16"/>
      <c r="H976" s="33">
        <v>300.0</v>
      </c>
      <c r="I976" s="238">
        <v>46100.0</v>
      </c>
      <c r="J976" s="5" t="s">
        <v>72</v>
      </c>
      <c r="K976" s="5" t="s">
        <v>3619</v>
      </c>
      <c r="L976" s="16"/>
      <c r="M976" s="19"/>
      <c r="N976" s="16"/>
      <c r="O976" s="16"/>
      <c r="P976" s="16"/>
    </row>
    <row r="977" ht="22.5" customHeight="1">
      <c r="A977" s="138" t="s">
        <v>549</v>
      </c>
      <c r="B977" s="16" t="str">
        <f>IF(A977="","",IFERROR(VLOOKUP(A977, Stock_New!A:M, 2, FALSE),""))</f>
        <v>بخور</v>
      </c>
      <c r="C977" s="236">
        <v>1.0</v>
      </c>
      <c r="D977" s="16" t="str">
        <f>IF(A977="","",IFERROR(VLOOKUP(A977, Stock_New!A:M, 3, FALSE),""))</f>
        <v>سنتر محمد رشدي</v>
      </c>
      <c r="E977" s="16">
        <f>IF($A977="", "", IFERROR(VLOOKUP($A977, Stock_New!$A:$M, 6, FALSE), ""))</f>
        <v>21</v>
      </c>
      <c r="F977" s="239">
        <v>25.0</v>
      </c>
      <c r="G977" s="16"/>
      <c r="H977" s="33">
        <v>25.0</v>
      </c>
      <c r="I977" s="238">
        <v>46100.0</v>
      </c>
      <c r="J977" s="5" t="s">
        <v>72</v>
      </c>
      <c r="K977" s="5" t="s">
        <v>3621</v>
      </c>
      <c r="L977" s="16"/>
      <c r="M977" s="19"/>
      <c r="N977" s="16"/>
      <c r="O977" s="16"/>
      <c r="P977" s="16"/>
    </row>
    <row r="978" ht="22.5" customHeight="1">
      <c r="A978" s="138" t="s">
        <v>841</v>
      </c>
      <c r="B978" s="16" t="str">
        <f>IF(A978="","",IFERROR(VLOOKUP(A978, Stock_New!A:M, 2, FALSE),""))</f>
        <v>لزق</v>
      </c>
      <c r="C978" s="236">
        <v>1.0</v>
      </c>
      <c r="D978" s="16" t="str">
        <f>IF(A978="","",IFERROR(VLOOKUP(A978, Stock_New!A:M, 3, FALSE),""))</f>
        <v/>
      </c>
      <c r="E978" s="16">
        <f>IF($A978="", "", IFERROR(VLOOKUP($A978, Stock_New!$A:$M, 6, FALSE), ""))</f>
        <v>18</v>
      </c>
      <c r="F978" s="239">
        <v>30.0</v>
      </c>
      <c r="G978" s="16"/>
      <c r="H978" s="33">
        <v>30.0</v>
      </c>
      <c r="I978" s="238">
        <v>46100.0</v>
      </c>
      <c r="J978" s="5" t="s">
        <v>72</v>
      </c>
      <c r="K978" s="5" t="s">
        <v>3623</v>
      </c>
      <c r="L978" s="16"/>
      <c r="M978" s="19"/>
      <c r="N978" s="16"/>
      <c r="O978" s="16"/>
      <c r="P978" s="16"/>
    </row>
    <row r="979" ht="22.5" customHeight="1">
      <c r="A979" s="138" t="s">
        <v>177</v>
      </c>
      <c r="B979" s="16" t="str">
        <f>IF(A979="","",IFERROR(VLOOKUP(A979, Stock_New!A:M, 2, FALSE),""))</f>
        <v>بورسلين</v>
      </c>
      <c r="C979" s="236">
        <v>2.0</v>
      </c>
      <c r="D979" s="16" t="str">
        <f>IF(A979="","",IFERROR(VLOOKUP(A979, Stock_New!A:M, 3, FALSE),""))</f>
        <v>شركة حسين علي</v>
      </c>
      <c r="E979" s="16">
        <f>IF($A979="", "", IFERROR(VLOOKUP($A979, Stock_New!$A:$M, 6, FALSE), ""))</f>
        <v>90</v>
      </c>
      <c r="F979" s="239">
        <v>150.0</v>
      </c>
      <c r="G979" s="16"/>
      <c r="H979" s="33">
        <v>300.0</v>
      </c>
      <c r="I979" s="238">
        <v>46100.0</v>
      </c>
      <c r="J979" s="5" t="s">
        <v>72</v>
      </c>
      <c r="K979" s="5" t="s">
        <v>3625</v>
      </c>
      <c r="L979" s="16"/>
      <c r="M979" s="19"/>
      <c r="N979" s="16"/>
      <c r="O979" s="16"/>
      <c r="P979" s="16"/>
    </row>
    <row r="980" ht="22.5" customHeight="1">
      <c r="A980" s="138" t="s">
        <v>1049</v>
      </c>
      <c r="B980" s="16" t="str">
        <f>IF(A980="","",IFERROR(VLOOKUP(A980, Stock_New!A:M, 2, FALSE),""))</f>
        <v>بورسلين</v>
      </c>
      <c r="C980" s="236">
        <v>1.0</v>
      </c>
      <c r="D980" s="16" t="str">
        <f>IF(A980="","",IFERROR(VLOOKUP(A980, Stock_New!A:M, 3, FALSE),""))</f>
        <v>شركة حسين علي</v>
      </c>
      <c r="E980" s="16">
        <f>IF($A980="", "", IFERROR(VLOOKUP($A980, Stock_New!$A:$M, 6, FALSE), ""))</f>
        <v>114</v>
      </c>
      <c r="F980" s="239">
        <v>190.0</v>
      </c>
      <c r="G980" s="16"/>
      <c r="H980" s="33">
        <v>190.0</v>
      </c>
      <c r="I980" s="238">
        <v>46100.0</v>
      </c>
      <c r="J980" s="5" t="s">
        <v>72</v>
      </c>
      <c r="K980" s="5" t="s">
        <v>3626</v>
      </c>
      <c r="L980" s="16"/>
      <c r="M980" s="19"/>
      <c r="N980" s="16"/>
      <c r="O980" s="16"/>
      <c r="P980" s="16"/>
    </row>
    <row r="981" ht="22.5" customHeight="1">
      <c r="A981" s="138" t="s">
        <v>1129</v>
      </c>
      <c r="B981" s="16" t="str">
        <f>IF(A981="","",IFERROR(VLOOKUP(A981, Stock_New!A:M, 2, FALSE),""))</f>
        <v>دلاية</v>
      </c>
      <c r="C981" s="236">
        <v>3.0</v>
      </c>
      <c r="D981" s="16" t="str">
        <f>IF(A981="","",IFERROR(VLOOKUP(A981, Stock_New!A:M, 3, FALSE),""))</f>
        <v>محمد رشدي</v>
      </c>
      <c r="E981" s="16">
        <f>IF($A981="", "", IFERROR(VLOOKUP($A981, Stock_New!$A:$M, 6, FALSE), ""))</f>
        <v>9.6</v>
      </c>
      <c r="F981" s="239">
        <v>10.0</v>
      </c>
      <c r="G981" s="16"/>
      <c r="H981" s="33">
        <v>30.0</v>
      </c>
      <c r="I981" s="238">
        <v>46100.0</v>
      </c>
      <c r="J981" s="5" t="s">
        <v>72</v>
      </c>
      <c r="K981" s="5" t="s">
        <v>3629</v>
      </c>
      <c r="L981" s="16"/>
      <c r="M981" s="19"/>
      <c r="N981" s="16"/>
      <c r="O981" s="16"/>
      <c r="P981" s="16"/>
    </row>
    <row r="982" ht="22.5" customHeight="1">
      <c r="A982" s="138" t="s">
        <v>123</v>
      </c>
      <c r="B982" s="16" t="str">
        <f>IF(A982="","",IFERROR(VLOOKUP(A982, Stock_New!A:M, 2, FALSE),""))</f>
        <v>تحف</v>
      </c>
      <c r="C982" s="236">
        <v>1.0</v>
      </c>
      <c r="D982" s="16" t="str">
        <f>IF(A982="","",IFERROR(VLOOKUP(A982, Stock_New!A:M, 3, FALSE),""))</f>
        <v>محمد رشدي</v>
      </c>
      <c r="E982" s="16">
        <f>IF($A982="", "", IFERROR(VLOOKUP($A982, Stock_New!$A:$M, 6, FALSE), ""))</f>
        <v>588</v>
      </c>
      <c r="F982" s="239">
        <v>650.0</v>
      </c>
      <c r="G982" s="16"/>
      <c r="H982" s="33">
        <v>650.0</v>
      </c>
      <c r="I982" s="238">
        <v>46100.0</v>
      </c>
      <c r="J982" s="5" t="s">
        <v>72</v>
      </c>
      <c r="K982" s="5" t="s">
        <v>3633</v>
      </c>
      <c r="L982" s="16"/>
      <c r="M982" s="19"/>
      <c r="N982" s="16"/>
      <c r="O982" s="16"/>
      <c r="P982" s="16"/>
    </row>
    <row r="983" ht="22.5" customHeight="1">
      <c r="A983" s="138" t="s">
        <v>861</v>
      </c>
      <c r="B983" s="16" t="str">
        <f>IF(A983="","",IFERROR(VLOOKUP(A983, Stock_New!A:M, 2, FALSE),""))</f>
        <v>بخور</v>
      </c>
      <c r="C983" s="236">
        <v>1.0</v>
      </c>
      <c r="D983" s="16" t="str">
        <f>IF(A983="","",IFERROR(VLOOKUP(A983, Stock_New!A:M, 3, FALSE),""))</f>
        <v/>
      </c>
      <c r="E983" s="16">
        <f>IF($A983="", "", IFERROR(VLOOKUP($A983, Stock_New!$A:$M, 6, FALSE), ""))</f>
        <v>28</v>
      </c>
      <c r="F983" s="239">
        <v>30.0</v>
      </c>
      <c r="G983" s="16"/>
      <c r="H983" s="33">
        <v>30.0</v>
      </c>
      <c r="I983" s="238">
        <v>46100.0</v>
      </c>
      <c r="J983" s="5" t="s">
        <v>72</v>
      </c>
      <c r="K983" s="5" t="s">
        <v>3635</v>
      </c>
      <c r="L983" s="16"/>
      <c r="M983" s="19"/>
      <c r="N983" s="16"/>
      <c r="O983" s="16"/>
      <c r="P983" s="16"/>
    </row>
    <row r="984" ht="22.5" customHeight="1">
      <c r="A984" s="138" t="s">
        <v>111</v>
      </c>
      <c r="B984" s="16" t="str">
        <f>IF(A984="","",IFERROR(VLOOKUP(A984, Stock_New!A:M, 2, FALSE),""))</f>
        <v>شجر</v>
      </c>
      <c r="C984" s="236">
        <v>1.0</v>
      </c>
      <c r="D984" s="16" t="str">
        <f>IF(A984="","",IFERROR(VLOOKUP(A984, Stock_New!A:M, 3, FALSE),""))</f>
        <v>شركة حسين علي</v>
      </c>
      <c r="E984" s="16">
        <f>IF($A984="", "", IFERROR(VLOOKUP($A984, Stock_New!$A:$M, 6, FALSE), ""))</f>
        <v>240</v>
      </c>
      <c r="F984" s="239">
        <v>250.0</v>
      </c>
      <c r="G984" s="16"/>
      <c r="H984" s="33">
        <v>250.0</v>
      </c>
      <c r="I984" s="238">
        <v>46100.0</v>
      </c>
      <c r="J984" s="5" t="s">
        <v>72</v>
      </c>
      <c r="K984" s="5" t="s">
        <v>3637</v>
      </c>
      <c r="L984" s="16"/>
      <c r="M984" s="19"/>
      <c r="N984" s="16"/>
      <c r="O984" s="16"/>
      <c r="P984" s="16"/>
    </row>
    <row r="985" ht="22.5" customHeight="1">
      <c r="A985" s="138" t="s">
        <v>194</v>
      </c>
      <c r="B985" s="16" t="str">
        <f>IF(A985="","",IFERROR(VLOOKUP(A985, Stock_New!A:M, 2, FALSE),""))</f>
        <v>بوتات</v>
      </c>
      <c r="C985" s="236">
        <v>1.0</v>
      </c>
      <c r="D985" s="16" t="str">
        <f>IF(A985="","",IFERROR(VLOOKUP(A985, Stock_New!A:M, 3, FALSE),""))</f>
        <v>ذكريا</v>
      </c>
      <c r="E985" s="16">
        <f>IF($A985="", "", IFERROR(VLOOKUP($A985, Stock_New!$A:$M, 6, FALSE), ""))</f>
        <v>197</v>
      </c>
      <c r="F985" s="239">
        <v>150.0</v>
      </c>
      <c r="G985" s="16"/>
      <c r="H985" s="33">
        <v>150.0</v>
      </c>
      <c r="I985" s="238">
        <v>46100.0</v>
      </c>
      <c r="J985" s="5" t="s">
        <v>72</v>
      </c>
      <c r="K985" s="5" t="s">
        <v>3688</v>
      </c>
      <c r="L985" s="16"/>
      <c r="M985" s="19"/>
      <c r="N985" s="16"/>
      <c r="O985" s="16"/>
      <c r="P985" s="16"/>
    </row>
    <row r="986" ht="22.5" customHeight="1">
      <c r="A986" s="138" t="s">
        <v>982</v>
      </c>
      <c r="B986" s="16" t="str">
        <f>IF(A986="","",IFERROR(VLOOKUP(A986, Stock_New!A:M, 2, FALSE),""))</f>
        <v>لعب</v>
      </c>
      <c r="C986" s="236">
        <v>1.0</v>
      </c>
      <c r="D986" s="16" t="str">
        <f>IF(A986="","",IFERROR(VLOOKUP(A986, Stock_New!A:M, 3, FALSE),""))</f>
        <v>محمد رشدي</v>
      </c>
      <c r="E986" s="16">
        <f>IF($A986="", "", IFERROR(VLOOKUP($A986, Stock_New!$A:$M, 6, FALSE), ""))</f>
        <v>150</v>
      </c>
      <c r="F986" s="239">
        <v>150.0</v>
      </c>
      <c r="G986" s="16"/>
      <c r="H986" s="33">
        <v>150.0</v>
      </c>
      <c r="I986" s="238">
        <v>46100.0</v>
      </c>
      <c r="J986" s="5" t="s">
        <v>72</v>
      </c>
      <c r="K986" s="5" t="s">
        <v>3641</v>
      </c>
      <c r="L986" s="16"/>
      <c r="M986" s="19"/>
      <c r="N986" s="16"/>
      <c r="O986" s="16"/>
      <c r="P986" s="16"/>
    </row>
    <row r="987" ht="22.5" customHeight="1">
      <c r="A987" s="138" t="s">
        <v>515</v>
      </c>
      <c r="B987" s="16" t="str">
        <f>IF(A987="","",IFERROR(VLOOKUP(A987, Stock_New!A:M, 2, FALSE),""))</f>
        <v>ورد لوحده</v>
      </c>
      <c r="C987" s="236">
        <v>1.0</v>
      </c>
      <c r="D987" s="16" t="str">
        <f>IF(A987="","",IFERROR(VLOOKUP(A987, Stock_New!A:M, 3, FALSE),""))</f>
        <v>ذكريا</v>
      </c>
      <c r="E987" s="16">
        <f>IF($A987="", "", IFERROR(VLOOKUP($A987, Stock_New!$A:$M, 6, FALSE), ""))</f>
        <v>60</v>
      </c>
      <c r="F987" s="239">
        <v>60.0</v>
      </c>
      <c r="G987" s="16"/>
      <c r="H987" s="33">
        <v>60.0</v>
      </c>
      <c r="I987" s="238">
        <v>46100.0</v>
      </c>
      <c r="J987" s="5" t="s">
        <v>72</v>
      </c>
      <c r="K987" s="5" t="s">
        <v>3645</v>
      </c>
      <c r="L987" s="16"/>
      <c r="M987" s="19"/>
      <c r="N987" s="16"/>
      <c r="O987" s="16"/>
      <c r="P987" s="16"/>
    </row>
    <row r="988" ht="22.5" customHeight="1">
      <c r="A988" s="138" t="s">
        <v>858</v>
      </c>
      <c r="B988" s="16" t="str">
        <f>IF(A988="","",IFERROR(VLOOKUP(A988, Stock_New!A:M, 2, FALSE),""))</f>
        <v>بوكيه</v>
      </c>
      <c r="C988" s="236">
        <v>1.0</v>
      </c>
      <c r="D988" s="16" t="str">
        <f>IF(A988="","",IFERROR(VLOOKUP(A988, Stock_New!A:M, 3, FALSE),""))</f>
        <v>manufactured</v>
      </c>
      <c r="E988" s="16">
        <f>IF($A988="", "", IFERROR(VLOOKUP($A988, Stock_New!$A:$M, 6, FALSE), ""))</f>
        <v>13.01428571</v>
      </c>
      <c r="F988" s="239">
        <v>25.0</v>
      </c>
      <c r="G988" s="16"/>
      <c r="H988" s="33">
        <v>25.0</v>
      </c>
      <c r="I988" s="238">
        <v>46100.0</v>
      </c>
      <c r="J988" s="5" t="s">
        <v>72</v>
      </c>
      <c r="K988" s="5" t="s">
        <v>3689</v>
      </c>
      <c r="L988" s="16"/>
      <c r="M988" s="19"/>
      <c r="N988" s="16"/>
      <c r="O988" s="16"/>
      <c r="P988" s="16"/>
    </row>
    <row r="989" ht="22.5" customHeight="1">
      <c r="A989" s="138" t="s">
        <v>645</v>
      </c>
      <c r="B989" s="16" t="str">
        <f>IF(A989="","",IFERROR(VLOOKUP(A989, Stock_New!A:M, 2, FALSE),""))</f>
        <v>بوكيه</v>
      </c>
      <c r="C989" s="236">
        <v>1.0</v>
      </c>
      <c r="D989" s="16" t="str">
        <f>IF(A989="","",IFERROR(VLOOKUP(A989, Stock_New!A:M, 3, FALSE),""))</f>
        <v>المهندس</v>
      </c>
      <c r="E989" s="16">
        <f>IF($A989="", "", IFERROR(VLOOKUP($A989, Stock_New!$A:$M, 6, FALSE), ""))</f>
        <v>20.4</v>
      </c>
      <c r="F989" s="239">
        <v>25.0</v>
      </c>
      <c r="G989" s="16"/>
      <c r="H989" s="33">
        <v>25.0</v>
      </c>
      <c r="I989" s="238">
        <v>46100.0</v>
      </c>
      <c r="J989" s="5" t="s">
        <v>72</v>
      </c>
      <c r="K989" s="5" t="s">
        <v>3647</v>
      </c>
      <c r="L989" s="16"/>
      <c r="M989" s="19"/>
      <c r="N989" s="16"/>
      <c r="O989" s="16"/>
      <c r="P989" s="16"/>
    </row>
    <row r="990" ht="22.5" customHeight="1">
      <c r="A990" s="138" t="s">
        <v>946</v>
      </c>
      <c r="B990" s="16" t="str">
        <f>IF(A990="","",IFERROR(VLOOKUP(A990, Stock_New!A:M, 2, FALSE),""))</f>
        <v>ورد لوحد</v>
      </c>
      <c r="C990" s="236">
        <v>2.0</v>
      </c>
      <c r="D990" s="16" t="str">
        <f>IF(A990="","",IFERROR(VLOOKUP(A990, Stock_New!A:M, 3, FALSE),""))</f>
        <v>شركة الفرسان</v>
      </c>
      <c r="E990" s="16">
        <f>IF($A990="", "", IFERROR(VLOOKUP($A990, Stock_New!$A:$M, 6, FALSE), ""))</f>
        <v>90</v>
      </c>
      <c r="F990" s="239">
        <v>100.0</v>
      </c>
      <c r="G990" s="16"/>
      <c r="H990" s="33">
        <v>200.0</v>
      </c>
      <c r="I990" s="238">
        <v>46100.0</v>
      </c>
      <c r="J990" s="5" t="s">
        <v>72</v>
      </c>
      <c r="K990" s="5" t="s">
        <v>3649</v>
      </c>
      <c r="L990" s="16"/>
      <c r="M990" s="19"/>
      <c r="N990" s="16"/>
      <c r="O990" s="16"/>
      <c r="P990" s="16"/>
    </row>
    <row r="991" ht="22.5" customHeight="1">
      <c r="A991" s="138" t="s">
        <v>194</v>
      </c>
      <c r="B991" s="16" t="str">
        <f>IF(A991="","",IFERROR(VLOOKUP(A991, Stock_New!A:M, 2, FALSE),""))</f>
        <v>بوتات</v>
      </c>
      <c r="C991" s="236">
        <v>1.0</v>
      </c>
      <c r="D991" s="16" t="str">
        <f>IF(A991="","",IFERROR(VLOOKUP(A991, Stock_New!A:M, 3, FALSE),""))</f>
        <v>ذكريا</v>
      </c>
      <c r="E991" s="16">
        <f>IF($A991="", "", IFERROR(VLOOKUP($A991, Stock_New!$A:$M, 6, FALSE), ""))</f>
        <v>197</v>
      </c>
      <c r="F991" s="239">
        <v>150.0</v>
      </c>
      <c r="G991" s="16"/>
      <c r="H991" s="33">
        <v>150.0</v>
      </c>
      <c r="I991" s="212">
        <v>46100.0</v>
      </c>
      <c r="J991" s="5" t="s">
        <v>72</v>
      </c>
      <c r="K991" s="5" t="s">
        <v>3691</v>
      </c>
      <c r="L991" s="16"/>
      <c r="M991" s="19"/>
      <c r="N991" s="16"/>
      <c r="O991" s="16"/>
      <c r="P991" s="16"/>
    </row>
    <row r="992" ht="22.5" customHeight="1">
      <c r="A992" s="138" t="s">
        <v>584</v>
      </c>
      <c r="B992" s="16" t="str">
        <f>IF(A992="","",IFERROR(VLOOKUP(A992, Stock_New!A:M, 2, FALSE),""))</f>
        <v>بوكيه جاهز</v>
      </c>
      <c r="C992" s="236">
        <v>11.0</v>
      </c>
      <c r="D992" s="16" t="str">
        <f>IF(A992="","",IFERROR(VLOOKUP(A992, Stock_New!A:M, 3, FALSE),""))</f>
        <v>سنتر محمد رشدي</v>
      </c>
      <c r="E992" s="16">
        <f>IF($A992="", "", IFERROR(VLOOKUP($A992, Stock_New!$A:$M, 6, FALSE), ""))</f>
        <v>6</v>
      </c>
      <c r="F992" s="239">
        <v>10.0</v>
      </c>
      <c r="G992" s="16"/>
      <c r="H992" s="33">
        <v>110.0</v>
      </c>
      <c r="I992" s="212">
        <v>46100.0</v>
      </c>
      <c r="J992" s="5" t="s">
        <v>72</v>
      </c>
      <c r="K992" s="5" t="s">
        <v>3651</v>
      </c>
      <c r="L992" s="16"/>
      <c r="M992" s="19"/>
      <c r="N992" s="16"/>
      <c r="O992" s="16"/>
      <c r="P992" s="16"/>
    </row>
    <row r="993" ht="22.5" customHeight="1">
      <c r="A993" s="138" t="s">
        <v>363</v>
      </c>
      <c r="B993" s="16" t="str">
        <f>IF(A993="","",IFERROR(VLOOKUP(A993, Stock_New!A:M, 2, FALSE),""))</f>
        <v>ورد لوحدة</v>
      </c>
      <c r="C993" s="236">
        <f>4/18</f>
        <v>0.2222222222</v>
      </c>
      <c r="D993" s="16" t="str">
        <f>IF(A993="","",IFERROR(VLOOKUP(A993, Stock_New!A:M, 3, FALSE),""))</f>
        <v>شركة الفرسان</v>
      </c>
      <c r="E993" s="16">
        <f>IF($A993="", "", IFERROR(VLOOKUP($A993, Stock_New!$A:$M, 6, FALSE), ""))</f>
        <v>132</v>
      </c>
      <c r="F993" s="239">
        <v>180.0</v>
      </c>
      <c r="G993" s="16"/>
      <c r="H993" s="33">
        <v>40.0</v>
      </c>
      <c r="I993" s="212">
        <v>46100.0</v>
      </c>
      <c r="J993" s="5" t="s">
        <v>72</v>
      </c>
      <c r="K993" s="5" t="s">
        <v>3652</v>
      </c>
      <c r="L993" s="16"/>
      <c r="M993" s="19"/>
      <c r="N993" s="16"/>
      <c r="O993" s="16"/>
      <c r="P993" s="16"/>
    </row>
    <row r="994" ht="22.5" customHeight="1">
      <c r="A994" s="138" t="s">
        <v>634</v>
      </c>
      <c r="B994" s="16" t="str">
        <f>IF(A994="","",IFERROR(VLOOKUP(A994, Stock_New!A:M, 2, FALSE),""))</f>
        <v>سيلفرات</v>
      </c>
      <c r="C994" s="236">
        <v>1.0</v>
      </c>
      <c r="D994" s="16" t="str">
        <f>IF(A994="","",IFERROR(VLOOKUP(A994, Stock_New!A:M, 3, FALSE),""))</f>
        <v>سنتر محمد رشدي</v>
      </c>
      <c r="E994" s="16">
        <f>IF($A994="", "", IFERROR(VLOOKUP($A994, Stock_New!$A:$M, 6, FALSE), ""))</f>
        <v>200.4</v>
      </c>
      <c r="F994" s="239">
        <v>210.0</v>
      </c>
      <c r="G994" s="16"/>
      <c r="H994" s="33">
        <v>210.0</v>
      </c>
      <c r="I994" s="212">
        <v>46100.0</v>
      </c>
      <c r="J994" s="5" t="s">
        <v>72</v>
      </c>
      <c r="K994" s="5" t="s">
        <v>3654</v>
      </c>
      <c r="L994" s="16"/>
      <c r="M994" s="19"/>
      <c r="N994" s="16"/>
      <c r="O994" s="16"/>
      <c r="P994" s="16"/>
    </row>
    <row r="995" ht="22.5" customHeight="1">
      <c r="A995" s="138" t="s">
        <v>898</v>
      </c>
      <c r="B995" s="16" t="str">
        <f>IF(A995="","",IFERROR(VLOOKUP(A995, Stock_New!A:M, 2, FALSE),""))</f>
        <v/>
      </c>
      <c r="C995" s="236">
        <v>2.0</v>
      </c>
      <c r="D995" s="16" t="str">
        <f>IF(A995="","",IFERROR(VLOOKUP(A995, Stock_New!A:M, 3, FALSE),""))</f>
        <v/>
      </c>
      <c r="E995" s="16" t="str">
        <f>IF($A995="", "", IFERROR(VLOOKUP($A995, Stock_New!$A:$M, 6, FALSE), ""))</f>
        <v/>
      </c>
      <c r="F995" s="239">
        <v>20.0</v>
      </c>
      <c r="G995" s="16"/>
      <c r="H995" s="33">
        <v>40.0</v>
      </c>
      <c r="I995" s="212">
        <v>46100.0</v>
      </c>
      <c r="J995" s="5" t="s">
        <v>72</v>
      </c>
      <c r="K995" s="5" t="s">
        <v>3656</v>
      </c>
      <c r="L995" s="16"/>
      <c r="M995" s="19"/>
      <c r="N995" s="16"/>
      <c r="O995" s="16"/>
      <c r="P995" s="16"/>
    </row>
    <row r="996" ht="22.5" customHeight="1">
      <c r="A996" s="138" t="s">
        <v>220</v>
      </c>
      <c r="B996" s="16" t="str">
        <f>IF(A996="","",IFERROR(VLOOKUP(A996, Stock_New!A:M, 2, FALSE),""))</f>
        <v>ورد لوحدة</v>
      </c>
      <c r="C996" s="236">
        <v>1.0</v>
      </c>
      <c r="D996" s="16" t="str">
        <f>IF(A996="","",IFERROR(VLOOKUP(A996, Stock_New!A:M, 3, FALSE),""))</f>
        <v>شركة الفرسان</v>
      </c>
      <c r="E996" s="16">
        <f>IF($A996="", "", IFERROR(VLOOKUP($A996, Stock_New!$A:$M, 6, FALSE), ""))</f>
        <v>102</v>
      </c>
      <c r="F996" s="239">
        <v>150.0</v>
      </c>
      <c r="G996" s="16"/>
      <c r="H996" s="33">
        <v>150.0</v>
      </c>
      <c r="I996" s="212">
        <v>46100.0</v>
      </c>
      <c r="J996" s="5" t="s">
        <v>72</v>
      </c>
      <c r="K996" s="5" t="s">
        <v>3658</v>
      </c>
      <c r="L996" s="16"/>
      <c r="M996" s="19"/>
      <c r="N996" s="16"/>
      <c r="O996" s="16"/>
      <c r="P996" s="16"/>
    </row>
    <row r="997" ht="22.5" customHeight="1">
      <c r="A997" s="138" t="s">
        <v>309</v>
      </c>
      <c r="B997" s="16" t="str">
        <f>IF(A997="","",IFERROR(VLOOKUP(A997, Stock_New!A:M, 2, FALSE),""))</f>
        <v>بوتات</v>
      </c>
      <c r="C997" s="236">
        <v>1.0</v>
      </c>
      <c r="D997" s="16" t="str">
        <f>IF(A997="","",IFERROR(VLOOKUP(A997, Stock_New!A:M, 3, FALSE),""))</f>
        <v>شركة حسين علي</v>
      </c>
      <c r="E997" s="16">
        <f>IF($A997="", "", IFERROR(VLOOKUP($A997, Stock_New!$A:$M, 6, FALSE), ""))</f>
        <v>24</v>
      </c>
      <c r="F997" s="239">
        <v>50.0</v>
      </c>
      <c r="G997" s="16"/>
      <c r="H997" s="33">
        <v>50.0</v>
      </c>
      <c r="I997" s="212">
        <v>46100.0</v>
      </c>
      <c r="J997" s="5" t="s">
        <v>72</v>
      </c>
      <c r="K997" s="5" t="s">
        <v>3693</v>
      </c>
      <c r="L997" s="16"/>
      <c r="M997" s="19"/>
      <c r="N997" s="16"/>
      <c r="O997" s="16"/>
      <c r="P997" s="16"/>
    </row>
    <row r="998" ht="22.5" customHeight="1">
      <c r="A998" s="138" t="s">
        <v>245</v>
      </c>
      <c r="B998" s="16" t="str">
        <f>IF(A998="","",IFERROR(VLOOKUP(A998, Stock_New!A:M, 2, FALSE),""))</f>
        <v>ورد لحدة</v>
      </c>
      <c r="C998" s="236">
        <v>1.0</v>
      </c>
      <c r="D998" s="16" t="str">
        <f>IF(A998="","",IFERROR(VLOOKUP(A998, Stock_New!A:M, 3, FALSE),""))</f>
        <v>شركة حسين علي</v>
      </c>
      <c r="E998" s="16">
        <f>IF($A998="", "", IFERROR(VLOOKUP($A998, Stock_New!$A:$M, 6, FALSE), ""))</f>
        <v>180</v>
      </c>
      <c r="F998" s="239">
        <v>240.0</v>
      </c>
      <c r="G998" s="16"/>
      <c r="H998" s="33">
        <v>240.0</v>
      </c>
      <c r="I998" s="212">
        <v>46100.0</v>
      </c>
      <c r="J998" s="5" t="s">
        <v>72</v>
      </c>
      <c r="K998" s="5" t="s">
        <v>3660</v>
      </c>
      <c r="L998" s="16"/>
      <c r="M998" s="19"/>
      <c r="N998" s="16"/>
      <c r="O998" s="16"/>
      <c r="P998" s="16"/>
    </row>
    <row r="999" ht="22.5" customHeight="1">
      <c r="A999" s="138" t="s">
        <v>309</v>
      </c>
      <c r="B999" s="16" t="str">
        <f>IF(A999="","",IFERROR(VLOOKUP(A999, Stock_New!A:M, 2, FALSE),""))</f>
        <v>بوتات</v>
      </c>
      <c r="C999" s="236">
        <v>1.0</v>
      </c>
      <c r="D999" s="16" t="str">
        <f>IF(A999="","",IFERROR(VLOOKUP(A999, Stock_New!A:M, 3, FALSE),""))</f>
        <v>شركة حسين علي</v>
      </c>
      <c r="E999" s="16">
        <f>IF($A999="", "", IFERROR(VLOOKUP($A999, Stock_New!$A:$M, 6, FALSE), ""))</f>
        <v>24</v>
      </c>
      <c r="F999" s="239">
        <v>50.0</v>
      </c>
      <c r="G999" s="16"/>
      <c r="H999" s="33">
        <v>50.0</v>
      </c>
      <c r="I999" s="212">
        <v>46100.0</v>
      </c>
      <c r="J999" s="5" t="s">
        <v>72</v>
      </c>
      <c r="K999" s="5" t="s">
        <v>3695</v>
      </c>
      <c r="L999" s="16"/>
      <c r="M999" s="19"/>
      <c r="N999" s="16"/>
      <c r="O999" s="16"/>
      <c r="P999" s="16"/>
    </row>
    <row r="1000" ht="22.5" customHeight="1">
      <c r="A1000" s="138" t="s">
        <v>898</v>
      </c>
      <c r="B1000" s="16" t="str">
        <f>IF(A1000="","",IFERROR(VLOOKUP(A1000, Stock_New!A:M, 2, FALSE),""))</f>
        <v/>
      </c>
      <c r="C1000" s="236">
        <v>3.0</v>
      </c>
      <c r="D1000" s="16" t="str">
        <f>IF(A1000="","",IFERROR(VLOOKUP(A1000, Stock_New!A:M, 3, FALSE),""))</f>
        <v/>
      </c>
      <c r="E1000" s="16" t="str">
        <f>IF($A1000="", "", IFERROR(VLOOKUP($A1000, Stock_New!$A:$M, 6, FALSE), ""))</f>
        <v/>
      </c>
      <c r="F1000" s="239">
        <v>20.0</v>
      </c>
      <c r="G1000" s="16"/>
      <c r="H1000" s="33">
        <v>60.0</v>
      </c>
      <c r="I1000" s="212">
        <v>46100.0</v>
      </c>
      <c r="J1000" s="5" t="s">
        <v>72</v>
      </c>
      <c r="K1000" s="5" t="s">
        <v>3662</v>
      </c>
      <c r="L1000" s="16"/>
      <c r="M1000" s="19"/>
      <c r="N1000" s="16"/>
      <c r="O1000" s="16"/>
      <c r="P1000" s="16"/>
    </row>
    <row r="1001" ht="22.5" customHeight="1">
      <c r="A1001" s="138" t="s">
        <v>187</v>
      </c>
      <c r="B1001" s="16" t="str">
        <f>IF(A1001="","",IFERROR(VLOOKUP(A1001, Stock_New!A:M, 2, FALSE),""))</f>
        <v>سيلفرات</v>
      </c>
      <c r="C1001" s="236">
        <v>1.0</v>
      </c>
      <c r="D1001" s="16" t="str">
        <f>IF(A1001="","",IFERROR(VLOOKUP(A1001, Stock_New!A:M, 3, FALSE),""))</f>
        <v>شركة التقوى</v>
      </c>
      <c r="E1001" s="16">
        <f>IF($A1001="", "", IFERROR(VLOOKUP($A1001, Stock_New!$A:$M, 6, FALSE), ""))</f>
        <v>420</v>
      </c>
      <c r="F1001" s="239">
        <v>450.0</v>
      </c>
      <c r="G1001" s="16"/>
      <c r="H1001" s="33">
        <v>450.0</v>
      </c>
      <c r="I1001" s="212">
        <v>46100.0</v>
      </c>
      <c r="J1001" s="5" t="s">
        <v>72</v>
      </c>
      <c r="K1001" s="5" t="s">
        <v>3664</v>
      </c>
      <c r="L1001" s="16"/>
      <c r="M1001" s="19"/>
      <c r="N1001" s="16"/>
      <c r="O1001" s="16"/>
      <c r="P1001" s="16"/>
    </row>
    <row r="1002" ht="22.5" customHeight="1">
      <c r="A1002" s="138" t="s">
        <v>699</v>
      </c>
      <c r="B1002" s="16" t="str">
        <f>IF(A1002="","",IFERROR(VLOOKUP(A1002, Stock_New!A:M, 2, FALSE),""))</f>
        <v>بوكيه</v>
      </c>
      <c r="C1002" s="236">
        <v>1.0</v>
      </c>
      <c r="D1002" s="16" t="str">
        <f>IF(A1002="","",IFERROR(VLOOKUP(A1002, Stock_New!A:M, 3, FALSE),""))</f>
        <v>manufactured</v>
      </c>
      <c r="E1002" s="16">
        <f>IF($A1002="", "", IFERROR(VLOOKUP($A1002, Stock_New!$A:$M, 6, FALSE), ""))</f>
        <v>24</v>
      </c>
      <c r="F1002" s="239">
        <v>50.0</v>
      </c>
      <c r="G1002" s="16"/>
      <c r="H1002" s="33">
        <v>50.0</v>
      </c>
      <c r="I1002" s="212">
        <v>46100.0</v>
      </c>
      <c r="J1002" s="5" t="s">
        <v>72</v>
      </c>
      <c r="K1002" s="5" t="s">
        <v>3666</v>
      </c>
      <c r="L1002" s="16"/>
      <c r="M1002" s="19"/>
      <c r="N1002" s="16"/>
      <c r="O1002" s="16"/>
      <c r="P1002" s="16"/>
    </row>
    <row r="1003" ht="22.5" customHeight="1">
      <c r="A1003" s="138" t="s">
        <v>554</v>
      </c>
      <c r="B1003" s="16" t="str">
        <f>IF(A1003="","",IFERROR(VLOOKUP(A1003, Stock_New!A:M, 2, FALSE),""))</f>
        <v>مقزمات</v>
      </c>
      <c r="C1003" s="236">
        <v>1.0</v>
      </c>
      <c r="D1003" s="16" t="str">
        <f>IF(A1003="","",IFERROR(VLOOKUP(A1003, Stock_New!A:M, 3, FALSE),""))</f>
        <v>manufactured</v>
      </c>
      <c r="E1003" s="16">
        <f>IF($A1003="", "", IFERROR(VLOOKUP($A1003, Stock_New!$A:$M, 6, FALSE), ""))</f>
        <v>27.86666667</v>
      </c>
      <c r="F1003" s="239">
        <v>40.0</v>
      </c>
      <c r="G1003" s="16"/>
      <c r="H1003" s="33">
        <v>40.0</v>
      </c>
      <c r="I1003" s="212">
        <v>46100.0</v>
      </c>
      <c r="J1003" s="5" t="s">
        <v>72</v>
      </c>
      <c r="K1003" s="5" t="s">
        <v>3668</v>
      </c>
      <c r="L1003" s="16"/>
      <c r="M1003" s="19"/>
      <c r="N1003" s="16"/>
      <c r="O1003" s="16"/>
      <c r="P1003" s="16"/>
    </row>
    <row r="1004" ht="22.5" customHeight="1">
      <c r="A1004" s="138" t="s">
        <v>245</v>
      </c>
      <c r="B1004" s="16" t="str">
        <f>IF(A1004="","",IFERROR(VLOOKUP(A1004, Stock_New!A:M, 2, FALSE),""))</f>
        <v>ورد لحدة</v>
      </c>
      <c r="C1004" s="236">
        <v>1.0</v>
      </c>
      <c r="D1004" s="16" t="str">
        <f>IF(A1004="","",IFERROR(VLOOKUP(A1004, Stock_New!A:M, 3, FALSE),""))</f>
        <v>شركة حسين علي</v>
      </c>
      <c r="E1004" s="16">
        <f>IF($A1004="", "", IFERROR(VLOOKUP($A1004, Stock_New!$A:$M, 6, FALSE), ""))</f>
        <v>180</v>
      </c>
      <c r="F1004" s="239">
        <v>225.0</v>
      </c>
      <c r="G1004" s="16"/>
      <c r="H1004" s="33">
        <v>225.0</v>
      </c>
      <c r="I1004" s="212">
        <v>46100.0</v>
      </c>
      <c r="J1004" s="5" t="s">
        <v>72</v>
      </c>
      <c r="K1004" s="5" t="s">
        <v>3669</v>
      </c>
      <c r="L1004" s="16"/>
      <c r="M1004" s="19"/>
      <c r="N1004" s="16"/>
      <c r="O1004" s="16"/>
      <c r="P1004" s="16"/>
    </row>
    <row r="1005" ht="22.5" customHeight="1">
      <c r="A1005" s="138" t="s">
        <v>898</v>
      </c>
      <c r="B1005" s="16" t="str">
        <f>IF(A1005="","",IFERROR(VLOOKUP(A1005, Stock_New!A:M, 2, FALSE),""))</f>
        <v/>
      </c>
      <c r="C1005" s="236">
        <v>3.0</v>
      </c>
      <c r="D1005" s="16" t="str">
        <f>IF(A1005="","",IFERROR(VLOOKUP(A1005, Stock_New!A:M, 3, FALSE),""))</f>
        <v/>
      </c>
      <c r="E1005" s="16" t="str">
        <f>IF($A1005="", "", IFERROR(VLOOKUP($A1005, Stock_New!$A:$M, 6, FALSE), ""))</f>
        <v/>
      </c>
      <c r="F1005" s="239">
        <v>25.0</v>
      </c>
      <c r="G1005" s="16"/>
      <c r="H1005" s="33">
        <v>75.0</v>
      </c>
      <c r="I1005" s="212">
        <v>46100.0</v>
      </c>
      <c r="J1005" s="5" t="s">
        <v>72</v>
      </c>
      <c r="K1005" s="5" t="s">
        <v>3671</v>
      </c>
      <c r="L1005" s="16"/>
      <c r="M1005" s="19"/>
      <c r="N1005" s="16"/>
      <c r="O1005" s="16"/>
      <c r="P1005" s="16"/>
    </row>
    <row r="1006" ht="22.5" customHeight="1">
      <c r="A1006" s="138" t="s">
        <v>309</v>
      </c>
      <c r="B1006" s="16" t="str">
        <f>IF(A1006="","",IFERROR(VLOOKUP(A1006, Stock_New!A:M, 2, FALSE),""))</f>
        <v>بوتات</v>
      </c>
      <c r="C1006" s="236">
        <v>1.0</v>
      </c>
      <c r="D1006" s="16" t="str">
        <f>IF(A1006="","",IFERROR(VLOOKUP(A1006, Stock_New!A:M, 3, FALSE),""))</f>
        <v>شركة حسين علي</v>
      </c>
      <c r="E1006" s="16">
        <f>IF($A1006="", "", IFERROR(VLOOKUP($A1006, Stock_New!$A:$M, 6, FALSE), ""))</f>
        <v>24</v>
      </c>
      <c r="F1006" s="239">
        <v>50.0</v>
      </c>
      <c r="G1006" s="16"/>
      <c r="H1006" s="33">
        <v>50.0</v>
      </c>
      <c r="I1006" s="212">
        <v>46100.0</v>
      </c>
      <c r="J1006" s="5" t="s">
        <v>72</v>
      </c>
      <c r="K1006" s="5" t="s">
        <v>3673</v>
      </c>
      <c r="L1006" s="16"/>
      <c r="M1006" s="19"/>
      <c r="N1006" s="16"/>
      <c r="O1006" s="16"/>
      <c r="P1006" s="16"/>
    </row>
    <row r="1007" ht="22.5" customHeight="1">
      <c r="A1007" s="138" t="s">
        <v>1014</v>
      </c>
      <c r="B1007" s="16" t="str">
        <f>IF(A1007="","",IFERROR(VLOOKUP(A1007, Stock_New!A:M, 2, FALSE),""))</f>
        <v>لعب</v>
      </c>
      <c r="C1007" s="236">
        <v>1.0</v>
      </c>
      <c r="D1007" s="16" t="str">
        <f>IF(A1007="","",IFERROR(VLOOKUP(A1007, Stock_New!A:M, 3, FALSE),""))</f>
        <v>سنتر محمد رشدي</v>
      </c>
      <c r="E1007" s="16">
        <f>IF($A1007="", "", IFERROR(VLOOKUP($A1007, Stock_New!$A:$M, 6, FALSE), ""))</f>
        <v>60</v>
      </c>
      <c r="F1007" s="239">
        <v>80.0</v>
      </c>
      <c r="G1007" s="16"/>
      <c r="H1007" s="33">
        <v>80.0</v>
      </c>
      <c r="I1007" s="212">
        <v>46100.0</v>
      </c>
      <c r="J1007" s="5" t="s">
        <v>72</v>
      </c>
      <c r="K1007" s="5" t="s">
        <v>3676</v>
      </c>
      <c r="L1007" s="16"/>
      <c r="M1007" s="19"/>
      <c r="N1007" s="16"/>
      <c r="O1007" s="16"/>
      <c r="P1007" s="16"/>
    </row>
    <row r="1008" ht="22.5" customHeight="1">
      <c r="A1008" s="138" t="s">
        <v>599</v>
      </c>
      <c r="B1008" s="16" t="str">
        <f>IF(A1008="","",IFERROR(VLOOKUP(A1008, Stock_New!A:M, 2, FALSE),""))</f>
        <v>بوكيه</v>
      </c>
      <c r="C1008" s="236">
        <v>2.0</v>
      </c>
      <c r="D1008" s="16" t="str">
        <f>IF(A1008="","",IFERROR(VLOOKUP(A1008, Stock_New!A:M, 3, FALSE),""))</f>
        <v>شركة الفرسان</v>
      </c>
      <c r="E1008" s="16">
        <f>IF($A1008="", "", IFERROR(VLOOKUP($A1008, Stock_New!$A:$M, 6, FALSE), ""))</f>
        <v>150</v>
      </c>
      <c r="F1008" s="239">
        <v>150.0</v>
      </c>
      <c r="G1008" s="16"/>
      <c r="H1008" s="33">
        <v>300.0</v>
      </c>
      <c r="I1008" s="212">
        <v>46100.0</v>
      </c>
      <c r="J1008" s="5" t="s">
        <v>72</v>
      </c>
      <c r="K1008" s="5" t="s">
        <v>3678</v>
      </c>
      <c r="L1008" s="16"/>
      <c r="M1008" s="19"/>
      <c r="N1008" s="16"/>
      <c r="O1008" s="16"/>
      <c r="P1008" s="16"/>
    </row>
    <row r="1009" ht="22.5" customHeight="1">
      <c r="A1009" s="138" t="s">
        <v>187</v>
      </c>
      <c r="B1009" s="16" t="str">
        <f>IF(A1009="","",IFERROR(VLOOKUP(A1009, Stock_New!A:M, 2, FALSE),""))</f>
        <v>سيلفرات</v>
      </c>
      <c r="C1009" s="236">
        <v>1.0</v>
      </c>
      <c r="D1009" s="16" t="str">
        <f>IF(A1009="","",IFERROR(VLOOKUP(A1009, Stock_New!A:M, 3, FALSE),""))</f>
        <v>شركة التقوى</v>
      </c>
      <c r="E1009" s="16">
        <f>IF($A1009="", "", IFERROR(VLOOKUP($A1009, Stock_New!$A:$M, 6, FALSE), ""))</f>
        <v>420</v>
      </c>
      <c r="F1009" s="239">
        <v>450.0</v>
      </c>
      <c r="G1009" s="16"/>
      <c r="H1009" s="33">
        <v>450.0</v>
      </c>
      <c r="I1009" s="212">
        <v>46100.0</v>
      </c>
      <c r="J1009" s="5" t="s">
        <v>72</v>
      </c>
      <c r="K1009" s="5" t="s">
        <v>3682</v>
      </c>
      <c r="L1009" s="16"/>
      <c r="M1009" s="19"/>
      <c r="N1009" s="16"/>
      <c r="O1009" s="16"/>
      <c r="P1009" s="16"/>
    </row>
    <row r="1010" ht="22.5" customHeight="1">
      <c r="A1010" s="138" t="s">
        <v>856</v>
      </c>
      <c r="B1010" s="16" t="str">
        <f>IF(A1010="","",IFERROR(VLOOKUP(A1010, Stock_New!A:M, 2, FALSE),""))</f>
        <v>شمع</v>
      </c>
      <c r="C1010" s="236">
        <v>4.0</v>
      </c>
      <c r="D1010" s="16" t="str">
        <f>IF(A1010="","",IFERROR(VLOOKUP(A1010, Stock_New!A:M, 3, FALSE),""))</f>
        <v>سنتر محمد رشدي</v>
      </c>
      <c r="E1010" s="16">
        <f>IF($A1010="", "", IFERROR(VLOOKUP($A1010, Stock_New!$A:$M, 6, FALSE), ""))</f>
        <v>5.5</v>
      </c>
      <c r="F1010" s="239">
        <f>7.5</f>
        <v>7.5</v>
      </c>
      <c r="G1010" s="16"/>
      <c r="H1010" s="33">
        <v>30.0</v>
      </c>
      <c r="I1010" s="212">
        <v>46100.0</v>
      </c>
      <c r="J1010" s="5" t="s">
        <v>72</v>
      </c>
      <c r="K1010" s="5" t="s">
        <v>3683</v>
      </c>
      <c r="L1010" s="16"/>
      <c r="M1010" s="19"/>
      <c r="N1010" s="16"/>
      <c r="O1010" s="16"/>
      <c r="P1010" s="16"/>
    </row>
    <row r="1011" ht="22.5" customHeight="1">
      <c r="A1011" s="138" t="s">
        <v>567</v>
      </c>
      <c r="B1011" s="16" t="str">
        <f>IF(A1011="","",IFERROR(VLOOKUP(A1011, Stock_New!A:M, 2, FALSE),""))</f>
        <v>شمع</v>
      </c>
      <c r="C1011" s="236">
        <v>1.0</v>
      </c>
      <c r="D1011" s="16" t="str">
        <f>IF(A1011="","",IFERROR(VLOOKUP(A1011, Stock_New!A:M, 3, FALSE),""))</f>
        <v>سنتر محمد رشدي</v>
      </c>
      <c r="E1011" s="16">
        <f>IF($A1011="", "", IFERROR(VLOOKUP($A1011, Stock_New!$A:$M, 6, FALSE), ""))</f>
        <v>61.2</v>
      </c>
      <c r="F1011" s="239">
        <v>75.0</v>
      </c>
      <c r="G1011" s="16"/>
      <c r="H1011" s="33">
        <v>75.0</v>
      </c>
      <c r="I1011" s="212">
        <v>46100.0</v>
      </c>
      <c r="J1011" s="5" t="s">
        <v>72</v>
      </c>
      <c r="K1011" s="5" t="s">
        <v>3685</v>
      </c>
      <c r="L1011" s="16"/>
      <c r="M1011" s="19"/>
      <c r="N1011" s="16"/>
      <c r="O1011" s="16"/>
      <c r="P1011" s="16"/>
    </row>
    <row r="1012" ht="22.5" customHeight="1">
      <c r="A1012" s="138" t="s">
        <v>649</v>
      </c>
      <c r="B1012" s="16" t="str">
        <f>IF(A1012="","",IFERROR(VLOOKUP(A1012, Stock_New!A:M, 2, FALSE),""))</f>
        <v>كريستال</v>
      </c>
      <c r="C1012" s="236">
        <v>1.0</v>
      </c>
      <c r="D1012" s="16" t="str">
        <f>IF(A1012="","",IFERROR(VLOOKUP(A1012, Stock_New!A:M, 3, FALSE),""))</f>
        <v>محمد رشدي</v>
      </c>
      <c r="E1012" s="16">
        <f>IF($A1012="", "", IFERROR(VLOOKUP($A1012, Stock_New!$A:$M, 6, FALSE), ""))</f>
        <v>199.2</v>
      </c>
      <c r="F1012" s="239">
        <v>100.0</v>
      </c>
      <c r="G1012" s="16"/>
      <c r="H1012" s="33">
        <v>100.0</v>
      </c>
      <c r="I1012" s="212">
        <v>46100.0</v>
      </c>
      <c r="J1012" s="5" t="s">
        <v>72</v>
      </c>
      <c r="K1012" s="5" t="s">
        <v>3697</v>
      </c>
      <c r="L1012" s="16"/>
      <c r="M1012" s="19"/>
      <c r="N1012" s="16"/>
      <c r="O1012" s="16"/>
      <c r="P1012" s="16"/>
    </row>
    <row r="1013" ht="22.5" customHeight="1">
      <c r="A1013" s="138" t="s">
        <v>1014</v>
      </c>
      <c r="B1013" s="16" t="str">
        <f>IF(A1013="","",IFERROR(VLOOKUP(A1013, Stock_New!A:M, 2, FALSE),""))</f>
        <v>لعب</v>
      </c>
      <c r="C1013" s="236">
        <v>1.0</v>
      </c>
      <c r="D1013" s="16" t="str">
        <f>IF(A1013="","",IFERROR(VLOOKUP(A1013, Stock_New!A:M, 3, FALSE),""))</f>
        <v>سنتر محمد رشدي</v>
      </c>
      <c r="E1013" s="16">
        <f>IF($A1013="", "", IFERROR(VLOOKUP($A1013, Stock_New!$A:$M, 6, FALSE), ""))</f>
        <v>60</v>
      </c>
      <c r="F1013" s="239">
        <v>80.0</v>
      </c>
      <c r="G1013" s="16"/>
      <c r="H1013" s="33">
        <v>80.0</v>
      </c>
      <c r="I1013" s="212">
        <v>46100.0</v>
      </c>
      <c r="J1013" s="5" t="s">
        <v>72</v>
      </c>
      <c r="K1013" s="5" t="s">
        <v>3701</v>
      </c>
      <c r="L1013" s="16"/>
      <c r="M1013" s="19"/>
      <c r="N1013" s="16"/>
      <c r="O1013" s="16"/>
      <c r="P1013" s="16"/>
    </row>
    <row r="1014" ht="22.5" customHeight="1">
      <c r="A1014" s="138" t="s">
        <v>210</v>
      </c>
      <c r="B1014" s="16" t="str">
        <f>IF(A1014="","",IFERROR(VLOOKUP(A1014, Stock_New!A:M, 2, FALSE),""))</f>
        <v>سيلفرات</v>
      </c>
      <c r="C1014" s="236">
        <v>2.0</v>
      </c>
      <c r="D1014" s="16" t="str">
        <f>IF(A1014="","",IFERROR(VLOOKUP(A1014, Stock_New!A:M, 3, FALSE),""))</f>
        <v>ذكريا</v>
      </c>
      <c r="E1014" s="16">
        <f>IF($A1014="", "", IFERROR(VLOOKUP($A1014, Stock_New!$A:$M, 6, FALSE), ""))</f>
        <v>156</v>
      </c>
      <c r="F1014" s="239">
        <v>150.0</v>
      </c>
      <c r="G1014" s="16"/>
      <c r="H1014" s="33">
        <v>300.0</v>
      </c>
      <c r="I1014" s="212">
        <v>46100.0</v>
      </c>
      <c r="J1014" s="5" t="s">
        <v>72</v>
      </c>
      <c r="K1014" s="5" t="s">
        <v>3703</v>
      </c>
      <c r="L1014" s="16"/>
      <c r="M1014" s="19"/>
      <c r="N1014" s="16"/>
      <c r="O1014" s="16"/>
      <c r="P1014" s="16"/>
    </row>
    <row r="1015" ht="22.5" customHeight="1">
      <c r="A1015" s="138" t="s">
        <v>766</v>
      </c>
      <c r="B1015" s="16" t="str">
        <f>IF(A1015="","",IFERROR(VLOOKUP(A1015, Stock_New!A:M, 2, FALSE),""))</f>
        <v>سيلفرات</v>
      </c>
      <c r="C1015" s="236">
        <v>1.0</v>
      </c>
      <c r="D1015" s="16" t="str">
        <f>IF(A1015="","",IFERROR(VLOOKUP(A1015, Stock_New!A:M, 3, FALSE),""))</f>
        <v>سنتر محمد رشدي</v>
      </c>
      <c r="E1015" s="16">
        <f>IF($A1015="", "", IFERROR(VLOOKUP($A1015, Stock_New!$A:$M, 6, FALSE), ""))</f>
        <v>180</v>
      </c>
      <c r="F1015" s="239">
        <v>180.0</v>
      </c>
      <c r="G1015" s="16"/>
      <c r="H1015" s="33">
        <v>180.0</v>
      </c>
      <c r="I1015" s="212">
        <v>46100.0</v>
      </c>
      <c r="J1015" s="5" t="s">
        <v>72</v>
      </c>
      <c r="K1015" s="5" t="s">
        <v>3705</v>
      </c>
      <c r="L1015" s="16"/>
      <c r="M1015" s="19"/>
      <c r="N1015" s="16"/>
      <c r="O1015" s="16"/>
      <c r="P1015" s="16"/>
    </row>
    <row r="1016" ht="22.5" customHeight="1">
      <c r="A1016" s="138" t="s">
        <v>554</v>
      </c>
      <c r="B1016" s="16" t="str">
        <f>IF(A1016="","",IFERROR(VLOOKUP(A1016, Stock_New!A:M, 2, FALSE),""))</f>
        <v>مقزمات</v>
      </c>
      <c r="C1016" s="236">
        <v>1.0</v>
      </c>
      <c r="D1016" s="16" t="str">
        <f>IF(A1016="","",IFERROR(VLOOKUP(A1016, Stock_New!A:M, 3, FALSE),""))</f>
        <v>manufactured</v>
      </c>
      <c r="E1016" s="16">
        <f>IF($A1016="", "", IFERROR(VLOOKUP($A1016, Stock_New!$A:$M, 6, FALSE), ""))</f>
        <v>27.86666667</v>
      </c>
      <c r="F1016" s="239">
        <v>25.0</v>
      </c>
      <c r="G1016" s="16"/>
      <c r="H1016" s="33">
        <v>25.0</v>
      </c>
      <c r="I1016" s="212">
        <v>46100.0</v>
      </c>
      <c r="J1016" s="5" t="s">
        <v>72</v>
      </c>
      <c r="K1016" s="5" t="s">
        <v>3707</v>
      </c>
      <c r="L1016" s="16"/>
      <c r="M1016" s="19"/>
      <c r="N1016" s="16"/>
      <c r="O1016" s="16"/>
      <c r="P1016" s="16"/>
    </row>
    <row r="1017" ht="22.5" customHeight="1">
      <c r="A1017" s="138" t="s">
        <v>177</v>
      </c>
      <c r="B1017" s="16" t="str">
        <f>IF(A1017="","",IFERROR(VLOOKUP(A1017, Stock_New!A:M, 2, FALSE),""))</f>
        <v>بورسلين</v>
      </c>
      <c r="C1017" s="236">
        <v>1.0</v>
      </c>
      <c r="D1017" s="16" t="str">
        <f>IF(A1017="","",IFERROR(VLOOKUP(A1017, Stock_New!A:M, 3, FALSE),""))</f>
        <v>شركة حسين علي</v>
      </c>
      <c r="E1017" s="16">
        <f>IF($A1017="", "", IFERROR(VLOOKUP($A1017, Stock_New!$A:$M, 6, FALSE), ""))</f>
        <v>90</v>
      </c>
      <c r="F1017" s="239">
        <v>100.0</v>
      </c>
      <c r="G1017" s="16"/>
      <c r="H1017" s="33">
        <v>100.0</v>
      </c>
      <c r="I1017" s="212">
        <v>46100.0</v>
      </c>
      <c r="J1017" s="5" t="s">
        <v>72</v>
      </c>
      <c r="K1017" s="5" t="s">
        <v>3709</v>
      </c>
      <c r="L1017" s="16"/>
      <c r="M1017" s="19"/>
      <c r="N1017" s="16"/>
      <c r="O1017" s="16"/>
      <c r="P1017" s="16"/>
    </row>
    <row r="1018" ht="22.5" customHeight="1">
      <c r="A1018" s="138" t="s">
        <v>893</v>
      </c>
      <c r="B1018" s="16" t="str">
        <f>IF(A1018="","",IFERROR(VLOOKUP(A1018, Stock_New!A:M, 2, FALSE),""))</f>
        <v>كهربائيات</v>
      </c>
      <c r="C1018" s="236">
        <v>1.0</v>
      </c>
      <c r="D1018" s="16" t="str">
        <f>IF(A1018="","",IFERROR(VLOOKUP(A1018, Stock_New!A:M, 3, FALSE),""))</f>
        <v>سنتر محمد رشدي</v>
      </c>
      <c r="E1018" s="16">
        <f>IF($A1018="", "", IFERROR(VLOOKUP($A1018, Stock_New!$A:$M, 6, FALSE), ""))</f>
        <v>162</v>
      </c>
      <c r="F1018" s="239">
        <v>175.0</v>
      </c>
      <c r="G1018" s="16"/>
      <c r="H1018" s="33">
        <v>175.0</v>
      </c>
      <c r="I1018" s="212">
        <v>46100.0</v>
      </c>
      <c r="J1018" s="5" t="s">
        <v>72</v>
      </c>
      <c r="K1018" s="5" t="s">
        <v>3710</v>
      </c>
      <c r="L1018" s="16"/>
      <c r="M1018" s="19"/>
      <c r="N1018" s="16"/>
      <c r="O1018" s="16"/>
      <c r="P1018" s="16"/>
    </row>
    <row r="1019" ht="22.5" customHeight="1">
      <c r="A1019" s="138" t="s">
        <v>1079</v>
      </c>
      <c r="B1019" s="16" t="str">
        <f>IF(A1019="","",IFERROR(VLOOKUP(A1019, Stock_New!A:M, 2, FALSE),""))</f>
        <v>سيلفرات</v>
      </c>
      <c r="C1019" s="236">
        <v>1.0</v>
      </c>
      <c r="D1019" s="16" t="str">
        <f>IF(A1019="","",IFERROR(VLOOKUP(A1019, Stock_New!A:M, 3, FALSE),""))</f>
        <v>شركة حسين علي</v>
      </c>
      <c r="E1019" s="16">
        <f>IF($A1019="", "", IFERROR(VLOOKUP($A1019, Stock_New!$A:$M, 6, FALSE), ""))</f>
        <v>108</v>
      </c>
      <c r="F1019" s="239">
        <v>140.0</v>
      </c>
      <c r="G1019" s="16"/>
      <c r="H1019" s="33">
        <v>140.0</v>
      </c>
      <c r="I1019" s="212">
        <v>46100.0</v>
      </c>
      <c r="J1019" s="5" t="s">
        <v>72</v>
      </c>
      <c r="K1019" s="5" t="s">
        <v>3714</v>
      </c>
      <c r="L1019" s="16"/>
      <c r="M1019" s="19"/>
      <c r="N1019" s="16"/>
      <c r="O1019" s="16"/>
      <c r="P1019" s="16"/>
    </row>
    <row r="1020" ht="22.5" customHeight="1">
      <c r="A1020" s="138" t="s">
        <v>1087</v>
      </c>
      <c r="B1020" s="16" t="str">
        <f>IF(A1020="","",IFERROR(VLOOKUP(A1020, Stock_New!A:M, 2, FALSE),""))</f>
        <v>حجارة</v>
      </c>
      <c r="C1020" s="236">
        <v>3.0</v>
      </c>
      <c r="D1020" s="16" t="str">
        <f>IF(A1020="","",IFERROR(VLOOKUP(A1020, Stock_New!A:M, 3, FALSE),""))</f>
        <v/>
      </c>
      <c r="E1020" s="16">
        <f>IF($A1020="", "", IFERROR(VLOOKUP($A1020, Stock_New!$A:$M, 6, FALSE), ""))</f>
        <v>13.2</v>
      </c>
      <c r="F1020" s="239">
        <v>10.0</v>
      </c>
      <c r="G1020" s="16"/>
      <c r="H1020" s="33">
        <v>30.0</v>
      </c>
      <c r="I1020" s="212">
        <v>46100.0</v>
      </c>
      <c r="J1020" s="5" t="s">
        <v>72</v>
      </c>
      <c r="K1020" s="5" t="s">
        <v>3717</v>
      </c>
      <c r="L1020" s="16"/>
      <c r="M1020" s="19"/>
      <c r="N1020" s="16"/>
      <c r="O1020" s="16"/>
      <c r="P1020" s="16"/>
    </row>
    <row r="1021" ht="22.5" customHeight="1">
      <c r="A1021" s="138" t="s">
        <v>487</v>
      </c>
      <c r="B1021" s="16" t="str">
        <f>IF(A1021="","",IFERROR(VLOOKUP(A1021, Stock_New!A:M, 2, FALSE),""))</f>
        <v>سيلفرات</v>
      </c>
      <c r="C1021" s="236">
        <v>1.0</v>
      </c>
      <c r="D1021" s="16" t="str">
        <f>IF(A1021="","",IFERROR(VLOOKUP(A1021, Stock_New!A:M, 3, FALSE),""))</f>
        <v>شركة الهضبة</v>
      </c>
      <c r="E1021" s="16">
        <f>IF($A1021="", "", IFERROR(VLOOKUP($A1021, Stock_New!$A:$M, 6, FALSE), ""))</f>
        <v>114</v>
      </c>
      <c r="F1021" s="239">
        <v>120.0</v>
      </c>
      <c r="G1021" s="16"/>
      <c r="H1021" s="33">
        <v>120.0</v>
      </c>
      <c r="I1021" s="212">
        <v>46100.0</v>
      </c>
      <c r="J1021" s="5" t="s">
        <v>72</v>
      </c>
      <c r="K1021" s="5" t="s">
        <v>3721</v>
      </c>
      <c r="L1021" s="16"/>
      <c r="M1021" s="19"/>
      <c r="N1021" s="16"/>
      <c r="O1021" s="16"/>
      <c r="P1021" s="16"/>
    </row>
    <row r="1022" ht="22.5" customHeight="1">
      <c r="A1022" s="138" t="s">
        <v>950</v>
      </c>
      <c r="B1022" s="16" t="str">
        <f>IF(A1022="","",IFERROR(VLOOKUP(A1022, Stock_New!A:M, 2, FALSE),""))</f>
        <v>ساعة</v>
      </c>
      <c r="C1022" s="236">
        <v>1.0</v>
      </c>
      <c r="D1022" s="16" t="str">
        <f>IF(A1022="","",IFERROR(VLOOKUP(A1022, Stock_New!A:M, 3, FALSE),""))</f>
        <v>سنتر محمد رشدي</v>
      </c>
      <c r="E1022" s="16">
        <f>IF($A1022="", "", IFERROR(VLOOKUP($A1022, Stock_New!$A:$M, 6, FALSE), ""))</f>
        <v>86.4</v>
      </c>
      <c r="F1022" s="239">
        <v>90.0</v>
      </c>
      <c r="G1022" s="16"/>
      <c r="H1022" s="33">
        <v>90.0</v>
      </c>
      <c r="I1022" s="238">
        <v>46102.0</v>
      </c>
      <c r="J1022" s="5" t="s">
        <v>72</v>
      </c>
      <c r="K1022" s="5" t="s">
        <v>3723</v>
      </c>
      <c r="L1022" s="16"/>
      <c r="M1022" s="19"/>
      <c r="N1022" s="16"/>
      <c r="O1022" s="16"/>
      <c r="P1022" s="16"/>
    </row>
    <row r="1023" ht="22.5" customHeight="1">
      <c r="A1023" s="138" t="s">
        <v>1146</v>
      </c>
      <c r="B1023" s="16" t="str">
        <f>IF(A1023="","",IFERROR(VLOOKUP(A1023, Stock_New!A:M, 2, FALSE),""))</f>
        <v>لعب</v>
      </c>
      <c r="C1023" s="236">
        <v>2.0</v>
      </c>
      <c r="D1023" s="16" t="str">
        <f>IF(A1023="","",IFERROR(VLOOKUP(A1023, Stock_New!A:M, 3, FALSE),""))</f>
        <v>محمد رشدي</v>
      </c>
      <c r="E1023" s="16">
        <f>IF($A1023="", "", IFERROR(VLOOKUP($A1023, Stock_New!$A:$M, 6, FALSE), ""))</f>
        <v>21</v>
      </c>
      <c r="F1023" s="239">
        <v>35.0</v>
      </c>
      <c r="G1023" s="16"/>
      <c r="H1023" s="33">
        <v>70.0</v>
      </c>
      <c r="I1023" s="238">
        <v>46102.0</v>
      </c>
      <c r="J1023" s="5" t="s">
        <v>72</v>
      </c>
      <c r="K1023" s="5" t="s">
        <v>3725</v>
      </c>
      <c r="L1023" s="16"/>
      <c r="M1023" s="19"/>
      <c r="N1023" s="16"/>
      <c r="O1023" s="16"/>
      <c r="P1023" s="16"/>
    </row>
    <row r="1024" ht="22.5" customHeight="1">
      <c r="A1024" s="138" t="s">
        <v>1146</v>
      </c>
      <c r="B1024" s="16" t="str">
        <f>IF(A1024="","",IFERROR(VLOOKUP(A1024, Stock_New!A:M, 2, FALSE),""))</f>
        <v>لعب</v>
      </c>
      <c r="C1024" s="236">
        <v>1.0</v>
      </c>
      <c r="D1024" s="16" t="str">
        <f>IF(A1024="","",IFERROR(VLOOKUP(A1024, Stock_New!A:M, 3, FALSE),""))</f>
        <v>محمد رشدي</v>
      </c>
      <c r="E1024" s="16">
        <f>IF($A1024="", "", IFERROR(VLOOKUP($A1024, Stock_New!$A:$M, 6, FALSE), ""))</f>
        <v>21</v>
      </c>
      <c r="F1024" s="239">
        <v>30.0</v>
      </c>
      <c r="G1024" s="16"/>
      <c r="H1024" s="33">
        <v>30.0</v>
      </c>
      <c r="I1024" s="238">
        <v>46102.0</v>
      </c>
      <c r="J1024" s="5" t="s">
        <v>72</v>
      </c>
      <c r="K1024" s="5" t="s">
        <v>3729</v>
      </c>
      <c r="L1024" s="16"/>
      <c r="M1024" s="19"/>
      <c r="N1024" s="16"/>
      <c r="O1024" s="16"/>
      <c r="P1024" s="16"/>
    </row>
    <row r="1025" ht="22.5" customHeight="1">
      <c r="A1025" s="138" t="s">
        <v>997</v>
      </c>
      <c r="B1025" s="16" t="str">
        <f>IF(A1025="","",IFERROR(VLOOKUP(A1025, Stock_New!A:M, 2, FALSE),""))</f>
        <v>ساعة</v>
      </c>
      <c r="C1025" s="236">
        <v>1.0</v>
      </c>
      <c r="D1025" s="16" t="str">
        <f>IF(A1025="","",IFERROR(VLOOKUP(A1025, Stock_New!A:M, 3, FALSE),""))</f>
        <v>سنتر محمد رشدي</v>
      </c>
      <c r="E1025" s="16">
        <f>IF($A1025="", "", IFERROR(VLOOKUP($A1025, Stock_New!$A:$M, 6, FALSE), ""))</f>
        <v>134.4</v>
      </c>
      <c r="F1025" s="239">
        <v>140.0</v>
      </c>
      <c r="G1025" s="16"/>
      <c r="H1025" s="33">
        <v>140.0</v>
      </c>
      <c r="I1025" s="238">
        <v>46103.0</v>
      </c>
      <c r="J1025" s="5" t="s">
        <v>72</v>
      </c>
      <c r="K1025" s="5" t="s">
        <v>3730</v>
      </c>
      <c r="L1025" s="16"/>
      <c r="M1025" s="19"/>
      <c r="N1025" s="16"/>
      <c r="O1025" s="16"/>
      <c r="P1025" s="16"/>
    </row>
    <row r="1026" ht="22.5" customHeight="1">
      <c r="A1026" s="138" t="s">
        <v>802</v>
      </c>
      <c r="B1026" s="16" t="str">
        <f>IF(A1026="","",IFERROR(VLOOKUP(A1026, Stock_New!A:M, 2, FALSE),""))</f>
        <v>بخور</v>
      </c>
      <c r="C1026" s="236">
        <v>1.0</v>
      </c>
      <c r="D1026" s="16" t="str">
        <f>IF(A1026="","",IFERROR(VLOOKUP(A1026, Stock_New!A:M, 3, FALSE),""))</f>
        <v/>
      </c>
      <c r="E1026" s="16">
        <f>IF($A1026="", "", IFERROR(VLOOKUP($A1026, Stock_New!$A:$M, 6, FALSE), ""))</f>
        <v>64</v>
      </c>
      <c r="F1026" s="239">
        <v>70.0</v>
      </c>
      <c r="G1026" s="16"/>
      <c r="H1026" s="33">
        <v>70.0</v>
      </c>
      <c r="I1026" s="238">
        <v>46104.0</v>
      </c>
      <c r="J1026" s="5" t="s">
        <v>72</v>
      </c>
      <c r="K1026" s="5" t="s">
        <v>3734</v>
      </c>
      <c r="L1026" s="16"/>
      <c r="M1026" s="19"/>
      <c r="N1026" s="16"/>
      <c r="O1026" s="16"/>
      <c r="P1026" s="16"/>
    </row>
    <row r="1027" ht="22.5" customHeight="1">
      <c r="A1027" s="138" t="s">
        <v>982</v>
      </c>
      <c r="B1027" s="16" t="str">
        <f>IF(A1027="","",IFERROR(VLOOKUP(A1027, Stock_New!A:M, 2, FALSE),""))</f>
        <v>لعب</v>
      </c>
      <c r="C1027" s="236">
        <v>1.0</v>
      </c>
      <c r="D1027" s="16" t="str">
        <f>IF(A1027="","",IFERROR(VLOOKUP(A1027, Stock_New!A:M, 3, FALSE),""))</f>
        <v>محمد رشدي</v>
      </c>
      <c r="E1027" s="16">
        <f>IF($A1027="", "", IFERROR(VLOOKUP($A1027, Stock_New!$A:$M, 6, FALSE), ""))</f>
        <v>150</v>
      </c>
      <c r="F1027" s="239">
        <v>170.0</v>
      </c>
      <c r="G1027" s="16"/>
      <c r="H1027" s="33">
        <v>170.0</v>
      </c>
      <c r="I1027" s="238">
        <v>46104.0</v>
      </c>
      <c r="J1027" s="5" t="s">
        <v>72</v>
      </c>
      <c r="K1027" s="5" t="s">
        <v>3736</v>
      </c>
      <c r="L1027" s="16"/>
      <c r="M1027" s="19"/>
      <c r="N1027" s="16"/>
      <c r="O1027" s="16"/>
      <c r="P1027" s="16"/>
    </row>
    <row r="1028" ht="22.5" customHeight="1">
      <c r="A1028" s="138" t="s">
        <v>1087</v>
      </c>
      <c r="B1028" s="16" t="str">
        <f>IF(A1028="","",IFERROR(VLOOKUP(A1028, Stock_New!A:M, 2, FALSE),""))</f>
        <v>حجارة</v>
      </c>
      <c r="C1028" s="236">
        <v>2.0</v>
      </c>
      <c r="D1028" s="16" t="str">
        <f>IF(A1028="","",IFERROR(VLOOKUP(A1028, Stock_New!A:M, 3, FALSE),""))</f>
        <v/>
      </c>
      <c r="E1028" s="16">
        <f>IF($A1028="", "", IFERROR(VLOOKUP($A1028, Stock_New!$A:$M, 6, FALSE), ""))</f>
        <v>13.2</v>
      </c>
      <c r="F1028" s="239">
        <v>15.0</v>
      </c>
      <c r="G1028" s="16"/>
      <c r="H1028" s="33">
        <v>30.0</v>
      </c>
      <c r="I1028" s="238">
        <v>46104.0</v>
      </c>
      <c r="J1028" s="5" t="s">
        <v>72</v>
      </c>
      <c r="K1028" s="5" t="s">
        <v>3738</v>
      </c>
      <c r="L1028" s="16"/>
      <c r="M1028" s="19"/>
      <c r="N1028" s="16"/>
      <c r="O1028" s="16"/>
      <c r="P1028" s="16"/>
    </row>
    <row r="1029" ht="22.5" customHeight="1">
      <c r="A1029" s="138" t="s">
        <v>596</v>
      </c>
      <c r="B1029" s="16" t="str">
        <f>IF(A1029="","",IFERROR(VLOOKUP(A1029, Stock_New!A:M, 2, FALSE),""))</f>
        <v>مروحة</v>
      </c>
      <c r="C1029" s="236">
        <v>1.0</v>
      </c>
      <c r="D1029" s="16" t="str">
        <f>IF(A1029="","",IFERROR(VLOOKUP(A1029, Stock_New!A:M, 3, FALSE),""))</f>
        <v>سنتر محمد رشدي</v>
      </c>
      <c r="E1029" s="16">
        <f>IF($A1029="", "", IFERROR(VLOOKUP($A1029, Stock_New!$A:$M, 6, FALSE), ""))</f>
        <v>21.5</v>
      </c>
      <c r="F1029" s="239">
        <v>25.0</v>
      </c>
      <c r="G1029" s="16"/>
      <c r="H1029" s="33">
        <v>25.0</v>
      </c>
      <c r="I1029" s="238">
        <v>46105.0</v>
      </c>
      <c r="J1029" s="5" t="s">
        <v>72</v>
      </c>
      <c r="K1029" s="5" t="s">
        <v>3740</v>
      </c>
      <c r="L1029" s="16"/>
      <c r="M1029" s="19"/>
      <c r="N1029" s="16"/>
      <c r="O1029" s="16"/>
      <c r="P1029" s="16"/>
    </row>
    <row r="1030" ht="22.5" customHeight="1">
      <c r="A1030" s="138" t="s">
        <v>733</v>
      </c>
      <c r="B1030" s="16" t="str">
        <f>IF(A1030="","",IFERROR(VLOOKUP(A1030, Stock_New!A:M, 2, FALSE),""))</f>
        <v>بوكيه</v>
      </c>
      <c r="C1030" s="236">
        <v>1.0</v>
      </c>
      <c r="D1030" s="16" t="str">
        <f>IF(A1030="","",IFERROR(VLOOKUP(A1030, Stock_New!A:M, 3, FALSE),""))</f>
        <v>المهندس</v>
      </c>
      <c r="E1030" s="16">
        <f>IF($A1030="", "", IFERROR(VLOOKUP($A1030, Stock_New!$A:$M, 6, FALSE), ""))</f>
        <v>31.2</v>
      </c>
      <c r="F1030" s="239">
        <v>40.0</v>
      </c>
      <c r="G1030" s="16"/>
      <c r="H1030" s="33">
        <v>40.0</v>
      </c>
      <c r="I1030" s="238">
        <v>46105.0</v>
      </c>
      <c r="J1030" s="5" t="s">
        <v>72</v>
      </c>
      <c r="K1030" s="5" t="s">
        <v>3742</v>
      </c>
      <c r="L1030" s="16"/>
      <c r="M1030" s="19"/>
      <c r="N1030" s="16"/>
      <c r="O1030" s="16"/>
      <c r="P1030" s="16"/>
    </row>
    <row r="1031" ht="22.5" customHeight="1">
      <c r="A1031" s="138" t="s">
        <v>584</v>
      </c>
      <c r="B1031" s="16" t="str">
        <f>IF(A1031="","",IFERROR(VLOOKUP(A1031, Stock_New!A:M, 2, FALSE),""))</f>
        <v>بوكيه جاهز</v>
      </c>
      <c r="C1031" s="236">
        <v>3.0</v>
      </c>
      <c r="D1031" s="16" t="str">
        <f>IF(A1031="","",IFERROR(VLOOKUP(A1031, Stock_New!A:M, 3, FALSE),""))</f>
        <v>سنتر محمد رشدي</v>
      </c>
      <c r="E1031" s="16">
        <f>IF($A1031="", "", IFERROR(VLOOKUP($A1031, Stock_New!$A:$M, 6, FALSE), ""))</f>
        <v>6</v>
      </c>
      <c r="F1031" s="239">
        <v>10.0</v>
      </c>
      <c r="G1031" s="16"/>
      <c r="H1031" s="33">
        <v>30.0</v>
      </c>
      <c r="I1031" s="374">
        <v>46107.0</v>
      </c>
      <c r="J1031" s="5" t="s">
        <v>72</v>
      </c>
      <c r="K1031" s="5" t="s">
        <v>3744</v>
      </c>
      <c r="L1031" s="16"/>
      <c r="M1031" s="19"/>
      <c r="N1031" s="16"/>
      <c r="O1031" s="16"/>
      <c r="P1031" s="16"/>
    </row>
    <row r="1032" ht="22.5" customHeight="1">
      <c r="A1032" s="138" t="s">
        <v>363</v>
      </c>
      <c r="B1032" s="16" t="str">
        <f>IF(A1032="","",IFERROR(VLOOKUP(A1032, Stock_New!A:M, 2, FALSE),""))</f>
        <v>ورد لوحدة</v>
      </c>
      <c r="C1032" s="236">
        <f>3/18</f>
        <v>0.1666666667</v>
      </c>
      <c r="D1032" s="16" t="str">
        <f>IF(A1032="","",IFERROR(VLOOKUP(A1032, Stock_New!A:M, 3, FALSE),""))</f>
        <v>شركة الفرسان</v>
      </c>
      <c r="E1032" s="16">
        <f>IF($A1032="", "", IFERROR(VLOOKUP($A1032, Stock_New!$A:$M, 6, FALSE), ""))</f>
        <v>132</v>
      </c>
      <c r="F1032" s="239">
        <v>180.0</v>
      </c>
      <c r="G1032" s="16"/>
      <c r="H1032" s="33">
        <v>30.0</v>
      </c>
      <c r="I1032" s="374">
        <v>46107.0</v>
      </c>
      <c r="J1032" s="5" t="s">
        <v>72</v>
      </c>
      <c r="K1032" s="5" t="s">
        <v>3746</v>
      </c>
      <c r="L1032" s="16"/>
      <c r="M1032" s="19"/>
      <c r="N1032" s="16"/>
      <c r="O1032" s="16"/>
      <c r="P1032" s="16"/>
    </row>
    <row r="1033" ht="22.5" customHeight="1">
      <c r="A1033" s="138" t="s">
        <v>330</v>
      </c>
      <c r="B1033" s="16" t="str">
        <f>IF(A1033="","",IFERROR(VLOOKUP(A1033, Stock_New!A:M, 2, FALSE),""))</f>
        <v>بوكيه</v>
      </c>
      <c r="C1033" s="236">
        <v>2.0</v>
      </c>
      <c r="D1033" s="16" t="str">
        <f>IF(A1033="","",IFERROR(VLOOKUP(A1033, Stock_New!A:M, 3, FALSE),""))</f>
        <v>manufactured</v>
      </c>
      <c r="E1033" s="16">
        <f>IF($A1033="", "", IFERROR(VLOOKUP($A1033, Stock_New!$A:$M, 6, FALSE), ""))</f>
        <v>31</v>
      </c>
      <c r="F1033" s="239">
        <v>50.0</v>
      </c>
      <c r="G1033" s="16"/>
      <c r="H1033" s="33">
        <v>100.0</v>
      </c>
      <c r="I1033" s="374">
        <v>46107.0</v>
      </c>
      <c r="J1033" s="5" t="s">
        <v>72</v>
      </c>
      <c r="K1033" s="5" t="s">
        <v>5298</v>
      </c>
      <c r="L1033" s="16"/>
      <c r="M1033" s="19"/>
      <c r="N1033" s="16"/>
      <c r="O1033" s="16"/>
      <c r="P1033" s="16"/>
    </row>
    <row r="1034" ht="22.5" customHeight="1">
      <c r="A1034" s="138" t="s">
        <v>1152</v>
      </c>
      <c r="B1034" s="16" t="str">
        <f>IF(A1034="","",IFERROR(VLOOKUP(A1034, Stock_New!A:M, 2, FALSE),""))</f>
        <v>لعب</v>
      </c>
      <c r="C1034" s="236">
        <v>1.0</v>
      </c>
      <c r="D1034" s="16" t="str">
        <f>IF(A1034="","",IFERROR(VLOOKUP(A1034, Stock_New!A:M, 3, FALSE),""))</f>
        <v>سنتر محمد رشدي</v>
      </c>
      <c r="E1034" s="16">
        <f>IF($A1034="", "", IFERROR(VLOOKUP($A1034, Stock_New!$A:$M, 6, FALSE), ""))</f>
        <v>18</v>
      </c>
      <c r="F1034" s="239">
        <v>25.0</v>
      </c>
      <c r="G1034" s="16"/>
      <c r="H1034" s="33">
        <v>25.0</v>
      </c>
      <c r="I1034" s="374">
        <v>46107.0</v>
      </c>
      <c r="J1034" s="5" t="s">
        <v>72</v>
      </c>
      <c r="K1034" s="5" t="s">
        <v>3748</v>
      </c>
      <c r="L1034" s="16"/>
      <c r="M1034" s="19"/>
      <c r="N1034" s="16"/>
      <c r="O1034" s="16"/>
      <c r="P1034" s="16"/>
    </row>
    <row r="1035" ht="22.5" customHeight="1">
      <c r="A1035" s="138" t="s">
        <v>1155</v>
      </c>
      <c r="B1035" s="16" t="str">
        <f>IF(A1035="","",IFERROR(VLOOKUP(A1035, Stock_New!A:M, 2, FALSE),""))</f>
        <v>خزف</v>
      </c>
      <c r="C1035" s="236">
        <v>1.0</v>
      </c>
      <c r="D1035" s="16" t="str">
        <f>IF(A1035="","",IFERROR(VLOOKUP(A1035, Stock_New!A:M, 3, FALSE),""))</f>
        <v>شركة حسين علي</v>
      </c>
      <c r="E1035" s="16">
        <f>IF($A1035="", "", IFERROR(VLOOKUP($A1035, Stock_New!$A:$M, 6, FALSE), ""))</f>
        <v>15</v>
      </c>
      <c r="F1035" s="239">
        <v>15.0</v>
      </c>
      <c r="G1035" s="16"/>
      <c r="H1035" s="33">
        <v>15.0</v>
      </c>
      <c r="I1035" s="374">
        <v>46107.0</v>
      </c>
      <c r="J1035" s="5" t="s">
        <v>72</v>
      </c>
      <c r="K1035" s="5" t="s">
        <v>3751</v>
      </c>
      <c r="L1035" s="16"/>
      <c r="M1035" s="19"/>
      <c r="N1035" s="16"/>
      <c r="O1035" s="16"/>
      <c r="P1035" s="16"/>
    </row>
    <row r="1036" ht="22.5" customHeight="1">
      <c r="A1036" s="138" t="s">
        <v>454</v>
      </c>
      <c r="B1036" s="16" t="str">
        <f>IF(A1036="","",IFERROR(VLOOKUP(A1036, Stock_New!A:M, 2, FALSE),""))</f>
        <v>ورد لوحده</v>
      </c>
      <c r="C1036" s="236">
        <f>2/18</f>
        <v>0.1111111111</v>
      </c>
      <c r="D1036" s="16" t="str">
        <f>IF(A1036="","",IFERROR(VLOOKUP(A1036, Stock_New!A:M, 3, FALSE),""))</f>
        <v>ذكريا</v>
      </c>
      <c r="E1036" s="16">
        <f>IF($A1036="", "", IFERROR(VLOOKUP($A1036, Stock_New!$A:$M, 6, FALSE), ""))</f>
        <v>252</v>
      </c>
      <c r="F1036" s="239">
        <v>270.0</v>
      </c>
      <c r="G1036" s="16"/>
      <c r="H1036" s="33">
        <v>30.0</v>
      </c>
      <c r="I1036" s="374">
        <v>46107.0</v>
      </c>
      <c r="J1036" s="5" t="s">
        <v>72</v>
      </c>
      <c r="K1036" s="5" t="s">
        <v>3755</v>
      </c>
      <c r="L1036" s="16"/>
      <c r="M1036" s="19"/>
      <c r="N1036" s="16"/>
      <c r="O1036" s="16"/>
      <c r="P1036" s="16"/>
    </row>
    <row r="1037" ht="22.5" customHeight="1">
      <c r="A1037" s="138" t="s">
        <v>673</v>
      </c>
      <c r="B1037" s="16" t="str">
        <f>IF(A1037="","",IFERROR(VLOOKUP(A1037, Stock_New!A:M, 2, FALSE),""))</f>
        <v>شنط</v>
      </c>
      <c r="C1037" s="236">
        <v>2.0</v>
      </c>
      <c r="D1037" s="16" t="str">
        <f>IF(A1037="","",IFERROR(VLOOKUP(A1037, Stock_New!A:M, 3, FALSE),""))</f>
        <v>سنتر محمد رشدي</v>
      </c>
      <c r="E1037" s="16">
        <f>IF($A1037="", "", IFERROR(VLOOKUP($A1037, Stock_New!$A:$M, 6, FALSE), ""))</f>
        <v>8.1</v>
      </c>
      <c r="F1037" s="239">
        <v>15.0</v>
      </c>
      <c r="G1037" s="16"/>
      <c r="H1037" s="33">
        <v>30.0</v>
      </c>
      <c r="I1037" s="374">
        <v>46107.0</v>
      </c>
      <c r="J1037" s="5" t="s">
        <v>72</v>
      </c>
      <c r="K1037" s="5" t="s">
        <v>3757</v>
      </c>
      <c r="L1037" s="16"/>
      <c r="M1037" s="19"/>
      <c r="N1037" s="16"/>
      <c r="O1037" s="16"/>
      <c r="P1037" s="16"/>
    </row>
    <row r="1038" ht="22.5" customHeight="1">
      <c r="A1038" s="138" t="s">
        <v>1156</v>
      </c>
      <c r="B1038" s="16" t="str">
        <f>IF(A1038="","",IFERROR(VLOOKUP(A1038, Stock_New!A:M, 2, FALSE),""))</f>
        <v>بوكيه</v>
      </c>
      <c r="C1038" s="236">
        <v>1.0</v>
      </c>
      <c r="D1038" s="16" t="str">
        <f>IF(A1038="","",IFERROR(VLOOKUP(A1038, Stock_New!A:M, 3, FALSE),""))</f>
        <v>manufactured</v>
      </c>
      <c r="E1038" s="16">
        <f>IF($A1038="", "", IFERROR(VLOOKUP($A1038, Stock_New!$A:$M, 6, FALSE), ""))</f>
        <v>15</v>
      </c>
      <c r="F1038" s="239">
        <v>20.0</v>
      </c>
      <c r="G1038" s="16"/>
      <c r="H1038" s="33">
        <v>20.0</v>
      </c>
      <c r="I1038" s="374">
        <v>46107.0</v>
      </c>
      <c r="J1038" s="5" t="s">
        <v>72</v>
      </c>
      <c r="K1038" s="5" t="s">
        <v>3760</v>
      </c>
      <c r="L1038" s="16"/>
      <c r="M1038" s="19"/>
      <c r="N1038" s="16"/>
      <c r="O1038" s="16"/>
      <c r="P1038" s="16"/>
    </row>
    <row r="1039" ht="22.5" customHeight="1">
      <c r="A1039" s="138" t="s">
        <v>1073</v>
      </c>
      <c r="B1039" s="16" t="str">
        <f>IF(A1039="","",IFERROR(VLOOKUP(A1039, Stock_New!A:M, 2, FALSE),""))</f>
        <v>العاب</v>
      </c>
      <c r="C1039" s="236">
        <v>1.0</v>
      </c>
      <c r="D1039" s="16" t="str">
        <f>IF(A1039="","",IFERROR(VLOOKUP(A1039, Stock_New!A:M, 3, FALSE),""))</f>
        <v>سنتر محمد رشدي</v>
      </c>
      <c r="E1039" s="16">
        <f>IF($A1039="", "", IFERROR(VLOOKUP($A1039, Stock_New!$A:$M, 6, FALSE), ""))</f>
        <v>127.2</v>
      </c>
      <c r="F1039" s="239">
        <v>240.0</v>
      </c>
      <c r="G1039" s="16"/>
      <c r="H1039" s="33">
        <v>240.0</v>
      </c>
      <c r="I1039" s="374">
        <v>46107.0</v>
      </c>
      <c r="J1039" s="5" t="s">
        <v>72</v>
      </c>
      <c r="K1039" s="5" t="s">
        <v>3764</v>
      </c>
      <c r="L1039" s="16"/>
      <c r="M1039" s="19"/>
      <c r="N1039" s="16"/>
      <c r="O1039" s="16"/>
      <c r="P1039" s="16"/>
    </row>
    <row r="1040" ht="22.5" customHeight="1">
      <c r="A1040" s="138" t="s">
        <v>1157</v>
      </c>
      <c r="B1040" s="16" t="str">
        <f>IF(A1040="","",IFERROR(VLOOKUP(A1040, Stock_New!A:M, 2, FALSE),""))</f>
        <v>العاب</v>
      </c>
      <c r="C1040" s="236">
        <v>1.0</v>
      </c>
      <c r="D1040" s="16" t="str">
        <f>IF(A1040="","",IFERROR(VLOOKUP(A1040, Stock_New!A:M, 3, FALSE),""))</f>
        <v>سنتر محمد رشدي</v>
      </c>
      <c r="E1040" s="16">
        <f>IF($A1040="", "", IFERROR(VLOOKUP($A1040, Stock_New!$A:$M, 6, FALSE), ""))</f>
        <v>102</v>
      </c>
      <c r="F1040" s="239">
        <v>130.0</v>
      </c>
      <c r="G1040" s="16"/>
      <c r="H1040" s="33">
        <v>130.0</v>
      </c>
      <c r="I1040" s="374">
        <v>46107.0</v>
      </c>
      <c r="J1040" s="5" t="s">
        <v>72</v>
      </c>
      <c r="K1040" s="5" t="s">
        <v>3768</v>
      </c>
      <c r="L1040" s="16"/>
      <c r="M1040" s="19"/>
      <c r="N1040" s="16"/>
      <c r="O1040" s="16"/>
      <c r="P1040" s="16"/>
    </row>
    <row r="1041" ht="22.5" customHeight="1">
      <c r="A1041" s="138" t="s">
        <v>1043</v>
      </c>
      <c r="B1041" s="16" t="str">
        <f>IF(A1041="","",IFERROR(VLOOKUP(A1041, Stock_New!A:M, 2, FALSE),""))</f>
        <v>براويز</v>
      </c>
      <c r="C1041" s="236">
        <v>1.0</v>
      </c>
      <c r="D1041" s="16" t="str">
        <f>IF(A1041="","",IFERROR(VLOOKUP(A1041, Stock_New!A:M, 3, FALSE),""))</f>
        <v>شركة الفرسان</v>
      </c>
      <c r="E1041" s="16">
        <f>IF($A1041="", "", IFERROR(VLOOKUP($A1041, Stock_New!$A:$M, 6, FALSE), ""))</f>
        <v>102</v>
      </c>
      <c r="F1041" s="239">
        <v>130.0</v>
      </c>
      <c r="G1041" s="16"/>
      <c r="H1041" s="33">
        <v>130.0</v>
      </c>
      <c r="I1041" s="374">
        <v>46107.0</v>
      </c>
      <c r="J1041" s="5" t="s">
        <v>72</v>
      </c>
      <c r="K1041" s="5" t="s">
        <v>3782</v>
      </c>
      <c r="L1041" s="16"/>
      <c r="M1041" s="19"/>
      <c r="N1041" s="16"/>
      <c r="O1041" s="16"/>
      <c r="P1041" s="16"/>
    </row>
    <row r="1042" ht="22.5" customHeight="1">
      <c r="A1042" s="138" t="s">
        <v>196</v>
      </c>
      <c r="B1042" s="16" t="str">
        <f>IF(A1042="","",IFERROR(VLOOKUP(A1042, Stock_New!A:M, 2, FALSE),""))</f>
        <v>تحف</v>
      </c>
      <c r="C1042" s="236">
        <v>1.0</v>
      </c>
      <c r="D1042" s="16" t="str">
        <f>IF(A1042="","",IFERROR(VLOOKUP(A1042, Stock_New!A:M, 3, FALSE),""))</f>
        <v>محمد رشدي</v>
      </c>
      <c r="E1042" s="16">
        <f>IF($A1042="", "", IFERROR(VLOOKUP($A1042, Stock_New!$A:$M, 6, FALSE), ""))</f>
        <v>405.6</v>
      </c>
      <c r="F1042" s="239">
        <v>500.0</v>
      </c>
      <c r="G1042" s="16"/>
      <c r="H1042" s="33">
        <v>500.0</v>
      </c>
      <c r="I1042" s="374">
        <v>46107.0</v>
      </c>
      <c r="J1042" s="5" t="s">
        <v>72</v>
      </c>
      <c r="K1042" s="5" t="s">
        <v>3772</v>
      </c>
      <c r="L1042" s="16"/>
      <c r="M1042" s="19"/>
      <c r="N1042" s="16"/>
      <c r="O1042" s="16"/>
      <c r="P1042" s="16"/>
    </row>
    <row r="1043" ht="22.5" customHeight="1">
      <c r="A1043" s="138" t="s">
        <v>735</v>
      </c>
      <c r="B1043" s="16" t="str">
        <f>IF(A1043="","",IFERROR(VLOOKUP(A1043, Stock_New!A:M, 2, FALSE),""))</f>
        <v>كهربائيات</v>
      </c>
      <c r="C1043" s="236">
        <v>1.0</v>
      </c>
      <c r="D1043" s="16" t="str">
        <f>IF(A1043="","",IFERROR(VLOOKUP(A1043, Stock_New!A:M, 3, FALSE),""))</f>
        <v>سنتر محمد رشدي</v>
      </c>
      <c r="E1043" s="16">
        <f>IF($A1043="", "", IFERROR(VLOOKUP($A1043, Stock_New!$A:$M, 6, FALSE), ""))</f>
        <v>150</v>
      </c>
      <c r="F1043" s="239">
        <v>195.0</v>
      </c>
      <c r="G1043" s="16"/>
      <c r="H1043" s="33">
        <v>195.0</v>
      </c>
      <c r="I1043" s="374">
        <v>46107.0</v>
      </c>
      <c r="J1043" s="5" t="s">
        <v>72</v>
      </c>
      <c r="K1043" s="5" t="s">
        <v>3784</v>
      </c>
      <c r="L1043" s="16"/>
      <c r="M1043" s="19"/>
      <c r="N1043" s="16"/>
      <c r="O1043" s="16"/>
      <c r="P1043" s="16"/>
    </row>
    <row r="1044" ht="22.5" customHeight="1">
      <c r="A1044" s="138" t="s">
        <v>1152</v>
      </c>
      <c r="B1044" s="16" t="str">
        <f>IF(A1044="","",IFERROR(VLOOKUP(A1044, Stock_New!A:M, 2, FALSE),""))</f>
        <v>لعب</v>
      </c>
      <c r="C1044" s="236">
        <v>1.0</v>
      </c>
      <c r="D1044" s="16" t="str">
        <f>IF(A1044="","",IFERROR(VLOOKUP(A1044, Stock_New!A:M, 3, FALSE),""))</f>
        <v>سنتر محمد رشدي</v>
      </c>
      <c r="E1044" s="16">
        <f>IF($A1044="", "", IFERROR(VLOOKUP($A1044, Stock_New!$A:$M, 6, FALSE), ""))</f>
        <v>18</v>
      </c>
      <c r="F1044" s="239">
        <v>25.0</v>
      </c>
      <c r="G1044" s="16"/>
      <c r="H1044" s="33">
        <v>25.0</v>
      </c>
      <c r="I1044" s="374">
        <v>46107.0</v>
      </c>
      <c r="J1044" s="5" t="s">
        <v>72</v>
      </c>
      <c r="K1044" s="5" t="s">
        <v>3776</v>
      </c>
      <c r="L1044" s="16"/>
      <c r="M1044" s="19"/>
      <c r="N1044" s="16"/>
      <c r="O1044" s="16"/>
      <c r="P1044" s="16"/>
    </row>
    <row r="1045" ht="22.5" customHeight="1">
      <c r="A1045" s="138" t="s">
        <v>549</v>
      </c>
      <c r="B1045" s="16" t="str">
        <f>IF(A1045="","",IFERROR(VLOOKUP(A1045, Stock_New!A:M, 2, FALSE),""))</f>
        <v>بخور</v>
      </c>
      <c r="C1045" s="236">
        <v>2.0</v>
      </c>
      <c r="D1045" s="16" t="str">
        <f>IF(A1045="","",IFERROR(VLOOKUP(A1045, Stock_New!A:M, 3, FALSE),""))</f>
        <v>سنتر محمد رشدي</v>
      </c>
      <c r="E1045" s="16">
        <f>IF($A1045="", "", IFERROR(VLOOKUP($A1045, Stock_New!$A:$M, 6, FALSE), ""))</f>
        <v>21</v>
      </c>
      <c r="F1045" s="239">
        <v>25.0</v>
      </c>
      <c r="G1045" s="16"/>
      <c r="H1045" s="33">
        <v>50.0</v>
      </c>
      <c r="I1045" s="374">
        <v>46107.0</v>
      </c>
      <c r="J1045" s="5" t="s">
        <v>72</v>
      </c>
      <c r="K1045" s="5" t="s">
        <v>3778</v>
      </c>
      <c r="L1045" s="16"/>
      <c r="M1045" s="19"/>
      <c r="N1045" s="16"/>
      <c r="O1045" s="16"/>
      <c r="P1045" s="16"/>
    </row>
    <row r="1046" ht="22.5" customHeight="1">
      <c r="A1046" s="138" t="s">
        <v>653</v>
      </c>
      <c r="B1046" s="16" t="str">
        <f>IF(A1046="","",IFERROR(VLOOKUP(A1046, Stock_New!A:M, 2, FALSE),""))</f>
        <v>لوح</v>
      </c>
      <c r="C1046" s="236">
        <v>1.0</v>
      </c>
      <c r="D1046" s="16" t="str">
        <f>IF(A1046="","",IFERROR(VLOOKUP(A1046, Stock_New!A:M, 3, FALSE),""))</f>
        <v>سنتر محمد رشدي</v>
      </c>
      <c r="E1046" s="16">
        <f>IF($A1046="", "", IFERROR(VLOOKUP($A1046, Stock_New!$A:$M, 6, FALSE), ""))</f>
        <v>198.6</v>
      </c>
      <c r="F1046" s="239">
        <v>210.0</v>
      </c>
      <c r="G1046" s="16"/>
      <c r="H1046" s="33">
        <v>210.0</v>
      </c>
      <c r="I1046" s="374">
        <v>46107.0</v>
      </c>
      <c r="J1046" s="5" t="s">
        <v>72</v>
      </c>
      <c r="K1046" s="5" t="s">
        <v>3780</v>
      </c>
      <c r="L1046" s="16"/>
      <c r="M1046" s="19"/>
      <c r="N1046" s="16"/>
      <c r="O1046" s="16"/>
      <c r="P1046" s="16"/>
    </row>
    <row r="1047" ht="22.5" customHeight="1">
      <c r="A1047" s="138" t="s">
        <v>1043</v>
      </c>
      <c r="B1047" s="16" t="str">
        <f>IF(A1047="","",IFERROR(VLOOKUP(A1047, Stock_New!A:M, 2, FALSE),""))</f>
        <v>براويز</v>
      </c>
      <c r="C1047" s="236">
        <v>1.0</v>
      </c>
      <c r="D1047" s="16" t="str">
        <f>IF(A1047="","",IFERROR(VLOOKUP(A1047, Stock_New!A:M, 3, FALSE),""))</f>
        <v>شركة الفرسان</v>
      </c>
      <c r="E1047" s="16">
        <f>IF($A1047="", "", IFERROR(VLOOKUP($A1047, Stock_New!$A:$M, 6, FALSE), ""))</f>
        <v>102</v>
      </c>
      <c r="F1047" s="239">
        <v>140.0</v>
      </c>
      <c r="G1047" s="16"/>
      <c r="H1047" s="33">
        <v>140.0</v>
      </c>
      <c r="I1047" s="374">
        <v>46107.0</v>
      </c>
      <c r="J1047" s="5" t="s">
        <v>72</v>
      </c>
      <c r="K1047" s="5" t="s">
        <v>3788</v>
      </c>
      <c r="L1047" s="16"/>
      <c r="M1047" s="19"/>
      <c r="N1047" s="16"/>
      <c r="O1047" s="16"/>
      <c r="P1047" s="16"/>
    </row>
    <row r="1048" ht="22.5" customHeight="1">
      <c r="A1048" s="138" t="s">
        <v>372</v>
      </c>
      <c r="B1048" s="16" t="str">
        <f>IF(A1048="","",IFERROR(VLOOKUP(A1048, Stock_New!A:M, 2, FALSE),""))</f>
        <v>بوكيه</v>
      </c>
      <c r="C1048" s="236">
        <v>1.0</v>
      </c>
      <c r="D1048" s="16" t="str">
        <f>IF(A1048="","",IFERROR(VLOOKUP(A1048, Stock_New!A:M, 3, FALSE),""))</f>
        <v>ذكريا</v>
      </c>
      <c r="E1048" s="16">
        <f>IF($A1048="", "", IFERROR(VLOOKUP($A1048, Stock_New!$A:$M, 6, FALSE), ""))</f>
        <v>216</v>
      </c>
      <c r="F1048" s="239">
        <v>200.0</v>
      </c>
      <c r="G1048" s="16"/>
      <c r="H1048" s="33">
        <v>200.0</v>
      </c>
      <c r="I1048" s="238">
        <v>46110.0</v>
      </c>
      <c r="J1048" s="5" t="s">
        <v>72</v>
      </c>
      <c r="K1048" s="5" t="s">
        <v>3790</v>
      </c>
      <c r="L1048" s="16"/>
      <c r="M1048" s="19"/>
      <c r="N1048" s="16"/>
      <c r="O1048" s="16"/>
      <c r="P1048" s="16"/>
    </row>
    <row r="1049" ht="22.5" customHeight="1">
      <c r="A1049" s="138" t="s">
        <v>1004</v>
      </c>
      <c r="B1049" s="16" t="str">
        <f>IF(A1049="","",IFERROR(VLOOKUP(A1049, Stock_New!A:M, 2, FALSE),""))</f>
        <v>ورد لوحدة</v>
      </c>
      <c r="C1049" s="236">
        <v>1.0</v>
      </c>
      <c r="D1049" s="16" t="str">
        <f>IF(A1049="","",IFERROR(VLOOKUP(A1049, Stock_New!A:M, 3, FALSE),""))</f>
        <v>شركة حسين علي</v>
      </c>
      <c r="E1049" s="16">
        <f>IF($A1049="", "", IFERROR(VLOOKUP($A1049, Stock_New!$A:$M, 6, FALSE), ""))</f>
        <v>78</v>
      </c>
      <c r="F1049" s="239">
        <v>80.0</v>
      </c>
      <c r="G1049" s="16"/>
      <c r="H1049" s="33">
        <v>80.0</v>
      </c>
      <c r="I1049" s="238">
        <v>46110.0</v>
      </c>
      <c r="J1049" s="5" t="s">
        <v>72</v>
      </c>
      <c r="K1049" s="5" t="s">
        <v>3792</v>
      </c>
      <c r="L1049" s="16"/>
      <c r="M1049" s="19"/>
      <c r="N1049" s="16"/>
      <c r="O1049" s="16"/>
      <c r="P1049" s="16"/>
    </row>
    <row r="1050" ht="22.5" customHeight="1">
      <c r="A1050" s="138" t="s">
        <v>837</v>
      </c>
      <c r="B1050" s="16" t="str">
        <f>IF(A1050="","",IFERROR(VLOOKUP(A1050, Stock_New!A:M, 2, FALSE),""))</f>
        <v>ورد لوحدة</v>
      </c>
      <c r="C1050" s="236">
        <v>1.0</v>
      </c>
      <c r="D1050" s="16" t="str">
        <f>IF(A1050="","",IFERROR(VLOOKUP(A1050, Stock_New!A:M, 3, FALSE),""))</f>
        <v>شركة حسين علي</v>
      </c>
      <c r="E1050" s="16">
        <f>IF($A1050="", "", IFERROR(VLOOKUP($A1050, Stock_New!$A:$M, 6, FALSE), ""))</f>
        <v>20.4</v>
      </c>
      <c r="F1050" s="239">
        <v>20.0</v>
      </c>
      <c r="G1050" s="16"/>
      <c r="H1050" s="33">
        <v>20.0</v>
      </c>
      <c r="I1050" s="238">
        <v>46110.0</v>
      </c>
      <c r="J1050" s="5" t="s">
        <v>72</v>
      </c>
      <c r="K1050" s="5" t="s">
        <v>3794</v>
      </c>
      <c r="L1050" s="16"/>
      <c r="M1050" s="19"/>
      <c r="N1050" s="16"/>
      <c r="O1050" s="16"/>
      <c r="P1050" s="16"/>
    </row>
    <row r="1051" ht="22.5" customHeight="1">
      <c r="A1051" s="138" t="s">
        <v>77</v>
      </c>
      <c r="B1051" s="16" t="str">
        <f>IF(A1051="","",IFERROR(VLOOKUP(A1051, Stock_New!A:M, 2, FALSE),""))</f>
        <v>شجر</v>
      </c>
      <c r="C1051" s="236">
        <v>1.0</v>
      </c>
      <c r="D1051" s="16" t="str">
        <f>IF(A1051="","",IFERROR(VLOOKUP(A1051, Stock_New!A:M, 3, FALSE),""))</f>
        <v>manufactured</v>
      </c>
      <c r="E1051" s="16">
        <f>IF($A1051="", "", IFERROR(VLOOKUP($A1051, Stock_New!$A:$M, 6, FALSE), ""))</f>
        <v>378</v>
      </c>
      <c r="F1051" s="239">
        <v>350.0</v>
      </c>
      <c r="G1051" s="16"/>
      <c r="H1051" s="33">
        <v>350.0</v>
      </c>
      <c r="I1051" s="238">
        <v>46110.0</v>
      </c>
      <c r="J1051" s="5" t="s">
        <v>72</v>
      </c>
      <c r="K1051" s="5" t="s">
        <v>3795</v>
      </c>
      <c r="L1051" s="16"/>
      <c r="M1051" s="19"/>
      <c r="N1051" s="16"/>
      <c r="O1051" s="16"/>
      <c r="P1051" s="16"/>
    </row>
    <row r="1052" ht="22.5" customHeight="1">
      <c r="A1052" s="138" t="s">
        <v>91</v>
      </c>
      <c r="B1052" s="16" t="str">
        <f>IF(A1052="","",IFERROR(VLOOKUP(A1052, Stock_New!A:M, 2, FALSE),""))</f>
        <v>بوتات</v>
      </c>
      <c r="C1052" s="236">
        <v>1.0</v>
      </c>
      <c r="D1052" s="16" t="str">
        <f>IF(A1052="","",IFERROR(VLOOKUP(A1052, Stock_New!A:M, 3, FALSE),""))</f>
        <v>عبدالفتاح</v>
      </c>
      <c r="E1052" s="16">
        <f>IF($A1052="", "", IFERROR(VLOOKUP($A1052, Stock_New!$A:$M, 6, FALSE), ""))</f>
        <v>42</v>
      </c>
      <c r="F1052" s="239">
        <v>50.0</v>
      </c>
      <c r="G1052" s="16"/>
      <c r="H1052" s="33">
        <v>50.0</v>
      </c>
      <c r="I1052" s="238">
        <v>46110.0</v>
      </c>
      <c r="J1052" s="5" t="s">
        <v>72</v>
      </c>
      <c r="K1052" s="5" t="s">
        <v>3796</v>
      </c>
      <c r="L1052" s="16"/>
      <c r="M1052" s="19"/>
      <c r="N1052" s="16"/>
      <c r="O1052" s="16"/>
      <c r="P1052" s="16"/>
    </row>
    <row r="1053" ht="22.5" customHeight="1">
      <c r="A1053" s="138" t="s">
        <v>111</v>
      </c>
      <c r="B1053" s="16" t="str">
        <f>IF(A1053="","",IFERROR(VLOOKUP(A1053, Stock_New!A:M, 2, FALSE),""))</f>
        <v>شجر</v>
      </c>
      <c r="C1053" s="236">
        <v>1.0</v>
      </c>
      <c r="D1053" s="16" t="str">
        <f>IF(A1053="","",IFERROR(VLOOKUP(A1053, Stock_New!A:M, 3, FALSE),""))</f>
        <v>شركة حسين علي</v>
      </c>
      <c r="E1053" s="16">
        <f>IF($A1053="", "", IFERROR(VLOOKUP($A1053, Stock_New!$A:$M, 6, FALSE), ""))</f>
        <v>240</v>
      </c>
      <c r="F1053" s="239">
        <v>200.0</v>
      </c>
      <c r="G1053" s="16"/>
      <c r="H1053" s="33">
        <v>200.0</v>
      </c>
      <c r="I1053" s="238">
        <v>46110.0</v>
      </c>
      <c r="J1053" s="5" t="s">
        <v>72</v>
      </c>
      <c r="K1053" s="5" t="s">
        <v>3797</v>
      </c>
      <c r="L1053" s="16"/>
      <c r="M1053" s="19"/>
      <c r="N1053" s="16"/>
      <c r="O1053" s="16"/>
      <c r="P1053" s="16"/>
    </row>
    <row r="1054" ht="22.5" customHeight="1">
      <c r="A1054" s="138" t="s">
        <v>194</v>
      </c>
      <c r="B1054" s="16" t="str">
        <f>IF(A1054="","",IFERROR(VLOOKUP(A1054, Stock_New!A:M, 2, FALSE),""))</f>
        <v>بوتات</v>
      </c>
      <c r="C1054" s="236">
        <v>1.0</v>
      </c>
      <c r="D1054" s="16" t="str">
        <f>IF(A1054="","",IFERROR(VLOOKUP(A1054, Stock_New!A:M, 3, FALSE),""))</f>
        <v>ذكريا</v>
      </c>
      <c r="E1054" s="16">
        <f>IF($A1054="", "", IFERROR(VLOOKUP($A1054, Stock_New!$A:$M, 6, FALSE), ""))</f>
        <v>197</v>
      </c>
      <c r="F1054" s="239">
        <v>100.0</v>
      </c>
      <c r="G1054" s="16"/>
      <c r="H1054" s="33">
        <v>100.0</v>
      </c>
      <c r="I1054" s="238">
        <v>46110.0</v>
      </c>
      <c r="J1054" s="5" t="s">
        <v>72</v>
      </c>
      <c r="K1054" s="5" t="s">
        <v>3798</v>
      </c>
      <c r="L1054" s="16"/>
      <c r="M1054" s="19"/>
      <c r="N1054" s="16"/>
      <c r="O1054" s="16"/>
      <c r="P1054" s="16"/>
    </row>
    <row r="1055" ht="22.5" customHeight="1">
      <c r="A1055" s="138" t="s">
        <v>1157</v>
      </c>
      <c r="B1055" s="16" t="str">
        <f>IF(A1055="","",IFERROR(VLOOKUP(A1055, Stock_New!A:M, 2, FALSE),""))</f>
        <v>العاب</v>
      </c>
      <c r="C1055" s="236">
        <v>1.0</v>
      </c>
      <c r="D1055" s="16" t="str">
        <f>IF(A1055="","",IFERROR(VLOOKUP(A1055, Stock_New!A:M, 3, FALSE),""))</f>
        <v>سنتر محمد رشدي</v>
      </c>
      <c r="E1055" s="16">
        <f>IF($A1055="", "", IFERROR(VLOOKUP($A1055, Stock_New!$A:$M, 6, FALSE), ""))</f>
        <v>102</v>
      </c>
      <c r="F1055" s="239">
        <v>130.0</v>
      </c>
      <c r="G1055" s="16"/>
      <c r="H1055" s="33">
        <v>130.0</v>
      </c>
      <c r="I1055" s="238">
        <v>46110.0</v>
      </c>
      <c r="J1055" s="5" t="s">
        <v>72</v>
      </c>
      <c r="K1055" s="5" t="s">
        <v>3799</v>
      </c>
      <c r="L1055" s="16"/>
      <c r="M1055" s="19"/>
      <c r="N1055" s="16"/>
      <c r="O1055" s="16"/>
      <c r="P1055" s="16"/>
    </row>
    <row r="1056" ht="22.5" customHeight="1">
      <c r="A1056" s="138" t="s">
        <v>802</v>
      </c>
      <c r="B1056" s="16" t="str">
        <f>IF(A1056="","",IFERROR(VLOOKUP(A1056, Stock_New!A:M, 2, FALSE),""))</f>
        <v>بخور</v>
      </c>
      <c r="C1056" s="236">
        <f>1/5</f>
        <v>0.2</v>
      </c>
      <c r="D1056" s="16" t="str">
        <f>IF(A1056="","",IFERROR(VLOOKUP(A1056, Stock_New!A:M, 3, FALSE),""))</f>
        <v/>
      </c>
      <c r="E1056" s="16">
        <f>IF($A1056="", "", IFERROR(VLOOKUP($A1056, Stock_New!$A:$M, 6, FALSE), ""))</f>
        <v>64</v>
      </c>
      <c r="F1056" s="239">
        <v>75.0</v>
      </c>
      <c r="G1056" s="16"/>
      <c r="H1056" s="33">
        <v>15.0</v>
      </c>
      <c r="I1056" s="238">
        <v>46110.0</v>
      </c>
      <c r="J1056" s="5" t="s">
        <v>72</v>
      </c>
      <c r="K1056" s="5" t="s">
        <v>3801</v>
      </c>
      <c r="L1056" s="16"/>
      <c r="M1056" s="19"/>
      <c r="N1056" s="16"/>
      <c r="O1056" s="16"/>
      <c r="P1056" s="16"/>
    </row>
    <row r="1057" ht="22.5" customHeight="1">
      <c r="A1057" s="138" t="s">
        <v>689</v>
      </c>
      <c r="B1057" s="16" t="str">
        <f>IF(A1057="","",IFERROR(VLOOKUP(A1057, Stock_New!A:M, 2, FALSE),""))</f>
        <v>كهربائيات</v>
      </c>
      <c r="C1057" s="236">
        <v>2.0</v>
      </c>
      <c r="D1057" s="16" t="str">
        <f>IF(A1057="","",IFERROR(VLOOKUP(A1057, Stock_New!A:M, 3, FALSE),""))</f>
        <v>سنتر محمد رشدي</v>
      </c>
      <c r="E1057" s="16">
        <f>IF($A1057="", "", IFERROR(VLOOKUP($A1057, Stock_New!$A:$M, 6, FALSE), ""))</f>
        <v>156</v>
      </c>
      <c r="F1057" s="239">
        <v>150.0</v>
      </c>
      <c r="G1057" s="16"/>
      <c r="H1057" s="33">
        <v>300.0</v>
      </c>
      <c r="I1057" s="238">
        <v>46111.0</v>
      </c>
      <c r="J1057" s="5" t="s">
        <v>72</v>
      </c>
      <c r="K1057" s="5" t="s">
        <v>3803</v>
      </c>
      <c r="L1057" s="16"/>
      <c r="M1057" s="19"/>
      <c r="N1057" s="16"/>
      <c r="O1057" s="16"/>
      <c r="P1057" s="16"/>
    </row>
    <row r="1058" ht="22.5" customHeight="1">
      <c r="A1058" s="138" t="s">
        <v>309</v>
      </c>
      <c r="B1058" s="16" t="str">
        <f>IF(A1058="","",IFERROR(VLOOKUP(A1058, Stock_New!A:M, 2, FALSE),""))</f>
        <v>بوتات</v>
      </c>
      <c r="C1058" s="236">
        <v>1.0</v>
      </c>
      <c r="D1058" s="16" t="str">
        <f>IF(A1058="","",IFERROR(VLOOKUP(A1058, Stock_New!A:M, 3, FALSE),""))</f>
        <v>شركة حسين علي</v>
      </c>
      <c r="E1058" s="16">
        <f>IF($A1058="", "", IFERROR(VLOOKUP($A1058, Stock_New!$A:$M, 6, FALSE), ""))</f>
        <v>24</v>
      </c>
      <c r="F1058" s="239">
        <v>50.0</v>
      </c>
      <c r="G1058" s="16"/>
      <c r="H1058" s="33">
        <v>50.0</v>
      </c>
      <c r="I1058" s="238">
        <v>46111.0</v>
      </c>
      <c r="J1058" s="5" t="s">
        <v>72</v>
      </c>
      <c r="K1058" s="5" t="s">
        <v>3805</v>
      </c>
      <c r="L1058" s="16"/>
      <c r="M1058" s="19"/>
      <c r="N1058" s="16"/>
      <c r="O1058" s="16"/>
      <c r="P1058" s="16"/>
    </row>
    <row r="1059" ht="22.5" customHeight="1">
      <c r="A1059" s="138" t="s">
        <v>245</v>
      </c>
      <c r="B1059" s="16" t="str">
        <f>IF(A1059="","",IFERROR(VLOOKUP(A1059, Stock_New!A:M, 2, FALSE),""))</f>
        <v>ورد لحدة</v>
      </c>
      <c r="C1059" s="236">
        <v>1.0</v>
      </c>
      <c r="D1059" s="16" t="str">
        <f>IF(A1059="","",IFERROR(VLOOKUP(A1059, Stock_New!A:M, 3, FALSE),""))</f>
        <v>شركة حسين علي</v>
      </c>
      <c r="E1059" s="16">
        <f>IF($A1059="", "", IFERROR(VLOOKUP($A1059, Stock_New!$A:$M, 6, FALSE), ""))</f>
        <v>180</v>
      </c>
      <c r="F1059" s="239">
        <v>240.0</v>
      </c>
      <c r="G1059" s="16"/>
      <c r="H1059" s="33">
        <v>240.0</v>
      </c>
      <c r="I1059" s="238">
        <v>46111.0</v>
      </c>
      <c r="J1059" s="5" t="s">
        <v>72</v>
      </c>
      <c r="K1059" s="5" t="s">
        <v>3807</v>
      </c>
      <c r="L1059" s="16"/>
      <c r="M1059" s="19"/>
      <c r="N1059" s="16"/>
      <c r="O1059" s="16"/>
      <c r="P1059" s="16"/>
    </row>
    <row r="1060" ht="22.5" customHeight="1">
      <c r="A1060" s="138" t="s">
        <v>812</v>
      </c>
      <c r="B1060" s="16" t="str">
        <f>IF(A1060="","",IFERROR(VLOOKUP(A1060, Stock_New!A:M, 2, FALSE),""))</f>
        <v/>
      </c>
      <c r="C1060" s="236">
        <v>3.0</v>
      </c>
      <c r="D1060" s="16" t="str">
        <f>IF(A1060="","",IFERROR(VLOOKUP(A1060, Stock_New!A:M, 3, FALSE),""))</f>
        <v/>
      </c>
      <c r="E1060" s="16" t="str">
        <f>IF($A1060="", "", IFERROR(VLOOKUP($A1060, Stock_New!$A:$M, 6, FALSE), ""))</f>
        <v/>
      </c>
      <c r="F1060" s="239">
        <v>20.0</v>
      </c>
      <c r="G1060" s="16"/>
      <c r="H1060" s="33">
        <v>60.0</v>
      </c>
      <c r="I1060" s="238">
        <v>46111.0</v>
      </c>
      <c r="J1060" s="5" t="s">
        <v>72</v>
      </c>
      <c r="K1060" s="5" t="s">
        <v>3808</v>
      </c>
      <c r="L1060" s="16"/>
      <c r="M1060" s="19"/>
      <c r="N1060" s="16"/>
      <c r="O1060" s="16"/>
      <c r="P1060" s="16"/>
    </row>
    <row r="1061" ht="22.5" customHeight="1">
      <c r="A1061" s="138" t="s">
        <v>220</v>
      </c>
      <c r="B1061" s="16" t="str">
        <f>IF(A1061="","",IFERROR(VLOOKUP(A1061, Stock_New!A:M, 2, FALSE),""))</f>
        <v>ورد لوحدة</v>
      </c>
      <c r="C1061" s="236">
        <v>1.0</v>
      </c>
      <c r="D1061" s="16" t="str">
        <f>IF(A1061="","",IFERROR(VLOOKUP(A1061, Stock_New!A:M, 3, FALSE),""))</f>
        <v>شركة الفرسان</v>
      </c>
      <c r="E1061" s="16">
        <f>IF($A1061="", "", IFERROR(VLOOKUP($A1061, Stock_New!$A:$M, 6, FALSE), ""))</f>
        <v>102</v>
      </c>
      <c r="F1061" s="239">
        <v>200.0</v>
      </c>
      <c r="G1061" s="16"/>
      <c r="H1061" s="33">
        <v>200.0</v>
      </c>
      <c r="I1061" s="238">
        <v>46111.0</v>
      </c>
      <c r="J1061" s="5" t="s">
        <v>72</v>
      </c>
      <c r="K1061" s="5" t="s">
        <v>3809</v>
      </c>
      <c r="L1061" s="16"/>
      <c r="M1061" s="19"/>
      <c r="N1061" s="16"/>
      <c r="O1061" s="16"/>
      <c r="P1061" s="16"/>
    </row>
    <row r="1062" ht="22.5" customHeight="1">
      <c r="A1062" s="138" t="s">
        <v>1079</v>
      </c>
      <c r="B1062" s="16" t="str">
        <f>IF(A1062="","",IFERROR(VLOOKUP(A1062, Stock_New!A:M, 2, FALSE),""))</f>
        <v>سيلفرات</v>
      </c>
      <c r="C1062" s="236">
        <v>2.0</v>
      </c>
      <c r="D1062" s="16" t="str">
        <f>IF(A1062="","",IFERROR(VLOOKUP(A1062, Stock_New!A:M, 3, FALSE),""))</f>
        <v>شركة حسين علي</v>
      </c>
      <c r="E1062" s="16">
        <f>IF($A1062="", "", IFERROR(VLOOKUP($A1062, Stock_New!$A:$M, 6, FALSE), ""))</f>
        <v>108</v>
      </c>
      <c r="F1062" s="239">
        <v>150.0</v>
      </c>
      <c r="G1062" s="16"/>
      <c r="H1062" s="33">
        <v>300.0</v>
      </c>
      <c r="I1062" s="238">
        <v>46111.0</v>
      </c>
      <c r="J1062" s="5" t="s">
        <v>72</v>
      </c>
      <c r="K1062" s="5" t="s">
        <v>3810</v>
      </c>
      <c r="L1062" s="16"/>
      <c r="M1062" s="19"/>
      <c r="N1062" s="16"/>
      <c r="O1062" s="16"/>
      <c r="P1062" s="16"/>
    </row>
    <row r="1063" ht="22.5" customHeight="1">
      <c r="A1063" s="138" t="s">
        <v>1156</v>
      </c>
      <c r="B1063" s="16" t="str">
        <f>IF(A1063="","",IFERROR(VLOOKUP(A1063, Stock_New!A:M, 2, FALSE),""))</f>
        <v>بوكيه</v>
      </c>
      <c r="C1063" s="236">
        <v>2.0</v>
      </c>
      <c r="D1063" s="16" t="str">
        <f>IF(A1063="","",IFERROR(VLOOKUP(A1063, Stock_New!A:M, 3, FALSE),""))</f>
        <v>manufactured</v>
      </c>
      <c r="E1063" s="16">
        <f>IF($A1063="", "", IFERROR(VLOOKUP($A1063, Stock_New!$A:$M, 6, FALSE), ""))</f>
        <v>15</v>
      </c>
      <c r="F1063" s="239">
        <v>20.0</v>
      </c>
      <c r="G1063" s="16"/>
      <c r="H1063" s="33">
        <v>40.0</v>
      </c>
      <c r="I1063" s="238">
        <v>46111.0</v>
      </c>
      <c r="J1063" s="5" t="s">
        <v>72</v>
      </c>
      <c r="K1063" s="5" t="s">
        <v>3812</v>
      </c>
      <c r="L1063" s="16"/>
      <c r="M1063" s="19"/>
      <c r="N1063" s="16"/>
      <c r="O1063" s="16"/>
      <c r="P1063" s="16"/>
    </row>
    <row r="1064" ht="22.5" customHeight="1">
      <c r="A1064" s="138" t="s">
        <v>144</v>
      </c>
      <c r="B1064" s="16" t="str">
        <f>IF(A1064="","",IFERROR(VLOOKUP(A1064, Stock_New!A:M, 2, FALSE),""))</f>
        <v>كهربائيات</v>
      </c>
      <c r="C1064" s="236">
        <v>1.0</v>
      </c>
      <c r="D1064" s="16" t="str">
        <f>IF(A1064="","",IFERROR(VLOOKUP(A1064, Stock_New!A:M, 3, FALSE),""))</f>
        <v>شركة البطل</v>
      </c>
      <c r="E1064" s="16">
        <f>IF($A1064="", "", IFERROR(VLOOKUP($A1064, Stock_New!$A:$M, 6, FALSE), ""))</f>
        <v>144</v>
      </c>
      <c r="F1064" s="239">
        <v>170.0</v>
      </c>
      <c r="G1064" s="16"/>
      <c r="H1064" s="33">
        <v>170.0</v>
      </c>
      <c r="I1064" s="238">
        <v>46111.0</v>
      </c>
      <c r="J1064" s="5" t="s">
        <v>72</v>
      </c>
      <c r="K1064" s="5" t="s">
        <v>3814</v>
      </c>
      <c r="L1064" s="16"/>
      <c r="M1064" s="19"/>
      <c r="N1064" s="16"/>
      <c r="O1064" s="16"/>
      <c r="P1064" s="16"/>
    </row>
    <row r="1065" ht="22.5" customHeight="1">
      <c r="A1065" s="138" t="s">
        <v>856</v>
      </c>
      <c r="B1065" s="16" t="str">
        <f>IF(A1065="","",IFERROR(VLOOKUP(A1065, Stock_New!A:M, 2, FALSE),""))</f>
        <v>شمع</v>
      </c>
      <c r="C1065" s="236">
        <v>15.0</v>
      </c>
      <c r="D1065" s="16" t="str">
        <f>IF(A1065="","",IFERROR(VLOOKUP(A1065, Stock_New!A:M, 3, FALSE),""))</f>
        <v>سنتر محمد رشدي</v>
      </c>
      <c r="E1065" s="16">
        <f>IF($A1065="", "", IFERROR(VLOOKUP($A1065, Stock_New!$A:$M, 6, FALSE), ""))</f>
        <v>5.5</v>
      </c>
      <c r="F1065" s="239">
        <v>5.0</v>
      </c>
      <c r="G1065" s="16"/>
      <c r="H1065" s="33">
        <v>75.0</v>
      </c>
      <c r="I1065" s="238">
        <v>46111.0</v>
      </c>
      <c r="J1065" s="5" t="s">
        <v>72</v>
      </c>
      <c r="K1065" s="5" t="s">
        <v>3864</v>
      </c>
      <c r="L1065" s="16"/>
      <c r="M1065" s="19"/>
      <c r="N1065" s="16"/>
      <c r="O1065" s="16"/>
      <c r="P1065" s="16"/>
    </row>
    <row r="1066" ht="22.5" customHeight="1">
      <c r="A1066" s="138" t="s">
        <v>756</v>
      </c>
      <c r="B1066" s="16" t="str">
        <f>IF(A1066="","",IFERROR(VLOOKUP(A1066, Stock_New!A:M, 2, FALSE),""))</f>
        <v>ورد لوحدة</v>
      </c>
      <c r="C1066" s="236">
        <v>1.0</v>
      </c>
      <c r="D1066" s="16" t="str">
        <f>IF(A1066="","",IFERROR(VLOOKUP(A1066, Stock_New!A:M, 3, FALSE),""))</f>
        <v>شركة حسين علي</v>
      </c>
      <c r="E1066" s="16">
        <f>IF($A1066="", "", IFERROR(VLOOKUP($A1066, Stock_New!$A:$M, 6, FALSE), ""))</f>
        <v>36</v>
      </c>
      <c r="F1066" s="239">
        <v>70.0</v>
      </c>
      <c r="G1066" s="16"/>
      <c r="H1066" s="33">
        <v>70.0</v>
      </c>
      <c r="I1066" s="238">
        <v>46113.0</v>
      </c>
      <c r="J1066" s="5" t="s">
        <v>72</v>
      </c>
      <c r="K1066" s="5" t="s">
        <v>3816</v>
      </c>
      <c r="L1066" s="16"/>
      <c r="M1066" s="19"/>
      <c r="N1066" s="16"/>
      <c r="O1066" s="16"/>
      <c r="P1066" s="16"/>
    </row>
    <row r="1067" ht="22.5" customHeight="1">
      <c r="A1067" s="138" t="s">
        <v>309</v>
      </c>
      <c r="B1067" s="16" t="str">
        <f>IF(A1067="","",IFERROR(VLOOKUP(A1067, Stock_New!A:M, 2, FALSE),""))</f>
        <v>بوتات</v>
      </c>
      <c r="C1067" s="236">
        <v>1.0</v>
      </c>
      <c r="D1067" s="16" t="str">
        <f>IF(A1067="","",IFERROR(VLOOKUP(A1067, Stock_New!A:M, 3, FALSE),""))</f>
        <v>شركة حسين علي</v>
      </c>
      <c r="E1067" s="16">
        <f>IF($A1067="", "", IFERROR(VLOOKUP($A1067, Stock_New!$A:$M, 6, FALSE), ""))</f>
        <v>24</v>
      </c>
      <c r="F1067" s="239">
        <v>50.0</v>
      </c>
      <c r="G1067" s="16"/>
      <c r="H1067" s="33">
        <v>50.0</v>
      </c>
      <c r="I1067" s="238">
        <v>46113.0</v>
      </c>
      <c r="J1067" s="5" t="s">
        <v>72</v>
      </c>
      <c r="K1067" s="5" t="s">
        <v>3818</v>
      </c>
      <c r="L1067" s="16"/>
      <c r="M1067" s="19"/>
      <c r="N1067" s="16"/>
      <c r="O1067" s="16"/>
      <c r="P1067" s="16"/>
    </row>
    <row r="1068" ht="22.5" customHeight="1">
      <c r="A1068" s="138" t="s">
        <v>898</v>
      </c>
      <c r="B1068" s="16" t="str">
        <f>IF(A1068="","",IFERROR(VLOOKUP(A1068, Stock_New!A:M, 2, FALSE),""))</f>
        <v/>
      </c>
      <c r="C1068" s="236">
        <v>3.0</v>
      </c>
      <c r="D1068" s="16" t="str">
        <f>IF(A1068="","",IFERROR(VLOOKUP(A1068, Stock_New!A:M, 3, FALSE),""))</f>
        <v/>
      </c>
      <c r="E1068" s="16" t="str">
        <f>IF($A1068="", "", IFERROR(VLOOKUP($A1068, Stock_New!$A:$M, 6, FALSE), ""))</f>
        <v/>
      </c>
      <c r="F1068" s="239">
        <v>20.0</v>
      </c>
      <c r="G1068" s="16"/>
      <c r="H1068" s="33">
        <v>60.0</v>
      </c>
      <c r="I1068" s="238">
        <v>46113.0</v>
      </c>
      <c r="J1068" s="5" t="s">
        <v>72</v>
      </c>
      <c r="K1068" s="5" t="s">
        <v>3820</v>
      </c>
      <c r="L1068" s="16"/>
      <c r="M1068" s="19"/>
      <c r="N1068" s="16"/>
      <c r="O1068" s="16"/>
      <c r="P1068" s="16"/>
    </row>
    <row r="1069" ht="22.5" customHeight="1">
      <c r="A1069" s="138" t="s">
        <v>936</v>
      </c>
      <c r="B1069" s="16" t="str">
        <f>IF(A1069="","",IFERROR(VLOOKUP(A1069, Stock_New!A:M, 2, FALSE),""))</f>
        <v>لزق</v>
      </c>
      <c r="C1069" s="236">
        <v>1.0</v>
      </c>
      <c r="D1069" s="16" t="str">
        <f>IF(A1069="","",IFERROR(VLOOKUP(A1069, Stock_New!A:M, 3, FALSE),""))</f>
        <v/>
      </c>
      <c r="E1069" s="16">
        <f>IF($A1069="", "", IFERROR(VLOOKUP($A1069, Stock_New!$A:$M, 6, FALSE), ""))</f>
        <v>33.6</v>
      </c>
      <c r="F1069" s="239">
        <v>65.0</v>
      </c>
      <c r="G1069" s="16"/>
      <c r="H1069" s="33">
        <v>65.0</v>
      </c>
      <c r="I1069" s="238">
        <v>46113.0</v>
      </c>
      <c r="J1069" s="5" t="s">
        <v>72</v>
      </c>
      <c r="K1069" s="5" t="s">
        <v>3822</v>
      </c>
      <c r="L1069" s="16"/>
      <c r="M1069" s="19"/>
      <c r="N1069" s="16"/>
      <c r="O1069" s="16"/>
      <c r="P1069" s="16"/>
    </row>
    <row r="1070" ht="22.5" customHeight="1">
      <c r="A1070" s="138" t="s">
        <v>648</v>
      </c>
      <c r="B1070" s="16" t="str">
        <f>IF(A1070="","",IFERROR(VLOOKUP(A1070, Stock_New!A:M, 2, FALSE),""))</f>
        <v>سيلفرات</v>
      </c>
      <c r="C1070" s="236">
        <v>2.0</v>
      </c>
      <c r="D1070" s="16" t="str">
        <f>IF(A1070="","",IFERROR(VLOOKUP(A1070, Stock_New!A:M, 3, FALSE),""))</f>
        <v>شركة حسين علي</v>
      </c>
      <c r="E1070" s="16">
        <f>IF($A1070="", "", IFERROR(VLOOKUP($A1070, Stock_New!$A:$M, 6, FALSE), ""))</f>
        <v>180</v>
      </c>
      <c r="F1070" s="239">
        <v>200.0</v>
      </c>
      <c r="G1070" s="16"/>
      <c r="H1070" s="33">
        <v>400.0</v>
      </c>
      <c r="I1070" s="238">
        <v>46114.0</v>
      </c>
      <c r="J1070" s="5" t="s">
        <v>72</v>
      </c>
      <c r="K1070" s="5" t="s">
        <v>3824</v>
      </c>
      <c r="L1070" s="16"/>
      <c r="M1070" s="19"/>
      <c r="N1070" s="16"/>
      <c r="O1070" s="16"/>
      <c r="P1070" s="16"/>
    </row>
    <row r="1071" ht="22.5" customHeight="1">
      <c r="A1071" s="138" t="s">
        <v>852</v>
      </c>
      <c r="B1071" s="16" t="str">
        <f>IF(A1071="","",IFERROR(VLOOKUP(A1071, Stock_New!A:M, 2, FALSE),""))</f>
        <v/>
      </c>
      <c r="C1071" s="236">
        <v>2.0</v>
      </c>
      <c r="D1071" s="16" t="str">
        <f>IF(A1071="","",IFERROR(VLOOKUP(A1071, Stock_New!A:M, 3, FALSE),""))</f>
        <v/>
      </c>
      <c r="E1071" s="16" t="str">
        <f>IF($A1071="", "", IFERROR(VLOOKUP($A1071, Stock_New!$A:$M, 6, FALSE), ""))</f>
        <v/>
      </c>
      <c r="F1071" s="239">
        <v>20.0</v>
      </c>
      <c r="G1071" s="16"/>
      <c r="H1071" s="33">
        <v>40.0</v>
      </c>
      <c r="I1071" s="238">
        <v>46114.0</v>
      </c>
      <c r="J1071" s="5" t="s">
        <v>72</v>
      </c>
      <c r="K1071" s="5" t="s">
        <v>3826</v>
      </c>
      <c r="L1071" s="16"/>
      <c r="M1071" s="19"/>
      <c r="N1071" s="16"/>
      <c r="O1071" s="16"/>
      <c r="P1071" s="16"/>
    </row>
    <row r="1072" ht="22.5" customHeight="1">
      <c r="A1072" s="138" t="s">
        <v>454</v>
      </c>
      <c r="B1072" s="16" t="str">
        <f>IF(A1072="","",IFERROR(VLOOKUP(A1072, Stock_New!A:M, 2, FALSE),""))</f>
        <v>ورد لوحده</v>
      </c>
      <c r="C1072" s="236">
        <f>8/18</f>
        <v>0.4444444444</v>
      </c>
      <c r="D1072" s="16" t="str">
        <f>IF(A1072="","",IFERROR(VLOOKUP(A1072, Stock_New!A:M, 3, FALSE),""))</f>
        <v>ذكريا</v>
      </c>
      <c r="E1072" s="16">
        <f>IF($A1072="", "", IFERROR(VLOOKUP($A1072, Stock_New!$A:$M, 6, FALSE), ""))</f>
        <v>252</v>
      </c>
      <c r="F1072" s="239">
        <v>360.0</v>
      </c>
      <c r="G1072" s="16"/>
      <c r="H1072" s="33">
        <v>160.0</v>
      </c>
      <c r="I1072" s="238">
        <v>46114.0</v>
      </c>
      <c r="J1072" s="5" t="s">
        <v>72</v>
      </c>
      <c r="K1072" s="5" t="s">
        <v>3827</v>
      </c>
      <c r="L1072" s="16"/>
      <c r="M1072" s="19"/>
      <c r="N1072" s="16"/>
      <c r="O1072" s="16"/>
      <c r="P1072" s="16"/>
    </row>
    <row r="1073" ht="22.5" customHeight="1">
      <c r="A1073" s="138" t="s">
        <v>858</v>
      </c>
      <c r="B1073" s="16" t="str">
        <f>IF(A1073="","",IFERROR(VLOOKUP(A1073, Stock_New!A:M, 2, FALSE),""))</f>
        <v>بوكيه</v>
      </c>
      <c r="C1073" s="236">
        <v>6.0</v>
      </c>
      <c r="D1073" s="16" t="str">
        <f>IF(A1073="","",IFERROR(VLOOKUP(A1073, Stock_New!A:M, 3, FALSE),""))</f>
        <v>manufactured</v>
      </c>
      <c r="E1073" s="16">
        <f>IF($A1073="", "", IFERROR(VLOOKUP($A1073, Stock_New!$A:$M, 6, FALSE), ""))</f>
        <v>13.01428571</v>
      </c>
      <c r="F1073" s="239">
        <f>13.5</f>
        <v>13.5</v>
      </c>
      <c r="G1073" s="16"/>
      <c r="H1073" s="33">
        <v>81.0</v>
      </c>
      <c r="I1073" s="238">
        <v>46114.0</v>
      </c>
      <c r="J1073" s="5" t="s">
        <v>72</v>
      </c>
      <c r="K1073" s="5" t="s">
        <v>3843</v>
      </c>
      <c r="L1073" s="16"/>
      <c r="M1073" s="19"/>
      <c r="N1073" s="16"/>
      <c r="O1073" s="16"/>
      <c r="P1073" s="16"/>
    </row>
    <row r="1074" ht="22.5" customHeight="1">
      <c r="A1074" s="138" t="s">
        <v>220</v>
      </c>
      <c r="B1074" s="16" t="str">
        <f>IF(A1074="","",IFERROR(VLOOKUP(A1074, Stock_New!A:M, 2, FALSE),""))</f>
        <v>ورد لوحدة</v>
      </c>
      <c r="C1074" s="236">
        <v>1.0</v>
      </c>
      <c r="D1074" s="16" t="str">
        <f>IF(A1074="","",IFERROR(VLOOKUP(A1074, Stock_New!A:M, 3, FALSE),""))</f>
        <v>شركة الفرسان</v>
      </c>
      <c r="E1074" s="16">
        <f>IF($A1074="", "", IFERROR(VLOOKUP($A1074, Stock_New!$A:$M, 6, FALSE), ""))</f>
        <v>102</v>
      </c>
      <c r="F1074" s="239">
        <v>150.0</v>
      </c>
      <c r="G1074" s="16"/>
      <c r="H1074" s="33">
        <v>150.0</v>
      </c>
      <c r="I1074" s="238">
        <v>46114.0</v>
      </c>
      <c r="J1074" s="5" t="s">
        <v>72</v>
      </c>
      <c r="K1074" s="5" t="s">
        <v>3829</v>
      </c>
      <c r="L1074" s="16"/>
      <c r="M1074" s="19"/>
      <c r="N1074" s="16"/>
      <c r="O1074" s="16"/>
      <c r="P1074" s="16"/>
    </row>
    <row r="1075" ht="22.5" customHeight="1">
      <c r="A1075" s="138" t="s">
        <v>309</v>
      </c>
      <c r="B1075" s="16" t="str">
        <f>IF(A1075="","",IFERROR(VLOOKUP(A1075, Stock_New!A:M, 2, FALSE),""))</f>
        <v>بوتات</v>
      </c>
      <c r="C1075" s="236">
        <v>1.0</v>
      </c>
      <c r="D1075" s="16" t="str">
        <f>IF(A1075="","",IFERROR(VLOOKUP(A1075, Stock_New!A:M, 3, FALSE),""))</f>
        <v>شركة حسين علي</v>
      </c>
      <c r="E1075" s="16">
        <f>IF($A1075="", "", IFERROR(VLOOKUP($A1075, Stock_New!$A:$M, 6, FALSE), ""))</f>
        <v>24</v>
      </c>
      <c r="F1075" s="239">
        <v>50.0</v>
      </c>
      <c r="G1075" s="16"/>
      <c r="H1075" s="33">
        <v>50.0</v>
      </c>
      <c r="I1075" s="238">
        <v>46114.0</v>
      </c>
      <c r="J1075" s="5" t="s">
        <v>72</v>
      </c>
      <c r="K1075" s="5" t="s">
        <v>3831</v>
      </c>
      <c r="L1075" s="16"/>
      <c r="M1075" s="19"/>
      <c r="N1075" s="16"/>
      <c r="O1075" s="16"/>
      <c r="P1075" s="16"/>
    </row>
    <row r="1076" ht="22.5" customHeight="1">
      <c r="A1076" s="138" t="s">
        <v>322</v>
      </c>
      <c r="B1076" s="16" t="str">
        <f>IF(A1076="","",IFERROR(VLOOKUP(A1076, Stock_New!A:M, 2, FALSE),""))</f>
        <v>خزف</v>
      </c>
      <c r="C1076" s="236">
        <v>1.0</v>
      </c>
      <c r="D1076" s="16" t="str">
        <f>IF(A1076="","",IFERROR(VLOOKUP(A1076, Stock_New!A:M, 3, FALSE),""))</f>
        <v>ذكريا</v>
      </c>
      <c r="E1076" s="16">
        <f>IF($A1076="", "", IFERROR(VLOOKUP($A1076, Stock_New!$A:$M, 6, FALSE), ""))</f>
        <v>90</v>
      </c>
      <c r="F1076" s="239">
        <v>120.0</v>
      </c>
      <c r="G1076" s="16"/>
      <c r="H1076" s="33">
        <v>120.0</v>
      </c>
      <c r="I1076" s="238">
        <v>46114.0</v>
      </c>
      <c r="J1076" s="5" t="s">
        <v>72</v>
      </c>
      <c r="K1076" s="5" t="s">
        <v>3833</v>
      </c>
      <c r="L1076" s="16"/>
      <c r="M1076" s="19"/>
      <c r="N1076" s="16"/>
      <c r="O1076" s="16"/>
      <c r="P1076" s="16"/>
    </row>
    <row r="1077" ht="22.5" customHeight="1">
      <c r="A1077" s="138" t="s">
        <v>356</v>
      </c>
      <c r="B1077" s="16" t="str">
        <f>IF(A1077="","",IFERROR(VLOOKUP(A1077, Stock_New!A:M, 2, FALSE),""))</f>
        <v>ورد لوحدة</v>
      </c>
      <c r="C1077" s="236">
        <v>1.0</v>
      </c>
      <c r="D1077" s="16" t="str">
        <f>IF(A1077="","",IFERROR(VLOOKUP(A1077, Stock_New!A:M, 3, FALSE),""))</f>
        <v>شركة الفرسان</v>
      </c>
      <c r="E1077" s="16">
        <f>IF($A1077="", "", IFERROR(VLOOKUP($A1077, Stock_New!$A:$M, 6, FALSE), ""))</f>
        <v>102</v>
      </c>
      <c r="F1077" s="239">
        <v>125.0</v>
      </c>
      <c r="G1077" s="16"/>
      <c r="H1077" s="33">
        <v>125.0</v>
      </c>
      <c r="I1077" s="238">
        <v>46114.0</v>
      </c>
      <c r="J1077" s="5" t="s">
        <v>72</v>
      </c>
      <c r="K1077" s="5" t="s">
        <v>3835</v>
      </c>
      <c r="L1077" s="16"/>
      <c r="M1077" s="19"/>
      <c r="N1077" s="16"/>
      <c r="O1077" s="16"/>
      <c r="P1077" s="16"/>
    </row>
    <row r="1078" ht="22.5" customHeight="1">
      <c r="A1078" s="138" t="s">
        <v>178</v>
      </c>
      <c r="B1078" s="16" t="str">
        <f>IF(A1078="","",IFERROR(VLOOKUP(A1078, Stock_New!A:M, 2, FALSE),""))</f>
        <v>ورد لوحده</v>
      </c>
      <c r="C1078" s="236">
        <v>1.0</v>
      </c>
      <c r="D1078" s="16" t="str">
        <f>IF(A1078="","",IFERROR(VLOOKUP(A1078, Stock_New!A:M, 3, FALSE),""))</f>
        <v>ذكريا</v>
      </c>
      <c r="E1078" s="16">
        <f>IF($A1078="", "", IFERROR(VLOOKUP($A1078, Stock_New!$A:$M, 6, FALSE), ""))</f>
        <v>234</v>
      </c>
      <c r="F1078" s="239">
        <v>250.0</v>
      </c>
      <c r="G1078" s="16"/>
      <c r="H1078" s="33">
        <v>250.0</v>
      </c>
      <c r="I1078" s="238">
        <v>46114.0</v>
      </c>
      <c r="J1078" s="5" t="s">
        <v>72</v>
      </c>
      <c r="K1078" s="5" t="s">
        <v>3837</v>
      </c>
      <c r="L1078" s="16"/>
      <c r="M1078" s="19"/>
      <c r="N1078" s="16"/>
      <c r="O1078" s="16"/>
      <c r="P1078" s="16"/>
    </row>
    <row r="1079" ht="22.5" customHeight="1">
      <c r="A1079" s="138" t="s">
        <v>168</v>
      </c>
      <c r="B1079" s="16" t="str">
        <f>IF(A1079="","",IFERROR(VLOOKUP(A1079, Stock_New!A:M, 2, FALSE),""))</f>
        <v>خزف</v>
      </c>
      <c r="C1079" s="236">
        <v>1.0</v>
      </c>
      <c r="D1079" s="16" t="str">
        <f>IF(A1079="","",IFERROR(VLOOKUP(A1079, Stock_New!A:M, 3, FALSE),""))</f>
        <v>شركة حسين علي</v>
      </c>
      <c r="E1079" s="16">
        <f>IF($A1079="", "", IFERROR(VLOOKUP($A1079, Stock_New!$A:$M, 6, FALSE), ""))</f>
        <v>132</v>
      </c>
      <c r="F1079" s="239">
        <v>220.0</v>
      </c>
      <c r="G1079" s="16"/>
      <c r="H1079" s="33">
        <v>220.0</v>
      </c>
      <c r="I1079" s="238">
        <v>46114.0</v>
      </c>
      <c r="J1079" s="5" t="s">
        <v>72</v>
      </c>
      <c r="K1079" s="5" t="s">
        <v>3839</v>
      </c>
      <c r="L1079" s="16"/>
      <c r="M1079" s="19"/>
      <c r="N1079" s="16"/>
      <c r="O1079" s="16"/>
      <c r="P1079" s="16"/>
    </row>
    <row r="1080" ht="22.5" customHeight="1">
      <c r="A1080" s="138" t="s">
        <v>898</v>
      </c>
      <c r="B1080" s="16" t="str">
        <f>IF(A1080="","",IFERROR(VLOOKUP(A1080, Stock_New!A:M, 2, FALSE),""))</f>
        <v/>
      </c>
      <c r="C1080" s="236">
        <v>4.0</v>
      </c>
      <c r="D1080" s="16" t="str">
        <f>IF(A1080="","",IFERROR(VLOOKUP(A1080, Stock_New!A:M, 3, FALSE),""))</f>
        <v/>
      </c>
      <c r="E1080" s="16" t="str">
        <f>IF($A1080="", "", IFERROR(VLOOKUP($A1080, Stock_New!$A:$M, 6, FALSE), ""))</f>
        <v/>
      </c>
      <c r="F1080" s="239">
        <v>20.0</v>
      </c>
      <c r="G1080" s="16"/>
      <c r="H1080" s="33">
        <v>80.0</v>
      </c>
      <c r="I1080" s="238">
        <v>46114.0</v>
      </c>
      <c r="J1080" s="5" t="s">
        <v>72</v>
      </c>
      <c r="K1080" s="5" t="s">
        <v>3845</v>
      </c>
      <c r="L1080" s="16"/>
      <c r="M1080" s="19"/>
      <c r="N1080" s="16"/>
      <c r="O1080" s="16"/>
      <c r="P1080" s="16"/>
    </row>
    <row r="1081" ht="22.5" customHeight="1">
      <c r="A1081" s="138" t="s">
        <v>77</v>
      </c>
      <c r="B1081" s="16" t="str">
        <f>IF(A1081="","",IFERROR(VLOOKUP(A1081, Stock_New!A:M, 2, FALSE),""))</f>
        <v>شجر</v>
      </c>
      <c r="C1081" s="236">
        <v>2.0</v>
      </c>
      <c r="D1081" s="16" t="str">
        <f>IF(A1081="","",IFERROR(VLOOKUP(A1081, Stock_New!A:M, 3, FALSE),""))</f>
        <v>manufactured</v>
      </c>
      <c r="E1081" s="16">
        <f>IF($A1081="", "", IFERROR(VLOOKUP($A1081, Stock_New!$A:$M, 6, FALSE), ""))</f>
        <v>378</v>
      </c>
      <c r="F1081" s="239">
        <v>370.0</v>
      </c>
      <c r="G1081" s="16"/>
      <c r="H1081" s="33">
        <v>740.0</v>
      </c>
      <c r="I1081" s="238">
        <v>46114.0</v>
      </c>
      <c r="J1081" s="5" t="s">
        <v>72</v>
      </c>
      <c r="K1081" s="5" t="s">
        <v>3847</v>
      </c>
      <c r="L1081" s="16"/>
      <c r="M1081" s="19"/>
      <c r="N1081" s="16"/>
      <c r="O1081" s="16"/>
      <c r="P1081" s="16"/>
    </row>
    <row r="1082" ht="22.5" customHeight="1">
      <c r="A1082" s="138" t="s">
        <v>91</v>
      </c>
      <c r="B1082" s="16" t="str">
        <f>IF(A1082="","",IFERROR(VLOOKUP(A1082, Stock_New!A:M, 2, FALSE),""))</f>
        <v>بوتات</v>
      </c>
      <c r="C1082" s="236">
        <v>2.0</v>
      </c>
      <c r="D1082" s="16" t="str">
        <f>IF(A1082="","",IFERROR(VLOOKUP(A1082, Stock_New!A:M, 3, FALSE),""))</f>
        <v>عبدالفتاح</v>
      </c>
      <c r="E1082" s="16">
        <f>IF($A1082="", "", IFERROR(VLOOKUP($A1082, Stock_New!$A:$M, 6, FALSE), ""))</f>
        <v>42</v>
      </c>
      <c r="F1082" s="239">
        <v>42.0</v>
      </c>
      <c r="G1082" s="16"/>
      <c r="H1082" s="33">
        <v>84.0</v>
      </c>
      <c r="I1082" s="238">
        <v>46114.0</v>
      </c>
      <c r="J1082" s="5" t="s">
        <v>72</v>
      </c>
      <c r="K1082" s="5" t="s">
        <v>3841</v>
      </c>
      <c r="L1082" s="16"/>
      <c r="M1082" s="19"/>
      <c r="N1082" s="16"/>
      <c r="O1082" s="16"/>
      <c r="P1082" s="16"/>
    </row>
    <row r="1083" ht="22.5" customHeight="1">
      <c r="A1083" s="138" t="s">
        <v>144</v>
      </c>
      <c r="B1083" s="16" t="str">
        <f>IF(A1083="","",IFERROR(VLOOKUP(A1083, Stock_New!A:M, 2, FALSE),""))</f>
        <v>كهربائيات</v>
      </c>
      <c r="C1083" s="236">
        <v>2.0</v>
      </c>
      <c r="D1083" s="16" t="str">
        <f>IF(A1083="","",IFERROR(VLOOKUP(A1083, Stock_New!A:M, 3, FALSE),""))</f>
        <v>شركة البطل</v>
      </c>
      <c r="E1083" s="16">
        <f>IF($A1083="", "", IFERROR(VLOOKUP($A1083, Stock_New!$A:$M, 6, FALSE), ""))</f>
        <v>144</v>
      </c>
      <c r="F1083" s="239">
        <v>170.0</v>
      </c>
      <c r="G1083" s="16"/>
      <c r="H1083" s="33">
        <v>340.0</v>
      </c>
      <c r="I1083" s="238">
        <v>46114.0</v>
      </c>
      <c r="J1083" s="5" t="s">
        <v>72</v>
      </c>
      <c r="K1083" s="5" t="s">
        <v>3849</v>
      </c>
      <c r="L1083" s="16"/>
      <c r="M1083" s="19"/>
      <c r="N1083" s="16"/>
      <c r="O1083" s="16"/>
      <c r="P1083" s="16"/>
    </row>
    <row r="1084" ht="22.5" customHeight="1">
      <c r="A1084" s="138" t="s">
        <v>858</v>
      </c>
      <c r="B1084" s="16" t="str">
        <f>IF(A1084="","",IFERROR(VLOOKUP(A1084, Stock_New!A:M, 2, FALSE),""))</f>
        <v>بوكيه</v>
      </c>
      <c r="C1084" s="236">
        <v>4.0</v>
      </c>
      <c r="D1084" s="16" t="str">
        <f>IF(A1084="","",IFERROR(VLOOKUP(A1084, Stock_New!A:M, 3, FALSE),""))</f>
        <v>manufactured</v>
      </c>
      <c r="E1084" s="16">
        <f>IF($A1084="", "", IFERROR(VLOOKUP($A1084, Stock_New!$A:$M, 6, FALSE), ""))</f>
        <v>13.01428571</v>
      </c>
      <c r="F1084" s="239">
        <v>25.0</v>
      </c>
      <c r="G1084" s="16"/>
      <c r="H1084" s="33">
        <v>100.0</v>
      </c>
      <c r="I1084" s="238">
        <v>46114.0</v>
      </c>
      <c r="J1084" s="5" t="s">
        <v>72</v>
      </c>
      <c r="K1084" s="5" t="s">
        <v>3851</v>
      </c>
      <c r="L1084" s="16"/>
      <c r="M1084" s="19"/>
      <c r="N1084" s="16"/>
      <c r="O1084" s="16"/>
      <c r="P1084" s="16"/>
    </row>
    <row r="1085" ht="22.5" customHeight="1">
      <c r="A1085" s="138" t="s">
        <v>572</v>
      </c>
      <c r="B1085" s="16" t="str">
        <f>IF(A1085="","",IFERROR(VLOOKUP(A1085, Stock_New!A:M, 2, FALSE),""))</f>
        <v>شمع</v>
      </c>
      <c r="C1085" s="236">
        <v>10.0</v>
      </c>
      <c r="D1085" s="16" t="str">
        <f>IF(A1085="","",IFERROR(VLOOKUP(A1085, Stock_New!A:M, 3, FALSE),""))</f>
        <v>سنتر محمد رشدي</v>
      </c>
      <c r="E1085" s="16">
        <f>IF($A1085="", "", IFERROR(VLOOKUP($A1085, Stock_New!$A:$M, 6, FALSE), ""))</f>
        <v>5.25</v>
      </c>
      <c r="F1085" s="239">
        <f>8.5</f>
        <v>8.5</v>
      </c>
      <c r="G1085" s="16"/>
      <c r="H1085" s="33">
        <v>85.0</v>
      </c>
      <c r="I1085" s="238">
        <v>46114.0</v>
      </c>
      <c r="J1085" s="5" t="s">
        <v>72</v>
      </c>
      <c r="K1085" s="5" t="s">
        <v>3865</v>
      </c>
      <c r="L1085" s="16"/>
      <c r="M1085" s="19"/>
      <c r="N1085" s="16"/>
      <c r="O1085" s="16"/>
      <c r="P1085" s="16"/>
    </row>
    <row r="1086" ht="22.5" customHeight="1">
      <c r="A1086" s="138" t="s">
        <v>769</v>
      </c>
      <c r="B1086" s="16" t="str">
        <f>IF(A1086="","",IFERROR(VLOOKUP(A1086, Stock_New!A:M, 2, FALSE),""))</f>
        <v>ورد لوحد</v>
      </c>
      <c r="C1086" s="236">
        <v>1.0</v>
      </c>
      <c r="D1086" s="16" t="str">
        <f>IF(A1086="","",IFERROR(VLOOKUP(A1086, Stock_New!A:M, 3, FALSE),""))</f>
        <v>شركة الفرسان</v>
      </c>
      <c r="E1086" s="16">
        <f>IF($A1086="", "", IFERROR(VLOOKUP($A1086, Stock_New!$A:$M, 6, FALSE), ""))</f>
        <v>180</v>
      </c>
      <c r="F1086" s="239">
        <v>220.0</v>
      </c>
      <c r="G1086" s="16"/>
      <c r="H1086" s="33">
        <v>220.0</v>
      </c>
      <c r="I1086" s="238">
        <v>46114.0</v>
      </c>
      <c r="J1086" s="5" t="s">
        <v>72</v>
      </c>
      <c r="K1086" s="5" t="s">
        <v>3853</v>
      </c>
      <c r="L1086" s="16"/>
      <c r="M1086" s="19"/>
      <c r="N1086" s="16"/>
      <c r="O1086" s="16"/>
      <c r="P1086" s="16"/>
    </row>
    <row r="1087" ht="22.5" customHeight="1">
      <c r="A1087" s="138" t="s">
        <v>255</v>
      </c>
      <c r="B1087" s="16" t="str">
        <f>IF(A1087="","",IFERROR(VLOOKUP(A1087, Stock_New!A:M, 2, FALSE),""))</f>
        <v>بوتات</v>
      </c>
      <c r="C1087" s="236">
        <v>2.0</v>
      </c>
      <c r="D1087" s="16" t="str">
        <f>IF(A1087="","",IFERROR(VLOOKUP(A1087, Stock_New!A:M, 3, FALSE),""))</f>
        <v>manufactured</v>
      </c>
      <c r="E1087" s="16">
        <f>IF($A1087="", "", IFERROR(VLOOKUP($A1087, Stock_New!$A:$M, 6, FALSE), ""))</f>
        <v>27.3</v>
      </c>
      <c r="F1087" s="239">
        <v>50.0</v>
      </c>
      <c r="G1087" s="16"/>
      <c r="H1087" s="33">
        <v>100.0</v>
      </c>
      <c r="I1087" s="238">
        <v>46114.0</v>
      </c>
      <c r="J1087" s="5" t="s">
        <v>72</v>
      </c>
      <c r="K1087" s="5" t="s">
        <v>3859</v>
      </c>
      <c r="L1087" s="16"/>
      <c r="M1087" s="19"/>
      <c r="N1087" s="16"/>
      <c r="O1087" s="16"/>
      <c r="P1087" s="16"/>
    </row>
    <row r="1088" ht="22.5" customHeight="1">
      <c r="A1088" s="138" t="s">
        <v>584</v>
      </c>
      <c r="B1088" s="16" t="str">
        <f>IF(A1088="","",IFERROR(VLOOKUP(A1088, Stock_New!A:M, 2, FALSE),""))</f>
        <v>بوكيه جاهز</v>
      </c>
      <c r="C1088" s="236">
        <v>10.0</v>
      </c>
      <c r="D1088" s="16" t="str">
        <f>IF(A1088="","",IFERROR(VLOOKUP(A1088, Stock_New!A:M, 3, FALSE),""))</f>
        <v>سنتر محمد رشدي</v>
      </c>
      <c r="E1088" s="16">
        <f>IF($A1088="", "", IFERROR(VLOOKUP($A1088, Stock_New!$A:$M, 6, FALSE), ""))</f>
        <v>6</v>
      </c>
      <c r="F1088" s="239">
        <v>10.0</v>
      </c>
      <c r="G1088" s="16"/>
      <c r="H1088" s="33">
        <v>100.0</v>
      </c>
      <c r="I1088" s="238">
        <v>46114.0</v>
      </c>
      <c r="J1088" s="5" t="s">
        <v>72</v>
      </c>
      <c r="K1088" s="5" t="s">
        <v>3857</v>
      </c>
      <c r="L1088" s="16"/>
      <c r="M1088" s="19"/>
      <c r="N1088" s="16"/>
      <c r="O1088" s="16"/>
      <c r="P1088" s="16"/>
    </row>
    <row r="1089" ht="22.5" customHeight="1">
      <c r="A1089" s="138" t="s">
        <v>858</v>
      </c>
      <c r="B1089" s="16" t="str">
        <f>IF(A1089="","",IFERROR(VLOOKUP(A1089, Stock_New!A:M, 2, FALSE),""))</f>
        <v>بوكيه</v>
      </c>
      <c r="C1089" s="236">
        <v>2.0</v>
      </c>
      <c r="D1089" s="16" t="str">
        <f>IF(A1089="","",IFERROR(VLOOKUP(A1089, Stock_New!A:M, 3, FALSE),""))</f>
        <v>manufactured</v>
      </c>
      <c r="E1089" s="16">
        <f>IF($A1089="", "", IFERROR(VLOOKUP($A1089, Stock_New!$A:$M, 6, FALSE), ""))</f>
        <v>13.01428571</v>
      </c>
      <c r="F1089" s="239">
        <v>25.0</v>
      </c>
      <c r="G1089" s="16"/>
      <c r="H1089" s="33">
        <v>50.0</v>
      </c>
      <c r="I1089" s="238">
        <v>46114.0</v>
      </c>
      <c r="J1089" s="5" t="s">
        <v>72</v>
      </c>
      <c r="K1089" s="5" t="s">
        <v>3862</v>
      </c>
      <c r="L1089" s="16"/>
      <c r="M1089" s="19"/>
      <c r="N1089" s="16"/>
      <c r="O1089" s="16"/>
      <c r="P1089" s="16"/>
    </row>
    <row r="1090" ht="22.5" customHeight="1">
      <c r="A1090" s="138" t="s">
        <v>480</v>
      </c>
      <c r="B1090" s="16" t="str">
        <f>IF(A1090="","",IFERROR(VLOOKUP(A1090, Stock_New!A:M, 2, FALSE),""))</f>
        <v>ورد لوحدة</v>
      </c>
      <c r="C1090" s="236">
        <v>2.0</v>
      </c>
      <c r="D1090" s="16" t="str">
        <f>IF(A1090="","",IFERROR(VLOOKUP(A1090, Stock_New!A:M, 3, FALSE),""))</f>
        <v>شركة الفرسان</v>
      </c>
      <c r="E1090" s="16">
        <f>IF($A1090="", "", IFERROR(VLOOKUP($A1090, Stock_New!$A:$M, 6, FALSE), ""))</f>
        <v>58.5</v>
      </c>
      <c r="F1090" s="239">
        <v>65.0</v>
      </c>
      <c r="G1090" s="16"/>
      <c r="H1090" s="33">
        <v>130.0</v>
      </c>
      <c r="I1090" s="238">
        <v>46114.0</v>
      </c>
      <c r="J1090" s="5" t="s">
        <v>72</v>
      </c>
      <c r="K1090" s="5" t="s">
        <v>3866</v>
      </c>
      <c r="L1090" s="16"/>
      <c r="M1090" s="19"/>
      <c r="N1090" s="16"/>
      <c r="O1090" s="16"/>
      <c r="P1090" s="16"/>
    </row>
    <row r="1091" ht="22.5" customHeight="1">
      <c r="A1091" s="138" t="s">
        <v>1156</v>
      </c>
      <c r="B1091" s="16" t="str">
        <f>IF(A1091="","",IFERROR(VLOOKUP(A1091, Stock_New!A:M, 2, FALSE),""))</f>
        <v>بوكيه</v>
      </c>
      <c r="C1091" s="236">
        <v>1.0</v>
      </c>
      <c r="D1091" s="16" t="str">
        <f>IF(A1091="","",IFERROR(VLOOKUP(A1091, Stock_New!A:M, 3, FALSE),""))</f>
        <v>manufactured</v>
      </c>
      <c r="E1091" s="16">
        <f>IF($A1091="", "", IFERROR(VLOOKUP($A1091, Stock_New!$A:$M, 6, FALSE), ""))</f>
        <v>15</v>
      </c>
      <c r="F1091" s="239">
        <v>20.0</v>
      </c>
      <c r="G1091" s="16"/>
      <c r="H1091" s="33">
        <v>20.0</v>
      </c>
      <c r="I1091" s="238">
        <v>46114.0</v>
      </c>
      <c r="J1091" s="5" t="s">
        <v>72</v>
      </c>
      <c r="K1091" s="5" t="s">
        <v>3863</v>
      </c>
      <c r="L1091" s="16"/>
      <c r="M1091" s="19"/>
      <c r="N1091" s="16"/>
      <c r="O1091" s="16"/>
      <c r="P1091" s="16"/>
    </row>
    <row r="1092" ht="22.5" customHeight="1">
      <c r="A1092" s="138" t="s">
        <v>168</v>
      </c>
      <c r="B1092" s="16" t="str">
        <f>IF(A1092="","",IFERROR(VLOOKUP(A1092, Stock_New!A:M, 2, FALSE),""))</f>
        <v>خزف</v>
      </c>
      <c r="C1092" s="236">
        <v>1.0</v>
      </c>
      <c r="D1092" s="16" t="str">
        <f>IF(A1092="","",IFERROR(VLOOKUP(A1092, Stock_New!A:M, 3, FALSE),""))</f>
        <v>شركة حسين علي</v>
      </c>
      <c r="E1092" s="16">
        <f>IF($A1092="", "", IFERROR(VLOOKUP($A1092, Stock_New!$A:$M, 6, FALSE), ""))</f>
        <v>132</v>
      </c>
      <c r="F1092" s="239">
        <v>220.0</v>
      </c>
      <c r="G1092" s="16"/>
      <c r="H1092" s="33">
        <v>220.0</v>
      </c>
      <c r="I1092" s="238">
        <v>46115.0</v>
      </c>
      <c r="J1092" s="5" t="s">
        <v>72</v>
      </c>
      <c r="K1092" s="5" t="s">
        <v>4312</v>
      </c>
      <c r="L1092" s="16"/>
      <c r="M1092" s="19"/>
      <c r="N1092" s="16"/>
      <c r="O1092" s="16"/>
      <c r="P1092" s="16"/>
    </row>
    <row r="1093" ht="22.5" customHeight="1">
      <c r="A1093" s="138" t="s">
        <v>812</v>
      </c>
      <c r="B1093" s="16" t="str">
        <f>IF(A1093="","",IFERROR(VLOOKUP(A1093, Stock_New!A:M, 2, FALSE),""))</f>
        <v/>
      </c>
      <c r="C1093" s="236">
        <v>4.0</v>
      </c>
      <c r="D1093" s="16" t="str">
        <f>IF(A1093="","",IFERROR(VLOOKUP(A1093, Stock_New!A:M, 3, FALSE),""))</f>
        <v/>
      </c>
      <c r="E1093" s="16" t="str">
        <f>IF($A1093="", "", IFERROR(VLOOKUP($A1093, Stock_New!$A:$M, 6, FALSE), ""))</f>
        <v/>
      </c>
      <c r="F1093" s="239">
        <v>20.0</v>
      </c>
      <c r="G1093" s="16"/>
      <c r="H1093" s="33">
        <v>80.0</v>
      </c>
      <c r="I1093" s="238">
        <v>46115.0</v>
      </c>
      <c r="J1093" s="5" t="s">
        <v>72</v>
      </c>
      <c r="K1093" s="5" t="s">
        <v>3869</v>
      </c>
      <c r="L1093" s="16"/>
      <c r="M1093" s="19"/>
      <c r="N1093" s="16"/>
      <c r="O1093" s="16"/>
      <c r="P1093" s="16"/>
    </row>
    <row r="1094" ht="22.5" customHeight="1">
      <c r="A1094" s="138" t="s">
        <v>330</v>
      </c>
      <c r="B1094" s="16" t="str">
        <f>IF(A1094="","",IFERROR(VLOOKUP(A1094, Stock_New!A:M, 2, FALSE),""))</f>
        <v>بوكيه</v>
      </c>
      <c r="C1094" s="236">
        <v>2.0</v>
      </c>
      <c r="D1094" s="16" t="str">
        <f>IF(A1094="","",IFERROR(VLOOKUP(A1094, Stock_New!A:M, 3, FALSE),""))</f>
        <v>manufactured</v>
      </c>
      <c r="E1094" s="16">
        <f>IF($A1094="", "", IFERROR(VLOOKUP($A1094, Stock_New!$A:$M, 6, FALSE), ""))</f>
        <v>31</v>
      </c>
      <c r="F1094" s="239">
        <v>50.0</v>
      </c>
      <c r="G1094" s="16"/>
      <c r="H1094" s="33">
        <v>100.0</v>
      </c>
      <c r="I1094" s="238">
        <v>46115.0</v>
      </c>
      <c r="J1094" s="5" t="s">
        <v>72</v>
      </c>
      <c r="K1094" s="5" t="s">
        <v>5299</v>
      </c>
      <c r="L1094" s="16"/>
      <c r="M1094" s="19"/>
      <c r="N1094" s="16"/>
      <c r="O1094" s="16"/>
      <c r="P1094" s="16"/>
    </row>
    <row r="1095" ht="22.5" customHeight="1">
      <c r="A1095" s="138" t="s">
        <v>987</v>
      </c>
      <c r="B1095" s="16" t="str">
        <f>IF(A1095="","",IFERROR(VLOOKUP(A1095, Stock_New!A:M, 2, FALSE),""))</f>
        <v>لعب</v>
      </c>
      <c r="C1095" s="236">
        <v>2.0</v>
      </c>
      <c r="D1095" s="16" t="str">
        <f>IF(A1095="","",IFERROR(VLOOKUP(A1095, Stock_New!A:M, 3, FALSE),""))</f>
        <v>سنتر محمد رشدي</v>
      </c>
      <c r="E1095" s="16">
        <f>IF($A1095="", "", IFERROR(VLOOKUP($A1095, Stock_New!$A:$M, 6, FALSE), ""))</f>
        <v>22.8</v>
      </c>
      <c r="F1095" s="239">
        <v>30.0</v>
      </c>
      <c r="G1095" s="16"/>
      <c r="H1095" s="33">
        <v>60.0</v>
      </c>
      <c r="I1095" s="238">
        <v>46118.0</v>
      </c>
      <c r="J1095" s="5" t="s">
        <v>72</v>
      </c>
      <c r="K1095" s="5" t="s">
        <v>3870</v>
      </c>
      <c r="L1095" s="16"/>
      <c r="M1095" s="19"/>
      <c r="N1095" s="16"/>
      <c r="O1095" s="16"/>
      <c r="P1095" s="16"/>
    </row>
    <row r="1096" ht="22.5" customHeight="1">
      <c r="A1096" s="138" t="s">
        <v>1124</v>
      </c>
      <c r="B1096" s="16" t="str">
        <f>IF(A1096="","",IFERROR(VLOOKUP(A1096, Stock_New!A:M, 2, FALSE),""))</f>
        <v/>
      </c>
      <c r="C1096" s="236">
        <v>1.0</v>
      </c>
      <c r="D1096" s="16" t="str">
        <f>IF(A1096="","",IFERROR(VLOOKUP(A1096, Stock_New!A:M, 3, FALSE),""))</f>
        <v/>
      </c>
      <c r="E1096" s="16" t="str">
        <f>IF($A1096="", "", IFERROR(VLOOKUP($A1096, Stock_New!$A:$M, 6, FALSE), ""))</f>
        <v/>
      </c>
      <c r="F1096" s="239">
        <v>50.0</v>
      </c>
      <c r="G1096" s="16"/>
      <c r="H1096" s="33">
        <v>50.0</v>
      </c>
      <c r="I1096" s="238">
        <v>46118.0</v>
      </c>
      <c r="J1096" s="5" t="s">
        <v>72</v>
      </c>
      <c r="K1096" s="5" t="s">
        <v>3872</v>
      </c>
      <c r="L1096" s="16"/>
      <c r="M1096" s="19"/>
      <c r="N1096" s="16"/>
      <c r="O1096" s="16"/>
      <c r="P1096" s="16"/>
    </row>
    <row r="1097" ht="22.5" customHeight="1">
      <c r="A1097" s="138" t="s">
        <v>77</v>
      </c>
      <c r="B1097" s="16" t="str">
        <f>IF(A1097="","",IFERROR(VLOOKUP(A1097, Stock_New!A:M, 2, FALSE),""))</f>
        <v>شجر</v>
      </c>
      <c r="C1097" s="236">
        <v>1.0</v>
      </c>
      <c r="D1097" s="16" t="str">
        <f>IF(A1097="","",IFERROR(VLOOKUP(A1097, Stock_New!A:M, 3, FALSE),""))</f>
        <v>manufactured</v>
      </c>
      <c r="E1097" s="16">
        <f>IF($A1097="", "", IFERROR(VLOOKUP($A1097, Stock_New!$A:$M, 6, FALSE), ""))</f>
        <v>378</v>
      </c>
      <c r="F1097" s="239">
        <v>400.0</v>
      </c>
      <c r="G1097" s="16"/>
      <c r="H1097" s="33">
        <v>400.0</v>
      </c>
      <c r="I1097" s="238">
        <v>46119.0</v>
      </c>
      <c r="J1097" s="5" t="s">
        <v>72</v>
      </c>
      <c r="K1097" s="5" t="s">
        <v>3873</v>
      </c>
      <c r="L1097" s="16"/>
      <c r="M1097" s="19"/>
      <c r="N1097" s="16"/>
      <c r="O1097" s="16"/>
      <c r="P1097" s="16"/>
    </row>
    <row r="1098" ht="22.5" customHeight="1">
      <c r="A1098" s="138" t="s">
        <v>91</v>
      </c>
      <c r="B1098" s="16" t="str">
        <f>IF(A1098="","",IFERROR(VLOOKUP(A1098, Stock_New!A:M, 2, FALSE),""))</f>
        <v>بوتات</v>
      </c>
      <c r="C1098" s="236">
        <v>1.0</v>
      </c>
      <c r="D1098" s="16" t="str">
        <f>IF(A1098="","",IFERROR(VLOOKUP(A1098, Stock_New!A:M, 3, FALSE),""))</f>
        <v>عبدالفتاح</v>
      </c>
      <c r="E1098" s="16">
        <f>IF($A1098="", "", IFERROR(VLOOKUP($A1098, Stock_New!$A:$M, 6, FALSE), ""))</f>
        <v>42</v>
      </c>
      <c r="F1098" s="239">
        <v>50.0</v>
      </c>
      <c r="G1098" s="16"/>
      <c r="H1098" s="33">
        <v>50.0</v>
      </c>
      <c r="I1098" s="238">
        <v>46120.0</v>
      </c>
      <c r="J1098" s="5" t="s">
        <v>72</v>
      </c>
      <c r="K1098" s="5" t="s">
        <v>3874</v>
      </c>
      <c r="L1098" s="16"/>
      <c r="M1098" s="19"/>
      <c r="N1098" s="16"/>
      <c r="O1098" s="16"/>
      <c r="P1098" s="16"/>
    </row>
    <row r="1099" ht="22.5" customHeight="1">
      <c r="A1099" s="138" t="s">
        <v>802</v>
      </c>
      <c r="B1099" s="16" t="str">
        <f>IF(A1099="","",IFERROR(VLOOKUP(A1099, Stock_New!A:M, 2, FALSE),""))</f>
        <v>بخور</v>
      </c>
      <c r="C1099" s="236">
        <v>1.0</v>
      </c>
      <c r="D1099" s="16" t="str">
        <f>IF(A1099="","",IFERROR(VLOOKUP(A1099, Stock_New!A:M, 3, FALSE),""))</f>
        <v/>
      </c>
      <c r="E1099" s="16">
        <f>IF($A1099="", "", IFERROR(VLOOKUP($A1099, Stock_New!$A:$M, 6, FALSE), ""))</f>
        <v>64</v>
      </c>
      <c r="F1099" s="239">
        <v>70.0</v>
      </c>
      <c r="G1099" s="16"/>
      <c r="H1099" s="33">
        <v>70.0</v>
      </c>
      <c r="I1099" s="375">
        <v>46121.0</v>
      </c>
      <c r="J1099" s="5" t="s">
        <v>72</v>
      </c>
      <c r="K1099" s="5" t="s">
        <v>3875</v>
      </c>
      <c r="L1099" s="16"/>
      <c r="M1099" s="19"/>
      <c r="N1099" s="16"/>
      <c r="O1099" s="16"/>
      <c r="P1099" s="16"/>
    </row>
    <row r="1100" ht="22.5" customHeight="1">
      <c r="A1100" s="138" t="s">
        <v>153</v>
      </c>
      <c r="B1100" s="16" t="str">
        <f>IF(A1100="","",IFERROR(VLOOKUP(A1100, Stock_New!A:M, 2, FALSE),""))</f>
        <v>سيلفرات</v>
      </c>
      <c r="C1100" s="236">
        <v>1.0</v>
      </c>
      <c r="D1100" s="16" t="str">
        <f>IF(A1100="","",IFERROR(VLOOKUP(A1100, Stock_New!A:M, 3, FALSE),""))</f>
        <v>ذكريا</v>
      </c>
      <c r="E1100" s="16">
        <f>IF($A1100="", "", IFERROR(VLOOKUP($A1100, Stock_New!$A:$M, 6, FALSE), ""))</f>
        <v>254</v>
      </c>
      <c r="F1100" s="239">
        <v>250.0</v>
      </c>
      <c r="G1100" s="16"/>
      <c r="H1100" s="33">
        <v>250.0</v>
      </c>
      <c r="I1100" s="375">
        <v>46121.0</v>
      </c>
      <c r="J1100" s="5" t="s">
        <v>72</v>
      </c>
      <c r="K1100" s="5" t="s">
        <v>3876</v>
      </c>
      <c r="L1100" s="16"/>
      <c r="M1100" s="19"/>
      <c r="N1100" s="16"/>
      <c r="O1100" s="16"/>
      <c r="P1100" s="16"/>
    </row>
    <row r="1101" ht="22.5" customHeight="1">
      <c r="A1101" s="138" t="s">
        <v>575</v>
      </c>
      <c r="B1101" s="16" t="str">
        <f>IF(A1101="","",IFERROR(VLOOKUP(A1101, Stock_New!A:M, 2, FALSE),""))</f>
        <v>شمع</v>
      </c>
      <c r="C1101" s="236">
        <v>1.0</v>
      </c>
      <c r="D1101" s="16" t="str">
        <f>IF(A1101="","",IFERROR(VLOOKUP(A1101, Stock_New!A:M, 3, FALSE),""))</f>
        <v>سنتر محمد رشدي</v>
      </c>
      <c r="E1101" s="16">
        <f>IF($A1101="", "", IFERROR(VLOOKUP($A1101, Stock_New!$A:$M, 6, FALSE), ""))</f>
        <v>5.4</v>
      </c>
      <c r="F1101" s="239">
        <v>10.0</v>
      </c>
      <c r="G1101" s="16"/>
      <c r="H1101" s="33">
        <v>10.0</v>
      </c>
      <c r="I1101" s="375">
        <v>46121.0</v>
      </c>
      <c r="J1101" s="5" t="s">
        <v>72</v>
      </c>
      <c r="K1101" s="5" t="s">
        <v>3878</v>
      </c>
      <c r="L1101" s="16"/>
      <c r="M1101" s="19"/>
      <c r="N1101" s="16"/>
      <c r="O1101" s="16"/>
      <c r="P1101" s="16"/>
    </row>
    <row r="1102" ht="22.5" customHeight="1">
      <c r="A1102" s="138" t="s">
        <v>748</v>
      </c>
      <c r="B1102" s="16" t="str">
        <f>IF(A1102="","",IFERROR(VLOOKUP(A1102, Stock_New!A:M, 2, FALSE),""))</f>
        <v>مطبخ</v>
      </c>
      <c r="C1102" s="236">
        <v>1.0</v>
      </c>
      <c r="D1102" s="16" t="str">
        <f>IF(A1102="","",IFERROR(VLOOKUP(A1102, Stock_New!A:M, 3, FALSE),""))</f>
        <v>محمود</v>
      </c>
      <c r="E1102" s="16">
        <f>IF($A1102="", "", IFERROR(VLOOKUP($A1102, Stock_New!$A:$M, 6, FALSE), ""))</f>
        <v>90</v>
      </c>
      <c r="F1102" s="239">
        <v>95.0</v>
      </c>
      <c r="G1102" s="16"/>
      <c r="H1102" s="33">
        <v>95.0</v>
      </c>
      <c r="I1102" s="375">
        <v>46121.0</v>
      </c>
      <c r="J1102" s="5" t="s">
        <v>72</v>
      </c>
      <c r="K1102" s="5" t="s">
        <v>3879</v>
      </c>
      <c r="L1102" s="16"/>
      <c r="M1102" s="19"/>
      <c r="N1102" s="16"/>
      <c r="O1102" s="16"/>
      <c r="P1102" s="16"/>
    </row>
    <row r="1103" ht="22.5" customHeight="1">
      <c r="A1103" s="138" t="s">
        <v>800</v>
      </c>
      <c r="B1103" s="16" t="str">
        <f>IF(A1103="","",IFERROR(VLOOKUP(A1103, Stock_New!A:M, 2, FALSE),""))</f>
        <v>بخور</v>
      </c>
      <c r="C1103" s="236">
        <v>2.0</v>
      </c>
      <c r="D1103" s="16" t="str">
        <f>IF(A1103="","",IFERROR(VLOOKUP(A1103, Stock_New!A:M, 3, FALSE),""))</f>
        <v>سنتر محمد رشدي</v>
      </c>
      <c r="E1103" s="16">
        <f>IF($A1103="", "", IFERROR(VLOOKUP($A1103, Stock_New!$A:$M, 6, FALSE), ""))</f>
        <v>13.5</v>
      </c>
      <c r="F1103" s="239">
        <v>20.0</v>
      </c>
      <c r="G1103" s="16"/>
      <c r="H1103" s="33">
        <v>40.0</v>
      </c>
      <c r="I1103" s="375">
        <v>46121.0</v>
      </c>
      <c r="J1103" s="5" t="s">
        <v>72</v>
      </c>
      <c r="K1103" s="5" t="s">
        <v>4314</v>
      </c>
      <c r="L1103" s="16"/>
      <c r="M1103" s="19"/>
      <c r="N1103" s="16"/>
      <c r="O1103" s="16"/>
      <c r="P1103" s="16"/>
    </row>
    <row r="1104" ht="22.5" customHeight="1">
      <c r="A1104" s="138" t="s">
        <v>1073</v>
      </c>
      <c r="B1104" s="16" t="str">
        <f>IF(A1104="","",IFERROR(VLOOKUP(A1104, Stock_New!A:M, 2, FALSE),""))</f>
        <v>العاب</v>
      </c>
      <c r="C1104" s="236">
        <v>1.0</v>
      </c>
      <c r="D1104" s="16" t="str">
        <f>IF(A1104="","",IFERROR(VLOOKUP(A1104, Stock_New!A:M, 3, FALSE),""))</f>
        <v>سنتر محمد رشدي</v>
      </c>
      <c r="E1104" s="16">
        <f>IF($A1104="", "", IFERROR(VLOOKUP($A1104, Stock_New!$A:$M, 6, FALSE), ""))</f>
        <v>127.2</v>
      </c>
      <c r="F1104" s="239">
        <v>135.0</v>
      </c>
      <c r="G1104" s="16"/>
      <c r="H1104" s="33">
        <v>135.0</v>
      </c>
      <c r="I1104" s="375">
        <v>46121.0</v>
      </c>
      <c r="J1104" s="5" t="s">
        <v>72</v>
      </c>
      <c r="K1104" s="5" t="s">
        <v>3880</v>
      </c>
      <c r="L1104" s="16"/>
      <c r="M1104" s="19"/>
      <c r="N1104" s="16"/>
      <c r="O1104" s="16"/>
      <c r="P1104" s="16"/>
    </row>
    <row r="1105" ht="22.5" customHeight="1">
      <c r="A1105" s="138" t="s">
        <v>902</v>
      </c>
      <c r="B1105" s="16" t="str">
        <f>IF(A1105="","",IFERROR(VLOOKUP(A1105, Stock_New!A:M, 2, FALSE),""))</f>
        <v>خشب</v>
      </c>
      <c r="C1105" s="236">
        <v>1.0</v>
      </c>
      <c r="D1105" s="16" t="str">
        <f>IF(A1105="","",IFERROR(VLOOKUP(A1105, Stock_New!A:M, 3, FALSE),""))</f>
        <v>شركة حسين علي</v>
      </c>
      <c r="E1105" s="16">
        <f>IF($A1105="", "", IFERROR(VLOOKUP($A1105, Stock_New!$A:$M, 6, FALSE), ""))</f>
        <v>108.35</v>
      </c>
      <c r="F1105" s="239">
        <v>100.0</v>
      </c>
      <c r="G1105" s="16"/>
      <c r="H1105" s="33">
        <v>100.0</v>
      </c>
      <c r="I1105" s="375">
        <v>46121.0</v>
      </c>
      <c r="J1105" s="5" t="s">
        <v>72</v>
      </c>
      <c r="K1105" s="5" t="s">
        <v>3881</v>
      </c>
      <c r="L1105" s="16"/>
      <c r="M1105" s="19"/>
      <c r="N1105" s="16"/>
      <c r="O1105" s="16"/>
      <c r="P1105" s="16"/>
    </row>
    <row r="1106" ht="22.5" customHeight="1">
      <c r="A1106" s="138" t="s">
        <v>144</v>
      </c>
      <c r="B1106" s="16" t="str">
        <f>IF(A1106="","",IFERROR(VLOOKUP(A1106, Stock_New!A:M, 2, FALSE),""))</f>
        <v>كهربائيات</v>
      </c>
      <c r="C1106" s="236">
        <v>2.0</v>
      </c>
      <c r="D1106" s="16" t="str">
        <f>IF(A1106="","",IFERROR(VLOOKUP(A1106, Stock_New!A:M, 3, FALSE),""))</f>
        <v>شركة البطل</v>
      </c>
      <c r="E1106" s="16">
        <f>IF($A1106="", "", IFERROR(VLOOKUP($A1106, Stock_New!$A:$M, 6, FALSE), ""))</f>
        <v>144</v>
      </c>
      <c r="F1106" s="239">
        <v>160.0</v>
      </c>
      <c r="G1106" s="16"/>
      <c r="H1106" s="33">
        <v>320.0</v>
      </c>
      <c r="I1106" s="375">
        <v>46121.0</v>
      </c>
      <c r="J1106" s="5" t="s">
        <v>72</v>
      </c>
      <c r="K1106" s="5" t="s">
        <v>3882</v>
      </c>
      <c r="L1106" s="16"/>
      <c r="M1106" s="19"/>
      <c r="N1106" s="16"/>
      <c r="O1106" s="16"/>
      <c r="P1106" s="16"/>
    </row>
    <row r="1107" ht="22.5" customHeight="1">
      <c r="A1107" s="138" t="s">
        <v>1043</v>
      </c>
      <c r="B1107" s="16" t="str">
        <f>IF(A1107="","",IFERROR(VLOOKUP(A1107, Stock_New!A:M, 2, FALSE),""))</f>
        <v>براويز</v>
      </c>
      <c r="C1107" s="236">
        <v>2.0</v>
      </c>
      <c r="D1107" s="16" t="str">
        <f>IF(A1107="","",IFERROR(VLOOKUP(A1107, Stock_New!A:M, 3, FALSE),""))</f>
        <v>شركة الفرسان</v>
      </c>
      <c r="E1107" s="16">
        <f>IF($A1107="", "", IFERROR(VLOOKUP($A1107, Stock_New!$A:$M, 6, FALSE), ""))</f>
        <v>102</v>
      </c>
      <c r="F1107" s="239">
        <v>135.0</v>
      </c>
      <c r="G1107" s="16"/>
      <c r="H1107" s="33">
        <v>270.0</v>
      </c>
      <c r="I1107" s="375">
        <v>46121.0</v>
      </c>
      <c r="J1107" s="5" t="s">
        <v>72</v>
      </c>
      <c r="K1107" s="5" t="s">
        <v>3883</v>
      </c>
      <c r="L1107" s="16"/>
      <c r="M1107" s="19"/>
      <c r="N1107" s="16"/>
      <c r="O1107" s="16"/>
      <c r="P1107" s="16"/>
    </row>
    <row r="1108" ht="22.5" customHeight="1">
      <c r="A1108" s="138" t="s">
        <v>856</v>
      </c>
      <c r="B1108" s="16" t="str">
        <f>IF(A1108="","",IFERROR(VLOOKUP(A1108, Stock_New!A:M, 2, FALSE),""))</f>
        <v>شمع</v>
      </c>
      <c r="C1108" s="236">
        <v>2.0</v>
      </c>
      <c r="D1108" s="16" t="str">
        <f>IF(A1108="","",IFERROR(VLOOKUP(A1108, Stock_New!A:M, 3, FALSE),""))</f>
        <v>سنتر محمد رشدي</v>
      </c>
      <c r="E1108" s="16">
        <f>IF($A1108="", "", IFERROR(VLOOKUP($A1108, Stock_New!$A:$M, 6, FALSE), ""))</f>
        <v>5.5</v>
      </c>
      <c r="F1108" s="239">
        <f>7.5</f>
        <v>7.5</v>
      </c>
      <c r="G1108" s="16"/>
      <c r="H1108" s="33">
        <v>15.0</v>
      </c>
      <c r="I1108" s="238">
        <v>46123.0</v>
      </c>
      <c r="J1108" s="5" t="s">
        <v>72</v>
      </c>
      <c r="K1108" s="5" t="s">
        <v>3884</v>
      </c>
      <c r="L1108" s="16"/>
      <c r="M1108" s="19"/>
      <c r="N1108" s="16"/>
      <c r="O1108" s="16"/>
      <c r="P1108" s="16"/>
    </row>
    <row r="1109" ht="22.5" customHeight="1">
      <c r="A1109" s="138" t="s">
        <v>601</v>
      </c>
      <c r="B1109" s="16" t="str">
        <f>IF(A1109="","",IFERROR(VLOOKUP(A1109, Stock_New!A:M, 2, FALSE),""))</f>
        <v>مروحة</v>
      </c>
      <c r="C1109" s="236">
        <v>1.0</v>
      </c>
      <c r="D1109" s="16" t="str">
        <f>IF(A1109="","",IFERROR(VLOOKUP(A1109, Stock_New!A:M, 3, FALSE),""))</f>
        <v>سنتر محمد رشدي</v>
      </c>
      <c r="E1109" s="16">
        <f>IF($A1109="", "", IFERROR(VLOOKUP($A1109, Stock_New!$A:$M, 6, FALSE), ""))</f>
        <v>21.5</v>
      </c>
      <c r="F1109" s="239">
        <v>25.0</v>
      </c>
      <c r="G1109" s="16"/>
      <c r="H1109" s="33">
        <v>25.0</v>
      </c>
      <c r="I1109" s="238">
        <v>46123.0</v>
      </c>
      <c r="J1109" s="5" t="s">
        <v>72</v>
      </c>
      <c r="K1109" s="5" t="s">
        <v>3885</v>
      </c>
      <c r="L1109" s="16"/>
      <c r="M1109" s="19"/>
      <c r="N1109" s="16"/>
      <c r="O1109" s="16"/>
      <c r="P1109" s="16"/>
    </row>
    <row r="1110" ht="22.5" customHeight="1">
      <c r="A1110" s="138" t="s">
        <v>858</v>
      </c>
      <c r="B1110" s="16" t="str">
        <f>IF(A1110="","",IFERROR(VLOOKUP(A1110, Stock_New!A:M, 2, FALSE),""))</f>
        <v>بوكيه</v>
      </c>
      <c r="C1110" s="236">
        <v>2.0</v>
      </c>
      <c r="D1110" s="16" t="str">
        <f>IF(A1110="","",IFERROR(VLOOKUP(A1110, Stock_New!A:M, 3, FALSE),""))</f>
        <v>manufactured</v>
      </c>
      <c r="E1110" s="16">
        <f>IF($A1110="", "", IFERROR(VLOOKUP($A1110, Stock_New!$A:$M, 6, FALSE), ""))</f>
        <v>13.01428571</v>
      </c>
      <c r="F1110" s="239">
        <v>20.0</v>
      </c>
      <c r="G1110" s="16"/>
      <c r="H1110" s="33">
        <v>40.0</v>
      </c>
      <c r="I1110" s="238">
        <v>46123.0</v>
      </c>
      <c r="J1110" s="5" t="s">
        <v>72</v>
      </c>
      <c r="K1110" s="5" t="s">
        <v>3886</v>
      </c>
      <c r="L1110" s="16"/>
      <c r="M1110" s="19"/>
      <c r="N1110" s="16"/>
      <c r="O1110" s="16"/>
      <c r="P1110" s="16"/>
    </row>
    <row r="1111" ht="22.5" customHeight="1">
      <c r="A1111" s="138" t="s">
        <v>858</v>
      </c>
      <c r="B1111" s="16" t="str">
        <f>IF(A1111="","",IFERROR(VLOOKUP(A1111, Stock_New!A:M, 2, FALSE),""))</f>
        <v>بوكيه</v>
      </c>
      <c r="C1111" s="236">
        <v>1.0</v>
      </c>
      <c r="D1111" s="16" t="str">
        <f>IF(A1111="","",IFERROR(VLOOKUP(A1111, Stock_New!A:M, 3, FALSE),""))</f>
        <v>manufactured</v>
      </c>
      <c r="E1111" s="16">
        <f>IF($A1111="", "", IFERROR(VLOOKUP($A1111, Stock_New!$A:$M, 6, FALSE), ""))</f>
        <v>13.01428571</v>
      </c>
      <c r="F1111" s="239">
        <v>25.0</v>
      </c>
      <c r="G1111" s="16"/>
      <c r="H1111" s="33">
        <v>25.0</v>
      </c>
      <c r="I1111" s="238">
        <v>46123.0</v>
      </c>
      <c r="J1111" s="5" t="s">
        <v>72</v>
      </c>
      <c r="K1111" s="5" t="s">
        <v>5300</v>
      </c>
      <c r="L1111" s="16"/>
      <c r="M1111" s="19"/>
      <c r="N1111" s="16"/>
      <c r="O1111" s="16"/>
      <c r="P1111" s="16"/>
    </row>
    <row r="1112" ht="22.5" customHeight="1">
      <c r="A1112" s="138" t="s">
        <v>802</v>
      </c>
      <c r="B1112" s="16" t="str">
        <f>IF(A1112="","",IFERROR(VLOOKUP(A1112, Stock_New!A:M, 2, FALSE),""))</f>
        <v>بخور</v>
      </c>
      <c r="C1112" s="236">
        <v>1.0</v>
      </c>
      <c r="D1112" s="16" t="str">
        <f>IF(A1112="","",IFERROR(VLOOKUP(A1112, Stock_New!A:M, 3, FALSE),""))</f>
        <v/>
      </c>
      <c r="E1112" s="16">
        <f>IF($A1112="", "", IFERROR(VLOOKUP($A1112, Stock_New!$A:$M, 6, FALSE), ""))</f>
        <v>64</v>
      </c>
      <c r="F1112" s="239">
        <v>70.0</v>
      </c>
      <c r="G1112" s="16"/>
      <c r="H1112" s="33">
        <v>70.0</v>
      </c>
      <c r="I1112" s="238">
        <v>46123.0</v>
      </c>
      <c r="J1112" s="5" t="s">
        <v>72</v>
      </c>
      <c r="K1112" s="5" t="s">
        <v>3887</v>
      </c>
      <c r="L1112" s="16"/>
      <c r="M1112" s="19"/>
      <c r="N1112" s="16"/>
      <c r="O1112" s="16"/>
      <c r="P1112" s="16"/>
    </row>
    <row r="1113" ht="22.5" customHeight="1">
      <c r="A1113" s="138" t="s">
        <v>596</v>
      </c>
      <c r="B1113" s="16" t="str">
        <f>IF(A1113="","",IFERROR(VLOOKUP(A1113, Stock_New!A:M, 2, FALSE),""))</f>
        <v>مروحة</v>
      </c>
      <c r="C1113" s="236">
        <v>1.0</v>
      </c>
      <c r="D1113" s="16" t="str">
        <f>IF(A1113="","",IFERROR(VLOOKUP(A1113, Stock_New!A:M, 3, FALSE),""))</f>
        <v>سنتر محمد رشدي</v>
      </c>
      <c r="E1113" s="16">
        <f>IF($A1113="", "", IFERROR(VLOOKUP($A1113, Stock_New!$A:$M, 6, FALSE), ""))</f>
        <v>21.5</v>
      </c>
      <c r="F1113" s="239">
        <v>25.0</v>
      </c>
      <c r="G1113" s="16"/>
      <c r="H1113" s="33">
        <v>25.0</v>
      </c>
      <c r="I1113" s="374">
        <v>46124.0</v>
      </c>
      <c r="J1113" s="5" t="s">
        <v>72</v>
      </c>
      <c r="K1113" s="5" t="s">
        <v>3889</v>
      </c>
      <c r="L1113" s="16"/>
      <c r="M1113" s="19"/>
      <c r="N1113" s="16"/>
      <c r="O1113" s="16"/>
      <c r="P1113" s="16"/>
    </row>
    <row r="1114" ht="22.5" customHeight="1">
      <c r="A1114" s="138" t="s">
        <v>637</v>
      </c>
      <c r="B1114" s="16" t="str">
        <f>IF(A1114="","",IFERROR(VLOOKUP(A1114, Stock_New!A:M, 2, FALSE),""))</f>
        <v>سيلفرات</v>
      </c>
      <c r="C1114" s="236">
        <v>1.0</v>
      </c>
      <c r="D1114" s="16" t="str">
        <f>IF(A1114="","",IFERROR(VLOOKUP(A1114, Stock_New!A:M, 3, FALSE),""))</f>
        <v>سنتر محمد رشدي</v>
      </c>
      <c r="E1114" s="16">
        <f>IF($A1114="", "", IFERROR(VLOOKUP($A1114, Stock_New!$A:$M, 6, FALSE), ""))</f>
        <v>200.4</v>
      </c>
      <c r="F1114" s="239">
        <v>220.0</v>
      </c>
      <c r="G1114" s="16"/>
      <c r="H1114" s="33">
        <v>220.0</v>
      </c>
      <c r="I1114" s="374">
        <v>46124.0</v>
      </c>
      <c r="J1114" s="5" t="s">
        <v>72</v>
      </c>
      <c r="K1114" s="5" t="s">
        <v>3890</v>
      </c>
      <c r="L1114" s="16"/>
      <c r="M1114" s="19"/>
      <c r="N1114" s="16"/>
      <c r="O1114" s="16"/>
      <c r="P1114" s="16"/>
    </row>
    <row r="1115" ht="22.5" customHeight="1">
      <c r="A1115" s="138" t="s">
        <v>812</v>
      </c>
      <c r="B1115" s="16" t="str">
        <f>IF(A1115="","",IFERROR(VLOOKUP(A1115, Stock_New!A:M, 2, FALSE),""))</f>
        <v/>
      </c>
      <c r="C1115" s="236">
        <v>2.0</v>
      </c>
      <c r="D1115" s="16" t="str">
        <f>IF(A1115="","",IFERROR(VLOOKUP(A1115, Stock_New!A:M, 3, FALSE),""))</f>
        <v/>
      </c>
      <c r="E1115" s="16" t="str">
        <f>IF($A1115="", "", IFERROR(VLOOKUP($A1115, Stock_New!$A:$M, 6, FALSE), ""))</f>
        <v/>
      </c>
      <c r="F1115" s="239">
        <v>20.0</v>
      </c>
      <c r="G1115" s="16"/>
      <c r="H1115" s="33">
        <v>40.0</v>
      </c>
      <c r="I1115" s="374">
        <v>46124.0</v>
      </c>
      <c r="J1115" s="5" t="s">
        <v>72</v>
      </c>
      <c r="K1115" s="5" t="s">
        <v>3892</v>
      </c>
      <c r="L1115" s="16"/>
      <c r="M1115" s="19"/>
      <c r="N1115" s="16"/>
      <c r="O1115" s="16"/>
      <c r="P1115" s="16"/>
    </row>
    <row r="1116" ht="22.5" customHeight="1">
      <c r="A1116" s="138" t="s">
        <v>590</v>
      </c>
      <c r="B1116" s="16" t="str">
        <f>IF(A1116="","",IFERROR(VLOOKUP(A1116, Stock_New!A:M, 2, FALSE),""))</f>
        <v>ورد ديكور</v>
      </c>
      <c r="C1116" s="236">
        <v>4.0</v>
      </c>
      <c r="D1116" s="16" t="str">
        <f>IF(A1116="","",IFERROR(VLOOKUP(A1116, Stock_New!A:M, 3, FALSE),""))</f>
        <v>سنتر محمد رشدي</v>
      </c>
      <c r="E1116" s="16">
        <f>IF($A1116="", "", IFERROR(VLOOKUP($A1116, Stock_New!$A:$M, 6, FALSE), ""))</f>
        <v>123.6</v>
      </c>
      <c r="F1116" s="239">
        <v>150.0</v>
      </c>
      <c r="G1116" s="16"/>
      <c r="H1116" s="33">
        <v>600.0</v>
      </c>
      <c r="I1116" s="374">
        <v>46124.0</v>
      </c>
      <c r="J1116" s="5" t="s">
        <v>72</v>
      </c>
      <c r="K1116" s="5" t="s">
        <v>4316</v>
      </c>
      <c r="L1116" s="16"/>
      <c r="M1116" s="19"/>
      <c r="N1116" s="16"/>
      <c r="O1116" s="16"/>
      <c r="P1116" s="16"/>
    </row>
    <row r="1117" ht="22.5" customHeight="1">
      <c r="A1117" s="138" t="s">
        <v>872</v>
      </c>
      <c r="B1117" s="16" t="str">
        <f>IF(A1117="","",IFERROR(VLOOKUP(A1117, Stock_New!A:M, 2, FALSE),""))</f>
        <v>كهربائيات</v>
      </c>
      <c r="C1117" s="236">
        <v>1.0</v>
      </c>
      <c r="D1117" s="16" t="str">
        <f>IF(A1117="","",IFERROR(VLOOKUP(A1117, Stock_New!A:M, 3, FALSE),""))</f>
        <v>سنتر محمد رشدي</v>
      </c>
      <c r="E1117" s="16">
        <f>IF($A1117="", "", IFERROR(VLOOKUP($A1117, Stock_New!$A:$M, 6, FALSE), ""))</f>
        <v>114</v>
      </c>
      <c r="F1117" s="239">
        <v>130.0</v>
      </c>
      <c r="G1117" s="16"/>
      <c r="H1117" s="33">
        <v>130.0</v>
      </c>
      <c r="I1117" s="374">
        <v>46124.0</v>
      </c>
      <c r="J1117" s="5" t="s">
        <v>72</v>
      </c>
      <c r="K1117" s="5" t="s">
        <v>3894</v>
      </c>
      <c r="L1117" s="16"/>
      <c r="M1117" s="19"/>
      <c r="N1117" s="16"/>
      <c r="O1117" s="16"/>
      <c r="P1117" s="16"/>
    </row>
    <row r="1118" ht="22.5" customHeight="1">
      <c r="A1118" s="138" t="s">
        <v>549</v>
      </c>
      <c r="B1118" s="16" t="str">
        <f>IF(A1118="","",IFERROR(VLOOKUP(A1118, Stock_New!A:M, 2, FALSE),""))</f>
        <v>بخور</v>
      </c>
      <c r="C1118" s="236">
        <v>2.0</v>
      </c>
      <c r="D1118" s="16" t="str">
        <f>IF(A1118="","",IFERROR(VLOOKUP(A1118, Stock_New!A:M, 3, FALSE),""))</f>
        <v>سنتر محمد رشدي</v>
      </c>
      <c r="E1118" s="16">
        <f>IF($A1118="", "", IFERROR(VLOOKUP($A1118, Stock_New!$A:$M, 6, FALSE), ""))</f>
        <v>21</v>
      </c>
      <c r="F1118" s="239">
        <v>25.0</v>
      </c>
      <c r="G1118" s="16"/>
      <c r="H1118" s="33">
        <v>50.0</v>
      </c>
      <c r="I1118" s="374">
        <v>46124.0</v>
      </c>
      <c r="J1118" s="5" t="s">
        <v>72</v>
      </c>
      <c r="K1118" s="5" t="s">
        <v>3898</v>
      </c>
      <c r="L1118" s="16"/>
      <c r="M1118" s="19"/>
      <c r="N1118" s="16"/>
      <c r="O1118" s="16"/>
      <c r="P1118" s="16"/>
    </row>
    <row r="1119" ht="22.5" customHeight="1">
      <c r="A1119" s="138" t="s">
        <v>554</v>
      </c>
      <c r="B1119" s="16" t="str">
        <f>IF(A1119="","",IFERROR(VLOOKUP(A1119, Stock_New!A:M, 2, FALSE),""))</f>
        <v>مقزمات</v>
      </c>
      <c r="C1119" s="236">
        <v>4.0</v>
      </c>
      <c r="D1119" s="16" t="str">
        <f>IF(A1119="","",IFERROR(VLOOKUP(A1119, Stock_New!A:M, 3, FALSE),""))</f>
        <v>manufactured</v>
      </c>
      <c r="E1119" s="16">
        <f>IF($A1119="", "", IFERROR(VLOOKUP($A1119, Stock_New!$A:$M, 6, FALSE), ""))</f>
        <v>27.86666667</v>
      </c>
      <c r="F1119" s="239">
        <v>40.0</v>
      </c>
      <c r="G1119" s="16"/>
      <c r="H1119" s="33">
        <v>160.0</v>
      </c>
      <c r="I1119" s="374">
        <v>46124.0</v>
      </c>
      <c r="J1119" s="5" t="s">
        <v>72</v>
      </c>
      <c r="K1119" s="5" t="s">
        <v>4043</v>
      </c>
      <c r="L1119" s="16"/>
      <c r="M1119" s="19"/>
      <c r="N1119" s="16"/>
      <c r="O1119" s="16"/>
      <c r="P1119" s="16"/>
    </row>
    <row r="1120" ht="22.5" customHeight="1">
      <c r="A1120" s="138" t="s">
        <v>554</v>
      </c>
      <c r="B1120" s="16" t="str">
        <f>IF(A1120="","",IFERROR(VLOOKUP(A1120, Stock_New!A:M, 2, FALSE),""))</f>
        <v>مقزمات</v>
      </c>
      <c r="C1120" s="236">
        <v>1.0</v>
      </c>
      <c r="D1120" s="16" t="str">
        <f>IF(A1120="","",IFERROR(VLOOKUP(A1120, Stock_New!A:M, 3, FALSE),""))</f>
        <v>manufactured</v>
      </c>
      <c r="E1120" s="16">
        <f>IF($A1120="", "", IFERROR(VLOOKUP($A1120, Stock_New!$A:$M, 6, FALSE), ""))</f>
        <v>27.86666667</v>
      </c>
      <c r="F1120" s="239">
        <v>45.0</v>
      </c>
      <c r="G1120" s="16"/>
      <c r="H1120" s="33">
        <v>45.0</v>
      </c>
      <c r="I1120" s="374">
        <v>46124.0</v>
      </c>
      <c r="J1120" s="5" t="s">
        <v>72</v>
      </c>
      <c r="K1120" s="5" t="s">
        <v>3900</v>
      </c>
      <c r="L1120" s="16"/>
      <c r="M1120" s="19"/>
      <c r="N1120" s="16"/>
      <c r="O1120" s="16"/>
      <c r="P1120" s="16"/>
    </row>
    <row r="1121" ht="22.5" customHeight="1">
      <c r="A1121" s="138" t="s">
        <v>1030</v>
      </c>
      <c r="B1121" s="16" t="str">
        <f>IF(A1121="","",IFERROR(VLOOKUP(A1121, Stock_New!A:M, 2, FALSE),""))</f>
        <v>شنط</v>
      </c>
      <c r="C1121" s="236">
        <v>1.0</v>
      </c>
      <c r="D1121" s="16" t="str">
        <f>IF(A1121="","",IFERROR(VLOOKUP(A1121, Stock_New!A:M, 3, FALSE),""))</f>
        <v>سنتر محمد رشدي</v>
      </c>
      <c r="E1121" s="16">
        <f>IF($A1121="", "", IFERROR(VLOOKUP($A1121, Stock_New!$A:$M, 6, FALSE), ""))</f>
        <v>10</v>
      </c>
      <c r="F1121" s="239">
        <v>10.0</v>
      </c>
      <c r="G1121" s="16"/>
      <c r="H1121" s="33">
        <v>10.0</v>
      </c>
      <c r="I1121" s="374">
        <v>46124.0</v>
      </c>
      <c r="J1121" s="5" t="s">
        <v>72</v>
      </c>
      <c r="K1121" s="5" t="s">
        <v>3901</v>
      </c>
      <c r="L1121" s="16"/>
      <c r="M1121" s="19"/>
      <c r="N1121" s="16"/>
      <c r="O1121" s="16"/>
      <c r="P1121" s="16"/>
    </row>
    <row r="1122" ht="22.5" customHeight="1">
      <c r="A1122" s="138" t="s">
        <v>563</v>
      </c>
      <c r="B1122" s="16" t="str">
        <f>IF(A1122="","",IFERROR(VLOOKUP(A1122, Stock_New!A:M, 2, FALSE),""))</f>
        <v>كهربائيات</v>
      </c>
      <c r="C1122" s="236">
        <v>1.0</v>
      </c>
      <c r="D1122" s="16" t="str">
        <f>IF(A1122="","",IFERROR(VLOOKUP(A1122, Stock_New!A:M, 3, FALSE),""))</f>
        <v>سنتر محمد رشدي</v>
      </c>
      <c r="E1122" s="16">
        <f>IF($A1122="", "", IFERROR(VLOOKUP($A1122, Stock_New!$A:$M, 6, FALSE), ""))</f>
        <v>210</v>
      </c>
      <c r="F1122" s="239">
        <v>210.0</v>
      </c>
      <c r="G1122" s="16"/>
      <c r="H1122" s="33">
        <v>210.0</v>
      </c>
      <c r="I1122" s="238">
        <v>46129.0</v>
      </c>
      <c r="J1122" s="5" t="s">
        <v>72</v>
      </c>
      <c r="K1122" s="5" t="s">
        <v>3906</v>
      </c>
      <c r="L1122" s="16"/>
      <c r="M1122" s="19"/>
      <c r="N1122" s="16"/>
      <c r="O1122" s="16"/>
      <c r="P1122" s="16"/>
    </row>
    <row r="1123" ht="22.5" customHeight="1">
      <c r="A1123" s="138" t="s">
        <v>554</v>
      </c>
      <c r="B1123" s="16" t="str">
        <f>IF(A1123="","",IFERROR(VLOOKUP(A1123, Stock_New!A:M, 2, FALSE),""))</f>
        <v>مقزمات</v>
      </c>
      <c r="C1123" s="236">
        <v>1.0</v>
      </c>
      <c r="D1123" s="16" t="str">
        <f>IF(A1123="","",IFERROR(VLOOKUP(A1123, Stock_New!A:M, 3, FALSE),""))</f>
        <v>manufactured</v>
      </c>
      <c r="E1123" s="16">
        <f>IF($A1123="", "", IFERROR(VLOOKUP($A1123, Stock_New!$A:$M, 6, FALSE), ""))</f>
        <v>27.86666667</v>
      </c>
      <c r="F1123" s="239">
        <v>45.0</v>
      </c>
      <c r="G1123" s="16"/>
      <c r="H1123" s="33">
        <v>45.0</v>
      </c>
      <c r="I1123" s="238">
        <v>46130.0</v>
      </c>
      <c r="J1123" s="5" t="s">
        <v>72</v>
      </c>
      <c r="K1123" s="5" t="s">
        <v>4045</v>
      </c>
      <c r="L1123" s="16"/>
      <c r="M1123" s="19"/>
      <c r="N1123" s="16"/>
      <c r="O1123" s="16"/>
      <c r="P1123" s="16"/>
    </row>
    <row r="1124" ht="22.5" customHeight="1">
      <c r="A1124" s="138" t="s">
        <v>1152</v>
      </c>
      <c r="B1124" s="16" t="str">
        <f>IF(A1124="","",IFERROR(VLOOKUP(A1124, Stock_New!A:M, 2, FALSE),""))</f>
        <v>لعب</v>
      </c>
      <c r="C1124" s="236">
        <v>1.0</v>
      </c>
      <c r="D1124" s="16" t="str">
        <f>IF(A1124="","",IFERROR(VLOOKUP(A1124, Stock_New!A:M, 3, FALSE),""))</f>
        <v>سنتر محمد رشدي</v>
      </c>
      <c r="E1124" s="16">
        <f>IF($A1124="", "", IFERROR(VLOOKUP($A1124, Stock_New!$A:$M, 6, FALSE), ""))</f>
        <v>18</v>
      </c>
      <c r="F1124" s="239">
        <v>25.0</v>
      </c>
      <c r="G1124" s="16"/>
      <c r="H1124" s="33">
        <v>25.0</v>
      </c>
      <c r="I1124" s="238">
        <v>46131.0</v>
      </c>
      <c r="J1124" s="5" t="s">
        <v>72</v>
      </c>
      <c r="K1124" s="5" t="s">
        <v>3910</v>
      </c>
      <c r="L1124" s="16"/>
      <c r="M1124" s="19"/>
      <c r="N1124" s="16"/>
      <c r="O1124" s="16"/>
      <c r="P1124" s="16"/>
    </row>
    <row r="1125" ht="22.5" customHeight="1">
      <c r="A1125" s="138" t="s">
        <v>583</v>
      </c>
      <c r="B1125" s="16" t="str">
        <f>IF(A1125="","",IFERROR(VLOOKUP(A1125, Stock_New!A:M, 2, FALSE),""))</f>
        <v>لوح</v>
      </c>
      <c r="C1125" s="236">
        <v>1.0</v>
      </c>
      <c r="D1125" s="16" t="str">
        <f>IF(A1125="","",IFERROR(VLOOKUP(A1125, Stock_New!A:M, 3, FALSE),""))</f>
        <v>شركة الفرسان</v>
      </c>
      <c r="E1125" s="16">
        <f>IF($A1125="", "", IFERROR(VLOOKUP($A1125, Stock_New!$A:$M, 6, FALSE), ""))</f>
        <v>210</v>
      </c>
      <c r="F1125" s="239">
        <v>250.0</v>
      </c>
      <c r="G1125" s="16"/>
      <c r="H1125" s="33">
        <v>250.0</v>
      </c>
      <c r="I1125" s="238">
        <v>46132.0</v>
      </c>
      <c r="J1125" s="5" t="s">
        <v>72</v>
      </c>
      <c r="K1125" s="5" t="s">
        <v>3912</v>
      </c>
      <c r="L1125" s="16"/>
      <c r="M1125" s="19"/>
      <c r="N1125" s="16"/>
      <c r="O1125" s="16"/>
      <c r="P1125" s="16"/>
    </row>
    <row r="1126" ht="22.5" customHeight="1">
      <c r="A1126" s="138" t="s">
        <v>77</v>
      </c>
      <c r="B1126" s="16" t="str">
        <f>IF(A1126="","",IFERROR(VLOOKUP(A1126, Stock_New!A:M, 2, FALSE),""))</f>
        <v>شجر</v>
      </c>
      <c r="C1126" s="236">
        <v>1.0</v>
      </c>
      <c r="D1126" s="16" t="str">
        <f>IF(A1126="","",IFERROR(VLOOKUP(A1126, Stock_New!A:M, 3, FALSE),""))</f>
        <v>manufactured</v>
      </c>
      <c r="E1126" s="16">
        <f>IF($A1126="", "", IFERROR(VLOOKUP($A1126, Stock_New!$A:$M, 6, FALSE), ""))</f>
        <v>378</v>
      </c>
      <c r="F1126" s="239">
        <v>400.0</v>
      </c>
      <c r="G1126" s="16"/>
      <c r="H1126" s="33">
        <v>400.0</v>
      </c>
      <c r="I1126" s="238">
        <v>46133.0</v>
      </c>
      <c r="J1126" s="5" t="s">
        <v>72</v>
      </c>
      <c r="K1126" s="5" t="s">
        <v>3916</v>
      </c>
      <c r="L1126" s="16"/>
      <c r="M1126" s="19"/>
      <c r="N1126" s="16"/>
      <c r="O1126" s="16"/>
      <c r="P1126" s="16"/>
    </row>
    <row r="1127" ht="22.5" customHeight="1">
      <c r="A1127" s="138" t="s">
        <v>336</v>
      </c>
      <c r="B1127" s="16" t="str">
        <f>IF(A1127="","",IFERROR(VLOOKUP(A1127, Stock_New!A:M, 2, FALSE),""))</f>
        <v>بوتات</v>
      </c>
      <c r="C1127" s="236">
        <v>1.0</v>
      </c>
      <c r="D1127" s="16" t="str">
        <f>IF(A1127="","",IFERROR(VLOOKUP(A1127, Stock_New!A:M, 3, FALSE),""))</f>
        <v>شركة حسين علي</v>
      </c>
      <c r="E1127" s="16">
        <f>IF($A1127="", "", IFERROR(VLOOKUP($A1127, Stock_New!$A:$M, 6, FALSE), ""))</f>
        <v>120</v>
      </c>
      <c r="F1127" s="239">
        <v>150.0</v>
      </c>
      <c r="G1127" s="16"/>
      <c r="H1127" s="33">
        <v>150.0</v>
      </c>
      <c r="I1127" s="238">
        <v>46133.0</v>
      </c>
      <c r="J1127" s="5" t="s">
        <v>72</v>
      </c>
      <c r="K1127" s="5" t="s">
        <v>4320</v>
      </c>
      <c r="L1127" s="16"/>
      <c r="M1127" s="19"/>
      <c r="N1127" s="16"/>
      <c r="O1127" s="16"/>
      <c r="P1127" s="16"/>
    </row>
    <row r="1128" ht="22.5" customHeight="1">
      <c r="A1128" s="138" t="s">
        <v>309</v>
      </c>
      <c r="B1128" s="16" t="str">
        <f>IF(A1128="","",IFERROR(VLOOKUP(A1128, Stock_New!A:M, 2, FALSE),""))</f>
        <v>بوتات</v>
      </c>
      <c r="C1128" s="236">
        <v>2.0</v>
      </c>
      <c r="D1128" s="16" t="str">
        <f>IF(A1128="","",IFERROR(VLOOKUP(A1128, Stock_New!A:M, 3, FALSE),""))</f>
        <v>شركة حسين علي</v>
      </c>
      <c r="E1128" s="16">
        <f>IF($A1128="", "", IFERROR(VLOOKUP($A1128, Stock_New!$A:$M, 6, FALSE), ""))</f>
        <v>24</v>
      </c>
      <c r="F1128" s="239">
        <v>70.0</v>
      </c>
      <c r="G1128" s="16"/>
      <c r="H1128" s="33">
        <v>140.0</v>
      </c>
      <c r="I1128" s="238">
        <v>46133.0</v>
      </c>
      <c r="J1128" s="5" t="s">
        <v>72</v>
      </c>
      <c r="K1128" s="5" t="s">
        <v>5301</v>
      </c>
      <c r="L1128" s="16"/>
      <c r="M1128" s="19"/>
      <c r="N1128" s="16"/>
      <c r="O1128" s="16"/>
      <c r="P1128" s="16"/>
    </row>
    <row r="1129" ht="22.5" customHeight="1">
      <c r="A1129" s="138" t="s">
        <v>395</v>
      </c>
      <c r="B1129" s="16" t="str">
        <f>IF(A1129="","",IFERROR(VLOOKUP(A1129, Stock_New!A:M, 2, FALSE),""))</f>
        <v>ورد لوحدة</v>
      </c>
      <c r="C1129" s="236">
        <v>1.0</v>
      </c>
      <c r="D1129" s="16" t="str">
        <f>IF(A1129="","",IFERROR(VLOOKUP(A1129, Stock_New!A:M, 3, FALSE),""))</f>
        <v>شركة حسين علي</v>
      </c>
      <c r="E1129" s="16">
        <f>IF($A1129="", "", IFERROR(VLOOKUP($A1129, Stock_New!$A:$M, 6, FALSE), ""))</f>
        <v>60</v>
      </c>
      <c r="F1129" s="239">
        <v>100.0</v>
      </c>
      <c r="G1129" s="16"/>
      <c r="H1129" s="33">
        <v>100.0</v>
      </c>
      <c r="I1129" s="238">
        <v>46133.0</v>
      </c>
      <c r="J1129" s="5" t="s">
        <v>72</v>
      </c>
      <c r="K1129" s="5" t="s">
        <v>3917</v>
      </c>
      <c r="L1129" s="16"/>
      <c r="M1129" s="19"/>
      <c r="N1129" s="16"/>
      <c r="O1129" s="16"/>
      <c r="P1129" s="16"/>
    </row>
    <row r="1130" ht="22.5" customHeight="1">
      <c r="A1130" s="138" t="s">
        <v>756</v>
      </c>
      <c r="B1130" s="16" t="str">
        <f>IF(A1130="","",IFERROR(VLOOKUP(A1130, Stock_New!A:M, 2, FALSE),""))</f>
        <v>ورد لوحدة</v>
      </c>
      <c r="C1130" s="236">
        <v>1.0</v>
      </c>
      <c r="D1130" s="16" t="str">
        <f>IF(A1130="","",IFERROR(VLOOKUP(A1130, Stock_New!A:M, 3, FALSE),""))</f>
        <v>شركة حسين علي</v>
      </c>
      <c r="E1130" s="16">
        <f>IF($A1130="", "", IFERROR(VLOOKUP($A1130, Stock_New!$A:$M, 6, FALSE), ""))</f>
        <v>36</v>
      </c>
      <c r="F1130" s="239">
        <v>100.0</v>
      </c>
      <c r="G1130" s="16"/>
      <c r="H1130" s="33">
        <v>100.0</v>
      </c>
      <c r="I1130" s="238">
        <v>46133.0</v>
      </c>
      <c r="J1130" s="5" t="s">
        <v>72</v>
      </c>
      <c r="K1130" s="5" t="s">
        <v>4071</v>
      </c>
      <c r="L1130" s="16"/>
      <c r="M1130" s="19"/>
      <c r="N1130" s="16"/>
      <c r="O1130" s="16"/>
      <c r="P1130" s="16"/>
    </row>
    <row r="1131" ht="22.5" customHeight="1">
      <c r="A1131" s="138" t="s">
        <v>496</v>
      </c>
      <c r="B1131" s="16" t="str">
        <f>IF(A1131="","",IFERROR(VLOOKUP(A1131, Stock_New!A:M, 2, FALSE),""))</f>
        <v>شمع</v>
      </c>
      <c r="C1131" s="236">
        <v>1.0</v>
      </c>
      <c r="D1131" s="16" t="str">
        <f>IF(A1131="","",IFERROR(VLOOKUP(A1131, Stock_New!A:M, 3, FALSE),""))</f>
        <v>سنتر محمد رشدي</v>
      </c>
      <c r="E1131" s="16">
        <f>IF($A1131="", "", IFERROR(VLOOKUP($A1131, Stock_New!$A:$M, 6, FALSE), ""))</f>
        <v>8.64</v>
      </c>
      <c r="F1131" s="239">
        <v>20.0</v>
      </c>
      <c r="G1131" s="16"/>
      <c r="H1131" s="33">
        <v>20.0</v>
      </c>
      <c r="I1131" s="238">
        <v>46136.0</v>
      </c>
      <c r="J1131" s="5" t="s">
        <v>72</v>
      </c>
      <c r="K1131" s="5" t="s">
        <v>3919</v>
      </c>
      <c r="L1131" s="16"/>
      <c r="M1131" s="19"/>
      <c r="N1131" s="16"/>
      <c r="O1131" s="16"/>
      <c r="P1131" s="16"/>
    </row>
    <row r="1132" ht="22.5" customHeight="1">
      <c r="A1132" s="138" t="s">
        <v>144</v>
      </c>
      <c r="B1132" s="16" t="str">
        <f>IF(A1132="","",IFERROR(VLOOKUP(A1132, Stock_New!A:M, 2, FALSE),""))</f>
        <v>كهربائيات</v>
      </c>
      <c r="C1132" s="236">
        <v>1.0</v>
      </c>
      <c r="D1132" s="16" t="str">
        <f>IF(A1132="","",IFERROR(VLOOKUP(A1132, Stock_New!A:M, 3, FALSE),""))</f>
        <v>شركة البطل</v>
      </c>
      <c r="E1132" s="16">
        <f>IF($A1132="", "", IFERROR(VLOOKUP($A1132, Stock_New!$A:$M, 6, FALSE), ""))</f>
        <v>144</v>
      </c>
      <c r="F1132" s="239">
        <v>170.0</v>
      </c>
      <c r="G1132" s="16"/>
      <c r="H1132" s="33">
        <v>170.0</v>
      </c>
      <c r="I1132" s="238">
        <v>46136.0</v>
      </c>
      <c r="J1132" s="5" t="s">
        <v>72</v>
      </c>
      <c r="K1132" s="5" t="s">
        <v>3921</v>
      </c>
      <c r="L1132" s="16"/>
      <c r="M1132" s="19"/>
      <c r="N1132" s="16"/>
      <c r="O1132" s="16"/>
      <c r="P1132" s="16"/>
    </row>
    <row r="1133" ht="22.5" customHeight="1">
      <c r="A1133" s="138" t="s">
        <v>689</v>
      </c>
      <c r="B1133" s="16" t="str">
        <f>IF(A1133="","",IFERROR(VLOOKUP(A1133, Stock_New!A:M, 2, FALSE),""))</f>
        <v>كهربائيات</v>
      </c>
      <c r="C1133" s="236">
        <v>2.0</v>
      </c>
      <c r="D1133" s="16" t="str">
        <f>IF(A1133="","",IFERROR(VLOOKUP(A1133, Stock_New!A:M, 3, FALSE),""))</f>
        <v>سنتر محمد رشدي</v>
      </c>
      <c r="E1133" s="16">
        <f>IF($A1133="", "", IFERROR(VLOOKUP($A1133, Stock_New!$A:$M, 6, FALSE), ""))</f>
        <v>156</v>
      </c>
      <c r="F1133" s="239">
        <v>150.0</v>
      </c>
      <c r="G1133" s="16"/>
      <c r="H1133" s="33">
        <v>300.0</v>
      </c>
      <c r="I1133" s="238">
        <v>46136.0</v>
      </c>
      <c r="J1133" s="5" t="s">
        <v>72</v>
      </c>
      <c r="K1133" s="5" t="s">
        <v>3923</v>
      </c>
      <c r="L1133" s="16"/>
      <c r="M1133" s="19"/>
      <c r="N1133" s="16"/>
      <c r="O1133" s="16"/>
      <c r="P1133" s="16"/>
    </row>
    <row r="1134" ht="22.5" customHeight="1">
      <c r="A1134" s="138" t="s">
        <v>882</v>
      </c>
      <c r="B1134" s="16" t="str">
        <f>IF(A1134="","",IFERROR(VLOOKUP(A1134, Stock_New!A:M, 2, FALSE),""))</f>
        <v>شنط</v>
      </c>
      <c r="C1134" s="236">
        <v>1.0</v>
      </c>
      <c r="D1134" s="16" t="str">
        <f>IF(A1134="","",IFERROR(VLOOKUP(A1134, Stock_New!A:M, 3, FALSE),""))</f>
        <v>سنتر محمد رشدي</v>
      </c>
      <c r="E1134" s="16">
        <f>IF($A1134="", "", IFERROR(VLOOKUP($A1134, Stock_New!$A:$M, 6, FALSE), ""))</f>
        <v>15</v>
      </c>
      <c r="F1134" s="239">
        <v>30.0</v>
      </c>
      <c r="G1134" s="16"/>
      <c r="H1134" s="33">
        <v>30.0</v>
      </c>
      <c r="I1134" s="238">
        <v>46136.0</v>
      </c>
      <c r="J1134" s="5" t="s">
        <v>72</v>
      </c>
      <c r="K1134" s="5" t="s">
        <v>3925</v>
      </c>
      <c r="L1134" s="16"/>
      <c r="M1134" s="19"/>
      <c r="N1134" s="16"/>
      <c r="O1134" s="16"/>
      <c r="P1134" s="16"/>
    </row>
    <row r="1135" ht="22.5" customHeight="1">
      <c r="A1135" s="138" t="s">
        <v>882</v>
      </c>
      <c r="B1135" s="16" t="str">
        <f>IF(A1135="","",IFERROR(VLOOKUP(A1135, Stock_New!A:M, 2, FALSE),""))</f>
        <v>شنط</v>
      </c>
      <c r="C1135" s="236">
        <v>1.0</v>
      </c>
      <c r="D1135" s="16" t="str">
        <f>IF(A1135="","",IFERROR(VLOOKUP(A1135, Stock_New!A:M, 3, FALSE),""))</f>
        <v>سنتر محمد رشدي</v>
      </c>
      <c r="E1135" s="16">
        <f>IF($A1135="", "", IFERROR(VLOOKUP($A1135, Stock_New!$A:$M, 6, FALSE), ""))</f>
        <v>15</v>
      </c>
      <c r="F1135" s="239">
        <v>30.0</v>
      </c>
      <c r="G1135" s="16"/>
      <c r="H1135" s="33">
        <v>30.0</v>
      </c>
      <c r="I1135" s="238">
        <v>46136.0</v>
      </c>
      <c r="J1135" s="5" t="s">
        <v>72</v>
      </c>
      <c r="K1135" s="5" t="s">
        <v>3927</v>
      </c>
      <c r="L1135" s="16"/>
      <c r="M1135" s="19"/>
      <c r="N1135" s="16"/>
      <c r="O1135" s="16"/>
      <c r="P1135" s="16"/>
    </row>
    <row r="1136" ht="22.5" customHeight="1">
      <c r="A1136" s="138" t="s">
        <v>402</v>
      </c>
      <c r="B1136" s="16" t="str">
        <f>IF(A1136="","",IFERROR(VLOOKUP(A1136, Stock_New!A:M, 2, FALSE),""))</f>
        <v>ورد لوحده</v>
      </c>
      <c r="C1136" s="236">
        <v>1.0</v>
      </c>
      <c r="D1136" s="16" t="str">
        <f>IF(A1136="","",IFERROR(VLOOKUP(A1136, Stock_New!A:M, 3, FALSE),""))</f>
        <v>ذكريا</v>
      </c>
      <c r="E1136" s="16">
        <f>IF($A1136="", "", IFERROR(VLOOKUP($A1136, Stock_New!$A:$M, 6, FALSE), ""))</f>
        <v>270</v>
      </c>
      <c r="F1136" s="239">
        <v>420.0</v>
      </c>
      <c r="G1136" s="16"/>
      <c r="H1136" s="33">
        <v>420.0</v>
      </c>
      <c r="I1136" s="238">
        <v>46136.0</v>
      </c>
      <c r="J1136" s="5" t="s">
        <v>72</v>
      </c>
      <c r="K1136" s="5" t="s">
        <v>3929</v>
      </c>
      <c r="L1136" s="16"/>
      <c r="M1136" s="19"/>
      <c r="N1136" s="16"/>
      <c r="O1136" s="16"/>
      <c r="P1136" s="16"/>
    </row>
    <row r="1137" ht="22.5" customHeight="1">
      <c r="A1137" s="138" t="s">
        <v>577</v>
      </c>
      <c r="B1137" s="16" t="str">
        <f>IF(A1137="","",IFERROR(VLOOKUP(A1137, Stock_New!A:M, 2, FALSE),""))</f>
        <v>شمع</v>
      </c>
      <c r="C1137" s="236">
        <v>1.0</v>
      </c>
      <c r="D1137" s="16" t="str">
        <f>IF(A1137="","",IFERROR(VLOOKUP(A1137, Stock_New!A:M, 3, FALSE),""))</f>
        <v>محمد رشدي</v>
      </c>
      <c r="E1137" s="16">
        <f>IF($A1137="", "", IFERROR(VLOOKUP($A1137, Stock_New!$A:$M, 6, FALSE), ""))</f>
        <v>210</v>
      </c>
      <c r="F1137" s="239">
        <v>250.0</v>
      </c>
      <c r="G1137" s="16"/>
      <c r="H1137" s="33">
        <v>250.0</v>
      </c>
      <c r="I1137" s="238">
        <v>46136.0</v>
      </c>
      <c r="J1137" s="5" t="s">
        <v>72</v>
      </c>
      <c r="K1137" s="5" t="s">
        <v>3933</v>
      </c>
      <c r="L1137" s="16"/>
      <c r="M1137" s="19" t="s">
        <v>5302</v>
      </c>
      <c r="N1137" s="16">
        <f t="shared" ref="N1137:N1147" si="12">P1137-O1137</f>
        <v>230</v>
      </c>
      <c r="O1137" s="5">
        <f t="shared" ref="O1137:O1147" si="13">500+200+500</f>
        <v>1200</v>
      </c>
      <c r="P1137" s="5">
        <v>1430.0</v>
      </c>
    </row>
    <row r="1138" ht="22.5" customHeight="1">
      <c r="A1138" s="138" t="s">
        <v>1087</v>
      </c>
      <c r="B1138" s="16" t="str">
        <f>IF(A1138="","",IFERROR(VLOOKUP(A1138, Stock_New!A:M, 2, FALSE),""))</f>
        <v>حجارة</v>
      </c>
      <c r="C1138" s="236">
        <v>5.0</v>
      </c>
      <c r="D1138" s="16" t="str">
        <f>IF(A1138="","",IFERROR(VLOOKUP(A1138, Stock_New!A:M, 3, FALSE),""))</f>
        <v/>
      </c>
      <c r="E1138" s="16">
        <f>IF($A1138="", "", IFERROR(VLOOKUP($A1138, Stock_New!$A:$M, 6, FALSE), ""))</f>
        <v>13.2</v>
      </c>
      <c r="F1138" s="239">
        <v>15.0</v>
      </c>
      <c r="G1138" s="16"/>
      <c r="H1138" s="33">
        <v>75.0</v>
      </c>
      <c r="I1138" s="238">
        <v>46136.0</v>
      </c>
      <c r="J1138" s="5" t="s">
        <v>72</v>
      </c>
      <c r="K1138" s="5" t="s">
        <v>3935</v>
      </c>
      <c r="L1138" s="16"/>
      <c r="M1138" s="19" t="s">
        <v>5302</v>
      </c>
      <c r="N1138" s="16">
        <f t="shared" si="12"/>
        <v>230</v>
      </c>
      <c r="O1138" s="5">
        <f t="shared" si="13"/>
        <v>1200</v>
      </c>
      <c r="P1138" s="5">
        <v>1430.0</v>
      </c>
    </row>
    <row r="1139" ht="22.5" customHeight="1">
      <c r="A1139" s="138" t="s">
        <v>1159</v>
      </c>
      <c r="B1139" s="16" t="str">
        <f>IF(A1139="","",IFERROR(VLOOKUP(A1139, Stock_New!A:M, 2, FALSE),""))</f>
        <v/>
      </c>
      <c r="C1139" s="236">
        <v>1.0</v>
      </c>
      <c r="D1139" s="16" t="str">
        <f>IF(A1139="","",IFERROR(VLOOKUP(A1139, Stock_New!A:M, 3, FALSE),""))</f>
        <v/>
      </c>
      <c r="E1139" s="16" t="str">
        <f>IF($A1139="", "", IFERROR(VLOOKUP($A1139, Stock_New!$A:$M, 6, FALSE), ""))</f>
        <v/>
      </c>
      <c r="F1139" s="239">
        <v>200.0</v>
      </c>
      <c r="G1139" s="16"/>
      <c r="H1139" s="33">
        <v>200.0</v>
      </c>
      <c r="I1139" s="238">
        <v>46136.0</v>
      </c>
      <c r="J1139" s="5" t="s">
        <v>72</v>
      </c>
      <c r="K1139" s="5" t="s">
        <v>3937</v>
      </c>
      <c r="L1139" s="16"/>
      <c r="M1139" s="19" t="s">
        <v>5302</v>
      </c>
      <c r="N1139" s="16">
        <f t="shared" si="12"/>
        <v>230</v>
      </c>
      <c r="O1139" s="5">
        <f t="shared" si="13"/>
        <v>1200</v>
      </c>
      <c r="P1139" s="5">
        <v>1430.0</v>
      </c>
    </row>
    <row r="1140" ht="22.5" customHeight="1">
      <c r="A1140" s="138" t="s">
        <v>812</v>
      </c>
      <c r="B1140" s="16" t="str">
        <f>IF(A1140="","",IFERROR(VLOOKUP(A1140, Stock_New!A:M, 2, FALSE),""))</f>
        <v/>
      </c>
      <c r="C1140" s="236">
        <v>4.0</v>
      </c>
      <c r="D1140" s="16" t="str">
        <f>IF(A1140="","",IFERROR(VLOOKUP(A1140, Stock_New!A:M, 3, FALSE),""))</f>
        <v/>
      </c>
      <c r="E1140" s="16" t="str">
        <f>IF($A1140="", "", IFERROR(VLOOKUP($A1140, Stock_New!$A:$M, 6, FALSE), ""))</f>
        <v/>
      </c>
      <c r="F1140" s="239">
        <v>20.0</v>
      </c>
      <c r="G1140" s="16"/>
      <c r="H1140" s="33">
        <v>80.0</v>
      </c>
      <c r="I1140" s="238">
        <v>46136.0</v>
      </c>
      <c r="J1140" s="5" t="s">
        <v>72</v>
      </c>
      <c r="K1140" s="5" t="s">
        <v>3941</v>
      </c>
      <c r="L1140" s="16"/>
      <c r="M1140" s="19" t="s">
        <v>5302</v>
      </c>
      <c r="N1140" s="16">
        <f t="shared" si="12"/>
        <v>230</v>
      </c>
      <c r="O1140" s="5">
        <f t="shared" si="13"/>
        <v>1200</v>
      </c>
      <c r="P1140" s="5">
        <v>1430.0</v>
      </c>
    </row>
    <row r="1141" ht="22.5" customHeight="1">
      <c r="A1141" s="138" t="s">
        <v>48</v>
      </c>
      <c r="B1141" s="16" t="str">
        <f>IF(A1141="","",IFERROR(VLOOKUP(A1141, Stock_New!A:M, 2, FALSE),""))</f>
        <v>بوكيه</v>
      </c>
      <c r="C1141" s="236">
        <v>3.0</v>
      </c>
      <c r="D1141" s="16" t="str">
        <f>IF(A1141="","",IFERROR(VLOOKUP(A1141, Stock_New!A:M, 3, FALSE),""))</f>
        <v>ذكريا</v>
      </c>
      <c r="E1141" s="16">
        <f>IF($A1141="", "", IFERROR(VLOOKUP($A1141, Stock_New!$A:$M, 6, FALSE), ""))</f>
        <v>44.4</v>
      </c>
      <c r="F1141" s="239">
        <v>50.0</v>
      </c>
      <c r="G1141" s="16"/>
      <c r="H1141" s="33">
        <v>150.0</v>
      </c>
      <c r="I1141" s="238">
        <v>46136.0</v>
      </c>
      <c r="J1141" s="5" t="s">
        <v>72</v>
      </c>
      <c r="K1141" s="5" t="s">
        <v>3943</v>
      </c>
      <c r="L1141" s="16"/>
      <c r="M1141" s="19" t="s">
        <v>5302</v>
      </c>
      <c r="N1141" s="16">
        <f t="shared" si="12"/>
        <v>230</v>
      </c>
      <c r="O1141" s="5">
        <f t="shared" si="13"/>
        <v>1200</v>
      </c>
      <c r="P1141" s="5">
        <v>1430.0</v>
      </c>
    </row>
    <row r="1142" ht="22.5" customHeight="1">
      <c r="A1142" s="138" t="s">
        <v>662</v>
      </c>
      <c r="B1142" s="16" t="str">
        <f>IF(A1142="","",IFERROR(VLOOKUP(A1142, Stock_New!A:M, 2, FALSE),""))</f>
        <v>بوكيه</v>
      </c>
      <c r="C1142" s="236">
        <v>1.0</v>
      </c>
      <c r="D1142" s="16" t="str">
        <f>IF(A1142="","",IFERROR(VLOOKUP(A1142, Stock_New!A:M, 3, FALSE),""))</f>
        <v>المهندس</v>
      </c>
      <c r="E1142" s="16">
        <f>IF($A1142="", "", IFERROR(VLOOKUP($A1142, Stock_New!$A:$M, 6, FALSE), ""))</f>
        <v>60</v>
      </c>
      <c r="F1142" s="239">
        <v>75.0</v>
      </c>
      <c r="G1142" s="16"/>
      <c r="H1142" s="33">
        <v>75.0</v>
      </c>
      <c r="I1142" s="238">
        <v>46136.0</v>
      </c>
      <c r="J1142" s="5" t="s">
        <v>72</v>
      </c>
      <c r="K1142" s="5" t="s">
        <v>3945</v>
      </c>
      <c r="L1142" s="16"/>
      <c r="M1142" s="19" t="s">
        <v>5302</v>
      </c>
      <c r="N1142" s="16">
        <f t="shared" si="12"/>
        <v>230</v>
      </c>
      <c r="O1142" s="5">
        <f t="shared" si="13"/>
        <v>1200</v>
      </c>
      <c r="P1142" s="5">
        <v>1430.0</v>
      </c>
    </row>
    <row r="1143" ht="22.5" customHeight="1">
      <c r="A1143" s="138" t="s">
        <v>500</v>
      </c>
      <c r="B1143" s="16" t="str">
        <f>IF(A1143="","",IFERROR(VLOOKUP(A1143, Stock_New!A:M, 2, FALSE),""))</f>
        <v>ورد لوحدة</v>
      </c>
      <c r="C1143" s="236">
        <f>2/9</f>
        <v>0.2222222222</v>
      </c>
      <c r="D1143" s="16" t="str">
        <f>IF(A1143="","",IFERROR(VLOOKUP(A1143, Stock_New!A:M, 3, FALSE),""))</f>
        <v>شركة الفرسان</v>
      </c>
      <c r="E1143" s="16">
        <f>IF($A1143="", "", IFERROR(VLOOKUP($A1143, Stock_New!$A:$M, 6, FALSE), ""))</f>
        <v>150</v>
      </c>
      <c r="F1143" s="239">
        <v>315.0</v>
      </c>
      <c r="G1143" s="16"/>
      <c r="H1143" s="33">
        <v>70.0</v>
      </c>
      <c r="I1143" s="238">
        <v>46136.0</v>
      </c>
      <c r="J1143" s="5" t="s">
        <v>72</v>
      </c>
      <c r="K1143" s="5" t="s">
        <v>3947</v>
      </c>
      <c r="L1143" s="16"/>
      <c r="M1143" s="19" t="s">
        <v>5302</v>
      </c>
      <c r="N1143" s="16">
        <f t="shared" si="12"/>
        <v>230</v>
      </c>
      <c r="O1143" s="5">
        <f t="shared" si="13"/>
        <v>1200</v>
      </c>
      <c r="P1143" s="5">
        <v>1430.0</v>
      </c>
    </row>
    <row r="1144" ht="22.5" customHeight="1">
      <c r="A1144" s="138" t="s">
        <v>518</v>
      </c>
      <c r="B1144" s="16" t="str">
        <f>IF(A1144="","",IFERROR(VLOOKUP(A1144, Stock_New!A:M, 2, FALSE),""))</f>
        <v>ورد لوحدة</v>
      </c>
      <c r="C1144" s="236">
        <f>3/9</f>
        <v>0.3333333333</v>
      </c>
      <c r="D1144" s="16" t="str">
        <f>IF(A1144="","",IFERROR(VLOOKUP(A1144, Stock_New!A:M, 3, FALSE),""))</f>
        <v>شركة الفرسان</v>
      </c>
      <c r="E1144" s="16">
        <f>IF($A1144="", "", IFERROR(VLOOKUP($A1144, Stock_New!$A:$M, 6, FALSE), ""))</f>
        <v>90</v>
      </c>
      <c r="F1144" s="239">
        <v>150.0</v>
      </c>
      <c r="G1144" s="16"/>
      <c r="H1144" s="33">
        <v>50.0</v>
      </c>
      <c r="I1144" s="238">
        <v>46136.0</v>
      </c>
      <c r="J1144" s="5" t="s">
        <v>72</v>
      </c>
      <c r="K1144" s="5" t="s">
        <v>3949</v>
      </c>
      <c r="L1144" s="16"/>
      <c r="M1144" s="19" t="s">
        <v>5302</v>
      </c>
      <c r="N1144" s="16">
        <f t="shared" si="12"/>
        <v>230</v>
      </c>
      <c r="O1144" s="5">
        <f t="shared" si="13"/>
        <v>1200</v>
      </c>
      <c r="P1144" s="5">
        <v>1430.0</v>
      </c>
    </row>
    <row r="1145" ht="22.5" customHeight="1">
      <c r="A1145" s="138" t="s">
        <v>852</v>
      </c>
      <c r="B1145" s="16" t="str">
        <f>IF(A1145="","",IFERROR(VLOOKUP(A1145, Stock_New!A:M, 2, FALSE),""))</f>
        <v/>
      </c>
      <c r="C1145" s="236">
        <v>1.0</v>
      </c>
      <c r="D1145" s="16" t="str">
        <f>IF(A1145="","",IFERROR(VLOOKUP(A1145, Stock_New!A:M, 3, FALSE),""))</f>
        <v/>
      </c>
      <c r="E1145" s="16" t="str">
        <f>IF($A1145="", "", IFERROR(VLOOKUP($A1145, Stock_New!$A:$M, 6, FALSE), ""))</f>
        <v/>
      </c>
      <c r="F1145" s="239">
        <v>30.0</v>
      </c>
      <c r="G1145" s="16"/>
      <c r="H1145" s="33">
        <v>30.0</v>
      </c>
      <c r="I1145" s="238">
        <v>46136.0</v>
      </c>
      <c r="J1145" s="5" t="s">
        <v>72</v>
      </c>
      <c r="K1145" s="5" t="s">
        <v>3951</v>
      </c>
      <c r="L1145" s="16"/>
      <c r="M1145" s="19" t="s">
        <v>5302</v>
      </c>
      <c r="N1145" s="16">
        <f t="shared" si="12"/>
        <v>230</v>
      </c>
      <c r="O1145" s="5">
        <f t="shared" si="13"/>
        <v>1200</v>
      </c>
      <c r="P1145" s="5">
        <v>1430.0</v>
      </c>
    </row>
    <row r="1146" ht="22.5" customHeight="1">
      <c r="A1146" s="138" t="s">
        <v>385</v>
      </c>
      <c r="B1146" s="16" t="str">
        <f>IF(A1146="","",IFERROR(VLOOKUP(A1146, Stock_New!A:M, 2, FALSE),""))</f>
        <v>كهربائيات</v>
      </c>
      <c r="C1146" s="236">
        <v>1.0</v>
      </c>
      <c r="D1146" s="16" t="str">
        <f>IF(A1146="","",IFERROR(VLOOKUP(A1146, Stock_New!A:M, 3, FALSE),""))</f>
        <v>سنتر محمد رشدي</v>
      </c>
      <c r="E1146" s="16">
        <f>IF($A1146="", "", IFERROR(VLOOKUP($A1146, Stock_New!$A:$M, 6, FALSE), ""))</f>
        <v>275.4</v>
      </c>
      <c r="F1146" s="239">
        <v>280.0</v>
      </c>
      <c r="G1146" s="16"/>
      <c r="H1146" s="33">
        <v>280.0</v>
      </c>
      <c r="I1146" s="238">
        <v>46136.0</v>
      </c>
      <c r="J1146" s="5" t="s">
        <v>72</v>
      </c>
      <c r="K1146" s="5" t="s">
        <v>3952</v>
      </c>
      <c r="L1146" s="16"/>
      <c r="M1146" s="19" t="s">
        <v>5302</v>
      </c>
      <c r="N1146" s="16">
        <f t="shared" si="12"/>
        <v>230</v>
      </c>
      <c r="O1146" s="5">
        <f t="shared" si="13"/>
        <v>1200</v>
      </c>
      <c r="P1146" s="5">
        <v>1430.0</v>
      </c>
    </row>
    <row r="1147" ht="22.5" customHeight="1">
      <c r="A1147" s="138" t="s">
        <v>633</v>
      </c>
      <c r="B1147" s="16" t="str">
        <f>IF(A1147="","",IFERROR(VLOOKUP(A1147, Stock_New!A:M, 2, FALSE),""))</f>
        <v>سيلفرات</v>
      </c>
      <c r="C1147" s="236">
        <v>1.0</v>
      </c>
      <c r="D1147" s="16" t="str">
        <f>IF(A1147="","",IFERROR(VLOOKUP(A1147, Stock_New!A:M, 3, FALSE),""))</f>
        <v>سنتر محمد رشدي</v>
      </c>
      <c r="E1147" s="16">
        <f>IF($A1147="", "", IFERROR(VLOOKUP($A1147, Stock_New!$A:$M, 6, FALSE), ""))</f>
        <v>153.6</v>
      </c>
      <c r="F1147" s="239">
        <v>170.0</v>
      </c>
      <c r="G1147" s="16"/>
      <c r="H1147" s="33">
        <v>170.0</v>
      </c>
      <c r="I1147" s="238">
        <v>46136.0</v>
      </c>
      <c r="J1147" s="5" t="s">
        <v>72</v>
      </c>
      <c r="K1147" s="5" t="s">
        <v>4073</v>
      </c>
      <c r="L1147" s="16"/>
      <c r="M1147" s="19" t="s">
        <v>5302</v>
      </c>
      <c r="N1147" s="16">
        <f t="shared" si="12"/>
        <v>230</v>
      </c>
      <c r="O1147" s="5">
        <f t="shared" si="13"/>
        <v>1200</v>
      </c>
      <c r="P1147" s="5">
        <v>1430.0</v>
      </c>
    </row>
    <row r="1148" ht="22.5" customHeight="1">
      <c r="A1148" s="138" t="s">
        <v>601</v>
      </c>
      <c r="B1148" s="16" t="str">
        <f>IF(A1148="","",IFERROR(VLOOKUP(A1148, Stock_New!A:M, 2, FALSE),""))</f>
        <v>مروحة</v>
      </c>
      <c r="C1148" s="236">
        <v>1.0</v>
      </c>
      <c r="D1148" s="16" t="str">
        <f>IF(A1148="","",IFERROR(VLOOKUP(A1148, Stock_New!A:M, 3, FALSE),""))</f>
        <v>سنتر محمد رشدي</v>
      </c>
      <c r="E1148" s="16">
        <f>IF($A1148="", "", IFERROR(VLOOKUP($A1148, Stock_New!$A:$M, 6, FALSE), ""))</f>
        <v>21.5</v>
      </c>
      <c r="F1148" s="239">
        <v>25.0</v>
      </c>
      <c r="G1148" s="16"/>
      <c r="H1148" s="33">
        <v>25.0</v>
      </c>
      <c r="I1148" s="238">
        <v>46138.0</v>
      </c>
      <c r="J1148" s="5" t="s">
        <v>72</v>
      </c>
      <c r="K1148" s="5" t="s">
        <v>3954</v>
      </c>
      <c r="L1148" s="16"/>
      <c r="M1148" s="19"/>
      <c r="N1148" s="16"/>
      <c r="O1148" s="16"/>
      <c r="P1148" s="16"/>
    </row>
    <row r="1149" ht="22.5" customHeight="1">
      <c r="A1149" s="138" t="s">
        <v>902</v>
      </c>
      <c r="B1149" s="16" t="str">
        <f>IF(A1149="","",IFERROR(VLOOKUP(A1149, Stock_New!A:M, 2, FALSE),""))</f>
        <v>خشب</v>
      </c>
      <c r="C1149" s="236">
        <v>2.0</v>
      </c>
      <c r="D1149" s="16" t="str">
        <f>IF(A1149="","",IFERROR(VLOOKUP(A1149, Stock_New!A:M, 3, FALSE),""))</f>
        <v>شركة حسين علي</v>
      </c>
      <c r="E1149" s="16">
        <f>IF($A1149="", "", IFERROR(VLOOKUP($A1149, Stock_New!$A:$M, 6, FALSE), ""))</f>
        <v>108.35</v>
      </c>
      <c r="F1149" s="239">
        <v>100.0</v>
      </c>
      <c r="G1149" s="16"/>
      <c r="H1149" s="33">
        <v>200.0</v>
      </c>
      <c r="I1149" s="238">
        <v>46138.0</v>
      </c>
      <c r="J1149" s="5" t="s">
        <v>72</v>
      </c>
      <c r="K1149" s="5" t="s">
        <v>3956</v>
      </c>
      <c r="L1149" s="16"/>
      <c r="M1149" s="19"/>
      <c r="N1149" s="16"/>
      <c r="O1149" s="16"/>
      <c r="P1149" s="16"/>
    </row>
    <row r="1150" ht="22.5" customHeight="1">
      <c r="A1150" s="138" t="s">
        <v>885</v>
      </c>
      <c r="B1150" s="16" t="str">
        <f>IF(A1150="","",IFERROR(VLOOKUP(A1150, Stock_New!A:M, 2, FALSE),""))</f>
        <v>ورد لوحدة</v>
      </c>
      <c r="C1150" s="236">
        <v>1.0</v>
      </c>
      <c r="D1150" s="16" t="str">
        <f>IF(A1150="","",IFERROR(VLOOKUP(A1150, Stock_New!A:M, 3, FALSE),""))</f>
        <v>شركة حسين علي</v>
      </c>
      <c r="E1150" s="16">
        <f>IF($A1150="", "", IFERROR(VLOOKUP($A1150, Stock_New!$A:$M, 6, FALSE), ""))</f>
        <v>162</v>
      </c>
      <c r="F1150" s="239">
        <v>150.0</v>
      </c>
      <c r="G1150" s="16"/>
      <c r="H1150" s="33">
        <v>150.0</v>
      </c>
      <c r="I1150" s="238">
        <v>46138.0</v>
      </c>
      <c r="J1150" s="5" t="s">
        <v>72</v>
      </c>
      <c r="K1150" s="5" t="s">
        <v>3958</v>
      </c>
      <c r="L1150" s="16"/>
      <c r="M1150" s="19"/>
      <c r="N1150" s="16"/>
      <c r="O1150" s="16"/>
      <c r="P1150" s="16"/>
    </row>
    <row r="1151" ht="22.5" customHeight="1">
      <c r="A1151" s="138" t="s">
        <v>77</v>
      </c>
      <c r="B1151" s="16" t="str">
        <f>IF(A1151="","",IFERROR(VLOOKUP(A1151, Stock_New!A:M, 2, FALSE),""))</f>
        <v>شجر</v>
      </c>
      <c r="C1151" s="236">
        <v>1.0</v>
      </c>
      <c r="D1151" s="16" t="str">
        <f>IF(A1151="","",IFERROR(VLOOKUP(A1151, Stock_New!A:M, 3, FALSE),""))</f>
        <v>manufactured</v>
      </c>
      <c r="E1151" s="16">
        <f>IF($A1151="", "", IFERROR(VLOOKUP($A1151, Stock_New!$A:$M, 6, FALSE), ""))</f>
        <v>378</v>
      </c>
      <c r="F1151" s="239">
        <v>430.0</v>
      </c>
      <c r="G1151" s="16"/>
      <c r="H1151" s="33">
        <v>430.0</v>
      </c>
      <c r="I1151" s="238">
        <v>46138.0</v>
      </c>
      <c r="J1151" s="5" t="s">
        <v>72</v>
      </c>
      <c r="K1151" s="5" t="s">
        <v>3960</v>
      </c>
      <c r="L1151" s="16"/>
      <c r="M1151" s="19"/>
      <c r="N1151" s="16"/>
      <c r="O1151" s="16"/>
      <c r="P1151" s="16"/>
    </row>
    <row r="1152" ht="22.5" customHeight="1">
      <c r="A1152" s="138" t="s">
        <v>91</v>
      </c>
      <c r="B1152" s="16" t="str">
        <f>IF(A1152="","",IFERROR(VLOOKUP(A1152, Stock_New!A:M, 2, FALSE),""))</f>
        <v>بوتات</v>
      </c>
      <c r="C1152" s="236">
        <v>1.0</v>
      </c>
      <c r="D1152" s="16" t="str">
        <f>IF(A1152="","",IFERROR(VLOOKUP(A1152, Stock_New!A:M, 3, FALSE),""))</f>
        <v>عبدالفتاح</v>
      </c>
      <c r="E1152" s="16">
        <f>IF($A1152="", "", IFERROR(VLOOKUP($A1152, Stock_New!$A:$M, 6, FALSE), ""))</f>
        <v>42</v>
      </c>
      <c r="F1152" s="239">
        <v>50.0</v>
      </c>
      <c r="G1152" s="16"/>
      <c r="H1152" s="33">
        <v>50.0</v>
      </c>
      <c r="I1152" s="238">
        <v>46138.0</v>
      </c>
      <c r="J1152" s="5" t="s">
        <v>72</v>
      </c>
      <c r="K1152" s="5" t="s">
        <v>3962</v>
      </c>
      <c r="L1152" s="16"/>
      <c r="M1152" s="19"/>
      <c r="N1152" s="16"/>
      <c r="O1152" s="16"/>
      <c r="P1152" s="16"/>
    </row>
    <row r="1153" ht="22.5" customHeight="1">
      <c r="A1153" s="138" t="s">
        <v>1156</v>
      </c>
      <c r="B1153" s="16" t="str">
        <f>IF(A1153="","",IFERROR(VLOOKUP(A1153, Stock_New!A:M, 2, FALSE),""))</f>
        <v>بوكيه</v>
      </c>
      <c r="C1153" s="236">
        <v>16.0</v>
      </c>
      <c r="D1153" s="16" t="str">
        <f>IF(A1153="","",IFERROR(VLOOKUP(A1153, Stock_New!A:M, 3, FALSE),""))</f>
        <v>manufactured</v>
      </c>
      <c r="E1153" s="16">
        <f>IF($A1153="", "", IFERROR(VLOOKUP($A1153, Stock_New!$A:$M, 6, FALSE), ""))</f>
        <v>15</v>
      </c>
      <c r="F1153" s="239">
        <v>20.0</v>
      </c>
      <c r="G1153" s="16"/>
      <c r="H1153" s="33">
        <v>320.0</v>
      </c>
      <c r="I1153" s="238">
        <v>46138.0</v>
      </c>
      <c r="J1153" s="5" t="s">
        <v>72</v>
      </c>
      <c r="K1153" s="5" t="s">
        <v>3964</v>
      </c>
      <c r="L1153" s="16"/>
      <c r="M1153" s="19"/>
      <c r="N1153" s="16"/>
      <c r="O1153" s="16"/>
      <c r="P1153" s="16"/>
    </row>
    <row r="1154" ht="22.5" customHeight="1">
      <c r="A1154" s="138" t="s">
        <v>756</v>
      </c>
      <c r="B1154" s="16" t="str">
        <f>IF(A1154="","",IFERROR(VLOOKUP(A1154, Stock_New!A:M, 2, FALSE),""))</f>
        <v>ورد لوحدة</v>
      </c>
      <c r="C1154" s="236">
        <f>2/7</f>
        <v>0.2857142857</v>
      </c>
      <c r="D1154" s="16" t="str">
        <f>IF(A1154="","",IFERROR(VLOOKUP(A1154, Stock_New!A:M, 3, FALSE),""))</f>
        <v>شركة حسين علي</v>
      </c>
      <c r="E1154" s="16">
        <f>IF($A1154="", "", IFERROR(VLOOKUP($A1154, Stock_New!$A:$M, 6, FALSE), ""))</f>
        <v>36</v>
      </c>
      <c r="F1154" s="239">
        <v>70.0</v>
      </c>
      <c r="G1154" s="16"/>
      <c r="H1154" s="33">
        <v>20.0</v>
      </c>
      <c r="I1154" s="238">
        <v>46139.0</v>
      </c>
      <c r="J1154" s="5" t="s">
        <v>72</v>
      </c>
      <c r="K1154" s="5" t="s">
        <v>3965</v>
      </c>
      <c r="L1154" s="16"/>
      <c r="M1154" s="19"/>
      <c r="N1154" s="16"/>
      <c r="O1154" s="16"/>
      <c r="P1154" s="16"/>
    </row>
    <row r="1155" ht="22.5" customHeight="1">
      <c r="A1155" s="138" t="s">
        <v>902</v>
      </c>
      <c r="B1155" s="16" t="str">
        <f>IF(A1155="","",IFERROR(VLOOKUP(A1155, Stock_New!A:M, 2, FALSE),""))</f>
        <v>خشب</v>
      </c>
      <c r="C1155" s="236">
        <v>1.0</v>
      </c>
      <c r="D1155" s="16" t="str">
        <f>IF(A1155="","",IFERROR(VLOOKUP(A1155, Stock_New!A:M, 3, FALSE),""))</f>
        <v>شركة حسين علي</v>
      </c>
      <c r="E1155" s="16">
        <f>IF($A1155="", "", IFERROR(VLOOKUP($A1155, Stock_New!$A:$M, 6, FALSE), ""))</f>
        <v>108.35</v>
      </c>
      <c r="F1155" s="239">
        <v>100.0</v>
      </c>
      <c r="G1155" s="16"/>
      <c r="H1155" s="33">
        <v>100.0</v>
      </c>
      <c r="I1155" s="238">
        <v>46140.0</v>
      </c>
      <c r="J1155" s="5" t="s">
        <v>72</v>
      </c>
      <c r="K1155" s="5" t="s">
        <v>3967</v>
      </c>
      <c r="L1155" s="16"/>
      <c r="M1155" s="19"/>
      <c r="N1155" s="16"/>
      <c r="O1155" s="16"/>
      <c r="P1155" s="16"/>
    </row>
    <row r="1156" ht="22.5" customHeight="1">
      <c r="A1156" s="138" t="s">
        <v>306</v>
      </c>
      <c r="B1156" s="16" t="str">
        <f>IF(A1156="","",IFERROR(VLOOKUP(A1156, Stock_New!A:M, 2, FALSE),""))</f>
        <v>ورد لوحدة</v>
      </c>
      <c r="C1156" s="236">
        <v>2.0</v>
      </c>
      <c r="D1156" s="16" t="str">
        <f>IF(A1156="","",IFERROR(VLOOKUP(A1156, Stock_New!A:M, 3, FALSE),""))</f>
        <v>شركة الفرسان</v>
      </c>
      <c r="E1156" s="16">
        <f>IF($A1156="", "", IFERROR(VLOOKUP($A1156, Stock_New!$A:$M, 6, FALSE), ""))</f>
        <v>11</v>
      </c>
      <c r="F1156" s="239">
        <v>25.0</v>
      </c>
      <c r="G1156" s="16"/>
      <c r="H1156" s="33">
        <v>50.0</v>
      </c>
      <c r="I1156" s="238">
        <v>46506.0</v>
      </c>
      <c r="J1156" s="5" t="s">
        <v>72</v>
      </c>
      <c r="K1156" s="5" t="s">
        <v>3973</v>
      </c>
      <c r="L1156" s="16"/>
      <c r="M1156" s="19"/>
      <c r="N1156" s="16"/>
      <c r="O1156" s="16"/>
      <c r="P1156" s="16"/>
    </row>
    <row r="1157" ht="22.5" customHeight="1">
      <c r="A1157" s="138" t="s">
        <v>802</v>
      </c>
      <c r="B1157" s="16" t="str">
        <f>IF(A1157="","",IFERROR(VLOOKUP(A1157, Stock_New!A:M, 2, FALSE),""))</f>
        <v>بخور</v>
      </c>
      <c r="C1157" s="236">
        <v>1.0</v>
      </c>
      <c r="D1157" s="16" t="str">
        <f>IF(A1157="","",IFERROR(VLOOKUP(A1157, Stock_New!A:M, 3, FALSE),""))</f>
        <v/>
      </c>
      <c r="E1157" s="16">
        <f>IF($A1157="", "", IFERROR(VLOOKUP($A1157, Stock_New!$A:$M, 6, FALSE), ""))</f>
        <v>64</v>
      </c>
      <c r="F1157" s="239">
        <v>70.0</v>
      </c>
      <c r="G1157" s="16"/>
      <c r="H1157" s="33">
        <v>70.0</v>
      </c>
      <c r="I1157" s="238">
        <v>46507.0</v>
      </c>
      <c r="J1157" s="5" t="s">
        <v>72</v>
      </c>
      <c r="K1157" s="5" t="s">
        <v>3970</v>
      </c>
      <c r="L1157" s="16"/>
      <c r="M1157" s="19"/>
      <c r="N1157" s="5"/>
      <c r="O1157" s="5"/>
      <c r="P1157" s="5"/>
    </row>
    <row r="1158" ht="22.5" customHeight="1">
      <c r="A1158" s="138" t="s">
        <v>77</v>
      </c>
      <c r="B1158" s="16" t="str">
        <f>IF(A1158="","",IFERROR(VLOOKUP(A1158, Stock_New!A:M, 2, FALSE),""))</f>
        <v>شجر</v>
      </c>
      <c r="C1158" s="236">
        <v>1.0</v>
      </c>
      <c r="D1158" s="16" t="str">
        <f>IF(A1158="","",IFERROR(VLOOKUP(A1158, Stock_New!A:M, 3, FALSE),""))</f>
        <v>manufactured</v>
      </c>
      <c r="E1158" s="16">
        <f>IF($A1158="", "", IFERROR(VLOOKUP($A1158, Stock_New!$A:$M, 6, FALSE), ""))</f>
        <v>378</v>
      </c>
      <c r="F1158" s="239">
        <v>420.0</v>
      </c>
      <c r="G1158" s="16"/>
      <c r="H1158" s="33">
        <f t="shared" ref="H1158:H1163" si="14">F1158*C1158</f>
        <v>420</v>
      </c>
      <c r="I1158" s="238">
        <v>46507.0</v>
      </c>
      <c r="J1158" s="5" t="s">
        <v>72</v>
      </c>
      <c r="K1158" s="19" t="s">
        <v>5303</v>
      </c>
      <c r="L1158" s="16"/>
      <c r="M1158" s="19" t="s">
        <v>5302</v>
      </c>
      <c r="N1158" s="5">
        <v>1090.0</v>
      </c>
      <c r="O1158" s="5">
        <v>0.0</v>
      </c>
      <c r="P1158" s="5">
        <v>1090.0</v>
      </c>
    </row>
    <row r="1159" ht="22.5" customHeight="1">
      <c r="A1159" s="138" t="s">
        <v>91</v>
      </c>
      <c r="B1159" s="16" t="str">
        <f>IF(A1159="","",IFERROR(VLOOKUP(A1159, Stock_New!A:M, 2, FALSE),""))</f>
        <v>بوتات</v>
      </c>
      <c r="C1159" s="236">
        <v>1.0</v>
      </c>
      <c r="D1159" s="16" t="str">
        <f>IF(A1159="","",IFERROR(VLOOKUP(A1159, Stock_New!A:M, 3, FALSE),""))</f>
        <v>عبدالفتاح</v>
      </c>
      <c r="E1159" s="16">
        <f>IF($A1159="", "", IFERROR(VLOOKUP($A1159, Stock_New!$A:$M, 6, FALSE), ""))</f>
        <v>42</v>
      </c>
      <c r="F1159" s="239">
        <v>50.0</v>
      </c>
      <c r="G1159" s="16"/>
      <c r="H1159" s="33">
        <f t="shared" si="14"/>
        <v>50</v>
      </c>
      <c r="I1159" s="238">
        <v>46507.0</v>
      </c>
      <c r="J1159" s="5" t="s">
        <v>72</v>
      </c>
      <c r="K1159" s="19" t="s">
        <v>5303</v>
      </c>
      <c r="L1159" s="16"/>
      <c r="M1159" s="19" t="s">
        <v>5302</v>
      </c>
      <c r="N1159" s="5">
        <v>1090.0</v>
      </c>
      <c r="O1159" s="5">
        <v>0.0</v>
      </c>
      <c r="P1159" s="5">
        <v>1090.0</v>
      </c>
    </row>
    <row r="1160" ht="22.5" customHeight="1">
      <c r="A1160" s="138" t="s">
        <v>200</v>
      </c>
      <c r="B1160" s="16" t="str">
        <f>IF(A1160="","",IFERROR(VLOOKUP(A1160, Stock_New!A:M, 2, FALSE),""))</f>
        <v>شجر</v>
      </c>
      <c r="C1160" s="236">
        <v>2.0</v>
      </c>
      <c r="D1160" s="16" t="str">
        <f>IF(A1160="","",IFERROR(VLOOKUP(A1160, Stock_New!A:M, 3, FALSE),""))</f>
        <v>عبدالفتاح</v>
      </c>
      <c r="E1160" s="16">
        <f>IF($A1160="", "", IFERROR(VLOOKUP($A1160, Stock_New!$A:$M, 6, FALSE), ""))</f>
        <v>144</v>
      </c>
      <c r="F1160" s="239">
        <v>200.0</v>
      </c>
      <c r="G1160" s="16"/>
      <c r="H1160" s="33">
        <f t="shared" si="14"/>
        <v>400</v>
      </c>
      <c r="I1160" s="238">
        <v>46507.0</v>
      </c>
      <c r="J1160" s="5" t="s">
        <v>72</v>
      </c>
      <c r="K1160" s="19" t="s">
        <v>5303</v>
      </c>
      <c r="L1160" s="16"/>
      <c r="M1160" s="19" t="s">
        <v>5302</v>
      </c>
      <c r="N1160" s="5">
        <v>1090.0</v>
      </c>
      <c r="O1160" s="5">
        <v>0.0</v>
      </c>
      <c r="P1160" s="5">
        <v>1090.0</v>
      </c>
    </row>
    <row r="1161" ht="22.5" customHeight="1">
      <c r="A1161" s="138" t="s">
        <v>309</v>
      </c>
      <c r="B1161" s="16" t="str">
        <f>IF(A1161="","",IFERROR(VLOOKUP(A1161, Stock_New!A:M, 2, FALSE),""))</f>
        <v>بوتات</v>
      </c>
      <c r="C1161" s="236">
        <v>2.0</v>
      </c>
      <c r="D1161" s="16" t="str">
        <f>IF(A1161="","",IFERROR(VLOOKUP(A1161, Stock_New!A:M, 3, FALSE),""))</f>
        <v>شركة حسين علي</v>
      </c>
      <c r="E1161" s="16">
        <f>IF($A1161="", "", IFERROR(VLOOKUP($A1161, Stock_New!$A:$M, 6, FALSE), ""))</f>
        <v>24</v>
      </c>
      <c r="F1161" s="239">
        <v>25.0</v>
      </c>
      <c r="G1161" s="16"/>
      <c r="H1161" s="33">
        <f t="shared" si="14"/>
        <v>50</v>
      </c>
      <c r="I1161" s="238">
        <v>46507.0</v>
      </c>
      <c r="J1161" s="5" t="s">
        <v>72</v>
      </c>
      <c r="K1161" s="19" t="s">
        <v>5303</v>
      </c>
      <c r="L1161" s="16"/>
      <c r="M1161" s="19" t="s">
        <v>5302</v>
      </c>
      <c r="N1161" s="5">
        <v>1090.0</v>
      </c>
      <c r="O1161" s="5">
        <v>0.0</v>
      </c>
      <c r="P1161" s="5">
        <v>1090.0</v>
      </c>
    </row>
    <row r="1162" ht="22.5" customHeight="1">
      <c r="A1162" s="138" t="s">
        <v>193</v>
      </c>
      <c r="B1162" s="16" t="str">
        <f>IF(A1162="","",IFERROR(VLOOKUP(A1162, Stock_New!A:M, 2, FALSE),""))</f>
        <v>شجر</v>
      </c>
      <c r="C1162" s="236">
        <v>1.0</v>
      </c>
      <c r="D1162" s="16" t="str">
        <f>IF(A1162="","",IFERROR(VLOOKUP(A1162, Stock_New!A:M, 3, FALSE),""))</f>
        <v>شركة حسين علي</v>
      </c>
      <c r="E1162" s="16">
        <f>IF($A1162="", "", IFERROR(VLOOKUP($A1162, Stock_New!$A:$M, 6, FALSE), ""))</f>
        <v>102</v>
      </c>
      <c r="F1162" s="239">
        <v>150.0</v>
      </c>
      <c r="G1162" s="16"/>
      <c r="H1162" s="33">
        <f t="shared" si="14"/>
        <v>150</v>
      </c>
      <c r="I1162" s="238">
        <v>46507.0</v>
      </c>
      <c r="J1162" s="5" t="s">
        <v>72</v>
      </c>
      <c r="K1162" s="19" t="s">
        <v>5303</v>
      </c>
      <c r="L1162" s="16"/>
      <c r="M1162" s="19" t="s">
        <v>5302</v>
      </c>
      <c r="N1162" s="5">
        <v>1090.0</v>
      </c>
      <c r="O1162" s="5">
        <v>0.0</v>
      </c>
      <c r="P1162" s="5">
        <v>1090.0</v>
      </c>
    </row>
    <row r="1163" ht="22.5" customHeight="1">
      <c r="A1163" s="138" t="s">
        <v>309</v>
      </c>
      <c r="B1163" s="16" t="str">
        <f>IF(A1163="","",IFERROR(VLOOKUP(A1163, Stock_New!A:M, 2, FALSE),""))</f>
        <v>بوتات</v>
      </c>
      <c r="C1163" s="236">
        <v>1.0</v>
      </c>
      <c r="D1163" s="16" t="str">
        <f>IF(A1163="","",IFERROR(VLOOKUP(A1163, Stock_New!A:M, 3, FALSE),""))</f>
        <v>شركة حسين علي</v>
      </c>
      <c r="E1163" s="16">
        <f>IF($A1163="", "", IFERROR(VLOOKUP($A1163, Stock_New!$A:$M, 6, FALSE), ""))</f>
        <v>24</v>
      </c>
      <c r="F1163" s="239">
        <v>20.0</v>
      </c>
      <c r="G1163" s="16"/>
      <c r="H1163" s="33">
        <f t="shared" si="14"/>
        <v>20</v>
      </c>
      <c r="I1163" s="238">
        <v>46507.0</v>
      </c>
      <c r="J1163" s="5" t="s">
        <v>72</v>
      </c>
      <c r="K1163" s="19" t="s">
        <v>5303</v>
      </c>
      <c r="L1163" s="16"/>
      <c r="M1163" s="19" t="s">
        <v>5302</v>
      </c>
      <c r="N1163" s="5">
        <v>1090.0</v>
      </c>
      <c r="O1163" s="5">
        <v>0.0</v>
      </c>
      <c r="P1163" s="5">
        <v>1090.0</v>
      </c>
    </row>
    <row r="1164" ht="22.5" customHeight="1">
      <c r="A1164" s="138" t="s">
        <v>923</v>
      </c>
      <c r="B1164" s="16" t="str">
        <f>IF(A1164="","",IFERROR(VLOOKUP(A1164, Stock_New!A:M, 2, FALSE),""))</f>
        <v>سيلفرات</v>
      </c>
      <c r="C1164" s="236">
        <v>2.0</v>
      </c>
      <c r="D1164" s="16" t="str">
        <f>IF(A1164="","",IFERROR(VLOOKUP(A1164, Stock_New!A:M, 3, FALSE),""))</f>
        <v>محمد رشدي</v>
      </c>
      <c r="E1164" s="16">
        <f>IF($A1164="", "", IFERROR(VLOOKUP($A1164, Stock_New!$A:$M, 6, FALSE), ""))</f>
        <v>154.8</v>
      </c>
      <c r="F1164" s="239">
        <v>170.0</v>
      </c>
      <c r="G1164" s="5">
        <f t="shared" ref="G1164:G1166" si="15">5/100</f>
        <v>0.05</v>
      </c>
      <c r="H1164" s="33">
        <f t="shared" ref="H1164:H1175" si="16">C1164*F1164-G1164*F1164*C1164</f>
        <v>323</v>
      </c>
      <c r="I1164" s="238">
        <v>46149.0</v>
      </c>
      <c r="J1164" s="5" t="s">
        <v>72</v>
      </c>
      <c r="K1164" s="5" t="s">
        <v>4001</v>
      </c>
      <c r="L1164" s="16"/>
      <c r="M1164" s="19"/>
      <c r="N1164" s="16"/>
      <c r="O1164" s="16"/>
      <c r="P1164" s="16"/>
    </row>
    <row r="1165" ht="22.5" customHeight="1">
      <c r="A1165" s="138" t="s">
        <v>768</v>
      </c>
      <c r="B1165" s="16" t="str">
        <f>IF(A1165="","",IFERROR(VLOOKUP(A1165, Stock_New!A:M, 2, FALSE),""))</f>
        <v>خزف</v>
      </c>
      <c r="C1165" s="236">
        <v>1.0</v>
      </c>
      <c r="D1165" s="16" t="str">
        <f>IF(A1165="","",IFERROR(VLOOKUP(A1165, Stock_New!A:M, 3, FALSE),""))</f>
        <v>ذكريا</v>
      </c>
      <c r="E1165" s="16">
        <f>IF($A1165="", "", IFERROR(VLOOKUP($A1165, Stock_New!$A:$M, 6, FALSE), ""))</f>
        <v>36</v>
      </c>
      <c r="F1165" s="239">
        <v>60.0</v>
      </c>
      <c r="G1165" s="5">
        <f t="shared" si="15"/>
        <v>0.05</v>
      </c>
      <c r="H1165" s="33">
        <f t="shared" si="16"/>
        <v>57</v>
      </c>
      <c r="I1165" s="238">
        <v>46149.0</v>
      </c>
      <c r="J1165" s="5" t="s">
        <v>72</v>
      </c>
      <c r="K1165" s="5" t="s">
        <v>3975</v>
      </c>
      <c r="L1165" s="16"/>
      <c r="M1165" s="19"/>
      <c r="N1165" s="16"/>
      <c r="O1165" s="16"/>
      <c r="P1165" s="16"/>
    </row>
    <row r="1166" ht="22.5" customHeight="1">
      <c r="A1166" s="138" t="s">
        <v>812</v>
      </c>
      <c r="B1166" s="16" t="str">
        <f>IF(A1166="","",IFERROR(VLOOKUP(A1166, Stock_New!A:M, 2, FALSE),""))</f>
        <v/>
      </c>
      <c r="C1166" s="236">
        <v>3.0</v>
      </c>
      <c r="D1166" s="16" t="str">
        <f>IF(A1166="","",IFERROR(VLOOKUP(A1166, Stock_New!A:M, 3, FALSE),""))</f>
        <v/>
      </c>
      <c r="E1166" s="16" t="str">
        <f>IF($A1166="", "", IFERROR(VLOOKUP($A1166, Stock_New!$A:$M, 6, FALSE), ""))</f>
        <v/>
      </c>
      <c r="F1166" s="239">
        <v>20.0</v>
      </c>
      <c r="G1166" s="5">
        <f t="shared" si="15"/>
        <v>0.05</v>
      </c>
      <c r="H1166" s="33">
        <f t="shared" si="16"/>
        <v>57</v>
      </c>
      <c r="I1166" s="238">
        <v>46149.0</v>
      </c>
      <c r="J1166" s="5" t="s">
        <v>72</v>
      </c>
      <c r="K1166" s="5" t="s">
        <v>3976</v>
      </c>
      <c r="L1166" s="16"/>
      <c r="M1166" s="19"/>
      <c r="N1166" s="16"/>
      <c r="O1166" s="16"/>
      <c r="P1166" s="16"/>
    </row>
    <row r="1167" ht="22.5" customHeight="1">
      <c r="A1167" s="138" t="s">
        <v>640</v>
      </c>
      <c r="B1167" s="16" t="str">
        <f>IF(A1167="","",IFERROR(VLOOKUP(A1167, Stock_New!A:M, 2, FALSE),""))</f>
        <v>سيلفرات</v>
      </c>
      <c r="C1167" s="236">
        <v>2.0</v>
      </c>
      <c r="D1167" s="16" t="str">
        <f>IF(A1167="","",IFERROR(VLOOKUP(A1167, Stock_New!A:M, 3, FALSE),""))</f>
        <v>سنتر محمد رشدي</v>
      </c>
      <c r="E1167" s="16">
        <f>IF($A1167="", "", IFERROR(VLOOKUP($A1167, Stock_New!$A:$M, 6, FALSE), ""))</f>
        <v>200.4</v>
      </c>
      <c r="F1167" s="239">
        <v>210.0</v>
      </c>
      <c r="G1167" s="5">
        <f>1/10</f>
        <v>0.1</v>
      </c>
      <c r="H1167" s="33">
        <f t="shared" si="16"/>
        <v>378</v>
      </c>
      <c r="I1167" s="238">
        <v>46149.0</v>
      </c>
      <c r="J1167" s="5" t="s">
        <v>72</v>
      </c>
      <c r="K1167" s="5" t="s">
        <v>3977</v>
      </c>
      <c r="L1167" s="16"/>
      <c r="M1167" s="19"/>
      <c r="N1167" s="16"/>
      <c r="O1167" s="16"/>
      <c r="P1167" s="16"/>
    </row>
    <row r="1168" ht="22.5" customHeight="1">
      <c r="A1168" s="138" t="s">
        <v>812</v>
      </c>
      <c r="B1168" s="16" t="str">
        <f>IF(A1168="","",IFERROR(VLOOKUP(A1168, Stock_New!A:M, 2, FALSE),""))</f>
        <v/>
      </c>
      <c r="C1168" s="236">
        <v>6.0</v>
      </c>
      <c r="D1168" s="16" t="str">
        <f>IF(A1168="","",IFERROR(VLOOKUP(A1168, Stock_New!A:M, 3, FALSE),""))</f>
        <v/>
      </c>
      <c r="E1168" s="16" t="str">
        <f>IF($A1168="", "", IFERROR(VLOOKUP($A1168, Stock_New!$A:$M, 6, FALSE), ""))</f>
        <v/>
      </c>
      <c r="F1168" s="239">
        <v>20.0</v>
      </c>
      <c r="G1168" s="5">
        <f>5/100</f>
        <v>0.05</v>
      </c>
      <c r="H1168" s="33">
        <f t="shared" si="16"/>
        <v>114</v>
      </c>
      <c r="I1168" s="238">
        <v>46149.0</v>
      </c>
      <c r="J1168" s="5" t="s">
        <v>72</v>
      </c>
      <c r="K1168" s="5" t="s">
        <v>3978</v>
      </c>
      <c r="L1168" s="16"/>
      <c r="M1168" s="19"/>
      <c r="N1168" s="16"/>
      <c r="O1168" s="16"/>
      <c r="P1168" s="16"/>
    </row>
    <row r="1169" ht="22.5" customHeight="1">
      <c r="A1169" s="138" t="s">
        <v>577</v>
      </c>
      <c r="B1169" s="16" t="str">
        <f>IF(A1169="","",IFERROR(VLOOKUP(A1169, Stock_New!A:M, 2, FALSE),""))</f>
        <v>شمع</v>
      </c>
      <c r="C1169" s="236">
        <v>1.0</v>
      </c>
      <c r="D1169" s="16" t="str">
        <f>IF(A1169="","",IFERROR(VLOOKUP(A1169, Stock_New!A:M, 3, FALSE),""))</f>
        <v>محمد رشدي</v>
      </c>
      <c r="E1169" s="16">
        <f>IF($A1169="", "", IFERROR(VLOOKUP($A1169, Stock_New!$A:$M, 6, FALSE), ""))</f>
        <v>210</v>
      </c>
      <c r="F1169" s="239">
        <v>295.0</v>
      </c>
      <c r="G1169" s="5">
        <f>1/10</f>
        <v>0.1</v>
      </c>
      <c r="H1169" s="33">
        <f t="shared" si="16"/>
        <v>265.5</v>
      </c>
      <c r="I1169" s="238">
        <v>46149.0</v>
      </c>
      <c r="J1169" s="5" t="s">
        <v>72</v>
      </c>
      <c r="K1169" s="5" t="s">
        <v>3979</v>
      </c>
      <c r="L1169" s="16"/>
      <c r="M1169" s="19"/>
      <c r="N1169" s="16"/>
      <c r="O1169" s="16"/>
      <c r="P1169" s="16"/>
    </row>
    <row r="1170" ht="22.5" customHeight="1">
      <c r="A1170" s="138" t="s">
        <v>1055</v>
      </c>
      <c r="B1170" s="16" t="str">
        <f>IF(A1170="","",IFERROR(VLOOKUP(A1170, Stock_New!A:M, 2, FALSE),""))</f>
        <v>حجر</v>
      </c>
      <c r="C1170" s="236">
        <v>5.0</v>
      </c>
      <c r="D1170" s="16" t="str">
        <f>IF(A1170="","",IFERROR(VLOOKUP(A1170, Stock_New!A:M, 3, FALSE),""))</f>
        <v>محمد رشدي</v>
      </c>
      <c r="E1170" s="16">
        <f>IF($A1170="", "", IFERROR(VLOOKUP($A1170, Stock_New!$A:$M, 6, FALSE), ""))</f>
        <v>15</v>
      </c>
      <c r="F1170" s="239">
        <v>15.0</v>
      </c>
      <c r="G1170" s="5">
        <f t="shared" ref="G1170:G1175" si="17">5/100</f>
        <v>0.05</v>
      </c>
      <c r="H1170" s="33">
        <f t="shared" si="16"/>
        <v>71.25</v>
      </c>
      <c r="I1170" s="238">
        <v>46149.0</v>
      </c>
      <c r="J1170" s="5" t="s">
        <v>72</v>
      </c>
      <c r="K1170" s="5" t="s">
        <v>3980</v>
      </c>
      <c r="L1170" s="16"/>
      <c r="M1170" s="19"/>
      <c r="N1170" s="16"/>
      <c r="O1170" s="16"/>
      <c r="P1170" s="16"/>
    </row>
    <row r="1171" ht="22.5" customHeight="1">
      <c r="A1171" s="138" t="s">
        <v>611</v>
      </c>
      <c r="B1171" s="16" t="str">
        <f>IF(A1171="","",IFERROR(VLOOKUP(A1171, Stock_New!A:M, 2, FALSE),""))</f>
        <v>مجسم</v>
      </c>
      <c r="C1171" s="236">
        <v>1.0</v>
      </c>
      <c r="D1171" s="16" t="str">
        <f>IF(A1171="","",IFERROR(VLOOKUP(A1171, Stock_New!A:M, 3, FALSE),""))</f>
        <v>سنتر محمد رشدي</v>
      </c>
      <c r="E1171" s="16">
        <f>IF($A1171="", "", IFERROR(VLOOKUP($A1171, Stock_New!$A:$M, 6, FALSE), ""))</f>
        <v>34.8</v>
      </c>
      <c r="F1171" s="239">
        <v>50.0</v>
      </c>
      <c r="G1171" s="5">
        <f t="shared" si="17"/>
        <v>0.05</v>
      </c>
      <c r="H1171" s="33">
        <f t="shared" si="16"/>
        <v>47.5</v>
      </c>
      <c r="I1171" s="238">
        <v>46149.0</v>
      </c>
      <c r="J1171" s="5" t="s">
        <v>72</v>
      </c>
      <c r="K1171" s="5" t="s">
        <v>3981</v>
      </c>
      <c r="L1171" s="16"/>
      <c r="M1171" s="19"/>
      <c r="N1171" s="16"/>
      <c r="O1171" s="16"/>
      <c r="P1171" s="16"/>
    </row>
    <row r="1172" ht="22.5" customHeight="1">
      <c r="A1172" s="138" t="s">
        <v>1006</v>
      </c>
      <c r="B1172" s="16" t="str">
        <f>IF(A1172="","",IFERROR(VLOOKUP(A1172, Stock_New!A:M, 2, FALSE),""))</f>
        <v>خزف</v>
      </c>
      <c r="C1172" s="236">
        <v>1.0</v>
      </c>
      <c r="D1172" s="16" t="str">
        <f>IF(A1172="","",IFERROR(VLOOKUP(A1172, Stock_New!A:M, 3, FALSE),""))</f>
        <v>شركة حسين علي</v>
      </c>
      <c r="E1172" s="16">
        <f>IF($A1172="", "", IFERROR(VLOOKUP($A1172, Stock_New!$A:$M, 6, FALSE), ""))</f>
        <v>144</v>
      </c>
      <c r="F1172" s="239">
        <v>150.0</v>
      </c>
      <c r="G1172" s="5">
        <f t="shared" si="17"/>
        <v>0.05</v>
      </c>
      <c r="H1172" s="33">
        <f t="shared" si="16"/>
        <v>142.5</v>
      </c>
      <c r="I1172" s="238">
        <v>46149.0</v>
      </c>
      <c r="J1172" s="5" t="s">
        <v>72</v>
      </c>
      <c r="K1172" s="5" t="s">
        <v>4003</v>
      </c>
      <c r="L1172" s="16"/>
      <c r="M1172" s="19"/>
      <c r="N1172" s="16"/>
      <c r="O1172" s="16"/>
      <c r="P1172" s="16"/>
    </row>
    <row r="1173" ht="22.5" customHeight="1">
      <c r="A1173" s="138" t="s">
        <v>898</v>
      </c>
      <c r="B1173" s="16" t="str">
        <f>IF(A1173="","",IFERROR(VLOOKUP(A1173, Stock_New!A:M, 2, FALSE),""))</f>
        <v/>
      </c>
      <c r="C1173" s="236">
        <v>9.0</v>
      </c>
      <c r="D1173" s="16" t="str">
        <f>IF(A1173="","",IFERROR(VLOOKUP(A1173, Stock_New!A:M, 3, FALSE),""))</f>
        <v/>
      </c>
      <c r="E1173" s="16" t="str">
        <f>IF($A1173="", "", IFERROR(VLOOKUP($A1173, Stock_New!$A:$M, 6, FALSE), ""))</f>
        <v/>
      </c>
      <c r="F1173" s="239">
        <v>20.0</v>
      </c>
      <c r="G1173" s="5">
        <f t="shared" si="17"/>
        <v>0.05</v>
      </c>
      <c r="H1173" s="33">
        <f t="shared" si="16"/>
        <v>171</v>
      </c>
      <c r="I1173" s="238">
        <v>46149.0</v>
      </c>
      <c r="J1173" s="5" t="s">
        <v>72</v>
      </c>
      <c r="K1173" s="5" t="s">
        <v>4006</v>
      </c>
      <c r="L1173" s="16"/>
      <c r="M1173" s="19"/>
      <c r="N1173" s="16"/>
      <c r="O1173" s="16"/>
      <c r="P1173" s="16"/>
    </row>
    <row r="1174" ht="22.5" customHeight="1">
      <c r="A1174" s="138" t="s">
        <v>511</v>
      </c>
      <c r="B1174" s="16" t="str">
        <f>IF(A1174="","",IFERROR(VLOOKUP(A1174, Stock_New!A:M, 2, FALSE),""))</f>
        <v>خزف</v>
      </c>
      <c r="C1174" s="236">
        <v>2.0</v>
      </c>
      <c r="D1174" s="16" t="str">
        <f>IF(A1174="","",IFERROR(VLOOKUP(A1174, Stock_New!A:M, 3, FALSE),""))</f>
        <v>ذكريا</v>
      </c>
      <c r="E1174" s="16">
        <f>IF($A1174="", "", IFERROR(VLOOKUP($A1174, Stock_New!$A:$M, 6, FALSE), ""))</f>
        <v>48</v>
      </c>
      <c r="F1174" s="239">
        <v>60.0</v>
      </c>
      <c r="G1174" s="5">
        <f t="shared" si="17"/>
        <v>0.05</v>
      </c>
      <c r="H1174" s="33">
        <f t="shared" si="16"/>
        <v>114</v>
      </c>
      <c r="I1174" s="238">
        <v>46149.0</v>
      </c>
      <c r="J1174" s="5" t="s">
        <v>72</v>
      </c>
      <c r="K1174" s="5" t="s">
        <v>3987</v>
      </c>
      <c r="L1174" s="16"/>
      <c r="M1174" s="19"/>
      <c r="N1174" s="16"/>
      <c r="O1174" s="16"/>
      <c r="P1174" s="16"/>
    </row>
    <row r="1175" ht="22.5" customHeight="1">
      <c r="A1175" s="138" t="s">
        <v>898</v>
      </c>
      <c r="B1175" s="16" t="str">
        <f>IF(A1175="","",IFERROR(VLOOKUP(A1175, Stock_New!A:M, 2, FALSE),""))</f>
        <v/>
      </c>
      <c r="C1175" s="236">
        <v>6.0</v>
      </c>
      <c r="D1175" s="16" t="str">
        <f>IF(A1175="","",IFERROR(VLOOKUP(A1175, Stock_New!A:M, 3, FALSE),""))</f>
        <v/>
      </c>
      <c r="E1175" s="16" t="str">
        <f>IF($A1175="", "", IFERROR(VLOOKUP($A1175, Stock_New!$A:$M, 6, FALSE), ""))</f>
        <v/>
      </c>
      <c r="F1175" s="239">
        <v>20.0</v>
      </c>
      <c r="G1175" s="5">
        <f t="shared" si="17"/>
        <v>0.05</v>
      </c>
      <c r="H1175" s="33">
        <f t="shared" si="16"/>
        <v>114</v>
      </c>
      <c r="I1175" s="238">
        <v>46149.0</v>
      </c>
      <c r="J1175" s="5" t="s">
        <v>72</v>
      </c>
      <c r="K1175" s="5" t="s">
        <v>4007</v>
      </c>
      <c r="L1175" s="16"/>
      <c r="M1175" s="19"/>
      <c r="N1175" s="16"/>
      <c r="O1175" s="16"/>
      <c r="P1175" s="16"/>
    </row>
    <row r="1176" ht="22.5" customHeight="1">
      <c r="A1176" s="138" t="s">
        <v>1160</v>
      </c>
      <c r="B1176" s="16" t="str">
        <f>IF(A1176="","",IFERROR(VLOOKUP(A1176, Stock_New!A:M, 2, FALSE),""))</f>
        <v>جزوع</v>
      </c>
      <c r="C1176" s="236">
        <v>1.0</v>
      </c>
      <c r="D1176" s="16" t="str">
        <f>IF(A1176="","",IFERROR(VLOOKUP(A1176, Stock_New!A:M, 3, FALSE),""))</f>
        <v>عبدالفتاح</v>
      </c>
      <c r="E1176" s="16">
        <f>IF($A1176="", "", IFERROR(VLOOKUP($A1176, Stock_New!$A:$M, 6, FALSE), ""))</f>
        <v>66</v>
      </c>
      <c r="F1176" s="239">
        <v>60.0</v>
      </c>
      <c r="G1176" s="16"/>
      <c r="H1176" s="33">
        <v>60.0</v>
      </c>
      <c r="I1176" s="238">
        <v>46149.0</v>
      </c>
      <c r="J1176" s="5" t="s">
        <v>72</v>
      </c>
      <c r="K1176" s="5" t="s">
        <v>3989</v>
      </c>
      <c r="L1176" s="16"/>
      <c r="M1176" s="19"/>
      <c r="N1176" s="16"/>
      <c r="O1176" s="16"/>
      <c r="P1176" s="16"/>
    </row>
    <row r="1177" ht="22.5" customHeight="1">
      <c r="A1177" s="138" t="s">
        <v>1161</v>
      </c>
      <c r="B1177" s="16" t="str">
        <f>IF(A1177="","",IFERROR(VLOOKUP(A1177, Stock_New!A:M, 2, FALSE),""))</f>
        <v>ورد لوحدة</v>
      </c>
      <c r="C1177" s="236">
        <v>6.0</v>
      </c>
      <c r="D1177" s="16" t="str">
        <f>IF(A1177="","",IFERROR(VLOOKUP(A1177, Stock_New!A:M, 3, FALSE),""))</f>
        <v>شركة الفرسان</v>
      </c>
      <c r="E1177" s="16">
        <f>IF($A1177="", "", IFERROR(VLOOKUP($A1177, Stock_New!$A:$M, 6, FALSE), ""))</f>
        <v>108</v>
      </c>
      <c r="F1177" s="239">
        <v>100.0</v>
      </c>
      <c r="G1177" s="16"/>
      <c r="H1177" s="33">
        <v>600.0</v>
      </c>
      <c r="I1177" s="238">
        <v>46149.0</v>
      </c>
      <c r="J1177" s="5" t="s">
        <v>72</v>
      </c>
      <c r="K1177" s="5" t="s">
        <v>3992</v>
      </c>
      <c r="L1177" s="16"/>
      <c r="M1177" s="19"/>
      <c r="N1177" s="16"/>
      <c r="O1177" s="16"/>
      <c r="P1177" s="16"/>
    </row>
    <row r="1178" ht="22.5" customHeight="1">
      <c r="A1178" s="138" t="s">
        <v>336</v>
      </c>
      <c r="B1178" s="16" t="str">
        <f>IF(A1178="","",IFERROR(VLOOKUP(A1178, Stock_New!A:M, 2, FALSE),""))</f>
        <v>بوتات</v>
      </c>
      <c r="C1178" s="236">
        <v>1.0</v>
      </c>
      <c r="D1178" s="16" t="str">
        <f>IF(A1178="","",IFERROR(VLOOKUP(A1178, Stock_New!A:M, 3, FALSE),""))</f>
        <v>شركة حسين علي</v>
      </c>
      <c r="E1178" s="16">
        <f>IF($A1178="", "", IFERROR(VLOOKUP($A1178, Stock_New!$A:$M, 6, FALSE), ""))</f>
        <v>120</v>
      </c>
      <c r="F1178" s="239">
        <v>120.0</v>
      </c>
      <c r="G1178" s="16"/>
      <c r="H1178" s="33">
        <v>120.0</v>
      </c>
      <c r="I1178" s="238">
        <v>46149.0</v>
      </c>
      <c r="J1178" s="5" t="s">
        <v>72</v>
      </c>
      <c r="K1178" s="5" t="s">
        <v>3996</v>
      </c>
      <c r="L1178" s="16"/>
      <c r="M1178" s="19"/>
      <c r="N1178" s="16"/>
      <c r="O1178" s="16"/>
      <c r="P1178" s="16"/>
    </row>
    <row r="1179" ht="22.5" customHeight="1">
      <c r="A1179" s="138" t="s">
        <v>1000</v>
      </c>
      <c r="B1179" s="16" t="str">
        <f>IF(A1179="","",IFERROR(VLOOKUP(A1179, Stock_New!A:M, 2, FALSE),""))</f>
        <v>بوتات</v>
      </c>
      <c r="C1179" s="236">
        <v>1.0</v>
      </c>
      <c r="D1179" s="16" t="str">
        <f>IF(A1179="","",IFERROR(VLOOKUP(A1179, Stock_New!A:M, 3, FALSE),""))</f>
        <v>شركة حسين علي</v>
      </c>
      <c r="E1179" s="16">
        <f>IF($A1179="", "", IFERROR(VLOOKUP($A1179, Stock_New!$A:$M, 6, FALSE), ""))</f>
        <v>13.2</v>
      </c>
      <c r="F1179" s="239">
        <v>15.0</v>
      </c>
      <c r="G1179" s="16"/>
      <c r="H1179" s="33">
        <v>15.0</v>
      </c>
      <c r="I1179" s="374">
        <v>46149.0</v>
      </c>
      <c r="J1179" s="5" t="s">
        <v>72</v>
      </c>
      <c r="K1179" s="5" t="s">
        <v>4000</v>
      </c>
      <c r="L1179" s="16"/>
      <c r="M1179" s="19"/>
      <c r="N1179" s="16"/>
      <c r="O1179" s="16"/>
      <c r="P1179" s="16"/>
    </row>
    <row r="1180" ht="22.5" customHeight="1">
      <c r="A1180" s="138" t="s">
        <v>1146</v>
      </c>
      <c r="B1180" s="16" t="str">
        <f>IF(A1180="","",IFERROR(VLOOKUP(A1180, Stock_New!A:M, 2, FALSE),""))</f>
        <v>لعب</v>
      </c>
      <c r="C1180" s="236">
        <v>1.0</v>
      </c>
      <c r="D1180" s="16" t="str">
        <f>IF(A1180="","",IFERROR(VLOOKUP(A1180, Stock_New!A:M, 3, FALSE),""))</f>
        <v>محمد رشدي</v>
      </c>
      <c r="E1180" s="16">
        <f>IF($A1180="", "", IFERROR(VLOOKUP($A1180, Stock_New!$A:$M, 6, FALSE), ""))</f>
        <v>21</v>
      </c>
      <c r="F1180" s="239">
        <v>35.0</v>
      </c>
      <c r="G1180" s="16"/>
      <c r="H1180" s="33">
        <v>35.0</v>
      </c>
      <c r="I1180" s="238">
        <v>45778.0</v>
      </c>
      <c r="J1180" s="5" t="s">
        <v>72</v>
      </c>
      <c r="K1180" s="5" t="s">
        <v>4008</v>
      </c>
      <c r="L1180" s="16"/>
      <c r="M1180" s="19"/>
      <c r="N1180" s="16"/>
      <c r="O1180" s="16"/>
      <c r="P1180" s="16"/>
    </row>
    <row r="1181" ht="22.5" customHeight="1">
      <c r="A1181" s="138" t="s">
        <v>554</v>
      </c>
      <c r="B1181" s="16" t="str">
        <f>IF(A1181="","",IFERROR(VLOOKUP(A1181, Stock_New!A:M, 2, FALSE),""))</f>
        <v>مقزمات</v>
      </c>
      <c r="C1181" s="236">
        <v>2.0</v>
      </c>
      <c r="D1181" s="16" t="str">
        <f>IF(A1181="","",IFERROR(VLOOKUP(A1181, Stock_New!A:M, 3, FALSE),""))</f>
        <v>manufactured</v>
      </c>
      <c r="E1181" s="16">
        <f>IF($A1181="", "", IFERROR(VLOOKUP($A1181, Stock_New!$A:$M, 6, FALSE), ""))</f>
        <v>27.86666667</v>
      </c>
      <c r="F1181" s="239">
        <v>45.0</v>
      </c>
      <c r="G1181" s="16"/>
      <c r="H1181" s="33">
        <v>90.0</v>
      </c>
      <c r="I1181" s="238">
        <v>45778.0</v>
      </c>
      <c r="J1181" s="5" t="s">
        <v>72</v>
      </c>
      <c r="K1181" s="5" t="s">
        <v>4047</v>
      </c>
      <c r="L1181" s="16"/>
      <c r="M1181" s="19"/>
      <c r="N1181" s="16"/>
      <c r="O1181" s="16"/>
      <c r="P1181" s="16"/>
    </row>
    <row r="1182" ht="22.5" customHeight="1">
      <c r="A1182" s="138" t="s">
        <v>1162</v>
      </c>
      <c r="B1182" s="16" t="str">
        <f>IF(A1182="","",IFERROR(VLOOKUP(A1182, Stock_New!A:M, 2, FALSE),""))</f>
        <v>بوكيه</v>
      </c>
      <c r="C1182" s="236">
        <v>2.0</v>
      </c>
      <c r="D1182" s="16" t="str">
        <f>IF(A1182="","",IFERROR(VLOOKUP(A1182, Stock_New!A:M, 3, FALSE),""))</f>
        <v>manufactured</v>
      </c>
      <c r="E1182" s="16">
        <f>IF($A1182="", "", IFERROR(VLOOKUP($A1182, Stock_New!$A:$M, 6, FALSE), ""))</f>
        <v>10.9</v>
      </c>
      <c r="F1182" s="239">
        <v>25.0</v>
      </c>
      <c r="G1182" s="16"/>
      <c r="H1182" s="33">
        <v>50.0</v>
      </c>
      <c r="I1182" s="238">
        <v>45778.0</v>
      </c>
      <c r="J1182" s="5" t="s">
        <v>72</v>
      </c>
      <c r="K1182" s="5" t="s">
        <v>4009</v>
      </c>
      <c r="L1182" s="16"/>
      <c r="M1182" s="19"/>
      <c r="N1182" s="16"/>
      <c r="O1182" s="16"/>
      <c r="P1182" s="16"/>
    </row>
    <row r="1183" ht="22.5" customHeight="1">
      <c r="A1183" s="138" t="s">
        <v>852</v>
      </c>
      <c r="B1183" s="16" t="str">
        <f>IF(A1183="","",IFERROR(VLOOKUP(A1183, Stock_New!A:M, 2, FALSE),""))</f>
        <v/>
      </c>
      <c r="C1183" s="236">
        <v>1.0</v>
      </c>
      <c r="D1183" s="16" t="str">
        <f>IF(A1183="","",IFERROR(VLOOKUP(A1183, Stock_New!A:M, 3, FALSE),""))</f>
        <v/>
      </c>
      <c r="E1183" s="16" t="str">
        <f>IF($A1183="", "", IFERROR(VLOOKUP($A1183, Stock_New!$A:$M, 6, FALSE), ""))</f>
        <v/>
      </c>
      <c r="F1183" s="239">
        <v>25.0</v>
      </c>
      <c r="G1183" s="16"/>
      <c r="H1183" s="33">
        <v>25.0</v>
      </c>
      <c r="I1183" s="238">
        <v>45778.0</v>
      </c>
      <c r="J1183" s="5" t="s">
        <v>72</v>
      </c>
      <c r="K1183" s="5" t="s">
        <v>4012</v>
      </c>
      <c r="L1183" s="16"/>
      <c r="M1183" s="19"/>
      <c r="N1183" s="16"/>
      <c r="O1183" s="16"/>
      <c r="P1183" s="16"/>
    </row>
    <row r="1184" ht="22.5" customHeight="1">
      <c r="A1184" s="138" t="s">
        <v>518</v>
      </c>
      <c r="B1184" s="16" t="str">
        <f>IF(A1184="","",IFERROR(VLOOKUP(A1184, Stock_New!A:M, 2, FALSE),""))</f>
        <v>ورد لوحدة</v>
      </c>
      <c r="C1184" s="236">
        <f>3/9</f>
        <v>0.3333333333</v>
      </c>
      <c r="D1184" s="16" t="str">
        <f>IF(A1184="","",IFERROR(VLOOKUP(A1184, Stock_New!A:M, 3, FALSE),""))</f>
        <v>شركة الفرسان</v>
      </c>
      <c r="E1184" s="16">
        <f>IF($A1184="", "", IFERROR(VLOOKUP($A1184, Stock_New!$A:$M, 6, FALSE), ""))</f>
        <v>90</v>
      </c>
      <c r="F1184" s="239">
        <v>210.0</v>
      </c>
      <c r="G1184" s="16"/>
      <c r="H1184" s="33">
        <v>70.0</v>
      </c>
      <c r="I1184" s="238">
        <v>45778.0</v>
      </c>
      <c r="J1184" s="5" t="s">
        <v>72</v>
      </c>
      <c r="K1184" s="5" t="s">
        <v>4013</v>
      </c>
      <c r="L1184" s="16"/>
      <c r="M1184" s="19"/>
      <c r="N1184" s="16"/>
      <c r="O1184" s="16"/>
      <c r="P1184" s="16"/>
    </row>
    <row r="1185" ht="22.5" customHeight="1">
      <c r="A1185" s="138" t="s">
        <v>1146</v>
      </c>
      <c r="B1185" s="16" t="str">
        <f>IF(A1185="","",IFERROR(VLOOKUP(A1185, Stock_New!A:M, 2, FALSE),""))</f>
        <v>لعب</v>
      </c>
      <c r="C1185" s="236">
        <v>1.0</v>
      </c>
      <c r="D1185" s="16" t="str">
        <f>IF(A1185="","",IFERROR(VLOOKUP(A1185, Stock_New!A:M, 3, FALSE),""))</f>
        <v>محمد رشدي</v>
      </c>
      <c r="E1185" s="16">
        <f>IF($A1185="", "", IFERROR(VLOOKUP($A1185, Stock_New!$A:$M, 6, FALSE), ""))</f>
        <v>21</v>
      </c>
      <c r="F1185" s="239">
        <v>30.0</v>
      </c>
      <c r="G1185" s="16"/>
      <c r="H1185" s="33">
        <v>30.0</v>
      </c>
      <c r="I1185" s="238">
        <v>45778.0</v>
      </c>
      <c r="J1185" s="5" t="s">
        <v>72</v>
      </c>
      <c r="K1185" s="5" t="s">
        <v>4014</v>
      </c>
      <c r="L1185" s="16"/>
      <c r="M1185" s="19"/>
      <c r="N1185" s="16"/>
      <c r="O1185" s="16"/>
      <c r="P1185" s="16"/>
    </row>
    <row r="1186" ht="22.5" customHeight="1">
      <c r="A1186" s="138" t="s">
        <v>245</v>
      </c>
      <c r="B1186" s="16" t="str">
        <f>IF(A1186="","",IFERROR(VLOOKUP(A1186, Stock_New!A:M, 2, FALSE),""))</f>
        <v>ورد لحدة</v>
      </c>
      <c r="C1186" s="236">
        <v>1.0</v>
      </c>
      <c r="D1186" s="16" t="str">
        <f>IF(A1186="","",IFERROR(VLOOKUP(A1186, Stock_New!A:M, 3, FALSE),""))</f>
        <v>شركة حسين علي</v>
      </c>
      <c r="E1186" s="16">
        <f>IF($A1186="", "", IFERROR(VLOOKUP($A1186, Stock_New!$A:$M, 6, FALSE), ""))</f>
        <v>180</v>
      </c>
      <c r="F1186" s="239">
        <v>200.0</v>
      </c>
      <c r="G1186" s="16"/>
      <c r="H1186" s="33">
        <v>200.0</v>
      </c>
      <c r="I1186" s="238">
        <v>46144.0</v>
      </c>
      <c r="J1186" s="5" t="s">
        <v>72</v>
      </c>
      <c r="K1186" s="5" t="s">
        <v>4048</v>
      </c>
      <c r="L1186" s="16"/>
      <c r="M1186" s="19"/>
      <c r="N1186" s="16"/>
      <c r="O1186" s="16"/>
      <c r="P1186" s="16"/>
    </row>
    <row r="1187" ht="22.5" customHeight="1">
      <c r="A1187" s="138" t="s">
        <v>120</v>
      </c>
      <c r="B1187" s="16" t="str">
        <f>IF(A1187="","",IFERROR(VLOOKUP(A1187, Stock_New!A:M, 2, FALSE),""))</f>
        <v>بوتات</v>
      </c>
      <c r="C1187" s="236">
        <v>1.0</v>
      </c>
      <c r="D1187" s="16" t="str">
        <f>IF(A1187="","",IFERROR(VLOOKUP(A1187, Stock_New!A:M, 3, FALSE),""))</f>
        <v>عبدالفتاح</v>
      </c>
      <c r="E1187" s="16">
        <f>IF($A1187="", "", IFERROR(VLOOKUP($A1187, Stock_New!$A:$M, 6, FALSE), ""))</f>
        <v>210</v>
      </c>
      <c r="F1187" s="239">
        <v>250.0</v>
      </c>
      <c r="G1187" s="16"/>
      <c r="H1187" s="33">
        <v>250.0</v>
      </c>
      <c r="I1187" s="238">
        <v>46146.0</v>
      </c>
      <c r="J1187" s="5" t="s">
        <v>72</v>
      </c>
      <c r="K1187" s="5" t="s">
        <v>4015</v>
      </c>
      <c r="L1187" s="16"/>
      <c r="M1187" s="19"/>
      <c r="N1187" s="16"/>
      <c r="O1187" s="16"/>
      <c r="P1187" s="16"/>
    </row>
    <row r="1188" ht="22.5" customHeight="1">
      <c r="A1188" s="138" t="s">
        <v>200</v>
      </c>
      <c r="B1188" s="16" t="str">
        <f>IF(A1188="","",IFERROR(VLOOKUP(A1188, Stock_New!A:M, 2, FALSE),""))</f>
        <v>شجر</v>
      </c>
      <c r="C1188" s="236">
        <v>1.0</v>
      </c>
      <c r="D1188" s="16" t="str">
        <f>IF(A1188="","",IFERROR(VLOOKUP(A1188, Stock_New!A:M, 3, FALSE),""))</f>
        <v>عبدالفتاح</v>
      </c>
      <c r="E1188" s="16">
        <f>IF($A1188="", "", IFERROR(VLOOKUP($A1188, Stock_New!$A:$M, 6, FALSE), ""))</f>
        <v>144</v>
      </c>
      <c r="F1188" s="239">
        <v>250.0</v>
      </c>
      <c r="G1188" s="16"/>
      <c r="H1188" s="33">
        <v>250.0</v>
      </c>
      <c r="I1188" s="238">
        <v>46146.0</v>
      </c>
      <c r="J1188" s="5" t="s">
        <v>72</v>
      </c>
      <c r="K1188" s="5" t="s">
        <v>4018</v>
      </c>
      <c r="L1188" s="16"/>
      <c r="M1188" s="19"/>
      <c r="N1188" s="16"/>
      <c r="O1188" s="16"/>
      <c r="P1188" s="16"/>
    </row>
    <row r="1189" ht="22.5" customHeight="1">
      <c r="A1189" s="138" t="s">
        <v>245</v>
      </c>
      <c r="B1189" s="16" t="str">
        <f>IF(A1189="","",IFERROR(VLOOKUP(A1189, Stock_New!A:M, 2, FALSE),""))</f>
        <v>ورد لحدة</v>
      </c>
      <c r="C1189" s="236">
        <v>1.0</v>
      </c>
      <c r="D1189" s="16" t="str">
        <f>IF(A1189="","",IFERROR(VLOOKUP(A1189, Stock_New!A:M, 3, FALSE),""))</f>
        <v>شركة حسين علي</v>
      </c>
      <c r="E1189" s="16">
        <f>IF($A1189="", "", IFERROR(VLOOKUP($A1189, Stock_New!$A:$M, 6, FALSE), ""))</f>
        <v>180</v>
      </c>
      <c r="F1189" s="239">
        <v>250.0</v>
      </c>
      <c r="G1189" s="16"/>
      <c r="H1189" s="33">
        <v>250.0</v>
      </c>
      <c r="I1189" s="238">
        <v>46146.0</v>
      </c>
      <c r="J1189" s="5" t="s">
        <v>72</v>
      </c>
      <c r="K1189" s="5" t="s">
        <v>4050</v>
      </c>
      <c r="L1189" s="16"/>
      <c r="M1189" s="19"/>
      <c r="N1189" s="16"/>
      <c r="O1189" s="16"/>
      <c r="P1189" s="16"/>
    </row>
    <row r="1190" ht="22.5" customHeight="1">
      <c r="A1190" s="138" t="s">
        <v>898</v>
      </c>
      <c r="B1190" s="16" t="str">
        <f>IF(A1190="","",IFERROR(VLOOKUP(A1190, Stock_New!A:M, 2, FALSE),""))</f>
        <v/>
      </c>
      <c r="C1190" s="236">
        <v>3.0</v>
      </c>
      <c r="D1190" s="16" t="str">
        <f>IF(A1190="","",IFERROR(VLOOKUP(A1190, Stock_New!A:M, 3, FALSE),""))</f>
        <v/>
      </c>
      <c r="E1190" s="16" t="str">
        <f>IF($A1190="", "", IFERROR(VLOOKUP($A1190, Stock_New!$A:$M, 6, FALSE), ""))</f>
        <v/>
      </c>
      <c r="F1190" s="239">
        <v>25.0</v>
      </c>
      <c r="G1190" s="16"/>
      <c r="H1190" s="33">
        <v>75.0</v>
      </c>
      <c r="I1190" s="238">
        <v>46146.0</v>
      </c>
      <c r="J1190" s="5" t="s">
        <v>72</v>
      </c>
      <c r="K1190" s="5" t="s">
        <v>4021</v>
      </c>
      <c r="L1190" s="16"/>
      <c r="M1190" s="19"/>
      <c r="N1190" s="16"/>
      <c r="O1190" s="16"/>
      <c r="P1190" s="16"/>
    </row>
    <row r="1191" ht="22.5" customHeight="1">
      <c r="A1191" s="138" t="s">
        <v>309</v>
      </c>
      <c r="B1191" s="16" t="str">
        <f>IF(A1191="","",IFERROR(VLOOKUP(A1191, Stock_New!A:M, 2, FALSE),""))</f>
        <v>بوتات</v>
      </c>
      <c r="C1191" s="236">
        <v>1.0</v>
      </c>
      <c r="D1191" s="16" t="str">
        <f>IF(A1191="","",IFERROR(VLOOKUP(A1191, Stock_New!A:M, 3, FALSE),""))</f>
        <v>شركة حسين علي</v>
      </c>
      <c r="E1191" s="16">
        <f>IF($A1191="", "", IFERROR(VLOOKUP($A1191, Stock_New!$A:$M, 6, FALSE), ""))</f>
        <v>24</v>
      </c>
      <c r="F1191" s="239">
        <v>25.0</v>
      </c>
      <c r="G1191" s="16"/>
      <c r="H1191" s="33">
        <v>25.0</v>
      </c>
      <c r="I1191" s="238">
        <v>46146.0</v>
      </c>
      <c r="J1191" s="5" t="s">
        <v>72</v>
      </c>
      <c r="K1191" s="5" t="s">
        <v>4022</v>
      </c>
      <c r="L1191" s="16"/>
      <c r="M1191" s="19"/>
      <c r="N1191" s="16"/>
      <c r="O1191" s="16"/>
      <c r="P1191" s="16"/>
    </row>
    <row r="1192" ht="22.5" customHeight="1">
      <c r="A1192" s="138" t="s">
        <v>673</v>
      </c>
      <c r="B1192" s="16" t="str">
        <f>IF(A1192="","",IFERROR(VLOOKUP(A1192, Stock_New!A:M, 2, FALSE),""))</f>
        <v>شنط</v>
      </c>
      <c r="C1192" s="236">
        <v>1.0</v>
      </c>
      <c r="D1192" s="16" t="str">
        <f>IF(A1192="","",IFERROR(VLOOKUP(A1192, Stock_New!A:M, 3, FALSE),""))</f>
        <v>سنتر محمد رشدي</v>
      </c>
      <c r="E1192" s="16">
        <f>IF($A1192="", "", IFERROR(VLOOKUP($A1192, Stock_New!$A:$M, 6, FALSE), ""))</f>
        <v>8.1</v>
      </c>
      <c r="F1192" s="239">
        <v>10.0</v>
      </c>
      <c r="G1192" s="16"/>
      <c r="H1192" s="33">
        <v>10.0</v>
      </c>
      <c r="I1192" s="238">
        <v>46146.0</v>
      </c>
      <c r="J1192" s="5" t="s">
        <v>72</v>
      </c>
      <c r="K1192" s="5" t="s">
        <v>4024</v>
      </c>
      <c r="L1192" s="16"/>
      <c r="M1192" s="19"/>
      <c r="N1192" s="16"/>
      <c r="O1192" s="16"/>
      <c r="P1192" s="16"/>
    </row>
    <row r="1193" ht="22.5" customHeight="1">
      <c r="A1193" s="138" t="s">
        <v>336</v>
      </c>
      <c r="B1193" s="16" t="str">
        <f>IF(A1193="","",IFERROR(VLOOKUP(A1193, Stock_New!A:M, 2, FALSE),""))</f>
        <v>بوتات</v>
      </c>
      <c r="C1193" s="236">
        <v>1.0</v>
      </c>
      <c r="D1193" s="16" t="str">
        <f>IF(A1193="","",IFERROR(VLOOKUP(A1193, Stock_New!A:M, 3, FALSE),""))</f>
        <v>شركة حسين علي</v>
      </c>
      <c r="E1193" s="16">
        <f>IF($A1193="", "", IFERROR(VLOOKUP($A1193, Stock_New!$A:$M, 6, FALSE), ""))</f>
        <v>120</v>
      </c>
      <c r="F1193" s="239">
        <v>150.0</v>
      </c>
      <c r="G1193" s="16"/>
      <c r="H1193" s="33">
        <v>150.0</v>
      </c>
      <c r="I1193" s="238">
        <v>46146.0</v>
      </c>
      <c r="J1193" s="5" t="s">
        <v>72</v>
      </c>
      <c r="K1193" s="5" t="s">
        <v>4026</v>
      </c>
      <c r="L1193" s="16"/>
      <c r="M1193" s="19"/>
      <c r="N1193" s="16"/>
      <c r="O1193" s="16"/>
      <c r="P1193" s="16"/>
    </row>
    <row r="1194" ht="22.5" customHeight="1">
      <c r="A1194" s="138" t="s">
        <v>46</v>
      </c>
      <c r="B1194" s="16" t="str">
        <f>IF(A1194="","",IFERROR(VLOOKUP(A1194, Stock_New!A:M, 2, FALSE),""))</f>
        <v>بوكيه</v>
      </c>
      <c r="C1194" s="236">
        <v>1.0</v>
      </c>
      <c r="D1194" s="16" t="str">
        <f>IF(A1194="","",IFERROR(VLOOKUP(A1194, Stock_New!A:M, 3, FALSE),""))</f>
        <v>manufactured</v>
      </c>
      <c r="E1194" s="16">
        <f>IF($A1194="", "", IFERROR(VLOOKUP($A1194, Stock_New!$A:$M, 6, FALSE), ""))</f>
        <v>116.256</v>
      </c>
      <c r="F1194" s="239">
        <v>250.0</v>
      </c>
      <c r="G1194" s="16"/>
      <c r="H1194" s="33">
        <v>250.0</v>
      </c>
      <c r="I1194" s="238">
        <v>46146.0</v>
      </c>
      <c r="J1194" s="5" t="s">
        <v>72</v>
      </c>
      <c r="K1194" s="5" t="s">
        <v>4028</v>
      </c>
      <c r="L1194" s="16"/>
      <c r="M1194" s="19"/>
      <c r="N1194" s="16"/>
      <c r="O1194" s="16"/>
      <c r="P1194" s="16"/>
    </row>
    <row r="1195" ht="22.5" customHeight="1">
      <c r="A1195" s="138" t="s">
        <v>330</v>
      </c>
      <c r="B1195" s="16" t="str">
        <f>IF(A1195="","",IFERROR(VLOOKUP(A1195, Stock_New!A:M, 2, FALSE),""))</f>
        <v>بوكيه</v>
      </c>
      <c r="C1195" s="236">
        <v>2.0</v>
      </c>
      <c r="D1195" s="16" t="str">
        <f>IF(A1195="","",IFERROR(VLOOKUP(A1195, Stock_New!A:M, 3, FALSE),""))</f>
        <v>manufactured</v>
      </c>
      <c r="E1195" s="16">
        <f>IF($A1195="", "", IFERROR(VLOOKUP($A1195, Stock_New!$A:$M, 6, FALSE), ""))</f>
        <v>31</v>
      </c>
      <c r="F1195" s="239">
        <v>50.0</v>
      </c>
      <c r="G1195" s="16"/>
      <c r="H1195" s="33">
        <v>100.0</v>
      </c>
      <c r="I1195" s="238">
        <v>46146.0</v>
      </c>
      <c r="J1195" s="5" t="s">
        <v>72</v>
      </c>
      <c r="K1195" s="5" t="s">
        <v>5304</v>
      </c>
      <c r="L1195" s="16"/>
      <c r="M1195" s="19"/>
      <c r="N1195" s="16"/>
      <c r="O1195" s="16"/>
      <c r="P1195" s="16"/>
    </row>
    <row r="1196" ht="22.5" customHeight="1">
      <c r="A1196" s="138" t="s">
        <v>1156</v>
      </c>
      <c r="B1196" s="16" t="str">
        <f>IF(A1196="","",IFERROR(VLOOKUP(A1196, Stock_New!A:M, 2, FALSE),""))</f>
        <v>بوكيه</v>
      </c>
      <c r="C1196" s="236">
        <v>2.0</v>
      </c>
      <c r="D1196" s="16" t="str">
        <f>IF(A1196="","",IFERROR(VLOOKUP(A1196, Stock_New!A:M, 3, FALSE),""))</f>
        <v>manufactured</v>
      </c>
      <c r="E1196" s="16">
        <f>IF($A1196="", "", IFERROR(VLOOKUP($A1196, Stock_New!$A:$M, 6, FALSE), ""))</f>
        <v>15</v>
      </c>
      <c r="F1196" s="239">
        <v>25.0</v>
      </c>
      <c r="G1196" s="16"/>
      <c r="H1196" s="33">
        <v>50.0</v>
      </c>
      <c r="I1196" s="238">
        <v>46147.0</v>
      </c>
      <c r="J1196" s="5" t="s">
        <v>72</v>
      </c>
      <c r="K1196" s="5" t="s">
        <v>5305</v>
      </c>
      <c r="L1196" s="19" t="s">
        <v>5306</v>
      </c>
      <c r="M1196" s="19" t="s">
        <v>5307</v>
      </c>
      <c r="N1196" s="16">
        <f t="shared" ref="N1196:N1201" si="18">P1196-O1196</f>
        <v>300</v>
      </c>
      <c r="O1196" s="5">
        <f t="shared" ref="O1196:O1201" si="19">300+200</f>
        <v>500</v>
      </c>
      <c r="P1196" s="16">
        <f t="shared" ref="P1196:P1201" si="20">350+450</f>
        <v>800</v>
      </c>
    </row>
    <row r="1197" ht="22.5" customHeight="1">
      <c r="A1197" s="138" t="s">
        <v>48</v>
      </c>
      <c r="B1197" s="16" t="str">
        <f>IF(A1197="","",IFERROR(VLOOKUP(A1197, Stock_New!A:M, 2, FALSE),""))</f>
        <v>بوكيه</v>
      </c>
      <c r="C1197" s="236">
        <v>1.0</v>
      </c>
      <c r="D1197" s="16" t="str">
        <f>IF(A1197="","",IFERROR(VLOOKUP(A1197, Stock_New!A:M, 3, FALSE),""))</f>
        <v>ذكريا</v>
      </c>
      <c r="E1197" s="16">
        <f>IF($A1197="", "", IFERROR(VLOOKUP($A1197, Stock_New!$A:$M, 6, FALSE), ""))</f>
        <v>44.4</v>
      </c>
      <c r="F1197" s="239">
        <v>50.0</v>
      </c>
      <c r="G1197" s="16"/>
      <c r="H1197" s="33">
        <v>50.0</v>
      </c>
      <c r="I1197" s="238">
        <v>46147.0</v>
      </c>
      <c r="J1197" s="5" t="s">
        <v>72</v>
      </c>
      <c r="K1197" s="5" t="s">
        <v>5308</v>
      </c>
      <c r="L1197" s="19" t="s">
        <v>5306</v>
      </c>
      <c r="M1197" s="19" t="s">
        <v>5307</v>
      </c>
      <c r="N1197" s="16">
        <f t="shared" si="18"/>
        <v>300</v>
      </c>
      <c r="O1197" s="5">
        <f t="shared" si="19"/>
        <v>500</v>
      </c>
      <c r="P1197" s="16">
        <f t="shared" si="20"/>
        <v>800</v>
      </c>
    </row>
    <row r="1198" ht="22.5" customHeight="1">
      <c r="A1198" s="138" t="s">
        <v>670</v>
      </c>
      <c r="B1198" s="16" t="str">
        <f>IF(A1198="","",IFERROR(VLOOKUP(A1198, Stock_New!A:M, 2, FALSE),""))</f>
        <v>بوتات</v>
      </c>
      <c r="C1198" s="236">
        <v>1.0</v>
      </c>
      <c r="D1198" s="16" t="str">
        <f>IF(A1198="","",IFERROR(VLOOKUP(A1198, Stock_New!A:M, 3, FALSE),""))</f>
        <v>شركة حسين علي</v>
      </c>
      <c r="E1198" s="16">
        <f>IF($A1198="", "", IFERROR(VLOOKUP($A1198, Stock_New!$A:$M, 6, FALSE), ""))</f>
        <v>14.53</v>
      </c>
      <c r="F1198" s="239">
        <v>30.0</v>
      </c>
      <c r="G1198" s="16"/>
      <c r="H1198" s="33">
        <v>30.0</v>
      </c>
      <c r="I1198" s="238">
        <v>46147.0</v>
      </c>
      <c r="J1198" s="5" t="s">
        <v>72</v>
      </c>
      <c r="K1198" s="5" t="s">
        <v>4111</v>
      </c>
      <c r="L1198" s="19" t="s">
        <v>5306</v>
      </c>
      <c r="M1198" s="19" t="s">
        <v>5307</v>
      </c>
      <c r="N1198" s="16">
        <f t="shared" si="18"/>
        <v>300</v>
      </c>
      <c r="O1198" s="5">
        <f t="shared" si="19"/>
        <v>500</v>
      </c>
      <c r="P1198" s="16">
        <f t="shared" si="20"/>
        <v>800</v>
      </c>
    </row>
    <row r="1199" ht="22.5" customHeight="1">
      <c r="A1199" s="138" t="s">
        <v>674</v>
      </c>
      <c r="B1199" s="16" t="str">
        <f>IF(A1199="","",IFERROR(VLOOKUP(A1199, Stock_New!A:M, 2, FALSE),""))</f>
        <v>ورد لوحدة</v>
      </c>
      <c r="C1199" s="236">
        <f>1/5</f>
        <v>0.2</v>
      </c>
      <c r="D1199" s="16" t="str">
        <f>IF(A1199="","",IFERROR(VLOOKUP(A1199, Stock_New!A:M, 3, FALSE),""))</f>
        <v>شركة الفرسان</v>
      </c>
      <c r="E1199" s="16">
        <f>IF($A1199="", "", IFERROR(VLOOKUP($A1199, Stock_New!$A:$M, 6, FALSE), ""))</f>
        <v>60</v>
      </c>
      <c r="F1199" s="239">
        <v>75.0</v>
      </c>
      <c r="G1199" s="16"/>
      <c r="H1199" s="33">
        <v>15.0</v>
      </c>
      <c r="I1199" s="238">
        <v>46147.0</v>
      </c>
      <c r="J1199" s="5" t="s">
        <v>72</v>
      </c>
      <c r="K1199" s="5" t="s">
        <v>5309</v>
      </c>
      <c r="L1199" s="19" t="s">
        <v>5306</v>
      </c>
      <c r="M1199" s="19" t="s">
        <v>5307</v>
      </c>
      <c r="N1199" s="16">
        <f t="shared" si="18"/>
        <v>300</v>
      </c>
      <c r="O1199" s="5">
        <f t="shared" si="19"/>
        <v>500</v>
      </c>
      <c r="P1199" s="16">
        <f t="shared" si="20"/>
        <v>800</v>
      </c>
    </row>
    <row r="1200" ht="22.5" customHeight="1">
      <c r="A1200" s="138" t="s">
        <v>363</v>
      </c>
      <c r="B1200" s="16" t="str">
        <f>IF(A1200="","",IFERROR(VLOOKUP(A1200, Stock_New!A:M, 2, FALSE),""))</f>
        <v>ورد لوحدة</v>
      </c>
      <c r="C1200" s="236">
        <f>1/18</f>
        <v>0.05555555556</v>
      </c>
      <c r="D1200" s="16" t="str">
        <f>IF(A1200="","",IFERROR(VLOOKUP(A1200, Stock_New!A:M, 3, FALSE),""))</f>
        <v>شركة الفرسان</v>
      </c>
      <c r="E1200" s="16">
        <f>IF($A1200="", "", IFERROR(VLOOKUP($A1200, Stock_New!$A:$M, 6, FALSE), ""))</f>
        <v>132</v>
      </c>
      <c r="F1200" s="239">
        <v>180.0</v>
      </c>
      <c r="G1200" s="16"/>
      <c r="H1200" s="33">
        <v>10.0</v>
      </c>
      <c r="I1200" s="238">
        <v>46147.0</v>
      </c>
      <c r="J1200" s="5" t="s">
        <v>72</v>
      </c>
      <c r="K1200" s="5" t="s">
        <v>5310</v>
      </c>
      <c r="L1200" s="19" t="s">
        <v>5306</v>
      </c>
      <c r="M1200" s="19" t="s">
        <v>5307</v>
      </c>
      <c r="N1200" s="16">
        <f t="shared" si="18"/>
        <v>300</v>
      </c>
      <c r="O1200" s="5">
        <f t="shared" si="19"/>
        <v>500</v>
      </c>
      <c r="P1200" s="16">
        <f t="shared" si="20"/>
        <v>800</v>
      </c>
    </row>
    <row r="1201" ht="22.5" customHeight="1">
      <c r="A1201" s="138" t="s">
        <v>711</v>
      </c>
      <c r="B1201" s="16" t="str">
        <f>IF(A1201="","",IFERROR(VLOOKUP(A1201, Stock_New!A:M, 2, FALSE),""))</f>
        <v>كهربائيات</v>
      </c>
      <c r="C1201" s="236">
        <v>1.0</v>
      </c>
      <c r="D1201" s="16" t="str">
        <f>IF(A1201="","",IFERROR(VLOOKUP(A1201, Stock_New!A:M, 3, FALSE),""))</f>
        <v>سنتر محمد رشدي</v>
      </c>
      <c r="E1201" s="16">
        <f>IF($A1201="", "", IFERROR(VLOOKUP($A1201, Stock_New!$A:$M, 6, FALSE), ""))</f>
        <v>186</v>
      </c>
      <c r="F1201" s="239">
        <v>200.0</v>
      </c>
      <c r="G1201" s="16"/>
      <c r="H1201" s="33">
        <v>200.0</v>
      </c>
      <c r="I1201" s="238">
        <v>46147.0</v>
      </c>
      <c r="J1201" s="5" t="s">
        <v>72</v>
      </c>
      <c r="K1201" s="5" t="s">
        <v>5311</v>
      </c>
      <c r="L1201" s="19" t="s">
        <v>5306</v>
      </c>
      <c r="M1201" s="19" t="s">
        <v>5307</v>
      </c>
      <c r="N1201" s="16">
        <f t="shared" si="18"/>
        <v>300</v>
      </c>
      <c r="O1201" s="5">
        <f t="shared" si="19"/>
        <v>500</v>
      </c>
      <c r="P1201" s="16">
        <f t="shared" si="20"/>
        <v>800</v>
      </c>
    </row>
    <row r="1202" ht="22.5" customHeight="1">
      <c r="A1202" s="138" t="s">
        <v>496</v>
      </c>
      <c r="B1202" s="16" t="str">
        <f>IF(A1202="","",IFERROR(VLOOKUP(A1202, Stock_New!A:M, 2, FALSE),""))</f>
        <v>شمع</v>
      </c>
      <c r="C1202" s="236">
        <v>4.0</v>
      </c>
      <c r="D1202" s="16" t="str">
        <f>IF(A1202="","",IFERROR(VLOOKUP(A1202, Stock_New!A:M, 3, FALSE),""))</f>
        <v>سنتر محمد رشدي</v>
      </c>
      <c r="E1202" s="16">
        <f>IF($A1202="", "", IFERROR(VLOOKUP($A1202, Stock_New!$A:$M, 6, FALSE), ""))</f>
        <v>8.64</v>
      </c>
      <c r="F1202" s="239">
        <v>15.0</v>
      </c>
      <c r="G1202" s="16"/>
      <c r="H1202" s="33">
        <v>60.0</v>
      </c>
      <c r="I1202" s="238">
        <v>46147.0</v>
      </c>
      <c r="J1202" s="5" t="s">
        <v>72</v>
      </c>
      <c r="K1202" s="5" t="s">
        <v>4030</v>
      </c>
      <c r="L1202" s="16"/>
      <c r="M1202" s="19"/>
      <c r="N1202" s="16"/>
      <c r="O1202" s="16"/>
      <c r="P1202" s="16"/>
    </row>
    <row r="1203" ht="22.5" customHeight="1">
      <c r="A1203" s="138" t="s">
        <v>662</v>
      </c>
      <c r="B1203" s="16" t="str">
        <f>IF(A1203="","",IFERROR(VLOOKUP(A1203, Stock_New!A:M, 2, FALSE),""))</f>
        <v>بوكيه</v>
      </c>
      <c r="C1203" s="236">
        <v>1.0</v>
      </c>
      <c r="D1203" s="16" t="str">
        <f>IF(A1203="","",IFERROR(VLOOKUP(A1203, Stock_New!A:M, 3, FALSE),""))</f>
        <v>المهندس</v>
      </c>
      <c r="E1203" s="16">
        <f>IF($A1203="", "", IFERROR(VLOOKUP($A1203, Stock_New!$A:$M, 6, FALSE), ""))</f>
        <v>60</v>
      </c>
      <c r="F1203" s="239">
        <v>65.0</v>
      </c>
      <c r="G1203" s="16"/>
      <c r="H1203" s="33">
        <v>65.0</v>
      </c>
      <c r="I1203" s="238">
        <v>46147.0</v>
      </c>
      <c r="J1203" s="5" t="s">
        <v>72</v>
      </c>
      <c r="K1203" s="5" t="s">
        <v>4032</v>
      </c>
      <c r="L1203" s="16"/>
      <c r="M1203" s="19"/>
      <c r="N1203" s="16"/>
      <c r="O1203" s="16"/>
      <c r="P1203" s="16"/>
    </row>
    <row r="1204" ht="22.5" customHeight="1">
      <c r="A1204" s="138" t="s">
        <v>667</v>
      </c>
      <c r="B1204" s="16" t="str">
        <f>IF(A1204="","",IFERROR(VLOOKUP(A1204, Stock_New!A:M, 2, FALSE),""))</f>
        <v>بوكيه</v>
      </c>
      <c r="C1204" s="236">
        <v>1.0</v>
      </c>
      <c r="D1204" s="16" t="str">
        <f>IF(A1204="","",IFERROR(VLOOKUP(A1204, Stock_New!A:M, 3, FALSE),""))</f>
        <v>المهندس</v>
      </c>
      <c r="E1204" s="16">
        <f>IF($A1204="", "", IFERROR(VLOOKUP($A1204, Stock_New!$A:$M, 6, FALSE), ""))</f>
        <v>66</v>
      </c>
      <c r="F1204" s="239">
        <v>65.0</v>
      </c>
      <c r="G1204" s="16"/>
      <c r="H1204" s="33">
        <v>65.0</v>
      </c>
      <c r="I1204" s="238">
        <v>46147.0</v>
      </c>
      <c r="J1204" s="5" t="s">
        <v>72</v>
      </c>
      <c r="K1204" s="5" t="s">
        <v>4034</v>
      </c>
      <c r="L1204" s="16"/>
      <c r="M1204" s="19"/>
      <c r="N1204" s="16"/>
      <c r="O1204" s="16"/>
      <c r="P1204" s="16"/>
    </row>
    <row r="1205" ht="22.5" customHeight="1">
      <c r="A1205" s="138" t="s">
        <v>287</v>
      </c>
      <c r="B1205" s="16" t="str">
        <f>IF(A1205="","",IFERROR(VLOOKUP(A1205, Stock_New!A:M, 2, FALSE),""))</f>
        <v>بوكيه</v>
      </c>
      <c r="C1205" s="236">
        <v>1.0</v>
      </c>
      <c r="D1205" s="16" t="str">
        <f>IF(A1205="","",IFERROR(VLOOKUP(A1205, Stock_New!A:M, 3, FALSE),""))</f>
        <v>ذكريا</v>
      </c>
      <c r="E1205" s="16">
        <f>IF($A1205="", "", IFERROR(VLOOKUP($A1205, Stock_New!$A:$M, 6, FALSE), ""))</f>
        <v>54</v>
      </c>
      <c r="F1205" s="239">
        <v>60.0</v>
      </c>
      <c r="G1205" s="16"/>
      <c r="H1205" s="33">
        <v>60.0</v>
      </c>
      <c r="I1205" s="238">
        <v>46147.0</v>
      </c>
      <c r="J1205" s="5" t="s">
        <v>72</v>
      </c>
      <c r="K1205" s="5" t="s">
        <v>4035</v>
      </c>
      <c r="L1205" s="16"/>
      <c r="M1205" s="19"/>
      <c r="N1205" s="16"/>
      <c r="O1205" s="16"/>
      <c r="P1205" s="16"/>
    </row>
    <row r="1206" ht="22.5" customHeight="1">
      <c r="A1206" s="138" t="s">
        <v>572</v>
      </c>
      <c r="B1206" s="16" t="str">
        <f>IF(A1206="","",IFERROR(VLOOKUP(A1206, Stock_New!A:M, 2, FALSE),""))</f>
        <v>شمع</v>
      </c>
      <c r="C1206" s="236">
        <v>7.0</v>
      </c>
      <c r="D1206" s="16" t="str">
        <f>IF(A1206="","",IFERROR(VLOOKUP(A1206, Stock_New!A:M, 3, FALSE),""))</f>
        <v>سنتر محمد رشدي</v>
      </c>
      <c r="E1206" s="16">
        <f>IF($A1206="", "", IFERROR(VLOOKUP($A1206, Stock_New!$A:$M, 6, FALSE), ""))</f>
        <v>5.25</v>
      </c>
      <c r="F1206" s="239">
        <f>8.5</f>
        <v>8.5</v>
      </c>
      <c r="G1206" s="16"/>
      <c r="H1206" s="33">
        <v>59.5</v>
      </c>
      <c r="I1206" s="238">
        <v>46147.0</v>
      </c>
      <c r="J1206" s="5" t="s">
        <v>72</v>
      </c>
      <c r="K1206" s="5" t="s">
        <v>4037</v>
      </c>
      <c r="L1206" s="16"/>
      <c r="M1206" s="19"/>
      <c r="N1206" s="16"/>
      <c r="O1206" s="16"/>
      <c r="P1206" s="16"/>
    </row>
    <row r="1207" ht="22.5" customHeight="1">
      <c r="A1207" s="138" t="s">
        <v>496</v>
      </c>
      <c r="B1207" s="16" t="str">
        <f>IF(A1207="","",IFERROR(VLOOKUP(A1207, Stock_New!A:M, 2, FALSE),""))</f>
        <v>شمع</v>
      </c>
      <c r="C1207" s="236">
        <v>2.0</v>
      </c>
      <c r="D1207" s="16" t="str">
        <f>IF(A1207="","",IFERROR(VLOOKUP(A1207, Stock_New!A:M, 3, FALSE),""))</f>
        <v>سنتر محمد رشدي</v>
      </c>
      <c r="E1207" s="16">
        <f>IF($A1207="", "", IFERROR(VLOOKUP($A1207, Stock_New!$A:$M, 6, FALSE), ""))</f>
        <v>8.64</v>
      </c>
      <c r="F1207" s="239">
        <v>20.0</v>
      </c>
      <c r="G1207" s="16"/>
      <c r="H1207" s="33">
        <v>40.0</v>
      </c>
      <c r="I1207" s="238">
        <v>46147.0</v>
      </c>
      <c r="J1207" s="5" t="s">
        <v>72</v>
      </c>
      <c r="K1207" s="5" t="s">
        <v>4039</v>
      </c>
      <c r="L1207" s="16"/>
      <c r="M1207" s="19"/>
      <c r="N1207" s="16"/>
      <c r="O1207" s="16"/>
      <c r="P1207" s="16"/>
    </row>
    <row r="1208" ht="22.5" customHeight="1">
      <c r="A1208" s="138" t="s">
        <v>856</v>
      </c>
      <c r="B1208" s="16" t="str">
        <f>IF(A1208="","",IFERROR(VLOOKUP(A1208, Stock_New!A:M, 2, FALSE),""))</f>
        <v>شمع</v>
      </c>
      <c r="C1208" s="236">
        <v>4.0</v>
      </c>
      <c r="D1208" s="16" t="str">
        <f>IF(A1208="","",IFERROR(VLOOKUP(A1208, Stock_New!A:M, 3, FALSE),""))</f>
        <v>سنتر محمد رشدي</v>
      </c>
      <c r="E1208" s="16">
        <f>IF($A1208="", "", IFERROR(VLOOKUP($A1208, Stock_New!$A:$M, 6, FALSE), ""))</f>
        <v>5.5</v>
      </c>
      <c r="F1208" s="239">
        <f>7.5</f>
        <v>7.5</v>
      </c>
      <c r="G1208" s="16"/>
      <c r="H1208" s="33">
        <v>30.0</v>
      </c>
      <c r="I1208" s="238">
        <v>46147.0</v>
      </c>
      <c r="J1208" s="5" t="s">
        <v>72</v>
      </c>
      <c r="K1208" s="5" t="s">
        <v>4041</v>
      </c>
      <c r="L1208" s="16"/>
      <c r="M1208" s="19"/>
      <c r="N1208" s="16"/>
      <c r="O1208" s="16"/>
      <c r="P1208" s="16"/>
    </row>
    <row r="1209" ht="22.5" customHeight="1">
      <c r="A1209" s="138" t="s">
        <v>858</v>
      </c>
      <c r="B1209" s="16" t="str">
        <f>IF(A1209="","",IFERROR(VLOOKUP(A1209, Stock_New!A:M, 2, FALSE),""))</f>
        <v>بوكيه</v>
      </c>
      <c r="C1209" s="236">
        <v>2.0</v>
      </c>
      <c r="D1209" s="16" t="str">
        <f>IF(A1209="","",IFERROR(VLOOKUP(A1209, Stock_New!A:M, 3, FALSE),""))</f>
        <v>manufactured</v>
      </c>
      <c r="E1209" s="16">
        <f>IF($A1209="", "", IFERROR(VLOOKUP($A1209, Stock_New!$A:$M, 6, FALSE), ""))</f>
        <v>13.01428571</v>
      </c>
      <c r="F1209" s="239">
        <v>25.0</v>
      </c>
      <c r="G1209" s="16"/>
      <c r="H1209" s="33">
        <v>50.0</v>
      </c>
      <c r="I1209" s="238">
        <v>46149.0</v>
      </c>
      <c r="J1209" s="5" t="s">
        <v>72</v>
      </c>
      <c r="K1209" s="5" t="s">
        <v>5312</v>
      </c>
      <c r="L1209" s="16"/>
      <c r="M1209" s="19"/>
      <c r="N1209" s="16"/>
      <c r="O1209" s="16"/>
      <c r="P1209" s="16"/>
    </row>
    <row r="1210" ht="22.5" customHeight="1">
      <c r="A1210" s="138" t="s">
        <v>1163</v>
      </c>
      <c r="B1210" s="16" t="str">
        <f>IF(A1210="","",IFERROR(VLOOKUP(A1210, Stock_New!A:M, 2, FALSE),""))</f>
        <v>بوكيه</v>
      </c>
      <c r="C1210" s="236">
        <v>1.0</v>
      </c>
      <c r="D1210" s="16" t="str">
        <f>IF(A1210="","",IFERROR(VLOOKUP(A1210, Stock_New!A:M, 3, FALSE),""))</f>
        <v>manufactured</v>
      </c>
      <c r="E1210" s="16">
        <f>IF($A1210="", "", IFERROR(VLOOKUP($A1210, Stock_New!$A:$M, 6, FALSE), ""))</f>
        <v>11.93333333</v>
      </c>
      <c r="F1210" s="239">
        <v>25.0</v>
      </c>
      <c r="G1210" s="16"/>
      <c r="H1210" s="33">
        <v>25.0</v>
      </c>
      <c r="I1210" s="238">
        <v>46149.0</v>
      </c>
      <c r="J1210" s="5" t="s">
        <v>72</v>
      </c>
      <c r="K1210" s="5" t="s">
        <v>4052</v>
      </c>
      <c r="L1210" s="16"/>
      <c r="M1210" s="19"/>
      <c r="N1210" s="16"/>
      <c r="O1210" s="16"/>
      <c r="P1210" s="16"/>
    </row>
    <row r="1211" ht="22.5" customHeight="1">
      <c r="A1211" s="138" t="s">
        <v>330</v>
      </c>
      <c r="B1211" s="16" t="str">
        <f>IF(A1211="","",IFERROR(VLOOKUP(A1211, Stock_New!A:M, 2, FALSE),""))</f>
        <v>بوكيه</v>
      </c>
      <c r="C1211" s="236">
        <v>1.0</v>
      </c>
      <c r="D1211" s="16" t="str">
        <f>IF(A1211="","",IFERROR(VLOOKUP(A1211, Stock_New!A:M, 3, FALSE),""))</f>
        <v>manufactured</v>
      </c>
      <c r="E1211" s="16">
        <f>IF($A1211="", "", IFERROR(VLOOKUP($A1211, Stock_New!$A:$M, 6, FALSE), ""))</f>
        <v>31</v>
      </c>
      <c r="F1211" s="239">
        <v>50.0</v>
      </c>
      <c r="G1211" s="16"/>
      <c r="H1211" s="33">
        <v>50.0</v>
      </c>
      <c r="I1211" s="238">
        <v>46149.0</v>
      </c>
      <c r="J1211" s="5" t="s">
        <v>72</v>
      </c>
      <c r="K1211" s="5" t="s">
        <v>4056</v>
      </c>
      <c r="L1211" s="16"/>
      <c r="M1211" s="19"/>
      <c r="N1211" s="16"/>
      <c r="O1211" s="16"/>
      <c r="P1211" s="16"/>
    </row>
    <row r="1212" ht="22.5" customHeight="1">
      <c r="A1212" s="138" t="s">
        <v>1162</v>
      </c>
      <c r="B1212" s="16" t="str">
        <f>IF(A1212="","",IFERROR(VLOOKUP(A1212, Stock_New!A:M, 2, FALSE),""))</f>
        <v>بوكيه</v>
      </c>
      <c r="C1212" s="236">
        <v>1.0</v>
      </c>
      <c r="D1212" s="16" t="str">
        <f>IF(A1212="","",IFERROR(VLOOKUP(A1212, Stock_New!A:M, 3, FALSE),""))</f>
        <v>manufactured</v>
      </c>
      <c r="E1212" s="16">
        <f>IF($A1212="", "", IFERROR(VLOOKUP($A1212, Stock_New!$A:$M, 6, FALSE), ""))</f>
        <v>10.9</v>
      </c>
      <c r="F1212" s="239">
        <v>25.0</v>
      </c>
      <c r="G1212" s="16"/>
      <c r="H1212" s="33">
        <v>25.0</v>
      </c>
      <c r="I1212" s="238">
        <v>46149.0</v>
      </c>
      <c r="J1212" s="5" t="s">
        <v>72</v>
      </c>
      <c r="K1212" s="5" t="s">
        <v>4058</v>
      </c>
      <c r="L1212" s="16"/>
      <c r="M1212" s="19"/>
      <c r="N1212" s="16"/>
      <c r="O1212" s="16"/>
      <c r="P1212" s="16"/>
    </row>
    <row r="1213" ht="22.5" customHeight="1">
      <c r="A1213" s="138" t="s">
        <v>554</v>
      </c>
      <c r="B1213" s="16" t="str">
        <f>IF(A1213="","",IFERROR(VLOOKUP(A1213, Stock_New!A:M, 2, FALSE),""))</f>
        <v>مقزمات</v>
      </c>
      <c r="C1213" s="236">
        <v>1.0</v>
      </c>
      <c r="D1213" s="16" t="str">
        <f>IF(A1213="","",IFERROR(VLOOKUP(A1213, Stock_New!A:M, 3, FALSE),""))</f>
        <v>manufactured</v>
      </c>
      <c r="E1213" s="16">
        <f>IF($A1213="", "", IFERROR(VLOOKUP($A1213, Stock_New!$A:$M, 6, FALSE), ""))</f>
        <v>27.86666667</v>
      </c>
      <c r="F1213" s="239">
        <v>45.0</v>
      </c>
      <c r="G1213" s="16"/>
      <c r="H1213" s="33">
        <v>45.0</v>
      </c>
      <c r="I1213" s="238">
        <v>46149.0</v>
      </c>
      <c r="J1213" s="5" t="s">
        <v>72</v>
      </c>
      <c r="K1213" s="5" t="s">
        <v>4060</v>
      </c>
      <c r="L1213" s="16"/>
      <c r="M1213" s="19"/>
      <c r="N1213" s="16"/>
      <c r="O1213" s="16"/>
      <c r="P1213" s="16"/>
    </row>
    <row r="1214" ht="22.5" customHeight="1">
      <c r="A1214" s="138" t="s">
        <v>856</v>
      </c>
      <c r="B1214" s="16" t="str">
        <f>IF(A1214="","",IFERROR(VLOOKUP(A1214, Stock_New!A:M, 2, FALSE),""))</f>
        <v>شمع</v>
      </c>
      <c r="C1214" s="236">
        <v>4.0</v>
      </c>
      <c r="D1214" s="16" t="str">
        <f>IF(A1214="","",IFERROR(VLOOKUP(A1214, Stock_New!A:M, 3, FALSE),""))</f>
        <v>سنتر محمد رشدي</v>
      </c>
      <c r="E1214" s="16">
        <f>IF($A1214="", "", IFERROR(VLOOKUP($A1214, Stock_New!$A:$M, 6, FALSE), ""))</f>
        <v>5.5</v>
      </c>
      <c r="F1214" s="370">
        <f>7+1/2</f>
        <v>7.5</v>
      </c>
      <c r="G1214" s="16"/>
      <c r="H1214" s="33">
        <f>F1214*C1214</f>
        <v>30</v>
      </c>
      <c r="I1214" s="238">
        <v>46149.0</v>
      </c>
      <c r="J1214" s="5" t="s">
        <v>72</v>
      </c>
      <c r="K1214" s="5" t="s">
        <v>4062</v>
      </c>
      <c r="L1214" s="16"/>
      <c r="M1214" s="19"/>
      <c r="N1214" s="16"/>
      <c r="O1214" s="16"/>
      <c r="P1214" s="16"/>
    </row>
    <row r="1215" ht="22.5" customHeight="1">
      <c r="A1215" s="138" t="s">
        <v>1126</v>
      </c>
      <c r="B1215" s="16" t="str">
        <f>IF(A1215="","",IFERROR(VLOOKUP(A1215, Stock_New!A:M, 2, FALSE),""))</f>
        <v>مباخر</v>
      </c>
      <c r="C1215" s="236">
        <v>1.0</v>
      </c>
      <c r="D1215" s="16" t="str">
        <f>IF(A1215="","",IFERROR(VLOOKUP(A1215, Stock_New!A:M, 3, FALSE),""))</f>
        <v>سنتر محمد رشدي</v>
      </c>
      <c r="E1215" s="16">
        <f>IF($A1215="", "", IFERROR(VLOOKUP($A1215, Stock_New!$A:$M, 6, FALSE), ""))</f>
        <v>114</v>
      </c>
      <c r="F1215" s="239">
        <v>135.0</v>
      </c>
      <c r="G1215" s="16"/>
      <c r="H1215" s="33">
        <v>135.0</v>
      </c>
      <c r="I1215" s="238">
        <v>46149.0</v>
      </c>
      <c r="J1215" s="5" t="s">
        <v>72</v>
      </c>
      <c r="K1215" s="5" t="s">
        <v>4064</v>
      </c>
      <c r="L1215" s="16"/>
      <c r="M1215" s="19"/>
      <c r="N1215" s="16"/>
      <c r="O1215" s="16"/>
      <c r="P1215" s="16"/>
    </row>
    <row r="1216" ht="22.5" customHeight="1">
      <c r="A1216" s="138" t="s">
        <v>549</v>
      </c>
      <c r="B1216" s="16" t="str">
        <f>IF(A1216="","",IFERROR(VLOOKUP(A1216, Stock_New!A:M, 2, FALSE),""))</f>
        <v>بخور</v>
      </c>
      <c r="C1216" s="236">
        <v>1.0</v>
      </c>
      <c r="D1216" s="16" t="str">
        <f>IF(A1216="","",IFERROR(VLOOKUP(A1216, Stock_New!A:M, 3, FALSE),""))</f>
        <v>سنتر محمد رشدي</v>
      </c>
      <c r="E1216" s="16">
        <f>IF($A1216="", "", IFERROR(VLOOKUP($A1216, Stock_New!$A:$M, 6, FALSE), ""))</f>
        <v>21</v>
      </c>
      <c r="F1216" s="239">
        <v>25.0</v>
      </c>
      <c r="G1216" s="16"/>
      <c r="H1216" s="33">
        <v>25.0</v>
      </c>
      <c r="I1216" s="238">
        <v>46149.0</v>
      </c>
      <c r="J1216" s="5" t="s">
        <v>72</v>
      </c>
      <c r="K1216" s="5" t="s">
        <v>4068</v>
      </c>
      <c r="L1216" s="16"/>
      <c r="M1216" s="19"/>
      <c r="N1216" s="16"/>
      <c r="O1216" s="16"/>
      <c r="P1216" s="16"/>
    </row>
    <row r="1217" ht="22.5" customHeight="1">
      <c r="A1217" s="138" t="s">
        <v>1043</v>
      </c>
      <c r="B1217" s="16" t="str">
        <f>IF(A1217="","",IFERROR(VLOOKUP(A1217, Stock_New!A:M, 2, FALSE),""))</f>
        <v>براويز</v>
      </c>
      <c r="C1217" s="236">
        <v>1.0</v>
      </c>
      <c r="D1217" s="16" t="str">
        <f>IF(A1217="","",IFERROR(VLOOKUP(A1217, Stock_New!A:M, 3, FALSE),""))</f>
        <v>شركة الفرسان</v>
      </c>
      <c r="E1217" s="16">
        <f>IF($A1217="", "", IFERROR(VLOOKUP($A1217, Stock_New!$A:$M, 6, FALSE), ""))</f>
        <v>102</v>
      </c>
      <c r="F1217" s="239">
        <v>140.0</v>
      </c>
      <c r="G1217" s="16"/>
      <c r="H1217" s="33">
        <v>140.0</v>
      </c>
      <c r="I1217" s="238">
        <v>46150.0</v>
      </c>
      <c r="J1217" s="5" t="s">
        <v>72</v>
      </c>
      <c r="K1217" s="5" t="s">
        <v>5313</v>
      </c>
      <c r="L1217" s="16"/>
      <c r="M1217" s="19"/>
      <c r="N1217" s="16"/>
      <c r="O1217" s="16"/>
      <c r="P1217" s="16"/>
    </row>
    <row r="1218" ht="22.5" customHeight="1">
      <c r="A1218" s="138" t="s">
        <v>330</v>
      </c>
      <c r="B1218" s="16" t="str">
        <f>IF(A1218="","",IFERROR(VLOOKUP(A1218, Stock_New!A:M, 2, FALSE),""))</f>
        <v>بوكيه</v>
      </c>
      <c r="C1218" s="236">
        <v>2.0</v>
      </c>
      <c r="D1218" s="16" t="str">
        <f>IF(A1218="","",IFERROR(VLOOKUP(A1218, Stock_New!A:M, 3, FALSE),""))</f>
        <v>manufactured</v>
      </c>
      <c r="E1218" s="16">
        <f>IF($A1218="", "", IFERROR(VLOOKUP($A1218, Stock_New!$A:$M, 6, FALSE), ""))</f>
        <v>31</v>
      </c>
      <c r="F1218" s="239">
        <v>50.0</v>
      </c>
      <c r="G1218" s="16"/>
      <c r="H1218" s="33">
        <v>100.0</v>
      </c>
      <c r="I1218" s="238">
        <v>46150.0</v>
      </c>
      <c r="J1218" s="5" t="s">
        <v>72</v>
      </c>
      <c r="K1218" s="5" t="s">
        <v>5314</v>
      </c>
      <c r="L1218" s="16"/>
      <c r="M1218" s="19"/>
      <c r="N1218" s="16"/>
      <c r="O1218" s="16"/>
      <c r="P1218" s="16"/>
    </row>
    <row r="1219" ht="22.5" customHeight="1">
      <c r="A1219" s="138" t="s">
        <v>670</v>
      </c>
      <c r="B1219" s="16" t="str">
        <f>IF(A1219="","",IFERROR(VLOOKUP(A1219, Stock_New!A:M, 2, FALSE),""))</f>
        <v>بوتات</v>
      </c>
      <c r="C1219" s="236">
        <v>2.0</v>
      </c>
      <c r="D1219" s="16" t="str">
        <f>IF(A1219="","",IFERROR(VLOOKUP(A1219, Stock_New!A:M, 3, FALSE),""))</f>
        <v>شركة حسين علي</v>
      </c>
      <c r="E1219" s="16">
        <f>IF($A1219="", "", IFERROR(VLOOKUP($A1219, Stock_New!$A:$M, 6, FALSE), ""))</f>
        <v>14.53</v>
      </c>
      <c r="F1219" s="239">
        <v>30.0</v>
      </c>
      <c r="G1219" s="16"/>
      <c r="H1219" s="33">
        <v>60.0</v>
      </c>
      <c r="I1219" s="238">
        <v>46150.0</v>
      </c>
      <c r="J1219" s="5" t="s">
        <v>72</v>
      </c>
      <c r="K1219" s="5" t="s">
        <v>5315</v>
      </c>
      <c r="L1219" s="16"/>
      <c r="M1219" s="19"/>
      <c r="N1219" s="16"/>
      <c r="O1219" s="16"/>
      <c r="P1219" s="16"/>
    </row>
    <row r="1220" ht="22.5" customHeight="1">
      <c r="A1220" s="138" t="s">
        <v>395</v>
      </c>
      <c r="B1220" s="16" t="str">
        <f>IF(A1220="","",IFERROR(VLOOKUP(A1220, Stock_New!A:M, 2, FALSE),""))</f>
        <v>ورد لوحدة</v>
      </c>
      <c r="C1220" s="236">
        <f>6/12</f>
        <v>0.5</v>
      </c>
      <c r="D1220" s="16" t="str">
        <f>IF(A1220="","",IFERROR(VLOOKUP(A1220, Stock_New!A:M, 3, FALSE),""))</f>
        <v>شركة حسين علي</v>
      </c>
      <c r="E1220" s="16">
        <f>IF($A1220="", "", IFERROR(VLOOKUP($A1220, Stock_New!$A:$M, 6, FALSE), ""))</f>
        <v>60</v>
      </c>
      <c r="F1220" s="239">
        <v>80.0</v>
      </c>
      <c r="G1220" s="16"/>
      <c r="H1220" s="33">
        <v>40.0</v>
      </c>
      <c r="I1220" s="238">
        <v>46150.0</v>
      </c>
      <c r="J1220" s="5" t="s">
        <v>72</v>
      </c>
      <c r="K1220" s="5" t="s">
        <v>4075</v>
      </c>
      <c r="L1220" s="16"/>
      <c r="M1220" s="19"/>
      <c r="N1220" s="16"/>
      <c r="O1220" s="16"/>
      <c r="P1220" s="16"/>
    </row>
    <row r="1221" ht="22.5" customHeight="1">
      <c r="A1221" s="138" t="s">
        <v>572</v>
      </c>
      <c r="B1221" s="16" t="str">
        <f>IF(A1221="","",IFERROR(VLOOKUP(A1221, Stock_New!A:M, 2, FALSE),""))</f>
        <v>شمع</v>
      </c>
      <c r="C1221" s="236">
        <v>1.0</v>
      </c>
      <c r="D1221" s="16" t="str">
        <f>IF(A1221="","",IFERROR(VLOOKUP(A1221, Stock_New!A:M, 3, FALSE),""))</f>
        <v>سنتر محمد رشدي</v>
      </c>
      <c r="E1221" s="16">
        <f>IF($A1221="", "", IFERROR(VLOOKUP($A1221, Stock_New!$A:$M, 6, FALSE), ""))</f>
        <v>5.25</v>
      </c>
      <c r="F1221" s="239">
        <v>10.0</v>
      </c>
      <c r="G1221" s="16"/>
      <c r="H1221" s="33">
        <v>10.0</v>
      </c>
      <c r="I1221" s="238">
        <v>46152.0</v>
      </c>
      <c r="J1221" s="5" t="s">
        <v>72</v>
      </c>
      <c r="K1221" s="5" t="s">
        <v>5316</v>
      </c>
      <c r="L1221" s="16"/>
      <c r="M1221" s="19"/>
      <c r="N1221" s="16"/>
      <c r="O1221" s="16"/>
      <c r="P1221" s="16"/>
    </row>
    <row r="1222" ht="22.5" customHeight="1">
      <c r="A1222" s="138" t="s">
        <v>756</v>
      </c>
      <c r="B1222" s="16" t="str">
        <f>IF(A1222="","",IFERROR(VLOOKUP(A1222, Stock_New!A:M, 2, FALSE),""))</f>
        <v>ورد لوحدة</v>
      </c>
      <c r="C1222" s="236">
        <v>3.0</v>
      </c>
      <c r="D1222" s="16" t="str">
        <f>IF(A1222="","",IFERROR(VLOOKUP(A1222, Stock_New!A:M, 3, FALSE),""))</f>
        <v>شركة حسين علي</v>
      </c>
      <c r="E1222" s="16">
        <f>IF($A1222="", "", IFERROR(VLOOKUP($A1222, Stock_New!$A:$M, 6, FALSE), ""))</f>
        <v>36</v>
      </c>
      <c r="F1222" s="239">
        <v>70.0</v>
      </c>
      <c r="G1222" s="16"/>
      <c r="H1222" s="33">
        <v>210.0</v>
      </c>
      <c r="I1222" s="238">
        <v>46152.0</v>
      </c>
      <c r="J1222" s="5" t="s">
        <v>72</v>
      </c>
      <c r="K1222" s="5" t="s">
        <v>4077</v>
      </c>
      <c r="L1222" s="16"/>
      <c r="M1222" s="19"/>
      <c r="N1222" s="16"/>
      <c r="O1222" s="16"/>
      <c r="P1222" s="16"/>
    </row>
    <row r="1223" ht="22.5" customHeight="1">
      <c r="A1223" s="138" t="s">
        <v>670</v>
      </c>
      <c r="B1223" s="16" t="str">
        <f>IF(A1223="","",IFERROR(VLOOKUP(A1223, Stock_New!A:M, 2, FALSE),""))</f>
        <v>بوتات</v>
      </c>
      <c r="C1223" s="236">
        <v>2.0</v>
      </c>
      <c r="D1223" s="16" t="str">
        <f>IF(A1223="","",IFERROR(VLOOKUP(A1223, Stock_New!A:M, 3, FALSE),""))</f>
        <v>شركة حسين علي</v>
      </c>
      <c r="E1223" s="16">
        <f>IF($A1223="", "", IFERROR(VLOOKUP($A1223, Stock_New!$A:$M, 6, FALSE), ""))</f>
        <v>14.53</v>
      </c>
      <c r="F1223" s="239">
        <v>30.0</v>
      </c>
      <c r="G1223" s="16"/>
      <c r="H1223" s="33">
        <v>60.0</v>
      </c>
      <c r="I1223" s="238">
        <v>46152.0</v>
      </c>
      <c r="J1223" s="5" t="s">
        <v>72</v>
      </c>
      <c r="K1223" s="5" t="s">
        <v>5317</v>
      </c>
      <c r="L1223" s="16"/>
      <c r="M1223" s="19"/>
      <c r="N1223" s="16"/>
      <c r="O1223" s="16"/>
      <c r="P1223" s="16"/>
    </row>
    <row r="1224" ht="22.5" customHeight="1">
      <c r="A1224" s="138" t="s">
        <v>309</v>
      </c>
      <c r="B1224" s="16" t="str">
        <f>IF(A1224="","",IFERROR(VLOOKUP(A1224, Stock_New!A:M, 2, FALSE),""))</f>
        <v>بوتات</v>
      </c>
      <c r="C1224" s="236">
        <v>1.0</v>
      </c>
      <c r="D1224" s="16" t="str">
        <f>IF(A1224="","",IFERROR(VLOOKUP(A1224, Stock_New!A:M, 3, FALSE),""))</f>
        <v>شركة حسين علي</v>
      </c>
      <c r="E1224" s="16">
        <f>IF($A1224="", "", IFERROR(VLOOKUP($A1224, Stock_New!$A:$M, 6, FALSE), ""))</f>
        <v>24</v>
      </c>
      <c r="F1224" s="239">
        <v>50.0</v>
      </c>
      <c r="G1224" s="16"/>
      <c r="H1224" s="33">
        <v>50.0</v>
      </c>
      <c r="I1224" s="238">
        <v>46152.0</v>
      </c>
      <c r="J1224" s="5" t="s">
        <v>72</v>
      </c>
      <c r="K1224" s="5" t="s">
        <v>4115</v>
      </c>
      <c r="L1224" s="16"/>
      <c r="M1224" s="19"/>
      <c r="N1224" s="16"/>
      <c r="O1224" s="16"/>
      <c r="P1224" s="16"/>
    </row>
    <row r="1225" ht="22.5" customHeight="1">
      <c r="A1225" s="138" t="s">
        <v>395</v>
      </c>
      <c r="B1225" s="16" t="str">
        <f>IF(A1225="","",IFERROR(VLOOKUP(A1225, Stock_New!A:M, 2, FALSE),""))</f>
        <v>ورد لوحدة</v>
      </c>
      <c r="C1225" s="236">
        <f>3/12</f>
        <v>0.25</v>
      </c>
      <c r="D1225" s="16" t="str">
        <f>IF(A1225="","",IFERROR(VLOOKUP(A1225, Stock_New!A:M, 3, FALSE),""))</f>
        <v>شركة حسين علي</v>
      </c>
      <c r="E1225" s="16">
        <f>IF($A1225="", "", IFERROR(VLOOKUP($A1225, Stock_New!$A:$M, 6, FALSE), ""))</f>
        <v>60</v>
      </c>
      <c r="F1225" s="239">
        <v>80.0</v>
      </c>
      <c r="G1225" s="16"/>
      <c r="H1225" s="33">
        <v>20.0</v>
      </c>
      <c r="I1225" s="238">
        <v>46152.0</v>
      </c>
      <c r="J1225" s="5" t="s">
        <v>72</v>
      </c>
      <c r="K1225" s="5" t="s">
        <v>5318</v>
      </c>
      <c r="L1225" s="16"/>
      <c r="M1225" s="19"/>
      <c r="N1225" s="16"/>
      <c r="O1225" s="16"/>
      <c r="P1225" s="16"/>
    </row>
    <row r="1226" ht="22.5" customHeight="1">
      <c r="A1226" s="138" t="s">
        <v>159</v>
      </c>
      <c r="B1226" s="16" t="str">
        <f>IF(A1226="","",IFERROR(VLOOKUP(A1226, Stock_New!A:M, 2, FALSE),""))</f>
        <v>شجر</v>
      </c>
      <c r="C1226" s="236">
        <v>1.0</v>
      </c>
      <c r="D1226" s="16" t="str">
        <f>IF(A1226="","",IFERROR(VLOOKUP(A1226, Stock_New!A:M, 3, FALSE),""))</f>
        <v>شركة حسين علي</v>
      </c>
      <c r="E1226" s="16">
        <f>IF($A1226="", "", IFERROR(VLOOKUP($A1226, Stock_New!$A:$M, 6, FALSE), ""))</f>
        <v>280</v>
      </c>
      <c r="F1226" s="239">
        <v>300.0</v>
      </c>
      <c r="G1226" s="16"/>
      <c r="H1226" s="33">
        <v>300.0</v>
      </c>
      <c r="I1226" s="238">
        <v>46152.0</v>
      </c>
      <c r="J1226" s="5" t="s">
        <v>72</v>
      </c>
      <c r="K1226" s="5" t="s">
        <v>5319</v>
      </c>
      <c r="L1226" s="16"/>
      <c r="M1226" s="19"/>
      <c r="N1226" s="16"/>
      <c r="O1226" s="16"/>
      <c r="P1226" s="16"/>
    </row>
    <row r="1227" ht="22.5" customHeight="1">
      <c r="A1227" s="138" t="s">
        <v>91</v>
      </c>
      <c r="B1227" s="16" t="str">
        <f>IF(A1227="","",IFERROR(VLOOKUP(A1227, Stock_New!A:M, 2, FALSE),""))</f>
        <v>بوتات</v>
      </c>
      <c r="C1227" s="236">
        <v>1.0</v>
      </c>
      <c r="D1227" s="16" t="str">
        <f>IF(A1227="","",IFERROR(VLOOKUP(A1227, Stock_New!A:M, 3, FALSE),""))</f>
        <v>عبدالفتاح</v>
      </c>
      <c r="E1227" s="16">
        <f>IF($A1227="", "", IFERROR(VLOOKUP($A1227, Stock_New!$A:$M, 6, FALSE), ""))</f>
        <v>42</v>
      </c>
      <c r="F1227" s="239">
        <v>50.0</v>
      </c>
      <c r="G1227" s="16"/>
      <c r="H1227" s="33">
        <v>50.0</v>
      </c>
      <c r="I1227" s="238">
        <v>46152.0</v>
      </c>
      <c r="J1227" s="5" t="s">
        <v>72</v>
      </c>
      <c r="K1227" s="5" t="s">
        <v>5320</v>
      </c>
      <c r="L1227" s="16"/>
      <c r="M1227" s="19"/>
      <c r="N1227" s="16"/>
      <c r="O1227" s="16"/>
      <c r="P1227" s="16"/>
    </row>
    <row r="1228" ht="22.5" customHeight="1">
      <c r="A1228" s="138" t="s">
        <v>77</v>
      </c>
      <c r="B1228" s="16" t="str">
        <f>IF(A1228="","",IFERROR(VLOOKUP(A1228, Stock_New!A:M, 2, FALSE),""))</f>
        <v>شجر</v>
      </c>
      <c r="C1228" s="236">
        <v>1.0</v>
      </c>
      <c r="D1228" s="16" t="str">
        <f>IF(A1228="","",IFERROR(VLOOKUP(A1228, Stock_New!A:M, 3, FALSE),""))</f>
        <v>manufactured</v>
      </c>
      <c r="E1228" s="16">
        <f>IF($A1228="", "", IFERROR(VLOOKUP($A1228, Stock_New!$A:$M, 6, FALSE), ""))</f>
        <v>378</v>
      </c>
      <c r="F1228" s="239">
        <v>310.0</v>
      </c>
      <c r="G1228" s="16"/>
      <c r="H1228" s="33">
        <v>310.0</v>
      </c>
      <c r="I1228" s="238">
        <v>46152.0</v>
      </c>
      <c r="J1228" s="5" t="s">
        <v>72</v>
      </c>
      <c r="K1228" s="5" t="s">
        <v>5321</v>
      </c>
      <c r="L1228" s="16"/>
      <c r="M1228" s="19"/>
      <c r="N1228" s="16"/>
      <c r="O1228" s="16"/>
      <c r="P1228" s="16"/>
    </row>
    <row r="1229" ht="22.5" customHeight="1">
      <c r="A1229" s="138" t="s">
        <v>91</v>
      </c>
      <c r="B1229" s="16" t="str">
        <f>IF(A1229="","",IFERROR(VLOOKUP(A1229, Stock_New!A:M, 2, FALSE),""))</f>
        <v>بوتات</v>
      </c>
      <c r="C1229" s="236">
        <v>1.0</v>
      </c>
      <c r="D1229" s="16" t="str">
        <f>IF(A1229="","",IFERROR(VLOOKUP(A1229, Stock_New!A:M, 3, FALSE),""))</f>
        <v>عبدالفتاح</v>
      </c>
      <c r="E1229" s="16">
        <f>IF($A1229="", "", IFERROR(VLOOKUP($A1229, Stock_New!$A:$M, 6, FALSE), ""))</f>
        <v>42</v>
      </c>
      <c r="F1229" s="239">
        <v>50.0</v>
      </c>
      <c r="G1229" s="16"/>
      <c r="H1229" s="33">
        <v>50.0</v>
      </c>
      <c r="I1229" s="238">
        <v>46152.0</v>
      </c>
      <c r="J1229" s="5" t="s">
        <v>72</v>
      </c>
      <c r="K1229" s="5" t="s">
        <v>5322</v>
      </c>
      <c r="L1229" s="16"/>
      <c r="M1229" s="19"/>
      <c r="N1229" s="16"/>
      <c r="O1229" s="16"/>
      <c r="P1229" s="16"/>
    </row>
    <row r="1230" ht="22.5" customHeight="1">
      <c r="A1230" s="138" t="s">
        <v>670</v>
      </c>
      <c r="B1230" s="16" t="str">
        <f>IF(A1230="","",IFERROR(VLOOKUP(A1230, Stock_New!A:M, 2, FALSE),""))</f>
        <v>بوتات</v>
      </c>
      <c r="C1230" s="236">
        <v>1.0</v>
      </c>
      <c r="D1230" s="16" t="str">
        <f>IF(A1230="","",IFERROR(VLOOKUP(A1230, Stock_New!A:M, 3, FALSE),""))</f>
        <v>شركة حسين علي</v>
      </c>
      <c r="E1230" s="16">
        <f>IF($A1230="", "", IFERROR(VLOOKUP($A1230, Stock_New!$A:$M, 6, FALSE), ""))</f>
        <v>14.53</v>
      </c>
      <c r="F1230" s="239">
        <v>60.0</v>
      </c>
      <c r="G1230" s="16"/>
      <c r="H1230" s="33">
        <v>60.0</v>
      </c>
      <c r="I1230" s="238">
        <v>46152.0</v>
      </c>
      <c r="J1230" s="5" t="s">
        <v>72</v>
      </c>
      <c r="K1230" s="5" t="s">
        <v>5323</v>
      </c>
      <c r="L1230" s="16"/>
      <c r="M1230" s="19"/>
      <c r="N1230" s="16"/>
      <c r="O1230" s="16"/>
      <c r="P1230" s="16"/>
    </row>
    <row r="1231" ht="22.5" customHeight="1">
      <c r="A1231" s="138" t="s">
        <v>216</v>
      </c>
      <c r="B1231" s="16" t="str">
        <f>IF(A1231="","",IFERROR(VLOOKUP(A1231, Stock_New!A:M, 2, FALSE),""))</f>
        <v>ورد لوحدة</v>
      </c>
      <c r="C1231" s="236">
        <f>2/5</f>
        <v>0.4</v>
      </c>
      <c r="D1231" s="16" t="str">
        <f>IF(A1231="","",IFERROR(VLOOKUP(A1231, Stock_New!A:M, 3, FALSE),""))</f>
        <v>شركة الفرسان</v>
      </c>
      <c r="E1231" s="16">
        <f>IF($A1231="", "", IFERROR(VLOOKUP($A1231, Stock_New!$A:$M, 6, FALSE), ""))</f>
        <v>60</v>
      </c>
      <c r="F1231" s="239">
        <v>100.0</v>
      </c>
      <c r="G1231" s="16"/>
      <c r="H1231" s="33">
        <v>40.0</v>
      </c>
      <c r="I1231" s="238">
        <v>46152.0</v>
      </c>
      <c r="J1231" s="5" t="s">
        <v>72</v>
      </c>
      <c r="K1231" s="5" t="s">
        <v>5324</v>
      </c>
      <c r="L1231" s="16"/>
      <c r="M1231" s="19"/>
      <c r="N1231" s="16"/>
      <c r="O1231" s="16"/>
      <c r="P1231" s="16"/>
    </row>
    <row r="1232" ht="22.5" customHeight="1">
      <c r="A1232" s="138" t="s">
        <v>1163</v>
      </c>
      <c r="B1232" s="16" t="str">
        <f>IF(A1232="","",IFERROR(VLOOKUP(A1232, Stock_New!A:M, 2, FALSE),""))</f>
        <v>بوكيه</v>
      </c>
      <c r="C1232" s="236">
        <f>5/18</f>
        <v>0.2777777778</v>
      </c>
      <c r="D1232" s="16" t="str">
        <f>IF(A1232="","",IFERROR(VLOOKUP(A1232, Stock_New!A:M, 3, FALSE),""))</f>
        <v>manufactured</v>
      </c>
      <c r="E1232" s="16">
        <f>IF($A1232="", "", IFERROR(VLOOKUP($A1232, Stock_New!$A:$M, 6, FALSE), ""))</f>
        <v>11.93333333</v>
      </c>
      <c r="F1232" s="239">
        <v>180.0</v>
      </c>
      <c r="G1232" s="16"/>
      <c r="H1232" s="33">
        <v>50.0</v>
      </c>
      <c r="I1232" s="238">
        <v>46152.0</v>
      </c>
      <c r="J1232" s="5" t="s">
        <v>72</v>
      </c>
      <c r="K1232" s="5" t="s">
        <v>5325</v>
      </c>
      <c r="L1232" s="16"/>
      <c r="M1232" s="19"/>
      <c r="N1232" s="16"/>
      <c r="O1232" s="16"/>
      <c r="P1232" s="16"/>
    </row>
    <row r="1233" ht="22.5" customHeight="1">
      <c r="A1233" s="138" t="s">
        <v>756</v>
      </c>
      <c r="B1233" s="16" t="str">
        <f>IF(A1233="","",IFERROR(VLOOKUP(A1233, Stock_New!A:M, 2, FALSE),""))</f>
        <v>ورد لوحدة</v>
      </c>
      <c r="C1233" s="236">
        <v>4.0</v>
      </c>
      <c r="D1233" s="16" t="str">
        <f>IF(A1233="","",IFERROR(VLOOKUP(A1233, Stock_New!A:M, 3, FALSE),""))</f>
        <v>شركة حسين علي</v>
      </c>
      <c r="E1233" s="16">
        <f>IF($A1233="", "", IFERROR(VLOOKUP($A1233, Stock_New!$A:$M, 6, FALSE), ""))</f>
        <v>36</v>
      </c>
      <c r="F1233" s="239">
        <v>70.0</v>
      </c>
      <c r="G1233" s="16"/>
      <c r="H1233" s="33">
        <v>280.0</v>
      </c>
      <c r="I1233" s="238">
        <v>46155.0</v>
      </c>
      <c r="J1233" s="5" t="s">
        <v>72</v>
      </c>
      <c r="K1233" s="5" t="s">
        <v>4079</v>
      </c>
      <c r="L1233" s="16"/>
      <c r="M1233" s="19"/>
      <c r="N1233" s="16"/>
      <c r="O1233" s="16"/>
      <c r="P1233" s="16"/>
    </row>
    <row r="1234" ht="22.5" customHeight="1">
      <c r="A1234" s="138" t="s">
        <v>670</v>
      </c>
      <c r="B1234" s="16" t="str">
        <f>IF(A1234="","",IFERROR(VLOOKUP(A1234, Stock_New!A:M, 2, FALSE),""))</f>
        <v>بوتات</v>
      </c>
      <c r="C1234" s="236">
        <v>4.0</v>
      </c>
      <c r="D1234" s="16" t="str">
        <f>IF(A1234="","",IFERROR(VLOOKUP(A1234, Stock_New!A:M, 3, FALSE),""))</f>
        <v>شركة حسين علي</v>
      </c>
      <c r="E1234" s="16">
        <f>IF($A1234="", "", IFERROR(VLOOKUP($A1234, Stock_New!$A:$M, 6, FALSE), ""))</f>
        <v>14.53</v>
      </c>
      <c r="F1234" s="239">
        <v>30.0</v>
      </c>
      <c r="G1234" s="16"/>
      <c r="H1234" s="33">
        <v>120.0</v>
      </c>
      <c r="I1234" s="238">
        <v>46155.0</v>
      </c>
      <c r="J1234" s="5" t="s">
        <v>72</v>
      </c>
      <c r="K1234" s="5" t="s">
        <v>5326</v>
      </c>
      <c r="L1234" s="16"/>
      <c r="M1234" s="19"/>
      <c r="N1234" s="16"/>
      <c r="O1234" s="16"/>
      <c r="P1234" s="16"/>
    </row>
    <row r="1235" ht="22.5" customHeight="1">
      <c r="A1235" s="138" t="s">
        <v>363</v>
      </c>
      <c r="B1235" s="16" t="str">
        <f>IF(A1235="","",IFERROR(VLOOKUP(A1235, Stock_New!A:M, 2, FALSE),""))</f>
        <v>ورد لوحدة</v>
      </c>
      <c r="C1235" s="236">
        <f>2/18</f>
        <v>0.1111111111</v>
      </c>
      <c r="D1235" s="16" t="str">
        <f>IF(A1235="","",IFERROR(VLOOKUP(A1235, Stock_New!A:M, 3, FALSE),""))</f>
        <v>شركة الفرسان</v>
      </c>
      <c r="E1235" s="16">
        <f>IF($A1235="", "", IFERROR(VLOOKUP($A1235, Stock_New!$A:$M, 6, FALSE), ""))</f>
        <v>132</v>
      </c>
      <c r="F1235" s="239">
        <v>180.0</v>
      </c>
      <c r="G1235" s="16"/>
      <c r="H1235" s="33">
        <v>20.0</v>
      </c>
      <c r="I1235" s="238">
        <v>46155.0</v>
      </c>
      <c r="J1235" s="5" t="s">
        <v>72</v>
      </c>
      <c r="K1235" s="5" t="s">
        <v>5327</v>
      </c>
      <c r="L1235" s="16"/>
      <c r="M1235" s="19"/>
      <c r="N1235" s="16"/>
      <c r="O1235" s="16"/>
      <c r="P1235" s="16"/>
    </row>
    <row r="1236" ht="22.5" customHeight="1">
      <c r="A1236" s="138" t="s">
        <v>220</v>
      </c>
      <c r="B1236" s="16" t="str">
        <f>IF(A1236="","",IFERROR(VLOOKUP(A1236, Stock_New!A:M, 2, FALSE),""))</f>
        <v>ورد لوحدة</v>
      </c>
      <c r="C1236" s="236">
        <f>1/2</f>
        <v>0.5</v>
      </c>
      <c r="D1236" s="16" t="str">
        <f>IF(A1236="","",IFERROR(VLOOKUP(A1236, Stock_New!A:M, 3, FALSE),""))</f>
        <v>شركة الفرسان</v>
      </c>
      <c r="E1236" s="16">
        <f>IF($A1236="", "", IFERROR(VLOOKUP($A1236, Stock_New!$A:$M, 6, FALSE), ""))</f>
        <v>102</v>
      </c>
      <c r="F1236" s="239">
        <v>100.0</v>
      </c>
      <c r="G1236" s="16"/>
      <c r="H1236" s="33">
        <v>50.0</v>
      </c>
      <c r="I1236" s="238">
        <v>46155.0</v>
      </c>
      <c r="J1236" s="5" t="s">
        <v>72</v>
      </c>
      <c r="K1236" s="5" t="s">
        <v>5328</v>
      </c>
      <c r="L1236" s="16"/>
      <c r="M1236" s="19"/>
      <c r="N1236" s="16"/>
      <c r="O1236" s="16"/>
      <c r="P1236" s="16"/>
    </row>
    <row r="1237" ht="22.5" customHeight="1">
      <c r="A1237" s="138" t="s">
        <v>1006</v>
      </c>
      <c r="B1237" s="16" t="str">
        <f>IF(A1237="","",IFERROR(VLOOKUP(A1237, Stock_New!A:M, 2, FALSE),""))</f>
        <v>خزف</v>
      </c>
      <c r="C1237" s="236">
        <v>1.0</v>
      </c>
      <c r="D1237" s="16" t="str">
        <f>IF(A1237="","",IFERROR(VLOOKUP(A1237, Stock_New!A:M, 3, FALSE),""))</f>
        <v>شركة حسين علي</v>
      </c>
      <c r="E1237" s="16">
        <f>IF($A1237="", "", IFERROR(VLOOKUP($A1237, Stock_New!$A:$M, 6, FALSE), ""))</f>
        <v>144</v>
      </c>
      <c r="F1237" s="239">
        <v>220.0</v>
      </c>
      <c r="G1237" s="16"/>
      <c r="H1237" s="33">
        <v>220.0</v>
      </c>
      <c r="I1237" s="238">
        <v>46155.0</v>
      </c>
      <c r="J1237" s="5" t="s">
        <v>72</v>
      </c>
      <c r="K1237" s="5" t="s">
        <v>5329</v>
      </c>
      <c r="L1237" s="16"/>
      <c r="M1237" s="19"/>
      <c r="N1237" s="16"/>
      <c r="O1237" s="16"/>
      <c r="P1237" s="16"/>
    </row>
    <row r="1238" ht="22.5" customHeight="1">
      <c r="A1238" s="138" t="s">
        <v>479</v>
      </c>
      <c r="B1238" s="16" t="str">
        <f>IF(A1238="","",IFERROR(VLOOKUP(A1238, Stock_New!A:M, 2, FALSE),""))</f>
        <v>شجر</v>
      </c>
      <c r="C1238" s="236">
        <v>1.0</v>
      </c>
      <c r="D1238" s="16" t="str">
        <f>IF(A1238="","",IFERROR(VLOOKUP(A1238, Stock_New!A:M, 3, FALSE),""))</f>
        <v>شركة حسين علي</v>
      </c>
      <c r="E1238" s="16">
        <f>IF($A1238="", "", IFERROR(VLOOKUP($A1238, Stock_New!$A:$M, 6, FALSE), ""))</f>
        <v>240</v>
      </c>
      <c r="F1238" s="239">
        <v>300.0</v>
      </c>
      <c r="G1238" s="16"/>
      <c r="H1238" s="33">
        <v>300.0</v>
      </c>
      <c r="I1238" s="238">
        <v>46155.0</v>
      </c>
      <c r="J1238" s="5" t="s">
        <v>72</v>
      </c>
      <c r="K1238" s="5" t="s">
        <v>5330</v>
      </c>
      <c r="L1238" s="16"/>
      <c r="M1238" s="19"/>
      <c r="N1238" s="16"/>
      <c r="O1238" s="16"/>
      <c r="P1238" s="16"/>
    </row>
    <row r="1239" ht="22.5" customHeight="1">
      <c r="A1239" s="138" t="s">
        <v>336</v>
      </c>
      <c r="B1239" s="16" t="str">
        <f>IF(A1239="","",IFERROR(VLOOKUP(A1239, Stock_New!A:M, 2, FALSE),""))</f>
        <v>بوتات</v>
      </c>
      <c r="C1239" s="236">
        <v>1.0</v>
      </c>
      <c r="D1239" s="16" t="str">
        <f>IF(A1239="","",IFERROR(VLOOKUP(A1239, Stock_New!A:M, 3, FALSE),""))</f>
        <v>شركة حسين علي</v>
      </c>
      <c r="E1239" s="16">
        <f>IF($A1239="", "", IFERROR(VLOOKUP($A1239, Stock_New!$A:$M, 6, FALSE), ""))</f>
        <v>120</v>
      </c>
      <c r="F1239" s="239">
        <v>140.0</v>
      </c>
      <c r="G1239" s="16"/>
      <c r="H1239" s="33">
        <v>140.0</v>
      </c>
      <c r="I1239" s="238">
        <v>46155.0</v>
      </c>
      <c r="J1239" s="5" t="s">
        <v>72</v>
      </c>
      <c r="K1239" s="5" t="s">
        <v>5331</v>
      </c>
      <c r="L1239" s="16"/>
      <c r="M1239" s="19"/>
      <c r="N1239" s="16"/>
      <c r="O1239" s="16"/>
      <c r="P1239" s="16"/>
    </row>
    <row r="1240" ht="22.5" customHeight="1">
      <c r="A1240" s="138" t="s">
        <v>930</v>
      </c>
      <c r="B1240" s="16" t="str">
        <f>IF(A1240="","",IFERROR(VLOOKUP(A1240, Stock_New!A:M, 2, FALSE),""))</f>
        <v>براويز</v>
      </c>
      <c r="C1240" s="236">
        <v>3.0</v>
      </c>
      <c r="D1240" s="16" t="str">
        <f>IF(A1240="","",IFERROR(VLOOKUP(A1240, Stock_New!A:M, 3, FALSE),""))</f>
        <v>شركة الفرسان للاستيراد والتصدير</v>
      </c>
      <c r="E1240" s="16">
        <f>IF($A1240="", "", IFERROR(VLOOKUP($A1240, Stock_New!$A:$M, 6, FALSE), ""))</f>
        <v>108</v>
      </c>
      <c r="F1240" s="239">
        <v>120.0</v>
      </c>
      <c r="G1240" s="16"/>
      <c r="H1240" s="33">
        <v>360.0</v>
      </c>
      <c r="I1240" s="238">
        <v>46155.0</v>
      </c>
      <c r="J1240" s="5" t="s">
        <v>72</v>
      </c>
      <c r="K1240" s="5" t="s">
        <v>4081</v>
      </c>
      <c r="L1240" s="16"/>
      <c r="M1240" s="19"/>
      <c r="N1240" s="16"/>
      <c r="O1240" s="16"/>
      <c r="P1240" s="16"/>
    </row>
    <row r="1241" ht="22.5" customHeight="1">
      <c r="A1241" s="138" t="s">
        <v>46</v>
      </c>
      <c r="B1241" s="16" t="str">
        <f>IF(A1241="","",IFERROR(VLOOKUP(A1241, Stock_New!A:M, 2, FALSE),""))</f>
        <v>بوكيه</v>
      </c>
      <c r="C1241" s="236">
        <v>2.0</v>
      </c>
      <c r="D1241" s="16" t="str">
        <f>IF(A1241="","",IFERROR(VLOOKUP(A1241, Stock_New!A:M, 3, FALSE),""))</f>
        <v>manufactured</v>
      </c>
      <c r="E1241" s="16">
        <f>IF($A1241="", "", IFERROR(VLOOKUP($A1241, Stock_New!$A:$M, 6, FALSE), ""))</f>
        <v>116.256</v>
      </c>
      <c r="F1241" s="239">
        <v>225.0</v>
      </c>
      <c r="G1241" s="16"/>
      <c r="H1241" s="33">
        <v>450.0</v>
      </c>
      <c r="I1241" s="238">
        <v>46156.0</v>
      </c>
      <c r="J1241" s="5" t="s">
        <v>72</v>
      </c>
      <c r="K1241" s="5" t="s">
        <v>5332</v>
      </c>
      <c r="L1241" s="16"/>
      <c r="M1241" s="19"/>
      <c r="N1241" s="16"/>
      <c r="O1241" s="16"/>
      <c r="P1241" s="16"/>
    </row>
    <row r="1242" ht="22.5" customHeight="1">
      <c r="A1242" s="138" t="s">
        <v>91</v>
      </c>
      <c r="B1242" s="16" t="str">
        <f>IF(A1242="","",IFERROR(VLOOKUP(A1242, Stock_New!A:M, 2, FALSE),""))</f>
        <v>بوتات</v>
      </c>
      <c r="C1242" s="236">
        <v>2.0</v>
      </c>
      <c r="D1242" s="16" t="str">
        <f>IF(A1242="","",IFERROR(VLOOKUP(A1242, Stock_New!A:M, 3, FALSE),""))</f>
        <v>عبدالفتاح</v>
      </c>
      <c r="E1242" s="16">
        <f>IF($A1242="", "", IFERROR(VLOOKUP($A1242, Stock_New!$A:$M, 6, FALSE), ""))</f>
        <v>42</v>
      </c>
      <c r="F1242" s="239">
        <v>50.0</v>
      </c>
      <c r="G1242" s="16"/>
      <c r="H1242" s="33">
        <v>100.0</v>
      </c>
      <c r="I1242" s="238">
        <v>46156.0</v>
      </c>
      <c r="J1242" s="5" t="s">
        <v>72</v>
      </c>
      <c r="K1242" s="5" t="s">
        <v>5333</v>
      </c>
      <c r="L1242" s="16"/>
      <c r="M1242" s="19"/>
      <c r="N1242" s="16"/>
      <c r="O1242" s="16"/>
      <c r="P1242" s="16"/>
    </row>
    <row r="1243" ht="22.5" customHeight="1">
      <c r="A1243" s="138" t="s">
        <v>268</v>
      </c>
      <c r="B1243" s="16" t="str">
        <f>IF(A1243="","",IFERROR(VLOOKUP(A1243, Stock_New!A:M, 2, FALSE),""))</f>
        <v>سيلفرات</v>
      </c>
      <c r="C1243" s="236">
        <v>1.0</v>
      </c>
      <c r="D1243" s="16" t="str">
        <f>IF(A1243="","",IFERROR(VLOOKUP(A1243, Stock_New!A:M, 3, FALSE),""))</f>
        <v>شركة حسين علي</v>
      </c>
      <c r="E1243" s="16">
        <f>IF($A1243="", "", IFERROR(VLOOKUP($A1243, Stock_New!$A:$M, 6, FALSE), ""))</f>
        <v>214.5</v>
      </c>
      <c r="F1243" s="239">
        <v>230.0</v>
      </c>
      <c r="G1243" s="16"/>
      <c r="H1243" s="33">
        <v>230.0</v>
      </c>
      <c r="I1243" s="238">
        <v>46156.0</v>
      </c>
      <c r="J1243" s="5" t="s">
        <v>72</v>
      </c>
      <c r="K1243" s="5" t="s">
        <v>5334</v>
      </c>
      <c r="L1243" s="16"/>
      <c r="M1243" s="19"/>
      <c r="N1243" s="16"/>
      <c r="O1243" s="16"/>
      <c r="P1243" s="16"/>
    </row>
    <row r="1244" ht="22.5" customHeight="1">
      <c r="A1244" s="138" t="s">
        <v>871</v>
      </c>
      <c r="B1244" s="16" t="str">
        <f>IF(A1244="","",IFERROR(VLOOKUP(A1244, Stock_New!A:M, 2, FALSE),""))</f>
        <v>سيلفرات</v>
      </c>
      <c r="C1244" s="236">
        <v>1.0</v>
      </c>
      <c r="D1244" s="16" t="str">
        <f>IF(A1244="","",IFERROR(VLOOKUP(A1244, Stock_New!A:M, 3, FALSE),""))</f>
        <v>شركة حسين علي</v>
      </c>
      <c r="E1244" s="16">
        <f>IF($A1244="", "", IFERROR(VLOOKUP($A1244, Stock_New!$A:$M, 6, FALSE), ""))</f>
        <v>111.6</v>
      </c>
      <c r="F1244" s="239">
        <v>100.0</v>
      </c>
      <c r="G1244" s="16"/>
      <c r="H1244" s="33">
        <v>100.0</v>
      </c>
      <c r="I1244" s="238">
        <v>46156.0</v>
      </c>
      <c r="J1244" s="5" t="s">
        <v>72</v>
      </c>
      <c r="K1244" s="5" t="s">
        <v>5335</v>
      </c>
      <c r="L1244" s="16"/>
      <c r="M1244" s="19"/>
      <c r="N1244" s="16"/>
      <c r="O1244" s="16"/>
      <c r="P1244" s="16"/>
    </row>
    <row r="1245" ht="22.5" customHeight="1">
      <c r="A1245" s="138" t="s">
        <v>640</v>
      </c>
      <c r="B1245" s="16" t="str">
        <f>IF(A1245="","",IFERROR(VLOOKUP(A1245, Stock_New!A:M, 2, FALSE),""))</f>
        <v>سيلفرات</v>
      </c>
      <c r="C1245" s="236">
        <v>1.0</v>
      </c>
      <c r="D1245" s="16" t="str">
        <f>IF(A1245="","",IFERROR(VLOOKUP(A1245, Stock_New!A:M, 3, FALSE),""))</f>
        <v>سنتر محمد رشدي</v>
      </c>
      <c r="E1245" s="16">
        <f>IF($A1245="", "", IFERROR(VLOOKUP($A1245, Stock_New!$A:$M, 6, FALSE), ""))</f>
        <v>200.4</v>
      </c>
      <c r="F1245" s="239">
        <v>220.0</v>
      </c>
      <c r="G1245" s="16"/>
      <c r="H1245" s="33">
        <v>220.0</v>
      </c>
      <c r="I1245" s="238">
        <v>46159.0</v>
      </c>
      <c r="J1245" s="5" t="s">
        <v>72</v>
      </c>
      <c r="K1245" s="5" t="s">
        <v>5336</v>
      </c>
      <c r="L1245" s="16"/>
      <c r="M1245" s="19"/>
      <c r="N1245" s="16"/>
      <c r="O1245" s="16"/>
      <c r="P1245" s="16"/>
    </row>
    <row r="1246" ht="22.5" customHeight="1">
      <c r="A1246" s="138" t="s">
        <v>638</v>
      </c>
      <c r="B1246" s="16" t="str">
        <f>IF(A1246="","",IFERROR(VLOOKUP(A1246, Stock_New!A:M, 2, FALSE),""))</f>
        <v>ورد لوحدة</v>
      </c>
      <c r="C1246" s="236">
        <f>3/10</f>
        <v>0.3</v>
      </c>
      <c r="D1246" s="16" t="str">
        <f>IF(A1246="","",IFERROR(VLOOKUP(A1246, Stock_New!A:M, 3, FALSE),""))</f>
        <v>شركة الفرسان</v>
      </c>
      <c r="E1246" s="16">
        <f>IF($A1246="", "", IFERROR(VLOOKUP($A1246, Stock_New!$A:$M, 6, FALSE), ""))</f>
        <v>120</v>
      </c>
      <c r="F1246" s="239">
        <v>185.0</v>
      </c>
      <c r="G1246" s="16"/>
      <c r="H1246" s="33">
        <v>55.5</v>
      </c>
      <c r="I1246" s="238">
        <v>46159.0</v>
      </c>
      <c r="J1246" s="5" t="s">
        <v>72</v>
      </c>
      <c r="K1246" s="5" t="s">
        <v>5337</v>
      </c>
      <c r="L1246" s="16"/>
      <c r="M1246" s="19"/>
      <c r="N1246" s="16"/>
      <c r="O1246" s="16"/>
      <c r="P1246" s="16"/>
    </row>
    <row r="1247" ht="22.5" customHeight="1">
      <c r="A1247" s="138" t="s">
        <v>962</v>
      </c>
      <c r="B1247" s="16" t="str">
        <f>IF(A1247="","",IFERROR(VLOOKUP(A1247, Stock_New!A:M, 2, FALSE),""))</f>
        <v>ورد لوحدة</v>
      </c>
      <c r="C1247" s="236">
        <v>1.0</v>
      </c>
      <c r="D1247" s="16" t="str">
        <f>IF(A1247="","",IFERROR(VLOOKUP(A1247, Stock_New!A:M, 3, FALSE),""))</f>
        <v>شركة الفرسان</v>
      </c>
      <c r="E1247" s="16">
        <f>IF($A1247="", "", IFERROR(VLOOKUP($A1247, Stock_New!$A:$M, 6, FALSE), ""))</f>
        <v>150</v>
      </c>
      <c r="F1247" s="239">
        <v>200.0</v>
      </c>
      <c r="G1247" s="16"/>
      <c r="H1247" s="33">
        <v>200.0</v>
      </c>
      <c r="I1247" s="238">
        <v>46159.0</v>
      </c>
      <c r="J1247" s="5" t="s">
        <v>72</v>
      </c>
      <c r="K1247" s="5" t="s">
        <v>5338</v>
      </c>
      <c r="L1247" s="16"/>
      <c r="M1247" s="19"/>
      <c r="N1247" s="16"/>
      <c r="O1247" s="16"/>
      <c r="P1247" s="16"/>
    </row>
    <row r="1248" ht="22.5" customHeight="1">
      <c r="A1248" s="138" t="s">
        <v>416</v>
      </c>
      <c r="B1248" s="16" t="str">
        <f>IF(A1248="","",IFERROR(VLOOKUP(A1248, Stock_New!A:M, 2, FALSE),""))</f>
        <v>ورد لوحده</v>
      </c>
      <c r="C1248" s="236">
        <v>2.0</v>
      </c>
      <c r="D1248" s="16" t="str">
        <f>IF(A1248="","",IFERROR(VLOOKUP(A1248, Stock_New!A:M, 3, FALSE),""))</f>
        <v>ذكريا</v>
      </c>
      <c r="E1248" s="16">
        <f>IF($A1248="", "", IFERROR(VLOOKUP($A1248, Stock_New!$A:$M, 6, FALSE), ""))</f>
        <v>36</v>
      </c>
      <c r="F1248" s="239">
        <v>40.0</v>
      </c>
      <c r="G1248" s="16"/>
      <c r="H1248" s="33">
        <v>80.0</v>
      </c>
      <c r="I1248" s="238">
        <v>46159.0</v>
      </c>
      <c r="J1248" s="5" t="s">
        <v>72</v>
      </c>
      <c r="K1248" s="5" t="s">
        <v>5339</v>
      </c>
      <c r="L1248" s="16"/>
      <c r="M1248" s="19"/>
      <c r="N1248" s="16"/>
      <c r="O1248" s="16"/>
      <c r="P1248" s="16"/>
    </row>
    <row r="1249" ht="22.5" customHeight="1">
      <c r="A1249" s="138" t="s">
        <v>445</v>
      </c>
      <c r="B1249" s="16" t="str">
        <f>IF(A1249="","",IFERROR(VLOOKUP(A1249, Stock_New!A:M, 2, FALSE),""))</f>
        <v>كريستال</v>
      </c>
      <c r="C1249" s="236">
        <v>1.0</v>
      </c>
      <c r="D1249" s="16" t="str">
        <f>IF(A1249="","",IFERROR(VLOOKUP(A1249, Stock_New!A:M, 3, FALSE),""))</f>
        <v>محمد رشدي</v>
      </c>
      <c r="E1249" s="16">
        <f>IF($A1249="", "", IFERROR(VLOOKUP($A1249, Stock_New!$A:$M, 6, FALSE), ""))</f>
        <v>69.6</v>
      </c>
      <c r="F1249" s="239">
        <v>70.0</v>
      </c>
      <c r="G1249" s="16"/>
      <c r="H1249" s="33">
        <v>70.0</v>
      </c>
      <c r="I1249" s="238">
        <v>46159.0</v>
      </c>
      <c r="J1249" s="5" t="s">
        <v>72</v>
      </c>
      <c r="K1249" s="5" t="s">
        <v>5340</v>
      </c>
      <c r="L1249" s="16"/>
      <c r="M1249" s="19"/>
      <c r="N1249" s="16"/>
      <c r="O1249" s="16"/>
      <c r="P1249" s="16"/>
    </row>
    <row r="1250" ht="22.5" customHeight="1">
      <c r="A1250" s="138" t="s">
        <v>325</v>
      </c>
      <c r="B1250" s="16" t="str">
        <f>IF(A1250="","",IFERROR(VLOOKUP(A1250, Stock_New!A:M, 2, FALSE),""))</f>
        <v>خزف</v>
      </c>
      <c r="C1250" s="236">
        <v>1.0</v>
      </c>
      <c r="D1250" s="16" t="str">
        <f>IF(A1250="","",IFERROR(VLOOKUP(A1250, Stock_New!A:M, 3, FALSE),""))</f>
        <v>ذكريا</v>
      </c>
      <c r="E1250" s="16">
        <f>IF($A1250="", "", IFERROR(VLOOKUP($A1250, Stock_New!$A:$M, 6, FALSE), ""))</f>
        <v>114</v>
      </c>
      <c r="F1250" s="239">
        <v>120.0</v>
      </c>
      <c r="G1250" s="16"/>
      <c r="H1250" s="33">
        <v>120.0</v>
      </c>
      <c r="I1250" s="238">
        <v>46159.0</v>
      </c>
      <c r="J1250" s="5" t="s">
        <v>72</v>
      </c>
      <c r="K1250" s="5" t="s">
        <v>5341</v>
      </c>
      <c r="L1250" s="16"/>
      <c r="M1250" s="19"/>
      <c r="N1250" s="16"/>
      <c r="O1250" s="16"/>
      <c r="P1250" s="16"/>
    </row>
    <row r="1251" ht="22.5" customHeight="1">
      <c r="A1251" s="138" t="s">
        <v>1166</v>
      </c>
      <c r="B1251" s="16" t="str">
        <f>IF(A1251="","",IFERROR(VLOOKUP(A1251, Stock_New!A:M, 2, FALSE),""))</f>
        <v>ورد لوحدة</v>
      </c>
      <c r="C1251" s="236">
        <v>2.0</v>
      </c>
      <c r="D1251" s="16" t="str">
        <f>IF(A1251="","",IFERROR(VLOOKUP(A1251, Stock_New!A:M, 3, FALSE),""))</f>
        <v>شركة حسين علي</v>
      </c>
      <c r="E1251" s="16">
        <f>IF($A1251="", "", IFERROR(VLOOKUP($A1251, Stock_New!$A:$M, 6, FALSE), ""))</f>
        <v>78</v>
      </c>
      <c r="F1251" s="239">
        <v>85.0</v>
      </c>
      <c r="G1251" s="16"/>
      <c r="H1251" s="33">
        <v>170.0</v>
      </c>
      <c r="I1251" s="238">
        <v>46159.0</v>
      </c>
      <c r="J1251" s="5" t="s">
        <v>72</v>
      </c>
      <c r="K1251" s="5" t="s">
        <v>5342</v>
      </c>
      <c r="L1251" s="16"/>
      <c r="M1251" s="19"/>
      <c r="N1251" s="16"/>
      <c r="O1251" s="16"/>
      <c r="P1251" s="16"/>
    </row>
    <row r="1252" ht="22.5" customHeight="1">
      <c r="A1252" s="138" t="s">
        <v>381</v>
      </c>
      <c r="B1252" s="16" t="str">
        <f>IF(A1252="","",IFERROR(VLOOKUP(A1252, Stock_New!A:M, 2, FALSE),""))</f>
        <v>ورد لوحده</v>
      </c>
      <c r="C1252" s="236">
        <v>1.0</v>
      </c>
      <c r="D1252" s="16" t="str">
        <f>IF(A1252="","",IFERROR(VLOOKUP(A1252, Stock_New!A:M, 3, FALSE),""))</f>
        <v>ذكريا</v>
      </c>
      <c r="E1252" s="16">
        <f>IF($A1252="", "", IFERROR(VLOOKUP($A1252, Stock_New!$A:$M, 6, FALSE), ""))</f>
        <v>60</v>
      </c>
      <c r="F1252" s="239">
        <v>85.0</v>
      </c>
      <c r="G1252" s="16"/>
      <c r="H1252" s="33">
        <v>85.0</v>
      </c>
      <c r="I1252" s="238">
        <v>46159.0</v>
      </c>
      <c r="J1252" s="5" t="s">
        <v>72</v>
      </c>
      <c r="K1252" s="5" t="s">
        <v>5343</v>
      </c>
      <c r="L1252" s="16"/>
      <c r="M1252" s="19"/>
      <c r="N1252" s="16"/>
      <c r="O1252" s="16"/>
      <c r="P1252" s="16"/>
    </row>
    <row r="1253" ht="22.5" customHeight="1">
      <c r="A1253" s="138" t="s">
        <v>211</v>
      </c>
      <c r="B1253" s="16" t="str">
        <f>IF(A1253="","",IFERROR(VLOOKUP(A1253, Stock_New!A:M, 2, FALSE),""))</f>
        <v>نافورة ديكور</v>
      </c>
      <c r="C1253" s="236">
        <v>1.0</v>
      </c>
      <c r="D1253" s="16" t="str">
        <f>IF(A1253="","",IFERROR(VLOOKUP(A1253, Stock_New!A:M, 3, FALSE),""))</f>
        <v>سنتر محمد رشدي</v>
      </c>
      <c r="E1253" s="16">
        <f>IF($A1253="", "", IFERROR(VLOOKUP($A1253, Stock_New!$A:$M, 6, FALSE), ""))</f>
        <v>405.6</v>
      </c>
      <c r="F1253" s="239">
        <v>500.0</v>
      </c>
      <c r="G1253" s="16"/>
      <c r="H1253" s="33">
        <v>500.0</v>
      </c>
      <c r="I1253" s="238">
        <v>46159.0</v>
      </c>
      <c r="J1253" s="5" t="s">
        <v>72</v>
      </c>
      <c r="K1253" s="5" t="s">
        <v>4085</v>
      </c>
      <c r="L1253" s="16"/>
      <c r="M1253" s="19"/>
      <c r="N1253" s="16"/>
      <c r="O1253" s="16"/>
      <c r="P1253" s="16"/>
    </row>
    <row r="1254" ht="22.5" customHeight="1">
      <c r="A1254" s="138" t="s">
        <v>1167</v>
      </c>
      <c r="B1254" s="16" t="str">
        <f>IF(A1254="","",IFERROR(VLOOKUP(A1254, Stock_New!A:M, 2, FALSE),""))</f>
        <v>سيلفرات</v>
      </c>
      <c r="C1254" s="236">
        <v>1.0</v>
      </c>
      <c r="D1254" s="16" t="str">
        <f>IF(A1254="","",IFERROR(VLOOKUP(A1254, Stock_New!A:M, 3, FALSE),""))</f>
        <v>محمد رشدي</v>
      </c>
      <c r="E1254" s="16">
        <f>IF($A1254="", "", IFERROR(VLOOKUP($A1254, Stock_New!$A:$M, 6, FALSE), ""))</f>
        <v>58.8</v>
      </c>
      <c r="F1254" s="239">
        <v>100.0</v>
      </c>
      <c r="G1254" s="16"/>
      <c r="H1254" s="33">
        <v>100.0</v>
      </c>
      <c r="I1254" s="238">
        <v>46160.0</v>
      </c>
      <c r="J1254" s="5" t="s">
        <v>72</v>
      </c>
      <c r="K1254" s="5" t="s">
        <v>5344</v>
      </c>
      <c r="L1254" s="16"/>
      <c r="M1254" s="19"/>
      <c r="N1254" s="16"/>
      <c r="O1254" s="16"/>
      <c r="P1254" s="16"/>
    </row>
    <row r="1255" ht="22.5" customHeight="1">
      <c r="A1255" s="138" t="s">
        <v>1168</v>
      </c>
      <c r="B1255" s="16" t="str">
        <f>IF(A1255="","",IFERROR(VLOOKUP(A1255, Stock_New!A:M, 2, FALSE),""))</f>
        <v>اكسسوار/لعبة</v>
      </c>
      <c r="C1255" s="236">
        <v>1.0</v>
      </c>
      <c r="D1255" s="16" t="str">
        <f>IF(A1255="","",IFERROR(VLOOKUP(A1255, Stock_New!A:M, 3, FALSE),""))</f>
        <v>سنتر محمد رشدي</v>
      </c>
      <c r="E1255" s="16">
        <f>IF($A1255="", "", IFERROR(VLOOKUP($A1255, Stock_New!$A:$M, 6, FALSE), ""))</f>
        <v>48</v>
      </c>
      <c r="F1255" s="239">
        <v>65.0</v>
      </c>
      <c r="G1255" s="16"/>
      <c r="H1255" s="33">
        <v>65.0</v>
      </c>
      <c r="I1255" s="238">
        <v>46160.0</v>
      </c>
      <c r="J1255" s="5" t="s">
        <v>72</v>
      </c>
      <c r="K1255" s="5" t="s">
        <v>5345</v>
      </c>
      <c r="L1255" s="16"/>
      <c r="M1255" s="19"/>
      <c r="N1255" s="16"/>
      <c r="O1255" s="16"/>
      <c r="P1255" s="16"/>
    </row>
    <row r="1256" ht="22.5" customHeight="1">
      <c r="A1256" s="138" t="s">
        <v>879</v>
      </c>
      <c r="B1256" s="16" t="str">
        <f>IF(A1256="","",IFERROR(VLOOKUP(A1256, Stock_New!A:M, 2, FALSE),""))</f>
        <v>حجارة</v>
      </c>
      <c r="C1256" s="236">
        <v>1.0</v>
      </c>
      <c r="D1256" s="16" t="str">
        <f>IF(A1256="","",IFERROR(VLOOKUP(A1256, Stock_New!A:M, 3, FALSE),""))</f>
        <v/>
      </c>
      <c r="E1256" s="16">
        <f>IF($A1256="", "", IFERROR(VLOOKUP($A1256, Stock_New!$A:$M, 6, FALSE), ""))</f>
        <v>3.9</v>
      </c>
      <c r="F1256" s="239">
        <v>5.0</v>
      </c>
      <c r="G1256" s="16"/>
      <c r="H1256" s="33">
        <v>5.0</v>
      </c>
      <c r="I1256" s="238">
        <v>46160.0</v>
      </c>
      <c r="J1256" s="5" t="s">
        <v>72</v>
      </c>
      <c r="K1256" s="5" t="s">
        <v>5346</v>
      </c>
      <c r="L1256" s="16"/>
      <c r="M1256" s="19"/>
      <c r="N1256" s="16"/>
      <c r="O1256" s="16"/>
      <c r="P1256" s="16"/>
    </row>
    <row r="1257" ht="22.5" customHeight="1">
      <c r="A1257" s="138" t="s">
        <v>633</v>
      </c>
      <c r="B1257" s="16" t="str">
        <f>IF(A1257="","",IFERROR(VLOOKUP(A1257, Stock_New!A:M, 2, FALSE),""))</f>
        <v>سيلفرات</v>
      </c>
      <c r="C1257" s="236">
        <v>1.0</v>
      </c>
      <c r="D1257" s="16" t="str">
        <f>IF(A1257="","",IFERROR(VLOOKUP(A1257, Stock_New!A:M, 3, FALSE),""))</f>
        <v>سنتر محمد رشدي</v>
      </c>
      <c r="E1257" s="16">
        <f>IF($A1257="", "", IFERROR(VLOOKUP($A1257, Stock_New!$A:$M, 6, FALSE), ""))</f>
        <v>153.6</v>
      </c>
      <c r="F1257" s="239">
        <v>170.0</v>
      </c>
      <c r="G1257" s="16"/>
      <c r="H1257" s="33">
        <v>170.0</v>
      </c>
      <c r="I1257" s="238">
        <v>46160.0</v>
      </c>
      <c r="J1257" s="5" t="s">
        <v>72</v>
      </c>
      <c r="K1257" s="5" t="s">
        <v>4089</v>
      </c>
      <c r="L1257" s="16"/>
      <c r="M1257" s="19"/>
      <c r="N1257" s="16"/>
      <c r="O1257" s="16"/>
      <c r="P1257" s="16"/>
    </row>
    <row r="1258" ht="22.5" customHeight="1">
      <c r="A1258" s="138" t="s">
        <v>117</v>
      </c>
      <c r="B1258" s="16" t="str">
        <f>IF(A1258="","",IFERROR(VLOOKUP(A1258, Stock_New!A:M, 2, FALSE),""))</f>
        <v>ديكور مكتب</v>
      </c>
      <c r="C1258" s="236">
        <v>1.0</v>
      </c>
      <c r="D1258" s="16" t="str">
        <f>IF(A1258="","",IFERROR(VLOOKUP(A1258, Stock_New!A:M, 3, FALSE),""))</f>
        <v>سنتر محمد رشدي</v>
      </c>
      <c r="E1258" s="16">
        <f>IF($A1258="", "", IFERROR(VLOOKUP($A1258, Stock_New!$A:$M, 6, FALSE), ""))</f>
        <v>598.8</v>
      </c>
      <c r="F1258" s="239">
        <v>650.0</v>
      </c>
      <c r="G1258" s="16"/>
      <c r="H1258" s="33">
        <v>650.0</v>
      </c>
      <c r="I1258" s="238">
        <v>46160.0</v>
      </c>
      <c r="J1258" s="5" t="s">
        <v>72</v>
      </c>
      <c r="K1258" s="5" t="s">
        <v>5347</v>
      </c>
      <c r="L1258" s="16"/>
      <c r="M1258" s="19"/>
      <c r="N1258" s="16"/>
      <c r="O1258" s="16"/>
      <c r="P1258" s="16"/>
    </row>
    <row r="1259" ht="22.5" customHeight="1">
      <c r="A1259" s="138" t="s">
        <v>1146</v>
      </c>
      <c r="B1259" s="16" t="str">
        <f>IF(A1259="","",IFERROR(VLOOKUP(A1259, Stock_New!A:M, 2, FALSE),""))</f>
        <v>لعب</v>
      </c>
      <c r="C1259" s="236">
        <v>2.0</v>
      </c>
      <c r="D1259" s="16" t="str">
        <f>IF(A1259="","",IFERROR(VLOOKUP(A1259, Stock_New!A:M, 3, FALSE),""))</f>
        <v>محمد رشدي</v>
      </c>
      <c r="E1259" s="16">
        <f>IF($A1259="", "", IFERROR(VLOOKUP($A1259, Stock_New!$A:$M, 6, FALSE), ""))</f>
        <v>21</v>
      </c>
      <c r="F1259" s="239">
        <v>35.0</v>
      </c>
      <c r="G1259" s="16"/>
      <c r="H1259" s="33">
        <v>70.0</v>
      </c>
      <c r="I1259" s="238">
        <v>46160.0</v>
      </c>
      <c r="J1259" s="5" t="s">
        <v>72</v>
      </c>
      <c r="K1259" s="5" t="s">
        <v>5348</v>
      </c>
      <c r="L1259" s="16"/>
      <c r="M1259" s="19"/>
      <c r="N1259" s="16"/>
      <c r="O1259" s="16"/>
      <c r="P1259" s="16"/>
    </row>
    <row r="1260" ht="22.5" customHeight="1">
      <c r="A1260" s="138" t="s">
        <v>144</v>
      </c>
      <c r="B1260" s="16" t="str">
        <f>IF(A1260="","",IFERROR(VLOOKUP(A1260, Stock_New!A:M, 2, FALSE),""))</f>
        <v>كهربائيات</v>
      </c>
      <c r="C1260" s="236">
        <v>2.0</v>
      </c>
      <c r="D1260" s="16" t="str">
        <f>IF(A1260="","",IFERROR(VLOOKUP(A1260, Stock_New!A:M, 3, FALSE),""))</f>
        <v>شركة البطل</v>
      </c>
      <c r="E1260" s="16">
        <f>IF($A1260="", "", IFERROR(VLOOKUP($A1260, Stock_New!$A:$M, 6, FALSE), ""))</f>
        <v>144</v>
      </c>
      <c r="F1260" s="239">
        <v>170.0</v>
      </c>
      <c r="G1260" s="16"/>
      <c r="H1260" s="33">
        <v>340.0</v>
      </c>
      <c r="I1260" s="238">
        <v>46160.0</v>
      </c>
      <c r="J1260" s="5" t="s">
        <v>72</v>
      </c>
      <c r="K1260" s="5" t="s">
        <v>5349</v>
      </c>
      <c r="L1260" s="16"/>
      <c r="M1260" s="19"/>
      <c r="N1260" s="16"/>
      <c r="O1260" s="16"/>
      <c r="P1260" s="16"/>
    </row>
    <row r="1261" ht="22.5" customHeight="1">
      <c r="A1261" s="138" t="s">
        <v>718</v>
      </c>
      <c r="B1261" s="16" t="str">
        <f>IF(A1261="","",IFERROR(VLOOKUP(A1261, Stock_New!A:M, 2, FALSE),""))</f>
        <v>ديكور معدن</v>
      </c>
      <c r="C1261" s="236">
        <v>1.0</v>
      </c>
      <c r="D1261" s="16" t="str">
        <f>IF(A1261="","",IFERROR(VLOOKUP(A1261, Stock_New!A:M, 3, FALSE),""))</f>
        <v>سنتر محمد رشدي</v>
      </c>
      <c r="E1261" s="16">
        <f>IF($A1261="", "", IFERROR(VLOOKUP($A1261, Stock_New!$A:$M, 6, FALSE), ""))</f>
        <v>186</v>
      </c>
      <c r="F1261" s="239">
        <v>225.0</v>
      </c>
      <c r="G1261" s="16"/>
      <c r="H1261" s="33">
        <v>225.0</v>
      </c>
      <c r="I1261" s="238">
        <v>46160.0</v>
      </c>
      <c r="J1261" s="5" t="s">
        <v>72</v>
      </c>
      <c r="K1261" s="5" t="s">
        <v>5350</v>
      </c>
      <c r="L1261" s="16"/>
      <c r="M1261" s="19"/>
      <c r="N1261" s="16"/>
      <c r="O1261" s="16"/>
      <c r="P1261" s="16"/>
    </row>
    <row r="1262" ht="22.5" customHeight="1">
      <c r="A1262" s="138" t="s">
        <v>722</v>
      </c>
      <c r="B1262" s="16" t="str">
        <f>IF(A1262="","",IFERROR(VLOOKUP(A1262, Stock_New!A:M, 2, FALSE),""))</f>
        <v>ديكور معدن</v>
      </c>
      <c r="C1262" s="236">
        <v>1.0</v>
      </c>
      <c r="D1262" s="16" t="str">
        <f>IF(A1262="","",IFERROR(VLOOKUP(A1262, Stock_New!A:M, 3, FALSE),""))</f>
        <v>سنتر محمد رشدي</v>
      </c>
      <c r="E1262" s="16">
        <f>IF($A1262="", "", IFERROR(VLOOKUP($A1262, Stock_New!$A:$M, 6, FALSE), ""))</f>
        <v>186</v>
      </c>
      <c r="F1262" s="239">
        <v>225.0</v>
      </c>
      <c r="G1262" s="16"/>
      <c r="H1262" s="33">
        <v>225.0</v>
      </c>
      <c r="I1262" s="238">
        <v>46160.0</v>
      </c>
      <c r="J1262" s="5" t="s">
        <v>72</v>
      </c>
      <c r="K1262" s="5" t="s">
        <v>5351</v>
      </c>
      <c r="L1262" s="16"/>
      <c r="M1262" s="19"/>
      <c r="N1262" s="16"/>
      <c r="O1262" s="16"/>
      <c r="P1262" s="16"/>
    </row>
    <row r="1263" ht="22.5" customHeight="1">
      <c r="A1263" s="138" t="s">
        <v>268</v>
      </c>
      <c r="B1263" s="16" t="str">
        <f>IF(A1263="","",IFERROR(VLOOKUP(A1263, Stock_New!A:M, 2, FALSE),""))</f>
        <v>سيلفرات</v>
      </c>
      <c r="C1263" s="236">
        <v>1.0</v>
      </c>
      <c r="D1263" s="16" t="str">
        <f>IF(A1263="","",IFERROR(VLOOKUP(A1263, Stock_New!A:M, 3, FALSE),""))</f>
        <v>شركة حسين علي</v>
      </c>
      <c r="E1263" s="16">
        <f>IF($A1263="", "", IFERROR(VLOOKUP($A1263, Stock_New!$A:$M, 6, FALSE), ""))</f>
        <v>214.5</v>
      </c>
      <c r="F1263" s="239">
        <v>220.0</v>
      </c>
      <c r="G1263" s="16"/>
      <c r="H1263" s="33">
        <v>220.0</v>
      </c>
      <c r="I1263" s="238">
        <v>46160.0</v>
      </c>
      <c r="J1263" s="5" t="s">
        <v>72</v>
      </c>
      <c r="K1263" s="5" t="s">
        <v>5352</v>
      </c>
      <c r="L1263" s="16"/>
      <c r="M1263" s="19"/>
      <c r="N1263" s="16"/>
      <c r="O1263" s="16"/>
      <c r="P1263" s="16"/>
    </row>
    <row r="1264" ht="22.5" customHeight="1">
      <c r="A1264" s="138" t="s">
        <v>609</v>
      </c>
      <c r="B1264" s="16" t="str">
        <f>IF(A1264="","",IFERROR(VLOOKUP(A1264, Stock_New!A:M, 2, FALSE),""))</f>
        <v>سيلفرات</v>
      </c>
      <c r="C1264" s="236">
        <v>1.0</v>
      </c>
      <c r="D1264" s="16" t="str">
        <f>IF(A1264="","",IFERROR(VLOOKUP(A1264, Stock_New!A:M, 3, FALSE),""))</f>
        <v>شركة الهضبة</v>
      </c>
      <c r="E1264" s="16">
        <f>IF($A1264="", "", IFERROR(VLOOKUP($A1264, Stock_New!$A:$M, 6, FALSE), ""))</f>
        <v>204</v>
      </c>
      <c r="F1264" s="239">
        <v>200.0</v>
      </c>
      <c r="G1264" s="16"/>
      <c r="H1264" s="33">
        <v>200.0</v>
      </c>
      <c r="I1264" s="238">
        <v>46160.0</v>
      </c>
      <c r="J1264" s="5" t="s">
        <v>72</v>
      </c>
      <c r="K1264" s="5" t="s">
        <v>4090</v>
      </c>
      <c r="L1264" s="16"/>
      <c r="M1264" s="19"/>
      <c r="N1264" s="16"/>
      <c r="O1264" s="16"/>
      <c r="P1264" s="16"/>
    </row>
    <row r="1265" ht="22.5" customHeight="1">
      <c r="A1265" s="138" t="s">
        <v>596</v>
      </c>
      <c r="B1265" s="16" t="str">
        <f>IF(A1265="","",IFERROR(VLOOKUP(A1265, Stock_New!A:M, 2, FALSE),""))</f>
        <v>مروحة</v>
      </c>
      <c r="C1265" s="236">
        <v>1.0</v>
      </c>
      <c r="D1265" s="16" t="str">
        <f>IF(A1265="","",IFERROR(VLOOKUP(A1265, Stock_New!A:M, 3, FALSE),""))</f>
        <v>سنتر محمد رشدي</v>
      </c>
      <c r="E1265" s="16">
        <f>IF($A1265="", "", IFERROR(VLOOKUP($A1265, Stock_New!$A:$M, 6, FALSE), ""))</f>
        <v>21.5</v>
      </c>
      <c r="F1265" s="239">
        <v>30.0</v>
      </c>
      <c r="G1265" s="16"/>
      <c r="H1265" s="33">
        <v>30.0</v>
      </c>
      <c r="I1265" s="238">
        <v>46160.0</v>
      </c>
      <c r="J1265" s="5" t="s">
        <v>72</v>
      </c>
      <c r="K1265" s="5" t="s">
        <v>5353</v>
      </c>
      <c r="L1265" s="16"/>
      <c r="M1265" s="19"/>
      <c r="N1265" s="16"/>
      <c r="O1265" s="16"/>
      <c r="P1265" s="16"/>
    </row>
    <row r="1266" ht="22.5" customHeight="1">
      <c r="A1266" s="138" t="s">
        <v>1006</v>
      </c>
      <c r="B1266" s="16" t="str">
        <f>IF(A1266="","",IFERROR(VLOOKUP(A1266, Stock_New!A:M, 2, FALSE),""))</f>
        <v>خزف</v>
      </c>
      <c r="C1266" s="236">
        <v>1.0</v>
      </c>
      <c r="D1266" s="16" t="str">
        <f>IF(A1266="","",IFERROR(VLOOKUP(A1266, Stock_New!A:M, 3, FALSE),""))</f>
        <v>شركة حسين علي</v>
      </c>
      <c r="E1266" s="16">
        <f>IF($A1266="", "", IFERROR(VLOOKUP($A1266, Stock_New!$A:$M, 6, FALSE), ""))</f>
        <v>144</v>
      </c>
      <c r="F1266" s="239">
        <v>170.0</v>
      </c>
      <c r="G1266" s="16"/>
      <c r="H1266" s="33">
        <v>170.0</v>
      </c>
      <c r="I1266" s="238">
        <v>46160.0</v>
      </c>
      <c r="J1266" s="5" t="s">
        <v>72</v>
      </c>
      <c r="K1266" s="5" t="s">
        <v>5354</v>
      </c>
      <c r="L1266" s="16"/>
      <c r="M1266" s="19"/>
      <c r="N1266" s="16"/>
      <c r="O1266" s="16"/>
      <c r="P1266" s="16"/>
    </row>
    <row r="1267" ht="22.5" customHeight="1">
      <c r="A1267" s="138" t="s">
        <v>898</v>
      </c>
      <c r="B1267" s="16" t="str">
        <f>IF(A1267="","",IFERROR(VLOOKUP(A1267, Stock_New!A:M, 2, FALSE),""))</f>
        <v/>
      </c>
      <c r="C1267" s="236">
        <v>6.0</v>
      </c>
      <c r="D1267" s="16" t="str">
        <f>IF(A1267="","",IFERROR(VLOOKUP(A1267, Stock_New!A:M, 3, FALSE),""))</f>
        <v/>
      </c>
      <c r="E1267" s="16" t="str">
        <f>IF($A1267="", "", IFERROR(VLOOKUP($A1267, Stock_New!$A:$M, 6, FALSE), ""))</f>
        <v/>
      </c>
      <c r="F1267" s="239">
        <v>20.0</v>
      </c>
      <c r="G1267" s="16"/>
      <c r="H1267" s="33">
        <v>120.0</v>
      </c>
      <c r="I1267" s="238">
        <v>46160.0</v>
      </c>
      <c r="J1267" s="5" t="s">
        <v>72</v>
      </c>
      <c r="K1267" s="5" t="s">
        <v>5355</v>
      </c>
      <c r="L1267" s="16"/>
      <c r="M1267" s="19"/>
      <c r="N1267" s="16"/>
      <c r="O1267" s="16"/>
      <c r="P1267" s="16"/>
    </row>
    <row r="1268" ht="22.5" customHeight="1">
      <c r="A1268" s="138" t="s">
        <v>781</v>
      </c>
      <c r="B1268" s="16" t="str">
        <f>IF(A1268="","",IFERROR(VLOOKUP(A1268, Stock_New!A:M, 2, FALSE),""))</f>
        <v>خزف</v>
      </c>
      <c r="C1268" s="236">
        <v>1.0</v>
      </c>
      <c r="D1268" s="16" t="str">
        <f>IF(A1268="","",IFERROR(VLOOKUP(A1268, Stock_New!A:M, 3, FALSE),""))</f>
        <v>شركة حسين علي</v>
      </c>
      <c r="E1268" s="16">
        <f>IF($A1268="", "", IFERROR(VLOOKUP($A1268, Stock_New!$A:$M, 6, FALSE), ""))</f>
        <v>180</v>
      </c>
      <c r="F1268" s="239">
        <v>180.0</v>
      </c>
      <c r="G1268" s="16"/>
      <c r="H1268" s="33">
        <v>180.0</v>
      </c>
      <c r="I1268" s="238">
        <v>46160.0</v>
      </c>
      <c r="J1268" s="5" t="s">
        <v>72</v>
      </c>
      <c r="K1268" s="5" t="s">
        <v>5356</v>
      </c>
      <c r="L1268" s="16"/>
      <c r="M1268" s="19"/>
      <c r="N1268" s="16"/>
      <c r="O1268" s="16"/>
      <c r="P1268" s="16"/>
    </row>
    <row r="1269" ht="22.5" customHeight="1">
      <c r="A1269" s="138" t="s">
        <v>360</v>
      </c>
      <c r="B1269" s="16" t="str">
        <f>IF(A1269="","",IFERROR(VLOOKUP(A1269, Stock_New!A:M, 2, FALSE),""))</f>
        <v>مباخر</v>
      </c>
      <c r="C1269" s="236">
        <v>1.0</v>
      </c>
      <c r="D1269" s="16" t="str">
        <f>IF(A1269="","",IFERROR(VLOOKUP(A1269, Stock_New!A:M, 3, FALSE),""))</f>
        <v>سنتر محمد رشدي</v>
      </c>
      <c r="E1269" s="16">
        <f>IF($A1269="", "", IFERROR(VLOOKUP($A1269, Stock_New!$A:$M, 6, FALSE), ""))</f>
        <v>294</v>
      </c>
      <c r="F1269" s="239">
        <v>320.0</v>
      </c>
      <c r="G1269" s="16"/>
      <c r="H1269" s="33">
        <v>320.0</v>
      </c>
      <c r="I1269" s="238">
        <v>46160.0</v>
      </c>
      <c r="J1269" s="5" t="s">
        <v>72</v>
      </c>
      <c r="K1269" s="5" t="s">
        <v>5357</v>
      </c>
      <c r="L1269" s="16"/>
      <c r="M1269" s="19"/>
      <c r="N1269" s="16"/>
      <c r="O1269" s="16"/>
      <c r="P1269" s="16"/>
    </row>
    <row r="1270" ht="22.5" customHeight="1">
      <c r="A1270" s="138" t="s">
        <v>885</v>
      </c>
      <c r="B1270" s="16" t="str">
        <f>IF(A1270="","",IFERROR(VLOOKUP(A1270, Stock_New!A:M, 2, FALSE),""))</f>
        <v>ورد لوحدة</v>
      </c>
      <c r="C1270" s="236">
        <v>2.0</v>
      </c>
      <c r="D1270" s="16" t="str">
        <f>IF(A1270="","",IFERROR(VLOOKUP(A1270, Stock_New!A:M, 3, FALSE),""))</f>
        <v>شركة حسين علي</v>
      </c>
      <c r="E1270" s="16">
        <f>IF($A1270="", "", IFERROR(VLOOKUP($A1270, Stock_New!$A:$M, 6, FALSE), ""))</f>
        <v>162</v>
      </c>
      <c r="F1270" s="239">
        <v>165.0</v>
      </c>
      <c r="G1270" s="16"/>
      <c r="H1270" s="33">
        <v>330.0</v>
      </c>
      <c r="I1270" s="238">
        <v>46160.0</v>
      </c>
      <c r="J1270" s="5" t="s">
        <v>72</v>
      </c>
      <c r="K1270" s="5" t="s">
        <v>5358</v>
      </c>
      <c r="L1270" s="16"/>
      <c r="M1270" s="19"/>
      <c r="N1270" s="16"/>
      <c r="O1270" s="16"/>
      <c r="P1270" s="16"/>
    </row>
    <row r="1271" ht="22.5" customHeight="1">
      <c r="A1271" s="138" t="s">
        <v>252</v>
      </c>
      <c r="B1271" s="16" t="str">
        <f>IF(A1271="","",IFERROR(VLOOKUP(A1271, Stock_New!A:M, 2, FALSE),""))</f>
        <v>ريش</v>
      </c>
      <c r="C1271" s="236">
        <v>8.0</v>
      </c>
      <c r="D1271" s="16" t="str">
        <f>IF(A1271="","",IFERROR(VLOOKUP(A1271, Stock_New!A:M, 3, FALSE),""))</f>
        <v>شركة حسين علي</v>
      </c>
      <c r="E1271" s="16">
        <f>IF($A1271="", "", IFERROR(VLOOKUP($A1271, Stock_New!$A:$M, 6, FALSE), ""))</f>
        <v>18</v>
      </c>
      <c r="F1271" s="239">
        <v>20.0</v>
      </c>
      <c r="G1271" s="16"/>
      <c r="H1271" s="33">
        <v>160.0</v>
      </c>
      <c r="I1271" s="238">
        <v>46160.0</v>
      </c>
      <c r="J1271" s="5" t="s">
        <v>72</v>
      </c>
      <c r="K1271" s="5" t="s">
        <v>4094</v>
      </c>
      <c r="L1271" s="16"/>
      <c r="M1271" s="19"/>
      <c r="N1271" s="16"/>
      <c r="O1271" s="16"/>
      <c r="P1271" s="16"/>
    </row>
    <row r="1272" ht="22.5" customHeight="1">
      <c r="A1272" s="138" t="s">
        <v>309</v>
      </c>
      <c r="B1272" s="16" t="str">
        <f>IF(A1272="","",IFERROR(VLOOKUP(A1272, Stock_New!A:M, 2, FALSE),""))</f>
        <v>بوتات</v>
      </c>
      <c r="C1272" s="236">
        <v>2.0</v>
      </c>
      <c r="D1272" s="16" t="str">
        <f>IF(A1272="","",IFERROR(VLOOKUP(A1272, Stock_New!A:M, 3, FALSE),""))</f>
        <v>شركة حسين علي</v>
      </c>
      <c r="E1272" s="16">
        <f>IF($A1272="", "", IFERROR(VLOOKUP($A1272, Stock_New!$A:$M, 6, FALSE), ""))</f>
        <v>24</v>
      </c>
      <c r="F1272" s="239">
        <v>30.0</v>
      </c>
      <c r="G1272" s="16"/>
      <c r="H1272" s="33">
        <v>60.0</v>
      </c>
      <c r="I1272" s="238">
        <v>46160.0</v>
      </c>
      <c r="J1272" s="5" t="s">
        <v>72</v>
      </c>
      <c r="K1272" s="5" t="s">
        <v>5359</v>
      </c>
      <c r="L1272" s="16"/>
      <c r="M1272" s="19"/>
      <c r="N1272" s="16"/>
      <c r="O1272" s="16"/>
      <c r="P1272" s="16"/>
    </row>
    <row r="1273" ht="22.5" customHeight="1">
      <c r="A1273" s="138" t="s">
        <v>596</v>
      </c>
      <c r="B1273" s="16" t="str">
        <f>IF(A1273="","",IFERROR(VLOOKUP(A1273, Stock_New!A:M, 2, FALSE),""))</f>
        <v>مروحة</v>
      </c>
      <c r="C1273" s="236">
        <v>1.0</v>
      </c>
      <c r="D1273" s="16" t="str">
        <f>IF(A1273="","",IFERROR(VLOOKUP(A1273, Stock_New!A:M, 3, FALSE),""))</f>
        <v>سنتر محمد رشدي</v>
      </c>
      <c r="E1273" s="16">
        <f>IF($A1273="", "", IFERROR(VLOOKUP($A1273, Stock_New!$A:$M, 6, FALSE), ""))</f>
        <v>21.5</v>
      </c>
      <c r="F1273" s="239">
        <v>25.0</v>
      </c>
      <c r="G1273" s="16"/>
      <c r="H1273" s="33">
        <v>25.0</v>
      </c>
      <c r="I1273" s="238">
        <v>46161.0</v>
      </c>
      <c r="J1273" s="5" t="s">
        <v>72</v>
      </c>
      <c r="K1273" s="5" t="s">
        <v>5360</v>
      </c>
      <c r="L1273" s="16"/>
      <c r="M1273" s="19"/>
      <c r="N1273" s="16"/>
      <c r="O1273" s="16"/>
      <c r="P1273" s="16"/>
    </row>
    <row r="1274" ht="22.5" customHeight="1">
      <c r="A1274" s="138" t="s">
        <v>220</v>
      </c>
      <c r="B1274" s="16" t="str">
        <f>IF(A1274="","",IFERROR(VLOOKUP(A1274, Stock_New!A:M, 2, FALSE),""))</f>
        <v>ورد لوحدة</v>
      </c>
      <c r="C1274" s="236">
        <v>1.0</v>
      </c>
      <c r="D1274" s="16" t="str">
        <f>IF(A1274="","",IFERROR(VLOOKUP(A1274, Stock_New!A:M, 3, FALSE),""))</f>
        <v>شركة الفرسان</v>
      </c>
      <c r="E1274" s="16">
        <f>IF($A1274="", "", IFERROR(VLOOKUP($A1274, Stock_New!$A:$M, 6, FALSE), ""))</f>
        <v>102</v>
      </c>
      <c r="F1274" s="239">
        <v>140.0</v>
      </c>
      <c r="G1274" s="16"/>
      <c r="H1274" s="33">
        <v>140.0</v>
      </c>
      <c r="I1274" s="238">
        <v>46162.0</v>
      </c>
      <c r="J1274" s="5" t="s">
        <v>72</v>
      </c>
      <c r="K1274" s="5" t="s">
        <v>5361</v>
      </c>
      <c r="L1274" s="16"/>
      <c r="M1274" s="19"/>
      <c r="N1274" s="16"/>
      <c r="O1274" s="16"/>
      <c r="P1274" s="16"/>
    </row>
    <row r="1275" ht="22.5" customHeight="1">
      <c r="A1275" s="138" t="s">
        <v>309</v>
      </c>
      <c r="B1275" s="16" t="str">
        <f>IF(A1275="","",IFERROR(VLOOKUP(A1275, Stock_New!A:M, 2, FALSE),""))</f>
        <v>بوتات</v>
      </c>
      <c r="C1275" s="236">
        <v>1.0</v>
      </c>
      <c r="D1275" s="16" t="str">
        <f>IF(A1275="","",IFERROR(VLOOKUP(A1275, Stock_New!A:M, 3, FALSE),""))</f>
        <v>شركة حسين علي</v>
      </c>
      <c r="E1275" s="16">
        <f>IF($A1275="", "", IFERROR(VLOOKUP($A1275, Stock_New!$A:$M, 6, FALSE), ""))</f>
        <v>24</v>
      </c>
      <c r="F1275" s="239">
        <v>50.0</v>
      </c>
      <c r="G1275" s="16"/>
      <c r="H1275" s="33">
        <v>50.0</v>
      </c>
      <c r="I1275" s="238">
        <v>46162.0</v>
      </c>
      <c r="J1275" s="5" t="s">
        <v>72</v>
      </c>
      <c r="K1275" s="5" t="s">
        <v>5362</v>
      </c>
      <c r="L1275" s="16"/>
      <c r="M1275" s="19"/>
      <c r="N1275" s="16"/>
      <c r="O1275" s="16"/>
      <c r="P1275" s="16"/>
    </row>
    <row r="1276" ht="22.5" customHeight="1">
      <c r="A1276" s="138" t="s">
        <v>363</v>
      </c>
      <c r="B1276" s="16" t="str">
        <f>IF(A1276="","",IFERROR(VLOOKUP(A1276, Stock_New!A:M, 2, FALSE),""))</f>
        <v>ورد لوحدة</v>
      </c>
      <c r="C1276" s="236">
        <f>4/18</f>
        <v>0.2222222222</v>
      </c>
      <c r="D1276" s="16" t="str">
        <f>IF(A1276="","",IFERROR(VLOOKUP(A1276, Stock_New!A:M, 3, FALSE),""))</f>
        <v>شركة الفرسان</v>
      </c>
      <c r="E1276" s="16">
        <f>IF($A1276="", "", IFERROR(VLOOKUP($A1276, Stock_New!$A:$M, 6, FALSE), ""))</f>
        <v>132</v>
      </c>
      <c r="F1276" s="239">
        <v>180.0</v>
      </c>
      <c r="G1276" s="16"/>
      <c r="H1276" s="33">
        <v>40.0</v>
      </c>
      <c r="I1276" s="238">
        <v>46162.0</v>
      </c>
      <c r="J1276" s="5" t="s">
        <v>72</v>
      </c>
      <c r="K1276" s="5" t="s">
        <v>5363</v>
      </c>
      <c r="L1276" s="16"/>
      <c r="M1276" s="19"/>
      <c r="N1276" s="16"/>
      <c r="O1276" s="16"/>
      <c r="P1276" s="16"/>
    </row>
    <row r="1277" ht="22.5" customHeight="1">
      <c r="A1277" s="138" t="s">
        <v>640</v>
      </c>
      <c r="B1277" s="16" t="str">
        <f>IF(A1277="","",IFERROR(VLOOKUP(A1277, Stock_New!A:M, 2, FALSE),""))</f>
        <v>سيلفرات</v>
      </c>
      <c r="C1277" s="236">
        <v>1.0</v>
      </c>
      <c r="D1277" s="16" t="str">
        <f>IF(A1277="","",IFERROR(VLOOKUP(A1277, Stock_New!A:M, 3, FALSE),""))</f>
        <v>سنتر محمد رشدي</v>
      </c>
      <c r="E1277" s="16">
        <f>IF($A1277="", "", IFERROR(VLOOKUP($A1277, Stock_New!$A:$M, 6, FALSE), ""))</f>
        <v>200.4</v>
      </c>
      <c r="F1277" s="239">
        <v>210.0</v>
      </c>
      <c r="G1277" s="16"/>
      <c r="H1277" s="33">
        <v>210.0</v>
      </c>
      <c r="I1277" s="238">
        <v>46162.0</v>
      </c>
      <c r="J1277" s="5" t="s">
        <v>72</v>
      </c>
      <c r="K1277" s="5" t="s">
        <v>5364</v>
      </c>
      <c r="L1277" s="16"/>
      <c r="M1277" s="19"/>
      <c r="N1277" s="16"/>
      <c r="O1277" s="16"/>
      <c r="P1277" s="16"/>
    </row>
    <row r="1278" ht="22.5" customHeight="1">
      <c r="A1278" s="138" t="s">
        <v>898</v>
      </c>
      <c r="B1278" s="16" t="str">
        <f>IF(A1278="","",IFERROR(VLOOKUP(A1278, Stock_New!A:M, 2, FALSE),""))</f>
        <v/>
      </c>
      <c r="C1278" s="236">
        <v>3.0</v>
      </c>
      <c r="D1278" s="16" t="str">
        <f>IF(A1278="","",IFERROR(VLOOKUP(A1278, Stock_New!A:M, 3, FALSE),""))</f>
        <v/>
      </c>
      <c r="E1278" s="16" t="str">
        <f>IF($A1278="", "", IFERROR(VLOOKUP($A1278, Stock_New!$A:$M, 6, FALSE), ""))</f>
        <v/>
      </c>
      <c r="F1278" s="239">
        <v>20.0</v>
      </c>
      <c r="G1278" s="16"/>
      <c r="H1278" s="33">
        <v>60.0</v>
      </c>
      <c r="I1278" s="238">
        <v>46162.0</v>
      </c>
      <c r="J1278" s="5" t="s">
        <v>72</v>
      </c>
      <c r="K1278" s="5" t="s">
        <v>5365</v>
      </c>
      <c r="L1278" s="16"/>
      <c r="M1278" s="19"/>
      <c r="N1278" s="16"/>
      <c r="O1278" s="16"/>
      <c r="P1278" s="16"/>
    </row>
    <row r="1279" ht="22.5" customHeight="1">
      <c r="A1279" s="138" t="s">
        <v>336</v>
      </c>
      <c r="B1279" s="16" t="str">
        <f>IF(A1279="","",IFERROR(VLOOKUP(A1279, Stock_New!A:M, 2, FALSE),""))</f>
        <v>بوتات</v>
      </c>
      <c r="C1279" s="236">
        <v>2.0</v>
      </c>
      <c r="D1279" s="16" t="str">
        <f>IF(A1279="","",IFERROR(VLOOKUP(A1279, Stock_New!A:M, 3, FALSE),""))</f>
        <v>شركة حسين علي</v>
      </c>
      <c r="E1279" s="16">
        <f>IF($A1279="", "", IFERROR(VLOOKUP($A1279, Stock_New!$A:$M, 6, FALSE), ""))</f>
        <v>120</v>
      </c>
      <c r="F1279" s="239">
        <v>155.0</v>
      </c>
      <c r="G1279" s="16"/>
      <c r="H1279" s="33">
        <v>310.0</v>
      </c>
      <c r="I1279" s="238">
        <v>46162.0</v>
      </c>
      <c r="J1279" s="5" t="s">
        <v>72</v>
      </c>
      <c r="K1279" s="5" t="s">
        <v>4096</v>
      </c>
      <c r="L1279" s="16"/>
      <c r="M1279" s="19"/>
      <c r="N1279" s="16"/>
      <c r="O1279" s="16"/>
      <c r="P1279" s="16"/>
    </row>
    <row r="1280" ht="22.5" customHeight="1">
      <c r="A1280" s="138" t="s">
        <v>1161</v>
      </c>
      <c r="B1280" s="16" t="str">
        <f>IF(A1280="","",IFERROR(VLOOKUP(A1280, Stock_New!A:M, 2, FALSE),""))</f>
        <v>ورد لوحدة</v>
      </c>
      <c r="C1280" s="236">
        <v>4.0</v>
      </c>
      <c r="D1280" s="16" t="str">
        <f>IF(A1280="","",IFERROR(VLOOKUP(A1280, Stock_New!A:M, 3, FALSE),""))</f>
        <v>شركة الفرسان</v>
      </c>
      <c r="E1280" s="16">
        <f>IF($A1280="", "", IFERROR(VLOOKUP($A1280, Stock_New!$A:$M, 6, FALSE), ""))</f>
        <v>108</v>
      </c>
      <c r="F1280" s="239">
        <v>140.0</v>
      </c>
      <c r="G1280" s="16"/>
      <c r="H1280" s="33">
        <v>560.0</v>
      </c>
      <c r="I1280" s="238">
        <v>46162.0</v>
      </c>
      <c r="J1280" s="5" t="s">
        <v>72</v>
      </c>
      <c r="K1280" s="5" t="s">
        <v>5366</v>
      </c>
      <c r="L1280" s="16"/>
      <c r="M1280" s="19"/>
      <c r="N1280" s="16"/>
      <c r="O1280" s="16"/>
      <c r="P1280" s="16"/>
    </row>
    <row r="1281" ht="22.5" customHeight="1">
      <c r="A1281" s="138" t="s">
        <v>737</v>
      </c>
      <c r="B1281" s="16" t="str">
        <f>IF(A1281="","",IFERROR(VLOOKUP(A1281, Stock_New!A:M, 2, FALSE),""))</f>
        <v>مباخر</v>
      </c>
      <c r="C1281" s="236">
        <v>1.0</v>
      </c>
      <c r="D1281" s="16" t="str">
        <f>IF(A1281="","",IFERROR(VLOOKUP(A1281, Stock_New!A:M, 3, FALSE),""))</f>
        <v>سنتر محمد رشدي</v>
      </c>
      <c r="E1281" s="16">
        <f>IF($A1281="", "", IFERROR(VLOOKUP($A1281, Stock_New!$A:$M, 6, FALSE), ""))</f>
        <v>181.2</v>
      </c>
      <c r="F1281" s="239">
        <v>185.0</v>
      </c>
      <c r="G1281" s="16"/>
      <c r="H1281" s="33">
        <v>185.0</v>
      </c>
      <c r="I1281" s="238">
        <v>46162.0</v>
      </c>
      <c r="J1281" s="5" t="s">
        <v>72</v>
      </c>
      <c r="K1281" s="5" t="s">
        <v>5367</v>
      </c>
      <c r="L1281" s="16"/>
      <c r="M1281" s="19"/>
      <c r="N1281" s="16"/>
      <c r="O1281" s="16"/>
      <c r="P1281" s="16"/>
    </row>
    <row r="1282" ht="22.5" customHeight="1">
      <c r="A1282" s="138" t="s">
        <v>800</v>
      </c>
      <c r="B1282" s="16" t="str">
        <f>IF(A1282="","",IFERROR(VLOOKUP(A1282, Stock_New!A:M, 2, FALSE),""))</f>
        <v>بخور</v>
      </c>
      <c r="C1282" s="236">
        <v>1.0</v>
      </c>
      <c r="D1282" s="16" t="str">
        <f>IF(A1282="","",IFERROR(VLOOKUP(A1282, Stock_New!A:M, 3, FALSE),""))</f>
        <v>سنتر محمد رشدي</v>
      </c>
      <c r="E1282" s="16">
        <f>IF($A1282="", "", IFERROR(VLOOKUP($A1282, Stock_New!$A:$M, 6, FALSE), ""))</f>
        <v>13.5</v>
      </c>
      <c r="F1282" s="239">
        <v>20.0</v>
      </c>
      <c r="G1282" s="16"/>
      <c r="H1282" s="33">
        <v>20.0</v>
      </c>
      <c r="I1282" s="238">
        <v>46162.0</v>
      </c>
      <c r="J1282" s="5" t="s">
        <v>72</v>
      </c>
      <c r="K1282" s="5" t="s">
        <v>5368</v>
      </c>
      <c r="L1282" s="16"/>
      <c r="M1282" s="19"/>
      <c r="N1282" s="16"/>
      <c r="O1282" s="16"/>
      <c r="P1282" s="16"/>
    </row>
    <row r="1283" ht="22.5" customHeight="1">
      <c r="A1283" s="138" t="s">
        <v>787</v>
      </c>
      <c r="B1283" s="16" t="str">
        <f>IF(A1283="","",IFERROR(VLOOKUP(A1283, Stock_New!A:M, 2, FALSE),""))</f>
        <v>كهربائيات</v>
      </c>
      <c r="C1283" s="236">
        <v>1.0</v>
      </c>
      <c r="D1283" s="16" t="str">
        <f>IF(A1283="","",IFERROR(VLOOKUP(A1283, Stock_New!A:M, 3, FALSE),""))</f>
        <v>سنتر محمد رشدي</v>
      </c>
      <c r="E1283" s="16">
        <f>IF($A1283="", "", IFERROR(VLOOKUP($A1283, Stock_New!$A:$M, 6, FALSE), ""))</f>
        <v>162</v>
      </c>
      <c r="F1283" s="239">
        <v>175.0</v>
      </c>
      <c r="G1283" s="16"/>
      <c r="H1283" s="33">
        <v>175.0</v>
      </c>
      <c r="I1283" s="238">
        <v>46162.0</v>
      </c>
      <c r="J1283" s="5" t="s">
        <v>72</v>
      </c>
      <c r="K1283" s="5" t="s">
        <v>5369</v>
      </c>
      <c r="L1283" s="16"/>
      <c r="M1283" s="19"/>
      <c r="N1283" s="16"/>
      <c r="O1283" s="16"/>
      <c r="P1283" s="16"/>
    </row>
    <row r="1284" ht="22.5" customHeight="1">
      <c r="A1284" s="138" t="s">
        <v>601</v>
      </c>
      <c r="B1284" s="16" t="str">
        <f>IF(A1284="","",IFERROR(VLOOKUP(A1284, Stock_New!A:M, 2, FALSE),""))</f>
        <v>مروحة</v>
      </c>
      <c r="C1284" s="236">
        <v>3.0</v>
      </c>
      <c r="D1284" s="16" t="str">
        <f>IF(A1284="","",IFERROR(VLOOKUP(A1284, Stock_New!A:M, 3, FALSE),""))</f>
        <v>سنتر محمد رشدي</v>
      </c>
      <c r="E1284" s="16">
        <f>IF($A1284="", "", IFERROR(VLOOKUP($A1284, Stock_New!$A:$M, 6, FALSE), ""))</f>
        <v>21.5</v>
      </c>
      <c r="F1284" s="239">
        <v>25.0</v>
      </c>
      <c r="G1284" s="16"/>
      <c r="H1284" s="33">
        <v>75.0</v>
      </c>
      <c r="I1284" s="238">
        <v>46162.0</v>
      </c>
      <c r="J1284" s="5" t="s">
        <v>72</v>
      </c>
      <c r="K1284" s="5" t="s">
        <v>5370</v>
      </c>
      <c r="L1284" s="16"/>
      <c r="M1284" s="19"/>
      <c r="N1284" s="16"/>
      <c r="O1284" s="16"/>
      <c r="P1284" s="16"/>
    </row>
    <row r="1285" ht="22.5" customHeight="1">
      <c r="A1285" s="90" t="s">
        <v>1050</v>
      </c>
      <c r="B1285" s="16" t="str">
        <f>IF(A1285="","",IFERROR(VLOOKUP(A1285, Stock_New!A:M, 2, FALSE),""))</f>
        <v>كهربائيات</v>
      </c>
      <c r="C1285" s="236">
        <v>1.0</v>
      </c>
      <c r="D1285" s="16" t="str">
        <f>IF(A1285="","",IFERROR(VLOOKUP(A1285, Stock_New!A:M, 3, FALSE),""))</f>
        <v>سنتر محمد رشدي</v>
      </c>
      <c r="E1285" s="16">
        <f>IF($A1285="", "", IFERROR(VLOOKUP($A1285, Stock_New!$A:$M, 6, FALSE), ""))</f>
        <v>132</v>
      </c>
      <c r="F1285" s="239">
        <v>200.0</v>
      </c>
      <c r="G1285" s="16"/>
      <c r="H1285" s="33">
        <v>200.0</v>
      </c>
      <c r="I1285" s="238">
        <v>46162.0</v>
      </c>
      <c r="J1285" s="5" t="s">
        <v>72</v>
      </c>
      <c r="K1285" s="5" t="s">
        <v>4098</v>
      </c>
      <c r="L1285" s="16"/>
      <c r="M1285" s="19"/>
      <c r="N1285" s="16"/>
      <c r="O1285" s="16"/>
      <c r="P1285" s="16"/>
    </row>
    <row r="1286" ht="22.5" customHeight="1">
      <c r="A1286" s="138" t="s">
        <v>670</v>
      </c>
      <c r="B1286" s="16" t="str">
        <f>IF(A1286="","",IFERROR(VLOOKUP(A1286, Stock_New!A:M, 2, FALSE),""))</f>
        <v>بوتات</v>
      </c>
      <c r="C1286" s="236">
        <v>1.0</v>
      </c>
      <c r="D1286" s="16" t="str">
        <f>IF(A1286="","",IFERROR(VLOOKUP(A1286, Stock_New!A:M, 3, FALSE),""))</f>
        <v>شركة حسين علي</v>
      </c>
      <c r="E1286" s="16">
        <f>IF($A1286="", "", IFERROR(VLOOKUP($A1286, Stock_New!$A:$M, 6, FALSE), ""))</f>
        <v>14.53</v>
      </c>
      <c r="F1286" s="239">
        <v>20.0</v>
      </c>
      <c r="G1286" s="16"/>
      <c r="H1286" s="33">
        <v>20.0</v>
      </c>
      <c r="I1286" s="238">
        <v>46162.0</v>
      </c>
      <c r="J1286" s="5" t="s">
        <v>72</v>
      </c>
      <c r="K1286" s="5" t="s">
        <v>5371</v>
      </c>
      <c r="L1286" s="16"/>
      <c r="M1286" s="19"/>
      <c r="N1286" s="16"/>
      <c r="O1286" s="16"/>
      <c r="P1286" s="16"/>
    </row>
    <row r="1287" ht="22.5" customHeight="1">
      <c r="A1287" s="138" t="s">
        <v>741</v>
      </c>
      <c r="B1287" s="16" t="str">
        <f>IF(A1287="","",IFERROR(VLOOKUP(A1287, Stock_New!A:M, 2, FALSE),""))</f>
        <v>ورد لوحدة</v>
      </c>
      <c r="C1287" s="236">
        <f>0.4</f>
        <v>0.4</v>
      </c>
      <c r="D1287" s="16" t="str">
        <f>IF(A1287="","",IFERROR(VLOOKUP(A1287, Stock_New!A:M, 3, FALSE),""))</f>
        <v>شركة الفرسان</v>
      </c>
      <c r="E1287" s="16">
        <f>IF($A1287="", "", IFERROR(VLOOKUP($A1287, Stock_New!$A:$M, 6, FALSE), ""))</f>
        <v>180</v>
      </c>
      <c r="F1287" s="239">
        <v>200.0</v>
      </c>
      <c r="G1287" s="16"/>
      <c r="H1287" s="33">
        <v>80.0</v>
      </c>
      <c r="I1287" s="238">
        <v>46162.0</v>
      </c>
      <c r="J1287" s="5" t="s">
        <v>72</v>
      </c>
      <c r="K1287" s="5" t="s">
        <v>4102</v>
      </c>
      <c r="L1287" s="16"/>
      <c r="M1287" s="19"/>
      <c r="N1287" s="16"/>
      <c r="O1287" s="16"/>
      <c r="P1287" s="16"/>
    </row>
    <row r="1288" ht="22.5" customHeight="1">
      <c r="A1288" s="138" t="s">
        <v>806</v>
      </c>
      <c r="B1288" s="16" t="str">
        <f>IF(A1288="","",IFERROR(VLOOKUP(A1288, Stock_New!A:M, 2, FALSE),""))</f>
        <v>ورد لوحدة</v>
      </c>
      <c r="C1288" s="236">
        <f>4/7</f>
        <v>0.5714285714</v>
      </c>
      <c r="D1288" s="16" t="str">
        <f>IF(A1288="","",IFERROR(VLOOKUP(A1288, Stock_New!A:M, 3, FALSE),""))</f>
        <v>شركة الفرسان</v>
      </c>
      <c r="E1288" s="16">
        <f>IF($A1288="", "", IFERROR(VLOOKUP($A1288, Stock_New!$A:$M, 6, FALSE), ""))</f>
        <v>168</v>
      </c>
      <c r="F1288" s="239">
        <v>210.0</v>
      </c>
      <c r="G1288" s="16"/>
      <c r="H1288" s="33">
        <v>120.0</v>
      </c>
      <c r="I1288" s="238">
        <v>46162.0</v>
      </c>
      <c r="J1288" s="5" t="s">
        <v>72</v>
      </c>
      <c r="K1288" s="5" t="s">
        <v>5372</v>
      </c>
      <c r="L1288" s="16"/>
      <c r="M1288" s="19"/>
      <c r="N1288" s="16"/>
      <c r="O1288" s="16"/>
      <c r="P1288" s="16"/>
    </row>
    <row r="1289" ht="22.5" customHeight="1">
      <c r="A1289" s="138" t="s">
        <v>518</v>
      </c>
      <c r="B1289" s="16" t="str">
        <f>IF(A1289="","",IFERROR(VLOOKUP(A1289, Stock_New!A:M, 2, FALSE),""))</f>
        <v>ورد لوحدة</v>
      </c>
      <c r="C1289" s="236">
        <f>4/9</f>
        <v>0.4444444444</v>
      </c>
      <c r="D1289" s="16" t="str">
        <f>IF(A1289="","",IFERROR(VLOOKUP(A1289, Stock_New!A:M, 3, FALSE),""))</f>
        <v>شركة الفرسان</v>
      </c>
      <c r="E1289" s="16">
        <f>IF($A1289="", "", IFERROR(VLOOKUP($A1289, Stock_New!$A:$M, 6, FALSE), ""))</f>
        <v>90</v>
      </c>
      <c r="F1289" s="239">
        <v>115.0</v>
      </c>
      <c r="G1289" s="16"/>
      <c r="H1289" s="33">
        <v>51.11</v>
      </c>
      <c r="I1289" s="238">
        <v>46162.0</v>
      </c>
      <c r="J1289" s="5" t="s">
        <v>72</v>
      </c>
      <c r="K1289" s="5" t="s">
        <v>5373</v>
      </c>
      <c r="L1289" s="16"/>
      <c r="M1289" s="19"/>
      <c r="N1289" s="16"/>
      <c r="O1289" s="16"/>
      <c r="P1289" s="16"/>
    </row>
    <row r="1290" ht="22.5" customHeight="1">
      <c r="A1290" s="138" t="s">
        <v>309</v>
      </c>
      <c r="B1290" s="16" t="str">
        <f>IF(A1290="","",IFERROR(VLOOKUP(A1290, Stock_New!A:M, 2, FALSE),""))</f>
        <v>بوتات</v>
      </c>
      <c r="C1290" s="236">
        <v>1.0</v>
      </c>
      <c r="D1290" s="16" t="str">
        <f>IF(A1290="","",IFERROR(VLOOKUP(A1290, Stock_New!A:M, 3, FALSE),""))</f>
        <v>شركة حسين علي</v>
      </c>
      <c r="E1290" s="16">
        <f>IF($A1290="", "", IFERROR(VLOOKUP($A1290, Stock_New!$A:$M, 6, FALSE), ""))</f>
        <v>24</v>
      </c>
      <c r="F1290" s="239">
        <v>50.0</v>
      </c>
      <c r="G1290" s="16"/>
      <c r="H1290" s="33">
        <v>50.0</v>
      </c>
      <c r="I1290" s="238">
        <v>46162.0</v>
      </c>
      <c r="J1290" s="5" t="s">
        <v>72</v>
      </c>
      <c r="K1290" s="5" t="s">
        <v>5374</v>
      </c>
      <c r="L1290" s="16"/>
      <c r="M1290" s="19"/>
      <c r="N1290" s="16"/>
      <c r="O1290" s="16"/>
      <c r="P1290" s="16"/>
    </row>
    <row r="1291" ht="22.5" customHeight="1">
      <c r="A1291" s="138" t="s">
        <v>1156</v>
      </c>
      <c r="B1291" s="16" t="str">
        <f>IF(A1291="","",IFERROR(VLOOKUP(A1291, Stock_New!A:M, 2, FALSE),""))</f>
        <v>بوكيه</v>
      </c>
      <c r="C1291" s="236">
        <v>2.0</v>
      </c>
      <c r="D1291" s="16" t="str">
        <f>IF(A1291="","",IFERROR(VLOOKUP(A1291, Stock_New!A:M, 3, FALSE),""))</f>
        <v>manufactured</v>
      </c>
      <c r="E1291" s="16">
        <f>IF($A1291="", "", IFERROR(VLOOKUP($A1291, Stock_New!$A:$M, 6, FALSE), ""))</f>
        <v>15</v>
      </c>
      <c r="F1291" s="239">
        <v>25.0</v>
      </c>
      <c r="G1291" s="16"/>
      <c r="H1291" s="33">
        <v>50.0</v>
      </c>
      <c r="I1291" s="238">
        <v>46162.0</v>
      </c>
      <c r="J1291" s="5" t="s">
        <v>72</v>
      </c>
      <c r="K1291" s="5" t="s">
        <v>5375</v>
      </c>
      <c r="L1291" s="16"/>
      <c r="M1291" s="19"/>
      <c r="N1291" s="16"/>
      <c r="O1291" s="16"/>
      <c r="P1291" s="16"/>
    </row>
    <row r="1292" ht="22.5" customHeight="1">
      <c r="A1292" s="138" t="s">
        <v>982</v>
      </c>
      <c r="B1292" s="16" t="str">
        <f>IF(A1292="","",IFERROR(VLOOKUP(A1292, Stock_New!A:M, 2, FALSE),""))</f>
        <v>لعب</v>
      </c>
      <c r="C1292" s="236">
        <v>1.0</v>
      </c>
      <c r="D1292" s="16" t="str">
        <f>IF(A1292="","",IFERROR(VLOOKUP(A1292, Stock_New!A:M, 3, FALSE),""))</f>
        <v>محمد رشدي</v>
      </c>
      <c r="E1292" s="16">
        <f>IF($A1292="", "", IFERROR(VLOOKUP($A1292, Stock_New!$A:$M, 6, FALSE), ""))</f>
        <v>150</v>
      </c>
      <c r="F1292" s="239">
        <v>170.0</v>
      </c>
      <c r="G1292" s="16"/>
      <c r="H1292" s="33">
        <v>170.0</v>
      </c>
      <c r="I1292" s="238">
        <v>46162.0</v>
      </c>
      <c r="J1292" s="5" t="s">
        <v>72</v>
      </c>
      <c r="K1292" s="5" t="s">
        <v>5376</v>
      </c>
      <c r="L1292" s="16"/>
      <c r="M1292" s="19"/>
      <c r="N1292" s="16"/>
      <c r="O1292" s="16"/>
      <c r="P1292" s="16"/>
    </row>
    <row r="1293" ht="22.5" customHeight="1">
      <c r="A1293" s="138" t="s">
        <v>1055</v>
      </c>
      <c r="B1293" s="16" t="str">
        <f>IF(A1293="","",IFERROR(VLOOKUP(A1293, Stock_New!A:M, 2, FALSE),""))</f>
        <v>حجر</v>
      </c>
      <c r="C1293" s="236">
        <v>2.0</v>
      </c>
      <c r="D1293" s="16" t="str">
        <f>IF(A1293="","",IFERROR(VLOOKUP(A1293, Stock_New!A:M, 3, FALSE),""))</f>
        <v>محمد رشدي</v>
      </c>
      <c r="E1293" s="16">
        <f>IF($A1293="", "", IFERROR(VLOOKUP($A1293, Stock_New!$A:$M, 6, FALSE), ""))</f>
        <v>15</v>
      </c>
      <c r="F1293" s="239">
        <v>15.0</v>
      </c>
      <c r="G1293" s="16"/>
      <c r="H1293" s="33">
        <v>30.0</v>
      </c>
      <c r="I1293" s="238">
        <v>46162.0</v>
      </c>
      <c r="J1293" s="5" t="s">
        <v>72</v>
      </c>
      <c r="K1293" s="5" t="s">
        <v>5377</v>
      </c>
      <c r="L1293" s="16"/>
      <c r="M1293" s="19"/>
      <c r="N1293" s="16"/>
      <c r="O1293" s="16"/>
      <c r="P1293" s="16"/>
    </row>
    <row r="1294" ht="22.5" customHeight="1">
      <c r="A1294" s="138" t="s">
        <v>1121</v>
      </c>
      <c r="B1294" s="16" t="str">
        <f>IF(A1294="","",IFERROR(VLOOKUP(A1294, Stock_New!A:M, 2, FALSE),""))</f>
        <v>ديكور مكتب</v>
      </c>
      <c r="C1294" s="236">
        <v>1.0</v>
      </c>
      <c r="D1294" s="16" t="str">
        <f>IF(A1294="","",IFERROR(VLOOKUP(A1294, Stock_New!A:M, 3, FALSE),""))</f>
        <v>محمد رشدي</v>
      </c>
      <c r="E1294" s="16">
        <f>IF($A1294="", "", IFERROR(VLOOKUP($A1294, Stock_New!$A:$M, 6, FALSE), ""))</f>
        <v>108</v>
      </c>
      <c r="F1294" s="239">
        <v>135.0</v>
      </c>
      <c r="G1294" s="16"/>
      <c r="H1294" s="33">
        <v>135.0</v>
      </c>
      <c r="I1294" s="238">
        <v>46162.0</v>
      </c>
      <c r="J1294" s="5" t="s">
        <v>72</v>
      </c>
      <c r="K1294" s="5" t="s">
        <v>5378</v>
      </c>
      <c r="L1294" s="16"/>
      <c r="M1294" s="19"/>
      <c r="N1294" s="16"/>
      <c r="O1294" s="16"/>
      <c r="P1294" s="16"/>
    </row>
    <row r="1295" ht="22.5" customHeight="1">
      <c r="A1295" s="138" t="s">
        <v>554</v>
      </c>
      <c r="B1295" s="16" t="str">
        <f>IF(A1295="","",IFERROR(VLOOKUP(A1295, Stock_New!A:M, 2, FALSE),""))</f>
        <v>مقزمات</v>
      </c>
      <c r="C1295" s="236">
        <v>4.0</v>
      </c>
      <c r="D1295" s="16" t="str">
        <f>IF(A1295="","",IFERROR(VLOOKUP(A1295, Stock_New!A:M, 3, FALSE),""))</f>
        <v>manufactured</v>
      </c>
      <c r="E1295" s="16">
        <f>IF($A1295="", "", IFERROR(VLOOKUP($A1295, Stock_New!$A:$M, 6, FALSE), ""))</f>
        <v>27.86666667</v>
      </c>
      <c r="F1295" s="239">
        <v>45.0</v>
      </c>
      <c r="G1295" s="16"/>
      <c r="H1295" s="33">
        <v>180.0</v>
      </c>
      <c r="I1295" s="238">
        <v>46163.0</v>
      </c>
      <c r="J1295" s="5" t="s">
        <v>72</v>
      </c>
      <c r="K1295" s="5" t="s">
        <v>5379</v>
      </c>
      <c r="L1295" s="16"/>
      <c r="M1295" s="19"/>
      <c r="N1295" s="16"/>
      <c r="O1295" s="16"/>
      <c r="P1295" s="16"/>
    </row>
    <row r="1296" ht="22.5" customHeight="1">
      <c r="A1296" s="138" t="s">
        <v>902</v>
      </c>
      <c r="B1296" s="16" t="str">
        <f>IF(A1296="","",IFERROR(VLOOKUP(A1296, Stock_New!A:M, 2, FALSE),""))</f>
        <v>خشب</v>
      </c>
      <c r="C1296" s="236">
        <v>1.0</v>
      </c>
      <c r="D1296" s="16" t="str">
        <f>IF(A1296="","",IFERROR(VLOOKUP(A1296, Stock_New!A:M, 3, FALSE),""))</f>
        <v>شركة حسين علي</v>
      </c>
      <c r="E1296" s="16">
        <f>IF($A1296="", "", IFERROR(VLOOKUP($A1296, Stock_New!$A:$M, 6, FALSE), ""))</f>
        <v>108.35</v>
      </c>
      <c r="F1296" s="239">
        <v>120.0</v>
      </c>
      <c r="G1296" s="16"/>
      <c r="H1296" s="33">
        <v>120.0</v>
      </c>
      <c r="I1296" s="238">
        <v>46163.0</v>
      </c>
      <c r="J1296" s="5" t="s">
        <v>72</v>
      </c>
      <c r="K1296" s="5" t="s">
        <v>5380</v>
      </c>
      <c r="L1296" s="16"/>
      <c r="M1296" s="19"/>
      <c r="N1296" s="16"/>
      <c r="O1296" s="16"/>
      <c r="P1296" s="16"/>
    </row>
    <row r="1297" ht="22.5" customHeight="1">
      <c r="A1297" s="138" t="s">
        <v>554</v>
      </c>
      <c r="B1297" s="16" t="str">
        <f>IF(A1297="","",IFERROR(VLOOKUP(A1297, Stock_New!A:M, 2, FALSE),""))</f>
        <v>مقزمات</v>
      </c>
      <c r="C1297" s="236">
        <v>3.0</v>
      </c>
      <c r="D1297" s="16" t="str">
        <f>IF(A1297="","",IFERROR(VLOOKUP(A1297, Stock_New!A:M, 3, FALSE),""))</f>
        <v>manufactured</v>
      </c>
      <c r="E1297" s="16">
        <f>IF($A1297="", "", IFERROR(VLOOKUP($A1297, Stock_New!$A:$M, 6, FALSE), ""))</f>
        <v>27.86666667</v>
      </c>
      <c r="F1297" s="239">
        <v>45.0</v>
      </c>
      <c r="G1297" s="16"/>
      <c r="H1297" s="33">
        <v>135.0</v>
      </c>
      <c r="I1297" s="238">
        <v>46163.0</v>
      </c>
      <c r="J1297" s="5" t="s">
        <v>72</v>
      </c>
      <c r="K1297" s="5" t="s">
        <v>5381</v>
      </c>
      <c r="L1297" s="16"/>
      <c r="M1297" s="19"/>
      <c r="N1297" s="16"/>
      <c r="O1297" s="16"/>
      <c r="P1297" s="16"/>
    </row>
    <row r="1298" ht="22.5" customHeight="1">
      <c r="A1298" s="138" t="s">
        <v>1162</v>
      </c>
      <c r="B1298" s="16" t="str">
        <f>IF(A1298="","",IFERROR(VLOOKUP(A1298, Stock_New!A:M, 2, FALSE),""))</f>
        <v>بوكيه</v>
      </c>
      <c r="C1298" s="236">
        <v>3.0</v>
      </c>
      <c r="D1298" s="16" t="str">
        <f>IF(A1298="","",IFERROR(VLOOKUP(A1298, Stock_New!A:M, 3, FALSE),""))</f>
        <v>manufactured</v>
      </c>
      <c r="E1298" s="16">
        <f>IF($A1298="", "", IFERROR(VLOOKUP($A1298, Stock_New!$A:$M, 6, FALSE), ""))</f>
        <v>10.9</v>
      </c>
      <c r="F1298" s="239">
        <v>25.0</v>
      </c>
      <c r="G1298" s="16"/>
      <c r="H1298" s="33">
        <v>75.0</v>
      </c>
      <c r="I1298" s="238">
        <v>46163.0</v>
      </c>
      <c r="J1298" s="5" t="s">
        <v>72</v>
      </c>
      <c r="K1298" s="5" t="s">
        <v>5382</v>
      </c>
      <c r="L1298" s="16"/>
      <c r="M1298" s="19"/>
      <c r="N1298" s="16"/>
      <c r="O1298" s="16"/>
      <c r="P1298" s="16"/>
    </row>
    <row r="1299" ht="22.5" customHeight="1">
      <c r="A1299" s="138" t="s">
        <v>902</v>
      </c>
      <c r="B1299" s="16" t="str">
        <f>IF(A1299="","",IFERROR(VLOOKUP(A1299, Stock_New!A:M, 2, FALSE),""))</f>
        <v>خشب</v>
      </c>
      <c r="C1299" s="236">
        <v>1.0</v>
      </c>
      <c r="D1299" s="16" t="str">
        <f>IF(A1299="","",IFERROR(VLOOKUP(A1299, Stock_New!A:M, 3, FALSE),""))</f>
        <v>شركة حسين علي</v>
      </c>
      <c r="E1299" s="16">
        <f>IF($A1299="", "", IFERROR(VLOOKUP($A1299, Stock_New!$A:$M, 6, FALSE), ""))</f>
        <v>108.35</v>
      </c>
      <c r="F1299" s="239">
        <v>100.0</v>
      </c>
      <c r="G1299" s="16"/>
      <c r="H1299" s="33">
        <v>100.0</v>
      </c>
      <c r="I1299" s="238">
        <v>46163.0</v>
      </c>
      <c r="J1299" s="5" t="s">
        <v>72</v>
      </c>
      <c r="K1299" s="5" t="s">
        <v>5383</v>
      </c>
      <c r="L1299" s="16"/>
      <c r="M1299" s="19"/>
      <c r="N1299" s="16"/>
      <c r="O1299" s="16"/>
      <c r="P1299" s="16"/>
    </row>
    <row r="1300" ht="22.5" customHeight="1">
      <c r="A1300" s="138" t="s">
        <v>1170</v>
      </c>
      <c r="B1300" s="16" t="str">
        <f>IF(A1300="","",IFERROR(VLOOKUP(A1300, Stock_New!A:M, 2, FALSE),""))</f>
        <v/>
      </c>
      <c r="C1300" s="236">
        <v>1.0</v>
      </c>
      <c r="D1300" s="16" t="str">
        <f>IF(A1300="","",IFERROR(VLOOKUP(A1300, Stock_New!A:M, 3, FALSE),""))</f>
        <v/>
      </c>
      <c r="E1300" s="16" t="str">
        <f>IF($A1300="", "", IFERROR(VLOOKUP($A1300, Stock_New!$A:$M, 6, FALSE), ""))</f>
        <v/>
      </c>
      <c r="F1300" s="239">
        <v>140.0</v>
      </c>
      <c r="G1300" s="16"/>
      <c r="H1300" s="33">
        <v>140.0</v>
      </c>
      <c r="I1300" s="238">
        <v>46163.0</v>
      </c>
      <c r="J1300" s="5" t="s">
        <v>72</v>
      </c>
      <c r="K1300" s="5" t="s">
        <v>5384</v>
      </c>
      <c r="L1300" s="16"/>
      <c r="M1300" s="19"/>
      <c r="N1300" s="16"/>
      <c r="O1300" s="16"/>
      <c r="P1300" s="16"/>
    </row>
    <row r="1301" ht="22.5" customHeight="1">
      <c r="A1301" s="138" t="s">
        <v>776</v>
      </c>
      <c r="B1301" s="16" t="str">
        <f>IF(A1301="","",IFERROR(VLOOKUP(A1301, Stock_New!A:M, 2, FALSE),""))</f>
        <v>سيلفرات</v>
      </c>
      <c r="C1301" s="236">
        <v>1.0</v>
      </c>
      <c r="D1301" s="16" t="str">
        <f>IF(A1301="","",IFERROR(VLOOKUP(A1301, Stock_New!A:M, 3, FALSE),""))</f>
        <v>سنتر محمد رشدي</v>
      </c>
      <c r="E1301" s="16">
        <f>IF($A1301="", "", IFERROR(VLOOKUP($A1301, Stock_New!$A:$M, 6, FALSE), ""))</f>
        <v>180</v>
      </c>
      <c r="F1301" s="239">
        <v>180.0</v>
      </c>
      <c r="G1301" s="16"/>
      <c r="H1301" s="33">
        <v>180.0</v>
      </c>
      <c r="I1301" s="238">
        <v>46163.0</v>
      </c>
      <c r="J1301" s="5" t="s">
        <v>72</v>
      </c>
      <c r="K1301" s="5" t="s">
        <v>5385</v>
      </c>
      <c r="L1301" s="16"/>
      <c r="M1301" s="19"/>
      <c r="N1301" s="16"/>
      <c r="O1301" s="16"/>
      <c r="P1301" s="16"/>
    </row>
    <row r="1302" ht="22.5" customHeight="1">
      <c r="A1302" s="138" t="s">
        <v>554</v>
      </c>
      <c r="B1302" s="16" t="str">
        <f>IF(A1302="","",IFERROR(VLOOKUP(A1302, Stock_New!A:M, 2, FALSE),""))</f>
        <v>مقزمات</v>
      </c>
      <c r="C1302" s="236">
        <v>1.0</v>
      </c>
      <c r="D1302" s="16" t="str">
        <f>IF(A1302="","",IFERROR(VLOOKUP(A1302, Stock_New!A:M, 3, FALSE),""))</f>
        <v>manufactured</v>
      </c>
      <c r="E1302" s="16">
        <f>IF($A1302="", "", IFERROR(VLOOKUP($A1302, Stock_New!$A:$M, 6, FALSE), ""))</f>
        <v>27.86666667</v>
      </c>
      <c r="F1302" s="239">
        <v>45.0</v>
      </c>
      <c r="G1302" s="16"/>
      <c r="H1302" s="33">
        <v>45.0</v>
      </c>
      <c r="I1302" s="238">
        <v>46164.0</v>
      </c>
      <c r="J1302" s="5" t="s">
        <v>72</v>
      </c>
      <c r="K1302" s="5" t="s">
        <v>5386</v>
      </c>
      <c r="L1302" s="16"/>
      <c r="M1302" s="19"/>
      <c r="N1302" s="16"/>
      <c r="O1302" s="16"/>
      <c r="P1302" s="16"/>
    </row>
    <row r="1303" ht="22.5" customHeight="1">
      <c r="A1303" s="138" t="s">
        <v>1163</v>
      </c>
      <c r="B1303" s="16" t="str">
        <f>IF(A1303="","",IFERROR(VLOOKUP(A1303, Stock_New!A:M, 2, FALSE),""))</f>
        <v>بوكيه</v>
      </c>
      <c r="C1303" s="236">
        <v>1.0</v>
      </c>
      <c r="D1303" s="16" t="str">
        <f>IF(A1303="","",IFERROR(VLOOKUP(A1303, Stock_New!A:M, 3, FALSE),""))</f>
        <v>manufactured</v>
      </c>
      <c r="E1303" s="16">
        <f>IF($A1303="", "", IFERROR(VLOOKUP($A1303, Stock_New!$A:$M, 6, FALSE), ""))</f>
        <v>11.93333333</v>
      </c>
      <c r="F1303" s="239">
        <v>25.0</v>
      </c>
      <c r="G1303" s="16"/>
      <c r="H1303" s="33">
        <v>25.0</v>
      </c>
      <c r="I1303" s="238">
        <v>46164.0</v>
      </c>
      <c r="J1303" s="5" t="s">
        <v>72</v>
      </c>
      <c r="K1303" s="5" t="s">
        <v>5387</v>
      </c>
      <c r="L1303" s="16"/>
      <c r="M1303" s="19"/>
      <c r="N1303" s="16"/>
      <c r="O1303" s="16"/>
      <c r="P1303" s="16"/>
    </row>
    <row r="1304" ht="22.5" customHeight="1">
      <c r="A1304" s="138" t="s">
        <v>287</v>
      </c>
      <c r="B1304" s="16" t="str">
        <f>IF(A1304="","",IFERROR(VLOOKUP(A1304, Stock_New!A:M, 2, FALSE),""))</f>
        <v>بوكيه</v>
      </c>
      <c r="C1304" s="236">
        <v>1.0</v>
      </c>
      <c r="D1304" s="16" t="str">
        <f>IF(A1304="","",IFERROR(VLOOKUP(A1304, Stock_New!A:M, 3, FALSE),""))</f>
        <v>ذكريا</v>
      </c>
      <c r="E1304" s="16">
        <f>IF($A1304="", "", IFERROR(VLOOKUP($A1304, Stock_New!$A:$M, 6, FALSE), ""))</f>
        <v>54</v>
      </c>
      <c r="F1304" s="239">
        <v>60.0</v>
      </c>
      <c r="G1304" s="16"/>
      <c r="H1304" s="33">
        <v>60.0</v>
      </c>
      <c r="I1304" s="238">
        <v>46164.0</v>
      </c>
      <c r="J1304" s="5" t="s">
        <v>72</v>
      </c>
      <c r="K1304" s="5" t="s">
        <v>5388</v>
      </c>
      <c r="L1304" s="16"/>
      <c r="M1304" s="19"/>
      <c r="N1304" s="16"/>
      <c r="O1304" s="16"/>
      <c r="P1304" s="16"/>
    </row>
    <row r="1305" ht="22.5" customHeight="1">
      <c r="A1305" s="138" t="s">
        <v>667</v>
      </c>
      <c r="B1305" s="16" t="str">
        <f>IF(A1305="","",IFERROR(VLOOKUP(A1305, Stock_New!A:M, 2, FALSE),""))</f>
        <v>بوكيه</v>
      </c>
      <c r="C1305" s="236">
        <v>1.0</v>
      </c>
      <c r="D1305" s="16" t="str">
        <f>IF(A1305="","",IFERROR(VLOOKUP(A1305, Stock_New!A:M, 3, FALSE),""))</f>
        <v>المهندس</v>
      </c>
      <c r="E1305" s="16">
        <f>IF($A1305="", "", IFERROR(VLOOKUP($A1305, Stock_New!$A:$M, 6, FALSE), ""))</f>
        <v>66</v>
      </c>
      <c r="F1305" s="239">
        <v>75.0</v>
      </c>
      <c r="G1305" s="16"/>
      <c r="H1305" s="33">
        <v>75.0</v>
      </c>
      <c r="I1305" s="238">
        <v>46164.0</v>
      </c>
      <c r="J1305" s="5" t="s">
        <v>72</v>
      </c>
      <c r="K1305" s="5" t="s">
        <v>5389</v>
      </c>
      <c r="L1305" s="16"/>
      <c r="M1305" s="19"/>
      <c r="N1305" s="16"/>
      <c r="O1305" s="16"/>
      <c r="P1305" s="16"/>
    </row>
    <row r="1306" ht="22.5" customHeight="1">
      <c r="A1306" s="138" t="s">
        <v>303</v>
      </c>
      <c r="B1306" s="16" t="str">
        <f>IF(A1306="","",IFERROR(VLOOKUP(A1306, Stock_New!A:M, 2, FALSE),""))</f>
        <v>ورد لوحدة</v>
      </c>
      <c r="C1306" s="236">
        <v>1.0</v>
      </c>
      <c r="D1306" s="16" t="str">
        <f>IF(A1306="","",IFERROR(VLOOKUP(A1306, Stock_New!A:M, 3, FALSE),""))</f>
        <v>شركة علاء شاكر</v>
      </c>
      <c r="E1306" s="16">
        <f>IF($A1306="", "", IFERROR(VLOOKUP($A1306, Stock_New!$A:$M, 6, FALSE), ""))</f>
        <v>84</v>
      </c>
      <c r="F1306" s="239">
        <v>150.0</v>
      </c>
      <c r="G1306" s="16"/>
      <c r="H1306" s="33">
        <v>150.0</v>
      </c>
      <c r="I1306" s="238">
        <v>46164.0</v>
      </c>
      <c r="J1306" s="5" t="s">
        <v>72</v>
      </c>
      <c r="K1306" s="5" t="s">
        <v>5390</v>
      </c>
      <c r="L1306" s="16"/>
      <c r="M1306" s="19"/>
      <c r="N1306" s="16"/>
      <c r="O1306" s="16"/>
      <c r="P1306" s="16"/>
    </row>
    <row r="1307" ht="22.5" customHeight="1">
      <c r="A1307" s="138" t="s">
        <v>309</v>
      </c>
      <c r="B1307" s="16" t="str">
        <f>IF(A1307="","",IFERROR(VLOOKUP(A1307, Stock_New!A:M, 2, FALSE),""))</f>
        <v>بوتات</v>
      </c>
      <c r="C1307" s="236">
        <v>1.0</v>
      </c>
      <c r="D1307" s="16" t="str">
        <f>IF(A1307="","",IFERROR(VLOOKUP(A1307, Stock_New!A:M, 3, FALSE),""))</f>
        <v>شركة حسين علي</v>
      </c>
      <c r="E1307" s="16">
        <f>IF($A1307="", "", IFERROR(VLOOKUP($A1307, Stock_New!$A:$M, 6, FALSE), ""))</f>
        <v>24</v>
      </c>
      <c r="F1307" s="239">
        <v>50.0</v>
      </c>
      <c r="G1307" s="16"/>
      <c r="H1307" s="33">
        <v>50.0</v>
      </c>
      <c r="I1307" s="238">
        <v>46164.0</v>
      </c>
      <c r="J1307" s="5" t="s">
        <v>72</v>
      </c>
      <c r="K1307" s="5" t="s">
        <v>5391</v>
      </c>
      <c r="L1307" s="16"/>
      <c r="M1307" s="19"/>
      <c r="N1307" s="16"/>
      <c r="O1307" s="16"/>
      <c r="P1307" s="16"/>
    </row>
    <row r="1308" ht="22.5" customHeight="1">
      <c r="A1308" s="138" t="s">
        <v>363</v>
      </c>
      <c r="B1308" s="16" t="str">
        <f>IF(A1308="","",IFERROR(VLOOKUP(A1308, Stock_New!A:M, 2, FALSE),""))</f>
        <v>ورد لوحدة</v>
      </c>
      <c r="C1308" s="236">
        <f>4/18</f>
        <v>0.2222222222</v>
      </c>
      <c r="D1308" s="16" t="str">
        <f>IF(A1308="","",IFERROR(VLOOKUP(A1308, Stock_New!A:M, 3, FALSE),""))</f>
        <v>شركة الفرسان</v>
      </c>
      <c r="E1308" s="16">
        <f>IF($A1308="", "", IFERROR(VLOOKUP($A1308, Stock_New!$A:$M, 6, FALSE), ""))</f>
        <v>132</v>
      </c>
      <c r="F1308" s="239">
        <v>225.0</v>
      </c>
      <c r="G1308" s="16"/>
      <c r="H1308" s="33">
        <v>50.0</v>
      </c>
      <c r="I1308" s="238">
        <v>46164.0</v>
      </c>
      <c r="J1308" s="5" t="s">
        <v>72</v>
      </c>
      <c r="K1308" s="5" t="s">
        <v>5392</v>
      </c>
      <c r="L1308" s="16"/>
      <c r="M1308" s="19"/>
      <c r="N1308" s="16"/>
      <c r="O1308" s="16"/>
      <c r="P1308" s="16"/>
    </row>
    <row r="1309" ht="22.5" customHeight="1">
      <c r="A1309" s="138" t="s">
        <v>1124</v>
      </c>
      <c r="B1309" s="16" t="str">
        <f>IF(A1309="","",IFERROR(VLOOKUP(A1309, Stock_New!A:M, 2, FALSE),""))</f>
        <v/>
      </c>
      <c r="C1309" s="236">
        <v>1.0</v>
      </c>
      <c r="D1309" s="16" t="str">
        <f>IF(A1309="","",IFERROR(VLOOKUP(A1309, Stock_New!A:M, 3, FALSE),""))</f>
        <v/>
      </c>
      <c r="E1309" s="16" t="str">
        <f>IF($A1309="", "", IFERROR(VLOOKUP($A1309, Stock_New!$A:$M, 6, FALSE), ""))</f>
        <v/>
      </c>
      <c r="F1309" s="239">
        <v>50.0</v>
      </c>
      <c r="G1309" s="16"/>
      <c r="H1309" s="33">
        <v>50.0</v>
      </c>
      <c r="I1309" s="238">
        <v>46164.0</v>
      </c>
      <c r="J1309" s="5" t="s">
        <v>72</v>
      </c>
      <c r="K1309" s="5" t="s">
        <v>5393</v>
      </c>
      <c r="L1309" s="16"/>
      <c r="M1309" s="19"/>
      <c r="N1309" s="16"/>
      <c r="O1309" s="16"/>
      <c r="P1309" s="16"/>
    </row>
    <row r="1310" ht="22.5" customHeight="1">
      <c r="A1310" s="138" t="s">
        <v>287</v>
      </c>
      <c r="B1310" s="16" t="str">
        <f>IF(A1310="","",IFERROR(VLOOKUP(A1310, Stock_New!A:M, 2, FALSE),""))</f>
        <v>بوكيه</v>
      </c>
      <c r="C1310" s="236">
        <v>2.0</v>
      </c>
      <c r="D1310" s="16" t="str">
        <f>IF(A1310="","",IFERROR(VLOOKUP(A1310, Stock_New!A:M, 3, FALSE),""))</f>
        <v>ذكريا</v>
      </c>
      <c r="E1310" s="16">
        <f>IF($A1310="", "", IFERROR(VLOOKUP($A1310, Stock_New!$A:$M, 6, FALSE), ""))</f>
        <v>54</v>
      </c>
      <c r="F1310" s="239">
        <v>60.0</v>
      </c>
      <c r="G1310" s="16"/>
      <c r="H1310" s="33">
        <v>120.0</v>
      </c>
      <c r="I1310" s="238">
        <v>46165.0</v>
      </c>
      <c r="J1310" s="5" t="s">
        <v>72</v>
      </c>
      <c r="K1310" s="5" t="s">
        <v>5394</v>
      </c>
      <c r="L1310" s="16"/>
      <c r="M1310" s="19"/>
      <c r="N1310" s="16"/>
      <c r="O1310" s="16"/>
      <c r="P1310" s="16"/>
    </row>
    <row r="1311" ht="22.5" customHeight="1">
      <c r="A1311" s="138" t="s">
        <v>1155</v>
      </c>
      <c r="B1311" s="16" t="str">
        <f>IF(A1311="","",IFERROR(VLOOKUP(A1311, Stock_New!A:M, 2, FALSE),""))</f>
        <v>خزف</v>
      </c>
      <c r="C1311" s="236">
        <v>2.0</v>
      </c>
      <c r="D1311" s="16" t="str">
        <f>IF(A1311="","",IFERROR(VLOOKUP(A1311, Stock_New!A:M, 3, FALSE),""))</f>
        <v>شركة حسين علي</v>
      </c>
      <c r="E1311" s="16">
        <f>IF($A1311="", "", IFERROR(VLOOKUP($A1311, Stock_New!$A:$M, 6, FALSE), ""))</f>
        <v>15</v>
      </c>
      <c r="F1311" s="239">
        <v>20.0</v>
      </c>
      <c r="G1311" s="16"/>
      <c r="H1311" s="33">
        <v>40.0</v>
      </c>
      <c r="I1311" s="238">
        <v>46165.0</v>
      </c>
      <c r="J1311" s="5" t="s">
        <v>72</v>
      </c>
      <c r="K1311" s="5" t="s">
        <v>5395</v>
      </c>
      <c r="L1311" s="16"/>
      <c r="M1311" s="19"/>
      <c r="N1311" s="16"/>
      <c r="O1311" s="16"/>
      <c r="P1311" s="16"/>
    </row>
    <row r="1312" ht="22.5" customHeight="1">
      <c r="A1312" s="138" t="s">
        <v>635</v>
      </c>
      <c r="B1312" s="16" t="str">
        <f>IF(A1312="","",IFERROR(VLOOKUP(A1312, Stock_New!A:M, 2, FALSE),""))</f>
        <v>بوكيه</v>
      </c>
      <c r="C1312" s="236">
        <v>1.0</v>
      </c>
      <c r="D1312" s="16" t="str">
        <f>IF(A1312="","",IFERROR(VLOOKUP(A1312, Stock_New!A:M, 3, FALSE),""))</f>
        <v>شركة حسين علي</v>
      </c>
      <c r="E1312" s="16">
        <f>IF($A1312="", "", IFERROR(VLOOKUP($A1312, Stock_New!$A:$M, 6, FALSE), ""))</f>
        <v>90</v>
      </c>
      <c r="F1312" s="239">
        <v>90.0</v>
      </c>
      <c r="G1312" s="16"/>
      <c r="H1312" s="33">
        <v>90.0</v>
      </c>
      <c r="I1312" s="238">
        <v>46165.0</v>
      </c>
      <c r="J1312" s="5" t="s">
        <v>72</v>
      </c>
      <c r="K1312" s="5" t="s">
        <v>5396</v>
      </c>
      <c r="L1312" s="16"/>
      <c r="M1312" s="19"/>
      <c r="N1312" s="16"/>
      <c r="O1312" s="16"/>
      <c r="P1312" s="16"/>
    </row>
    <row r="1313" ht="22.5" customHeight="1">
      <c r="A1313" s="138" t="s">
        <v>693</v>
      </c>
      <c r="B1313" s="16" t="str">
        <f>IF(A1313="","",IFERROR(VLOOKUP(A1313, Stock_New!A:M, 2, FALSE),""))</f>
        <v>كهربائيات</v>
      </c>
      <c r="C1313" s="236">
        <v>1.0</v>
      </c>
      <c r="D1313" s="16" t="str">
        <f>IF(A1313="","",IFERROR(VLOOKUP(A1313, Stock_New!A:M, 3, FALSE),""))</f>
        <v>سنتر محمد رشدي</v>
      </c>
      <c r="E1313" s="16">
        <f>IF($A1313="", "", IFERROR(VLOOKUP($A1313, Stock_New!$A:$M, 6, FALSE), ""))</f>
        <v>192</v>
      </c>
      <c r="F1313" s="239">
        <v>200.0</v>
      </c>
      <c r="G1313" s="16"/>
      <c r="H1313" s="33">
        <v>200.0</v>
      </c>
      <c r="I1313" s="238">
        <v>46165.0</v>
      </c>
      <c r="J1313" s="5" t="s">
        <v>72</v>
      </c>
      <c r="K1313" s="5" t="s">
        <v>5397</v>
      </c>
      <c r="L1313" s="16"/>
      <c r="M1313" s="19"/>
      <c r="N1313" s="16"/>
      <c r="O1313" s="16"/>
      <c r="P1313" s="16"/>
    </row>
    <row r="1314" ht="22.5" customHeight="1">
      <c r="A1314" s="138" t="s">
        <v>1168</v>
      </c>
      <c r="B1314" s="16" t="str">
        <f>IF(A1314="","",IFERROR(VLOOKUP(A1314, Stock_New!A:M, 2, FALSE),""))</f>
        <v>اكسسوار/لعبة</v>
      </c>
      <c r="C1314" s="236">
        <v>2.0</v>
      </c>
      <c r="D1314" s="16" t="str">
        <f>IF(A1314="","",IFERROR(VLOOKUP(A1314, Stock_New!A:M, 3, FALSE),""))</f>
        <v>سنتر محمد رشدي</v>
      </c>
      <c r="E1314" s="16">
        <f>IF($A1314="", "", IFERROR(VLOOKUP($A1314, Stock_New!$A:$M, 6, FALSE), ""))</f>
        <v>48</v>
      </c>
      <c r="F1314" s="239">
        <v>55.0</v>
      </c>
      <c r="G1314" s="16"/>
      <c r="H1314" s="33">
        <v>110.0</v>
      </c>
      <c r="I1314" s="238">
        <v>46165.0</v>
      </c>
      <c r="J1314" s="5" t="s">
        <v>72</v>
      </c>
      <c r="K1314" s="5" t="s">
        <v>5398</v>
      </c>
      <c r="L1314" s="16"/>
      <c r="M1314" s="19"/>
      <c r="N1314" s="16"/>
      <c r="O1314" s="16"/>
      <c r="P1314" s="16"/>
    </row>
    <row r="1315" ht="22.5" customHeight="1">
      <c r="A1315" s="138" t="s">
        <v>879</v>
      </c>
      <c r="B1315" s="16" t="str">
        <f>IF(A1315="","",IFERROR(VLOOKUP(A1315, Stock_New!A:M, 2, FALSE),""))</f>
        <v>حجارة</v>
      </c>
      <c r="C1315" s="236">
        <v>2.0</v>
      </c>
      <c r="D1315" s="16" t="str">
        <f>IF(A1315="","",IFERROR(VLOOKUP(A1315, Stock_New!A:M, 3, FALSE),""))</f>
        <v/>
      </c>
      <c r="E1315" s="16">
        <f>IF($A1315="", "", IFERROR(VLOOKUP($A1315, Stock_New!$A:$M, 6, FALSE), ""))</f>
        <v>3.9</v>
      </c>
      <c r="F1315" s="239">
        <v>10.0</v>
      </c>
      <c r="G1315" s="16"/>
      <c r="H1315" s="33">
        <v>20.0</v>
      </c>
      <c r="I1315" s="238">
        <v>46165.0</v>
      </c>
      <c r="J1315" s="5" t="s">
        <v>72</v>
      </c>
      <c r="K1315" s="5" t="s">
        <v>5399</v>
      </c>
      <c r="L1315" s="16"/>
      <c r="M1315" s="19"/>
      <c r="N1315" s="16"/>
      <c r="O1315" s="16"/>
      <c r="P1315" s="16"/>
    </row>
    <row r="1316" ht="22.5" customHeight="1">
      <c r="A1316" s="138" t="s">
        <v>601</v>
      </c>
      <c r="B1316" s="16" t="str">
        <f>IF(A1316="","",IFERROR(VLOOKUP(A1316, Stock_New!A:M, 2, FALSE),""))</f>
        <v>مروحة</v>
      </c>
      <c r="C1316" s="236">
        <v>3.0</v>
      </c>
      <c r="D1316" s="16" t="str">
        <f>IF(A1316="","",IFERROR(VLOOKUP(A1316, Stock_New!A:M, 3, FALSE),""))</f>
        <v>سنتر محمد رشدي</v>
      </c>
      <c r="E1316" s="16">
        <f>IF($A1316="", "", IFERROR(VLOOKUP($A1316, Stock_New!$A:$M, 6, FALSE), ""))</f>
        <v>21.5</v>
      </c>
      <c r="F1316" s="239">
        <v>25.0</v>
      </c>
      <c r="G1316" s="16"/>
      <c r="H1316" s="33">
        <v>75.0</v>
      </c>
      <c r="I1316" s="238">
        <v>46165.0</v>
      </c>
      <c r="J1316" s="5" t="s">
        <v>72</v>
      </c>
      <c r="K1316" s="5" t="s">
        <v>5400</v>
      </c>
      <c r="L1316" s="16"/>
      <c r="M1316" s="19"/>
      <c r="N1316" s="16"/>
      <c r="O1316" s="16"/>
      <c r="P1316" s="16"/>
    </row>
    <row r="1317" ht="22.5" customHeight="1">
      <c r="A1317" s="138" t="s">
        <v>1006</v>
      </c>
      <c r="B1317" s="16" t="str">
        <f>IF(A1317="","",IFERROR(VLOOKUP(A1317, Stock_New!A:M, 2, FALSE),""))</f>
        <v>خزف</v>
      </c>
      <c r="C1317" s="236">
        <v>1.0</v>
      </c>
      <c r="D1317" s="16" t="str">
        <f>IF(A1317="","",IFERROR(VLOOKUP(A1317, Stock_New!A:M, 3, FALSE),""))</f>
        <v>شركة حسين علي</v>
      </c>
      <c r="E1317" s="16">
        <f>IF($A1317="", "", IFERROR(VLOOKUP($A1317, Stock_New!$A:$M, 6, FALSE), ""))</f>
        <v>144</v>
      </c>
      <c r="F1317" s="239">
        <v>160.0</v>
      </c>
      <c r="G1317" s="16"/>
      <c r="H1317" s="33">
        <v>160.0</v>
      </c>
      <c r="I1317" s="238">
        <v>46165.0</v>
      </c>
      <c r="J1317" s="5" t="s">
        <v>72</v>
      </c>
      <c r="K1317" s="5" t="s">
        <v>5401</v>
      </c>
      <c r="L1317" s="16"/>
      <c r="M1317" s="19"/>
      <c r="N1317" s="16"/>
      <c r="O1317" s="16"/>
      <c r="P1317" s="16"/>
    </row>
    <row r="1318" ht="22.5" customHeight="1">
      <c r="A1318" s="138" t="s">
        <v>898</v>
      </c>
      <c r="B1318" s="16" t="str">
        <f>IF(A1318="","",IFERROR(VLOOKUP(A1318, Stock_New!A:M, 2, FALSE),""))</f>
        <v/>
      </c>
      <c r="C1318" s="236">
        <v>3.0</v>
      </c>
      <c r="D1318" s="16" t="str">
        <f>IF(A1318="","",IFERROR(VLOOKUP(A1318, Stock_New!A:M, 3, FALSE),""))</f>
        <v/>
      </c>
      <c r="E1318" s="16" t="str">
        <f>IF($A1318="", "", IFERROR(VLOOKUP($A1318, Stock_New!$A:$M, 6, FALSE), ""))</f>
        <v/>
      </c>
      <c r="F1318" s="239">
        <v>20.0</v>
      </c>
      <c r="G1318" s="16"/>
      <c r="H1318" s="33">
        <v>60.0</v>
      </c>
      <c r="I1318" s="238">
        <v>46165.0</v>
      </c>
      <c r="J1318" s="5" t="s">
        <v>72</v>
      </c>
      <c r="K1318" s="5" t="s">
        <v>5402</v>
      </c>
      <c r="L1318" s="16"/>
      <c r="M1318" s="19"/>
      <c r="N1318" s="16"/>
      <c r="O1318" s="16"/>
      <c r="P1318" s="16"/>
    </row>
    <row r="1319" ht="22.5" customHeight="1">
      <c r="A1319" s="138" t="s">
        <v>601</v>
      </c>
      <c r="B1319" s="16" t="str">
        <f>IF(A1319="","",IFERROR(VLOOKUP(A1319, Stock_New!A:M, 2, FALSE),""))</f>
        <v>مروحة</v>
      </c>
      <c r="C1319" s="236">
        <v>1.0</v>
      </c>
      <c r="D1319" s="16" t="str">
        <f>IF(A1319="","",IFERROR(VLOOKUP(A1319, Stock_New!A:M, 3, FALSE),""))</f>
        <v>سنتر محمد رشدي</v>
      </c>
      <c r="E1319" s="16">
        <f>IF($A1319="", "", IFERROR(VLOOKUP($A1319, Stock_New!$A:$M, 6, FALSE), ""))</f>
        <v>21.5</v>
      </c>
      <c r="F1319" s="239">
        <v>25.0</v>
      </c>
      <c r="G1319" s="16"/>
      <c r="H1319" s="33">
        <v>25.0</v>
      </c>
      <c r="I1319" s="238">
        <v>46165.0</v>
      </c>
      <c r="J1319" s="5" t="s">
        <v>72</v>
      </c>
      <c r="K1319" s="5" t="s">
        <v>5403</v>
      </c>
      <c r="L1319" s="16"/>
      <c r="M1319" s="19"/>
      <c r="N1319" s="16"/>
      <c r="O1319" s="16"/>
      <c r="P1319" s="16"/>
    </row>
    <row r="1320" ht="22.5" customHeight="1">
      <c r="A1320" s="138" t="s">
        <v>287</v>
      </c>
      <c r="B1320" s="16" t="str">
        <f>IF(A1320="","",IFERROR(VLOOKUP(A1320, Stock_New!A:M, 2, FALSE),""))</f>
        <v>بوكيه</v>
      </c>
      <c r="C1320" s="236">
        <v>1.0</v>
      </c>
      <c r="D1320" s="16" t="str">
        <f>IF(A1320="","",IFERROR(VLOOKUP(A1320, Stock_New!A:M, 3, FALSE),""))</f>
        <v>ذكريا</v>
      </c>
      <c r="E1320" s="16">
        <f>IF($A1320="", "", IFERROR(VLOOKUP($A1320, Stock_New!$A:$M, 6, FALSE), ""))</f>
        <v>54</v>
      </c>
      <c r="F1320" s="239">
        <v>60.0</v>
      </c>
      <c r="G1320" s="16"/>
      <c r="H1320" s="33">
        <v>60.0</v>
      </c>
      <c r="I1320" s="238">
        <v>46165.0</v>
      </c>
      <c r="J1320" s="5" t="s">
        <v>72</v>
      </c>
      <c r="K1320" s="5" t="s">
        <v>5404</v>
      </c>
      <c r="L1320" s="16"/>
      <c r="M1320" s="19"/>
      <c r="N1320" s="16"/>
      <c r="O1320" s="16"/>
      <c r="P1320" s="16"/>
    </row>
    <row r="1321" ht="22.5" customHeight="1">
      <c r="A1321" s="138" t="s">
        <v>1123</v>
      </c>
      <c r="B1321" s="16" t="str">
        <f>IF(A1321="","",IFERROR(VLOOKUP(A1321, Stock_New!A:M, 2, FALSE),""))</f>
        <v>مباخر</v>
      </c>
      <c r="C1321" s="236">
        <v>1.0</v>
      </c>
      <c r="D1321" s="16" t="str">
        <f>IF(A1321="","",IFERROR(VLOOKUP(A1321, Stock_New!A:M, 3, FALSE),""))</f>
        <v>سنتر محمد رشدي</v>
      </c>
      <c r="E1321" s="16">
        <f>IF($A1321="", "", IFERROR(VLOOKUP($A1321, Stock_New!$A:$M, 6, FALSE), ""))</f>
        <v>114</v>
      </c>
      <c r="F1321" s="239">
        <v>100.0</v>
      </c>
      <c r="G1321" s="16"/>
      <c r="H1321" s="33">
        <v>100.0</v>
      </c>
      <c r="I1321" s="238">
        <v>46165.0</v>
      </c>
      <c r="J1321" s="5" t="s">
        <v>72</v>
      </c>
      <c r="K1321" s="5" t="s">
        <v>4104</v>
      </c>
      <c r="L1321" s="16"/>
      <c r="M1321" s="19"/>
      <c r="N1321" s="16"/>
      <c r="O1321" s="16"/>
      <c r="P1321" s="16"/>
    </row>
    <row r="1322" ht="22.5" customHeight="1">
      <c r="A1322" s="138" t="s">
        <v>946</v>
      </c>
      <c r="B1322" s="16" t="str">
        <f>IF(A1322="","",IFERROR(VLOOKUP(A1322, Stock_New!A:M, 2, FALSE),""))</f>
        <v>ورد لوحد</v>
      </c>
      <c r="C1322" s="236">
        <v>2.0</v>
      </c>
      <c r="D1322" s="16" t="str">
        <f>IF(A1322="","",IFERROR(VLOOKUP(A1322, Stock_New!A:M, 3, FALSE),""))</f>
        <v>شركة الفرسان</v>
      </c>
      <c r="E1322" s="16">
        <f>IF($A1322="", "", IFERROR(VLOOKUP($A1322, Stock_New!$A:$M, 6, FALSE), ""))</f>
        <v>90</v>
      </c>
      <c r="F1322" s="239">
        <v>125.0</v>
      </c>
      <c r="G1322" s="16"/>
      <c r="H1322" s="33">
        <v>250.0</v>
      </c>
      <c r="I1322" s="238">
        <v>46165.0</v>
      </c>
      <c r="J1322" s="5" t="s">
        <v>72</v>
      </c>
      <c r="K1322" s="5" t="s">
        <v>5405</v>
      </c>
      <c r="L1322" s="16"/>
      <c r="M1322" s="19"/>
      <c r="N1322" s="16"/>
      <c r="O1322" s="16"/>
      <c r="P1322" s="16"/>
    </row>
    <row r="1323" ht="22.5" customHeight="1">
      <c r="A1323" s="138" t="s">
        <v>250</v>
      </c>
      <c r="B1323" s="16" t="str">
        <f>IF(A1323="","",IFERROR(VLOOKUP(A1323, Stock_New!A:M, 2, FALSE),""))</f>
        <v>شجر</v>
      </c>
      <c r="C1323" s="236">
        <v>1.0</v>
      </c>
      <c r="D1323" s="16" t="str">
        <f>IF(A1323="","",IFERROR(VLOOKUP(A1323, Stock_New!A:M, 3, FALSE),""))</f>
        <v>ذكريا</v>
      </c>
      <c r="E1323" s="16">
        <f>IF($A1323="", "", IFERROR(VLOOKUP($A1323, Stock_New!$A:$M, 6, FALSE), ""))</f>
        <v>174</v>
      </c>
      <c r="F1323" s="239">
        <v>175.0</v>
      </c>
      <c r="G1323" s="16"/>
      <c r="H1323" s="33">
        <v>175.0</v>
      </c>
      <c r="I1323" s="238">
        <v>46165.0</v>
      </c>
      <c r="J1323" s="5" t="s">
        <v>72</v>
      </c>
      <c r="K1323" s="5" t="s">
        <v>5406</v>
      </c>
      <c r="L1323" s="16"/>
      <c r="M1323" s="19"/>
      <c r="N1323" s="16"/>
      <c r="O1323" s="16"/>
      <c r="P1323" s="16"/>
    </row>
    <row r="1324" ht="22.5" customHeight="1">
      <c r="A1324" s="138" t="s">
        <v>336</v>
      </c>
      <c r="B1324" s="16" t="str">
        <f>IF(A1324="","",IFERROR(VLOOKUP(A1324, Stock_New!A:M, 2, FALSE),""))</f>
        <v>بوتات</v>
      </c>
      <c r="C1324" s="236">
        <v>1.0</v>
      </c>
      <c r="D1324" s="16" t="str">
        <f>IF(A1324="","",IFERROR(VLOOKUP(A1324, Stock_New!A:M, 3, FALSE),""))</f>
        <v>شركة حسين علي</v>
      </c>
      <c r="E1324" s="16">
        <f>IF($A1324="", "", IFERROR(VLOOKUP($A1324, Stock_New!$A:$M, 6, FALSE), ""))</f>
        <v>120</v>
      </c>
      <c r="F1324" s="239">
        <v>150.0</v>
      </c>
      <c r="G1324" s="16"/>
      <c r="H1324" s="33">
        <v>150.0</v>
      </c>
      <c r="I1324" s="238">
        <v>46165.0</v>
      </c>
      <c r="J1324" s="5" t="s">
        <v>72</v>
      </c>
      <c r="K1324" s="5" t="s">
        <v>5407</v>
      </c>
      <c r="L1324" s="16"/>
      <c r="M1324" s="19"/>
      <c r="N1324" s="16"/>
      <c r="O1324" s="16"/>
      <c r="P1324" s="16"/>
    </row>
    <row r="1325" ht="22.5" customHeight="1">
      <c r="A1325" s="138" t="s">
        <v>933</v>
      </c>
      <c r="B1325" s="16" t="str">
        <f>IF(A1325="","",IFERROR(VLOOKUP(A1325, Stock_New!A:M, 2, FALSE),""))</f>
        <v>بوتات</v>
      </c>
      <c r="C1325" s="236">
        <v>1.0</v>
      </c>
      <c r="D1325" s="16" t="str">
        <f>IF(A1325="","",IFERROR(VLOOKUP(A1325, Stock_New!A:M, 3, FALSE),""))</f>
        <v>عبدالفتاح</v>
      </c>
      <c r="E1325" s="16">
        <f>IF($A1325="", "", IFERROR(VLOOKUP($A1325, Stock_New!$A:$M, 6, FALSE), ""))</f>
        <v>12</v>
      </c>
      <c r="F1325" s="239">
        <v>25.0</v>
      </c>
      <c r="G1325" s="16"/>
      <c r="H1325" s="33">
        <v>25.0</v>
      </c>
      <c r="I1325" s="238">
        <v>46165.0</v>
      </c>
      <c r="J1325" s="5" t="s">
        <v>72</v>
      </c>
      <c r="K1325" s="5" t="s">
        <v>5408</v>
      </c>
      <c r="L1325" s="16"/>
      <c r="M1325" s="19"/>
      <c r="N1325" s="16"/>
      <c r="O1325" s="16"/>
      <c r="P1325" s="16"/>
    </row>
    <row r="1326" ht="22.5" customHeight="1">
      <c r="A1326" s="138" t="s">
        <v>902</v>
      </c>
      <c r="B1326" s="16" t="str">
        <f>IF(A1326="","",IFERROR(VLOOKUP(A1326, Stock_New!A:M, 2, FALSE),""))</f>
        <v>خشب</v>
      </c>
      <c r="C1326" s="236">
        <v>1.0</v>
      </c>
      <c r="D1326" s="16" t="str">
        <f>IF(A1326="","",IFERROR(VLOOKUP(A1326, Stock_New!A:M, 3, FALSE),""))</f>
        <v>شركة حسين علي</v>
      </c>
      <c r="E1326" s="16">
        <f>IF($A1326="", "", IFERROR(VLOOKUP($A1326, Stock_New!$A:$M, 6, FALSE), ""))</f>
        <v>108.35</v>
      </c>
      <c r="F1326" s="239">
        <v>120.0</v>
      </c>
      <c r="G1326" s="16"/>
      <c r="H1326" s="33">
        <v>120.0</v>
      </c>
      <c r="I1326" s="238">
        <v>46165.0</v>
      </c>
      <c r="J1326" s="5" t="s">
        <v>72</v>
      </c>
      <c r="K1326" s="5" t="s">
        <v>5409</v>
      </c>
      <c r="L1326" s="16"/>
      <c r="M1326" s="19"/>
      <c r="N1326" s="16"/>
      <c r="O1326" s="16"/>
      <c r="P1326" s="16"/>
    </row>
    <row r="1327" ht="22.5" customHeight="1">
      <c r="A1327" s="138" t="s">
        <v>330</v>
      </c>
      <c r="B1327" s="16" t="str">
        <f>IF(A1327="","",IFERROR(VLOOKUP(A1327, Stock_New!A:M, 2, FALSE),""))</f>
        <v>بوكيه</v>
      </c>
      <c r="C1327" s="236">
        <v>2.0</v>
      </c>
      <c r="D1327" s="16" t="str">
        <f>IF(A1327="","",IFERROR(VLOOKUP(A1327, Stock_New!A:M, 3, FALSE),""))</f>
        <v>manufactured</v>
      </c>
      <c r="E1327" s="16">
        <f>IF($A1327="", "", IFERROR(VLOOKUP($A1327, Stock_New!$A:$M, 6, FALSE), ""))</f>
        <v>31</v>
      </c>
      <c r="F1327" s="239">
        <v>50.0</v>
      </c>
      <c r="G1327" s="16"/>
      <c r="H1327" s="33">
        <v>100.0</v>
      </c>
      <c r="I1327" s="238">
        <v>46165.0</v>
      </c>
      <c r="J1327" s="5" t="s">
        <v>72</v>
      </c>
      <c r="K1327" s="5" t="s">
        <v>5410</v>
      </c>
      <c r="L1327" s="16"/>
      <c r="M1327" s="19"/>
      <c r="N1327" s="16"/>
      <c r="O1327" s="16"/>
      <c r="P1327" s="16"/>
    </row>
    <row r="1328" ht="22.5" customHeight="1">
      <c r="A1328" s="138" t="s">
        <v>699</v>
      </c>
      <c r="B1328" s="16" t="str">
        <f>IF(A1328="","",IFERROR(VLOOKUP(A1328, Stock_New!A:M, 2, FALSE),""))</f>
        <v>بوكيه</v>
      </c>
      <c r="C1328" s="236">
        <v>2.0</v>
      </c>
      <c r="D1328" s="16" t="str">
        <f>IF(A1328="","",IFERROR(VLOOKUP(A1328, Stock_New!A:M, 3, FALSE),""))</f>
        <v>manufactured</v>
      </c>
      <c r="E1328" s="16">
        <f>IF($A1328="", "", IFERROR(VLOOKUP($A1328, Stock_New!$A:$M, 6, FALSE), ""))</f>
        <v>24</v>
      </c>
      <c r="F1328" s="239">
        <v>25.0</v>
      </c>
      <c r="G1328" s="16"/>
      <c r="H1328" s="33">
        <v>50.0</v>
      </c>
      <c r="I1328" s="238">
        <v>46165.0</v>
      </c>
      <c r="J1328" s="5" t="s">
        <v>72</v>
      </c>
      <c r="K1328" s="5" t="s">
        <v>5411</v>
      </c>
      <c r="L1328" s="16"/>
      <c r="M1328" s="19"/>
      <c r="N1328" s="16"/>
      <c r="O1328" s="16"/>
      <c r="P1328" s="16"/>
    </row>
    <row r="1329" ht="22.5" customHeight="1">
      <c r="A1329" s="138" t="s">
        <v>287</v>
      </c>
      <c r="B1329" s="16" t="str">
        <f>IF(A1329="","",IFERROR(VLOOKUP(A1329, Stock_New!A:M, 2, FALSE),""))</f>
        <v>بوكيه</v>
      </c>
      <c r="C1329" s="236">
        <v>2.0</v>
      </c>
      <c r="D1329" s="16" t="str">
        <f>IF(A1329="","",IFERROR(VLOOKUP(A1329, Stock_New!A:M, 3, FALSE),""))</f>
        <v>ذكريا</v>
      </c>
      <c r="E1329" s="16">
        <f>IF($A1329="", "", IFERROR(VLOOKUP($A1329, Stock_New!$A:$M, 6, FALSE), ""))</f>
        <v>54</v>
      </c>
      <c r="F1329" s="239">
        <v>60.0</v>
      </c>
      <c r="G1329" s="16"/>
      <c r="H1329" s="33">
        <v>120.0</v>
      </c>
      <c r="I1329" s="238">
        <v>46165.0</v>
      </c>
      <c r="J1329" s="5" t="s">
        <v>72</v>
      </c>
      <c r="K1329" s="5" t="s">
        <v>5412</v>
      </c>
      <c r="L1329" s="16"/>
      <c r="M1329" s="19"/>
      <c r="N1329" s="16"/>
      <c r="O1329" s="16"/>
      <c r="P1329" s="16"/>
    </row>
    <row r="1330" ht="22.5" customHeight="1">
      <c r="A1330" s="138" t="s">
        <v>186</v>
      </c>
      <c r="B1330" s="16" t="str">
        <f>IF(A1330="","",IFERROR(VLOOKUP(A1330, Stock_New!A:M, 2, FALSE),""))</f>
        <v>شجر</v>
      </c>
      <c r="C1330" s="236">
        <v>1.0</v>
      </c>
      <c r="D1330" s="16" t="str">
        <f>IF(A1330="","",IFERROR(VLOOKUP(A1330, Stock_New!A:M, 3, FALSE),""))</f>
        <v>ذكريا</v>
      </c>
      <c r="E1330" s="16">
        <f>IF($A1330="", "", IFERROR(VLOOKUP($A1330, Stock_New!$A:$M, 6, FALSE), ""))</f>
        <v>100.8</v>
      </c>
      <c r="F1330" s="239">
        <v>100.0</v>
      </c>
      <c r="G1330" s="16"/>
      <c r="H1330" s="33">
        <v>100.0</v>
      </c>
      <c r="I1330" s="238">
        <v>46165.0</v>
      </c>
      <c r="J1330" s="5" t="s">
        <v>72</v>
      </c>
      <c r="K1330" s="5" t="s">
        <v>5413</v>
      </c>
      <c r="L1330" s="16"/>
      <c r="M1330" s="19"/>
      <c r="N1330" s="16"/>
      <c r="O1330" s="16"/>
      <c r="P1330" s="16"/>
    </row>
    <row r="1331" ht="22.5" customHeight="1">
      <c r="A1331" s="138" t="s">
        <v>309</v>
      </c>
      <c r="B1331" s="16" t="str">
        <f>IF(A1331="","",IFERROR(VLOOKUP(A1331, Stock_New!A:M, 2, FALSE),""))</f>
        <v>بوتات</v>
      </c>
      <c r="C1331" s="236">
        <v>1.0</v>
      </c>
      <c r="D1331" s="16" t="str">
        <f>IF(A1331="","",IFERROR(VLOOKUP(A1331, Stock_New!A:M, 3, FALSE),""))</f>
        <v>شركة حسين علي</v>
      </c>
      <c r="E1331" s="16">
        <f>IF($A1331="", "", IFERROR(VLOOKUP($A1331, Stock_New!$A:$M, 6, FALSE), ""))</f>
        <v>24</v>
      </c>
      <c r="F1331" s="239">
        <v>50.0</v>
      </c>
      <c r="G1331" s="16"/>
      <c r="H1331" s="33">
        <v>50.0</v>
      </c>
      <c r="I1331" s="238">
        <v>46165.0</v>
      </c>
      <c r="J1331" s="5" t="s">
        <v>72</v>
      </c>
      <c r="K1331" s="5" t="s">
        <v>5414</v>
      </c>
      <c r="L1331" s="16"/>
      <c r="M1331" s="19"/>
      <c r="N1331" s="16"/>
      <c r="O1331" s="16"/>
      <c r="P1331" s="16"/>
    </row>
    <row r="1332" ht="22.5" customHeight="1">
      <c r="A1332" s="138" t="s">
        <v>144</v>
      </c>
      <c r="B1332" s="16" t="str">
        <f>IF(A1332="","",IFERROR(VLOOKUP(A1332, Stock_New!A:M, 2, FALSE),""))</f>
        <v>كهربائيات</v>
      </c>
      <c r="C1332" s="236">
        <v>2.0</v>
      </c>
      <c r="D1332" s="16" t="str">
        <f>IF(A1332="","",IFERROR(VLOOKUP(A1332, Stock_New!A:M, 3, FALSE),""))</f>
        <v>شركة البطل</v>
      </c>
      <c r="E1332" s="16">
        <f>IF($A1332="", "", IFERROR(VLOOKUP($A1332, Stock_New!$A:$M, 6, FALSE), ""))</f>
        <v>144</v>
      </c>
      <c r="F1332" s="239">
        <v>170.0</v>
      </c>
      <c r="G1332" s="16"/>
      <c r="H1332" s="33">
        <v>340.0</v>
      </c>
      <c r="I1332" s="238">
        <v>46165.0</v>
      </c>
      <c r="J1332" s="5" t="s">
        <v>72</v>
      </c>
      <c r="K1332" s="5" t="s">
        <v>5415</v>
      </c>
      <c r="L1332" s="16"/>
      <c r="M1332" s="19"/>
      <c r="N1332" s="16"/>
      <c r="O1332" s="16"/>
      <c r="P1332" s="16"/>
    </row>
    <row r="1333" ht="22.5" customHeight="1">
      <c r="A1333" s="138" t="s">
        <v>683</v>
      </c>
      <c r="B1333" s="16" t="str">
        <f>IF(A1333="","",IFERROR(VLOOKUP(A1333, Stock_New!A:M, 2, FALSE),""))</f>
        <v>كهربائيات</v>
      </c>
      <c r="C1333" s="236">
        <v>1.0</v>
      </c>
      <c r="D1333" s="16" t="str">
        <f>IF(A1333="","",IFERROR(VLOOKUP(A1333, Stock_New!A:M, 3, FALSE),""))</f>
        <v>سنتر محمد رشدي</v>
      </c>
      <c r="E1333" s="16">
        <f>IF($A1333="", "", IFERROR(VLOOKUP($A1333, Stock_New!$A:$M, 6, FALSE), ""))</f>
        <v>192</v>
      </c>
      <c r="F1333" s="239">
        <v>195.0</v>
      </c>
      <c r="G1333" s="16"/>
      <c r="H1333" s="33">
        <v>195.0</v>
      </c>
      <c r="I1333" s="238">
        <v>46165.0</v>
      </c>
      <c r="J1333" s="5" t="s">
        <v>72</v>
      </c>
      <c r="K1333" s="5" t="s">
        <v>5416</v>
      </c>
      <c r="L1333" s="16"/>
      <c r="M1333" s="19"/>
      <c r="N1333" s="16"/>
      <c r="O1333" s="16"/>
      <c r="P1333" s="16"/>
    </row>
    <row r="1334" ht="22.5" customHeight="1">
      <c r="A1334" s="138" t="s">
        <v>482</v>
      </c>
      <c r="B1334" s="16" t="str">
        <f>IF(A1334="","",IFERROR(VLOOKUP(A1334, Stock_New!A:M, 2, FALSE),""))</f>
        <v>كريستال</v>
      </c>
      <c r="C1334" s="236">
        <v>1.0</v>
      </c>
      <c r="D1334" s="16" t="str">
        <f>IF(A1334="","",IFERROR(VLOOKUP(A1334, Stock_New!A:M, 3, FALSE),""))</f>
        <v>شركة علاء شاكر</v>
      </c>
      <c r="E1334" s="16">
        <f>IF($A1334="", "", IFERROR(VLOOKUP($A1334, Stock_New!$A:$M, 6, FALSE), ""))</f>
        <v>240</v>
      </c>
      <c r="F1334" s="239">
        <v>250.0</v>
      </c>
      <c r="G1334" s="16"/>
      <c r="H1334" s="33">
        <v>250.0</v>
      </c>
      <c r="I1334" s="238">
        <v>46165.0</v>
      </c>
      <c r="J1334" s="5" t="s">
        <v>72</v>
      </c>
      <c r="K1334" s="5" t="s">
        <v>5417</v>
      </c>
      <c r="L1334" s="16"/>
      <c r="M1334" s="19"/>
      <c r="N1334" s="16"/>
      <c r="O1334" s="16"/>
      <c r="P1334" s="16"/>
    </row>
    <row r="1335" ht="22.5" customHeight="1">
      <c r="A1335" s="138" t="s">
        <v>920</v>
      </c>
      <c r="B1335" s="16" t="str">
        <f>IF(A1335="","",IFERROR(VLOOKUP(A1335, Stock_New!A:M, 2, FALSE),""))</f>
        <v>ديكور مكتب</v>
      </c>
      <c r="C1335" s="236">
        <v>1.0</v>
      </c>
      <c r="D1335" s="16" t="str">
        <f>IF(A1335="","",IFERROR(VLOOKUP(A1335, Stock_New!A:M, 3, FALSE),""))</f>
        <v>شركة علاء شاكر</v>
      </c>
      <c r="E1335" s="16">
        <f>IF($A1335="", "", IFERROR(VLOOKUP($A1335, Stock_New!$A:$M, 6, FALSE), ""))</f>
        <v>156</v>
      </c>
      <c r="F1335" s="239">
        <v>195.0</v>
      </c>
      <c r="G1335" s="16"/>
      <c r="H1335" s="33">
        <v>195.0</v>
      </c>
      <c r="I1335" s="238">
        <v>46165.0</v>
      </c>
      <c r="J1335" s="5" t="s">
        <v>72</v>
      </c>
      <c r="K1335" s="5" t="s">
        <v>5418</v>
      </c>
      <c r="L1335" s="16"/>
      <c r="M1335" s="19"/>
      <c r="N1335" s="16"/>
      <c r="O1335" s="16"/>
      <c r="P1335" s="16"/>
    </row>
    <row r="1336" ht="22.5" customHeight="1">
      <c r="A1336" s="138" t="s">
        <v>1006</v>
      </c>
      <c r="B1336" s="16" t="str">
        <f>IF(A1336="","",IFERROR(VLOOKUP(A1336, Stock_New!A:M, 2, FALSE),""))</f>
        <v>خزف</v>
      </c>
      <c r="C1336" s="236">
        <v>1.0</v>
      </c>
      <c r="D1336" s="16" t="str">
        <f>IF(A1336="","",IFERROR(VLOOKUP(A1336, Stock_New!A:M, 3, FALSE),""))</f>
        <v>شركة حسين علي</v>
      </c>
      <c r="E1336" s="16">
        <f>IF($A1336="", "", IFERROR(VLOOKUP($A1336, Stock_New!$A:$M, 6, FALSE), ""))</f>
        <v>144</v>
      </c>
      <c r="F1336" s="239">
        <v>160.0</v>
      </c>
      <c r="G1336" s="16"/>
      <c r="H1336" s="33">
        <v>160.0</v>
      </c>
      <c r="I1336" s="238">
        <v>46165.0</v>
      </c>
      <c r="J1336" s="5" t="s">
        <v>72</v>
      </c>
      <c r="K1336" s="5" t="s">
        <v>5419</v>
      </c>
      <c r="L1336" s="16"/>
      <c r="M1336" s="19"/>
      <c r="N1336" s="16"/>
      <c r="O1336" s="16"/>
      <c r="P1336" s="16"/>
    </row>
    <row r="1337" ht="22.5" customHeight="1">
      <c r="A1337" s="138" t="s">
        <v>898</v>
      </c>
      <c r="B1337" s="16" t="str">
        <f>IF(A1337="","",IFERROR(VLOOKUP(A1337, Stock_New!A:M, 2, FALSE),""))</f>
        <v/>
      </c>
      <c r="C1337" s="236">
        <v>3.0</v>
      </c>
      <c r="D1337" s="16" t="str">
        <f>IF(A1337="","",IFERROR(VLOOKUP(A1337, Stock_New!A:M, 3, FALSE),""))</f>
        <v/>
      </c>
      <c r="E1337" s="16" t="str">
        <f>IF($A1337="", "", IFERROR(VLOOKUP($A1337, Stock_New!$A:$M, 6, FALSE), ""))</f>
        <v/>
      </c>
      <c r="F1337" s="239">
        <v>20.0</v>
      </c>
      <c r="G1337" s="16"/>
      <c r="H1337" s="33">
        <v>60.0</v>
      </c>
      <c r="I1337" s="238">
        <v>46165.0</v>
      </c>
      <c r="J1337" s="5" t="s">
        <v>72</v>
      </c>
      <c r="K1337" s="5" t="s">
        <v>5420</v>
      </c>
      <c r="L1337" s="16"/>
      <c r="M1337" s="19"/>
      <c r="N1337" s="16"/>
      <c r="O1337" s="16"/>
      <c r="P1337" s="16"/>
    </row>
    <row r="1338" ht="22.5" customHeight="1">
      <c r="A1338" s="138" t="s">
        <v>930</v>
      </c>
      <c r="B1338" s="16" t="str">
        <f>IF(A1338="","",IFERROR(VLOOKUP(A1338, Stock_New!A:M, 2, FALSE),""))</f>
        <v>براويز</v>
      </c>
      <c r="C1338" s="236">
        <v>2.0</v>
      </c>
      <c r="D1338" s="16" t="str">
        <f>IF(A1338="","",IFERROR(VLOOKUP(A1338, Stock_New!A:M, 3, FALSE),""))</f>
        <v>شركة الفرسان للاستيراد والتصدير</v>
      </c>
      <c r="E1338" s="16">
        <f>IF($A1338="", "", IFERROR(VLOOKUP($A1338, Stock_New!$A:$M, 6, FALSE), ""))</f>
        <v>108</v>
      </c>
      <c r="F1338" s="239">
        <v>140.0</v>
      </c>
      <c r="G1338" s="16"/>
      <c r="H1338" s="33">
        <v>280.0</v>
      </c>
      <c r="I1338" s="238">
        <v>46165.0</v>
      </c>
      <c r="J1338" s="5" t="s">
        <v>72</v>
      </c>
      <c r="K1338" s="5" t="s">
        <v>4108</v>
      </c>
      <c r="L1338" s="16"/>
      <c r="M1338" s="19"/>
      <c r="N1338" s="16"/>
      <c r="O1338" s="16"/>
      <c r="P1338" s="16"/>
    </row>
    <row r="1339" ht="22.5" customHeight="1">
      <c r="A1339" s="138" t="s">
        <v>1151</v>
      </c>
      <c r="B1339" s="16" t="str">
        <f>IF(A1339="","",IFERROR(VLOOKUP(A1339, Stock_New!A:M, 2, FALSE),""))</f>
        <v>شجر</v>
      </c>
      <c r="C1339" s="236">
        <v>1.0</v>
      </c>
      <c r="D1339" s="16" t="str">
        <f>IF(A1339="","",IFERROR(VLOOKUP(A1339, Stock_New!A:M, 3, FALSE),""))</f>
        <v>عبدالفتاح</v>
      </c>
      <c r="E1339" s="16">
        <f>IF($A1339="", "", IFERROR(VLOOKUP($A1339, Stock_New!$A:$M, 6, FALSE), ""))</f>
        <v>108</v>
      </c>
      <c r="F1339" s="239">
        <v>200.0</v>
      </c>
      <c r="G1339" s="16"/>
      <c r="H1339" s="33">
        <v>200.0</v>
      </c>
      <c r="I1339" s="238">
        <v>46165.0</v>
      </c>
      <c r="J1339" s="5" t="s">
        <v>72</v>
      </c>
      <c r="K1339" s="5" t="s">
        <v>5421</v>
      </c>
      <c r="L1339" s="16"/>
      <c r="M1339" s="19"/>
      <c r="N1339" s="16"/>
      <c r="O1339" s="16"/>
      <c r="P1339" s="16"/>
    </row>
    <row r="1340" ht="22.5" customHeight="1">
      <c r="A1340" s="138" t="s">
        <v>336</v>
      </c>
      <c r="B1340" s="16" t="str">
        <f>IF(A1340="","",IFERROR(VLOOKUP(A1340, Stock_New!A:M, 2, FALSE),""))</f>
        <v>بوتات</v>
      </c>
      <c r="C1340" s="236">
        <v>1.0</v>
      </c>
      <c r="D1340" s="16" t="str">
        <f>IF(A1340="","",IFERROR(VLOOKUP(A1340, Stock_New!A:M, 3, FALSE),""))</f>
        <v>شركة حسين علي</v>
      </c>
      <c r="E1340" s="16">
        <f>IF($A1340="", "", IFERROR(VLOOKUP($A1340, Stock_New!$A:$M, 6, FALSE), ""))</f>
        <v>120</v>
      </c>
      <c r="F1340" s="239">
        <v>150.0</v>
      </c>
      <c r="G1340" s="16"/>
      <c r="H1340" s="33">
        <v>150.0</v>
      </c>
      <c r="I1340" s="238">
        <v>46165.0</v>
      </c>
      <c r="J1340" s="5" t="s">
        <v>72</v>
      </c>
      <c r="K1340" s="5" t="s">
        <v>5422</v>
      </c>
      <c r="L1340" s="16"/>
      <c r="M1340" s="19"/>
      <c r="N1340" s="16"/>
      <c r="O1340" s="16"/>
      <c r="P1340" s="16"/>
    </row>
    <row r="1341" ht="22.5" customHeight="1">
      <c r="A1341" s="138" t="s">
        <v>933</v>
      </c>
      <c r="B1341" s="16" t="str">
        <f>IF(A1341="","",IFERROR(VLOOKUP(A1341, Stock_New!A:M, 2, FALSE),""))</f>
        <v>بوتات</v>
      </c>
      <c r="C1341" s="236">
        <v>1.0</v>
      </c>
      <c r="D1341" s="16" t="str">
        <f>IF(A1341="","",IFERROR(VLOOKUP(A1341, Stock_New!A:M, 3, FALSE),""))</f>
        <v>عبدالفتاح</v>
      </c>
      <c r="E1341" s="16">
        <f>IF($A1341="", "", IFERROR(VLOOKUP($A1341, Stock_New!$A:$M, 6, FALSE), ""))</f>
        <v>12</v>
      </c>
      <c r="F1341" s="239">
        <v>50.0</v>
      </c>
      <c r="G1341" s="16"/>
      <c r="H1341" s="33">
        <v>50.0</v>
      </c>
      <c r="I1341" s="238">
        <v>46165.0</v>
      </c>
      <c r="J1341" s="5" t="s">
        <v>72</v>
      </c>
      <c r="K1341" s="5" t="s">
        <v>5423</v>
      </c>
      <c r="L1341" s="16"/>
      <c r="M1341" s="19"/>
      <c r="N1341" s="16"/>
      <c r="O1341" s="16"/>
      <c r="P1341" s="16"/>
    </row>
    <row r="1342" ht="22.5" customHeight="1">
      <c r="A1342" s="138" t="s">
        <v>712</v>
      </c>
      <c r="B1342" s="16" t="str">
        <f>IF(A1342="","",IFERROR(VLOOKUP(A1342, Stock_New!A:M, 2, FALSE),""))</f>
        <v>ورد مجفف</v>
      </c>
      <c r="C1342" s="236">
        <v>1.0</v>
      </c>
      <c r="D1342" s="16" t="str">
        <f>IF(A1342="","",IFERROR(VLOOKUP(A1342, Stock_New!A:M, 3, FALSE),""))</f>
        <v>manufactured</v>
      </c>
      <c r="E1342" s="16">
        <f>IF($A1342="", "", IFERROR(VLOOKUP($A1342, Stock_New!$A:$M, 6, FALSE), ""))</f>
        <v>8.4</v>
      </c>
      <c r="F1342" s="239">
        <v>20.0</v>
      </c>
      <c r="G1342" s="16"/>
      <c r="H1342" s="33">
        <v>20.0</v>
      </c>
      <c r="I1342" s="238">
        <v>46165.0</v>
      </c>
      <c r="J1342" s="5" t="s">
        <v>72</v>
      </c>
      <c r="K1342" s="5" t="s">
        <v>5424</v>
      </c>
      <c r="L1342" s="16"/>
      <c r="M1342" s="19"/>
      <c r="N1342" s="16"/>
      <c r="O1342" s="16"/>
      <c r="P1342" s="16"/>
    </row>
    <row r="1343" ht="22.5" customHeight="1">
      <c r="A1343" s="138" t="s">
        <v>792</v>
      </c>
      <c r="B1343" s="16" t="str">
        <f>IF(A1343="","",IFERROR(VLOOKUP(A1343, Stock_New!A:M, 2, FALSE),""))</f>
        <v>بلاستيك</v>
      </c>
      <c r="C1343" s="236">
        <v>1.0</v>
      </c>
      <c r="D1343" s="16" t="str">
        <f>IF(A1343="","",IFERROR(VLOOKUP(A1343, Stock_New!A:M, 3, FALSE),""))</f>
        <v>شركة حسين علي</v>
      </c>
      <c r="E1343" s="16">
        <f>IF($A1343="", "", IFERROR(VLOOKUP($A1343, Stock_New!$A:$M, 6, FALSE), ""))</f>
        <v>54</v>
      </c>
      <c r="F1343" s="239">
        <v>70.0</v>
      </c>
      <c r="G1343" s="16"/>
      <c r="H1343" s="33">
        <v>70.0</v>
      </c>
      <c r="I1343" s="238">
        <v>46165.0</v>
      </c>
      <c r="J1343" s="5" t="s">
        <v>72</v>
      </c>
      <c r="K1343" s="5" t="s">
        <v>5425</v>
      </c>
      <c r="L1343" s="16"/>
      <c r="M1343" s="19"/>
      <c r="N1343" s="16"/>
      <c r="O1343" s="16"/>
      <c r="P1343" s="16"/>
    </row>
    <row r="1344" ht="22.5" customHeight="1">
      <c r="A1344" s="138" t="s">
        <v>482</v>
      </c>
      <c r="B1344" s="16" t="str">
        <f>IF(A1344="","",IFERROR(VLOOKUP(A1344, Stock_New!A:M, 2, FALSE),""))</f>
        <v>كريستال</v>
      </c>
      <c r="C1344" s="236">
        <v>1.0</v>
      </c>
      <c r="D1344" s="16" t="str">
        <f>IF(A1344="","",IFERROR(VLOOKUP(A1344, Stock_New!A:M, 3, FALSE),""))</f>
        <v>شركة علاء شاكر</v>
      </c>
      <c r="E1344" s="16">
        <f>IF($A1344="", "", IFERROR(VLOOKUP($A1344, Stock_New!$A:$M, 6, FALSE), ""))</f>
        <v>240</v>
      </c>
      <c r="F1344" s="239">
        <v>250.0</v>
      </c>
      <c r="G1344" s="16"/>
      <c r="H1344" s="33">
        <v>250.0</v>
      </c>
      <c r="I1344" s="238">
        <v>46165.0</v>
      </c>
      <c r="J1344" s="5" t="s">
        <v>72</v>
      </c>
      <c r="K1344" s="5" t="s">
        <v>5426</v>
      </c>
      <c r="L1344" s="16"/>
      <c r="M1344" s="19"/>
      <c r="N1344" s="16"/>
      <c r="O1344" s="16"/>
      <c r="P1344" s="16"/>
    </row>
    <row r="1345" ht="22.5" customHeight="1">
      <c r="A1345" s="138" t="s">
        <v>596</v>
      </c>
      <c r="B1345" s="16" t="str">
        <f>IF(A1345="","",IFERROR(VLOOKUP(A1345, Stock_New!A:M, 2, FALSE),""))</f>
        <v>مروحة</v>
      </c>
      <c r="C1345" s="236">
        <v>1.0</v>
      </c>
      <c r="D1345" s="16" t="str">
        <f>IF(A1345="","",IFERROR(VLOOKUP(A1345, Stock_New!A:M, 3, FALSE),""))</f>
        <v>سنتر محمد رشدي</v>
      </c>
      <c r="E1345" s="16">
        <f>IF($A1345="", "", IFERROR(VLOOKUP($A1345, Stock_New!$A:$M, 6, FALSE), ""))</f>
        <v>21.5</v>
      </c>
      <c r="F1345" s="239">
        <v>25.0</v>
      </c>
      <c r="G1345" s="16"/>
      <c r="H1345" s="33">
        <v>25.0</v>
      </c>
      <c r="I1345" s="238">
        <v>46165.0</v>
      </c>
      <c r="J1345" s="5" t="s">
        <v>72</v>
      </c>
      <c r="K1345" s="5" t="s">
        <v>5427</v>
      </c>
      <c r="L1345" s="16"/>
      <c r="M1345" s="19"/>
      <c r="N1345" s="16"/>
      <c r="O1345" s="16"/>
      <c r="P1345" s="16"/>
    </row>
    <row r="1346" ht="22.5" customHeight="1">
      <c r="A1346" s="138" t="s">
        <v>1063</v>
      </c>
      <c r="B1346" s="16" t="str">
        <f>IF(A1346="","",IFERROR(VLOOKUP(A1346, Stock_New!A:M, 2, FALSE),""))</f>
        <v>سلة ديكور</v>
      </c>
      <c r="C1346" s="236">
        <v>1.0</v>
      </c>
      <c r="D1346" s="16" t="str">
        <f>IF(A1346="","",IFERROR(VLOOKUP(A1346, Stock_New!A:M, 3, FALSE),""))</f>
        <v>سنتر محمد رشدي</v>
      </c>
      <c r="E1346" s="16">
        <f>IF($A1346="", "", IFERROR(VLOOKUP($A1346, Stock_New!$A:$M, 6, FALSE), ""))</f>
        <v>129.6</v>
      </c>
      <c r="F1346" s="239">
        <v>150.0</v>
      </c>
      <c r="G1346" s="16"/>
      <c r="H1346" s="33">
        <v>150.0</v>
      </c>
      <c r="I1346" s="238">
        <v>46166.0</v>
      </c>
      <c r="J1346" s="5" t="s">
        <v>72</v>
      </c>
      <c r="K1346" s="5" t="s">
        <v>5428</v>
      </c>
      <c r="L1346" s="16"/>
      <c r="M1346" s="19"/>
      <c r="N1346" s="16"/>
      <c r="O1346" s="16"/>
      <c r="P1346" s="16"/>
    </row>
    <row r="1347" ht="22.5" customHeight="1">
      <c r="A1347" s="138" t="s">
        <v>596</v>
      </c>
      <c r="B1347" s="16" t="str">
        <f>IF(A1347="","",IFERROR(VLOOKUP(A1347, Stock_New!A:M, 2, FALSE),""))</f>
        <v>مروحة</v>
      </c>
      <c r="C1347" s="236">
        <v>1.0</v>
      </c>
      <c r="D1347" s="16" t="str">
        <f>IF(A1347="","",IFERROR(VLOOKUP(A1347, Stock_New!A:M, 3, FALSE),""))</f>
        <v>سنتر محمد رشدي</v>
      </c>
      <c r="E1347" s="16">
        <f>IF($A1347="", "", IFERROR(VLOOKUP($A1347, Stock_New!$A:$M, 6, FALSE), ""))</f>
        <v>21.5</v>
      </c>
      <c r="F1347" s="239">
        <v>30.0</v>
      </c>
      <c r="G1347" s="16"/>
      <c r="H1347" s="33">
        <v>30.0</v>
      </c>
      <c r="I1347" s="238">
        <v>46166.0</v>
      </c>
      <c r="J1347" s="5" t="s">
        <v>72</v>
      </c>
      <c r="K1347" s="5" t="s">
        <v>5429</v>
      </c>
      <c r="L1347" s="16"/>
      <c r="M1347" s="19"/>
      <c r="N1347" s="16"/>
      <c r="O1347" s="16"/>
      <c r="P1347" s="16"/>
    </row>
    <row r="1348" ht="22.5" customHeight="1">
      <c r="A1348" s="138" t="s">
        <v>222</v>
      </c>
      <c r="B1348" s="16" t="str">
        <f>IF(A1348="","",IFERROR(VLOOKUP(A1348, Stock_New!A:M, 2, FALSE),""))</f>
        <v>نافورة ديكور</v>
      </c>
      <c r="C1348" s="236">
        <v>1.0</v>
      </c>
      <c r="D1348" s="16" t="str">
        <f>IF(A1348="","",IFERROR(VLOOKUP(A1348, Stock_New!A:M, 3, FALSE),""))</f>
        <v>سنتر محمد رشدي</v>
      </c>
      <c r="E1348" s="16">
        <f>IF($A1348="", "", IFERROR(VLOOKUP($A1348, Stock_New!$A:$M, 6, FALSE), ""))</f>
        <v>405.6</v>
      </c>
      <c r="F1348" s="239">
        <v>500.0</v>
      </c>
      <c r="G1348" s="16"/>
      <c r="H1348" s="33">
        <v>500.0</v>
      </c>
      <c r="I1348" s="238">
        <v>46166.0</v>
      </c>
      <c r="J1348" s="5" t="s">
        <v>72</v>
      </c>
      <c r="K1348" s="5" t="s">
        <v>4116</v>
      </c>
      <c r="L1348" s="16"/>
      <c r="M1348" s="19"/>
      <c r="N1348" s="16"/>
      <c r="O1348" s="16"/>
      <c r="P1348" s="16"/>
    </row>
    <row r="1349" ht="22.5" customHeight="1">
      <c r="A1349" s="138" t="s">
        <v>306</v>
      </c>
      <c r="B1349" s="16" t="str">
        <f>IF(A1349="","",IFERROR(VLOOKUP(A1349, Stock_New!A:M, 2, FALSE),""))</f>
        <v>ورد لوحدة</v>
      </c>
      <c r="C1349" s="236">
        <v>2.0</v>
      </c>
      <c r="D1349" s="16" t="str">
        <f>IF(A1349="","",IFERROR(VLOOKUP(A1349, Stock_New!A:M, 3, FALSE),""))</f>
        <v>شركة الفرسان</v>
      </c>
      <c r="E1349" s="16">
        <f>IF($A1349="", "", IFERROR(VLOOKUP($A1349, Stock_New!$A:$M, 6, FALSE), ""))</f>
        <v>11</v>
      </c>
      <c r="F1349" s="239">
        <v>25.0</v>
      </c>
      <c r="G1349" s="16"/>
      <c r="H1349" s="33">
        <v>50.0</v>
      </c>
      <c r="I1349" s="238">
        <v>46166.0</v>
      </c>
      <c r="J1349" s="5" t="s">
        <v>72</v>
      </c>
      <c r="K1349" s="5" t="s">
        <v>4120</v>
      </c>
      <c r="L1349" s="16"/>
      <c r="M1349" s="19"/>
      <c r="N1349" s="16"/>
      <c r="O1349" s="16"/>
      <c r="P1349" s="16"/>
    </row>
    <row r="1350" ht="22.5" customHeight="1">
      <c r="A1350" s="138" t="s">
        <v>1156</v>
      </c>
      <c r="B1350" s="16" t="str">
        <f>IF(A1350="","",IFERROR(VLOOKUP(A1350, Stock_New!A:M, 2, FALSE),""))</f>
        <v>بوكيه</v>
      </c>
      <c r="C1350" s="236">
        <v>3.0</v>
      </c>
      <c r="D1350" s="16" t="str">
        <f>IF(A1350="","",IFERROR(VLOOKUP(A1350, Stock_New!A:M, 3, FALSE),""))</f>
        <v>manufactured</v>
      </c>
      <c r="E1350" s="16">
        <f>IF($A1350="", "", IFERROR(VLOOKUP($A1350, Stock_New!$A:$M, 6, FALSE), ""))</f>
        <v>15</v>
      </c>
      <c r="F1350" s="239">
        <v>25.0</v>
      </c>
      <c r="G1350" s="16"/>
      <c r="H1350" s="33">
        <v>75.0</v>
      </c>
      <c r="I1350" s="238">
        <v>46166.0</v>
      </c>
      <c r="J1350" s="5" t="s">
        <v>72</v>
      </c>
      <c r="K1350" s="5" t="s">
        <v>4122</v>
      </c>
      <c r="L1350" s="16"/>
      <c r="M1350" s="19"/>
      <c r="N1350" s="16"/>
      <c r="O1350" s="16"/>
      <c r="P1350" s="16"/>
    </row>
    <row r="1351" ht="22.5" customHeight="1">
      <c r="A1351" s="138" t="s">
        <v>902</v>
      </c>
      <c r="B1351" s="16" t="str">
        <f>IF(A1351="","",IFERROR(VLOOKUP(A1351, Stock_New!A:M, 2, FALSE),""))</f>
        <v>خشب</v>
      </c>
      <c r="C1351" s="236">
        <v>1.0</v>
      </c>
      <c r="D1351" s="16" t="str">
        <f>IF(A1351="","",IFERROR(VLOOKUP(A1351, Stock_New!A:M, 3, FALSE),""))</f>
        <v>شركة حسين علي</v>
      </c>
      <c r="E1351" s="16">
        <f>IF($A1351="", "", IFERROR(VLOOKUP($A1351, Stock_New!$A:$M, 6, FALSE), ""))</f>
        <v>108.35</v>
      </c>
      <c r="F1351" s="239">
        <v>130.0</v>
      </c>
      <c r="G1351" s="16"/>
      <c r="H1351" s="33">
        <v>130.0</v>
      </c>
      <c r="I1351" s="238">
        <v>46166.0</v>
      </c>
      <c r="J1351" s="5" t="s">
        <v>72</v>
      </c>
      <c r="K1351" s="5" t="s">
        <v>4123</v>
      </c>
      <c r="L1351" s="16"/>
      <c r="M1351" s="19"/>
      <c r="N1351" s="16"/>
      <c r="O1351" s="16"/>
      <c r="P1351" s="16"/>
    </row>
    <row r="1352" ht="22.5" customHeight="1">
      <c r="A1352" s="138" t="s">
        <v>29</v>
      </c>
      <c r="B1352" s="16" t="str">
        <f>IF(A1352="","",IFERROR(VLOOKUP(A1352, Stock_New!A:M, 2, FALSE),""))</f>
        <v>شجر صناعي</v>
      </c>
      <c r="C1352" s="236">
        <v>1.0</v>
      </c>
      <c r="D1352" s="16" t="str">
        <f>IF(A1352="","",IFERROR(VLOOKUP(A1352, Stock_New!A:M, 3, FALSE),""))</f>
        <v>manufactured</v>
      </c>
      <c r="E1352" s="16">
        <f>IF($A1352="", "", IFERROR(VLOOKUP($A1352, Stock_New!$A:$M, 6, FALSE), ""))</f>
        <v>124.5</v>
      </c>
      <c r="F1352" s="239">
        <v>200.0</v>
      </c>
      <c r="G1352" s="16"/>
      <c r="H1352" s="33">
        <v>200.0</v>
      </c>
      <c r="I1352" s="238">
        <v>46166.0</v>
      </c>
      <c r="J1352" s="5" t="s">
        <v>72</v>
      </c>
      <c r="K1352" s="5" t="s">
        <v>4322</v>
      </c>
      <c r="L1352" s="16"/>
      <c r="M1352" s="19"/>
      <c r="N1352" s="16"/>
      <c r="O1352" s="16"/>
      <c r="P1352" s="16"/>
    </row>
    <row r="1353" ht="22.5" customHeight="1">
      <c r="A1353" s="138" t="s">
        <v>91</v>
      </c>
      <c r="B1353" s="16" t="str">
        <f>IF(A1353="","",IFERROR(VLOOKUP(A1353, Stock_New!A:M, 2, FALSE),""))</f>
        <v>بوتات</v>
      </c>
      <c r="C1353" s="236">
        <v>1.0</v>
      </c>
      <c r="D1353" s="16" t="str">
        <f>IF(A1353="","",IFERROR(VLOOKUP(A1353, Stock_New!A:M, 3, FALSE),""))</f>
        <v>عبدالفتاح</v>
      </c>
      <c r="E1353" s="16">
        <f>IF($A1353="", "", IFERROR(VLOOKUP($A1353, Stock_New!$A:$M, 6, FALSE), ""))</f>
        <v>42</v>
      </c>
      <c r="F1353" s="239">
        <v>50.0</v>
      </c>
      <c r="G1353" s="16"/>
      <c r="H1353" s="33">
        <v>50.0</v>
      </c>
      <c r="I1353" s="238">
        <v>46166.0</v>
      </c>
      <c r="J1353" s="5" t="s">
        <v>72</v>
      </c>
      <c r="K1353" s="5" t="s">
        <v>4124</v>
      </c>
      <c r="L1353" s="16"/>
      <c r="M1353" s="19"/>
      <c r="N1353" s="16"/>
      <c r="O1353" s="16"/>
      <c r="P1353" s="16"/>
    </row>
    <row r="1354" ht="22.5" customHeight="1">
      <c r="A1354" s="90" t="s">
        <v>693</v>
      </c>
      <c r="B1354" s="16" t="str">
        <f>IF(A1354="","",IFERROR(VLOOKUP(A1354, Stock_New!A:M, 2, FALSE),""))</f>
        <v>كهربائيات</v>
      </c>
      <c r="C1354" s="236">
        <v>1.0</v>
      </c>
      <c r="D1354" s="16" t="str">
        <f>IF(A1354="","",IFERROR(VLOOKUP(A1354, Stock_New!A:M, 3, FALSE),""))</f>
        <v>سنتر محمد رشدي</v>
      </c>
      <c r="E1354" s="16">
        <f>IF($A1354="", "", IFERROR(VLOOKUP($A1354, Stock_New!$A:$M, 6, FALSE), ""))</f>
        <v>192</v>
      </c>
      <c r="F1354" s="239">
        <v>200.0</v>
      </c>
      <c r="G1354" s="16"/>
      <c r="H1354" s="33">
        <v>200.0</v>
      </c>
      <c r="I1354" s="238">
        <v>46166.0</v>
      </c>
      <c r="J1354" s="5" t="s">
        <v>72</v>
      </c>
      <c r="K1354" s="5" t="s">
        <v>4125</v>
      </c>
      <c r="L1354" s="16"/>
      <c r="M1354" s="19"/>
      <c r="N1354" s="16"/>
      <c r="O1354" s="16"/>
      <c r="P1354" s="16"/>
    </row>
    <row r="1355" ht="22.5" customHeight="1">
      <c r="A1355" s="138" t="s">
        <v>1055</v>
      </c>
      <c r="B1355" s="16" t="str">
        <f>IF(A1355="","",IFERROR(VLOOKUP(A1355, Stock_New!A:M, 2, FALSE),""))</f>
        <v>حجر</v>
      </c>
      <c r="C1355" s="236">
        <v>1.0</v>
      </c>
      <c r="D1355" s="16" t="str">
        <f>IF(A1355="","",IFERROR(VLOOKUP(A1355, Stock_New!A:M, 3, FALSE),""))</f>
        <v>محمد رشدي</v>
      </c>
      <c r="E1355" s="16">
        <f>IF($A1355="", "", IFERROR(VLOOKUP($A1355, Stock_New!$A:$M, 6, FALSE), ""))</f>
        <v>15</v>
      </c>
      <c r="F1355" s="239">
        <v>10.0</v>
      </c>
      <c r="G1355" s="16"/>
      <c r="H1355" s="33">
        <v>10.0</v>
      </c>
      <c r="I1355" s="238">
        <v>46166.0</v>
      </c>
      <c r="J1355" s="5" t="s">
        <v>72</v>
      </c>
      <c r="K1355" s="5" t="s">
        <v>4126</v>
      </c>
      <c r="L1355" s="16"/>
      <c r="M1355" s="19"/>
      <c r="N1355" s="16"/>
      <c r="O1355" s="16"/>
      <c r="P1355" s="16"/>
    </row>
    <row r="1356" ht="22.5" customHeight="1">
      <c r="A1356" s="138" t="s">
        <v>303</v>
      </c>
      <c r="B1356" s="16" t="str">
        <f>IF(A1356="","",IFERROR(VLOOKUP(A1356, Stock_New!A:M, 2, FALSE),""))</f>
        <v>ورد لوحدة</v>
      </c>
      <c r="C1356" s="236">
        <v>1.0</v>
      </c>
      <c r="D1356" s="16" t="str">
        <f>IF(A1356="","",IFERROR(VLOOKUP(A1356, Stock_New!A:M, 3, FALSE),""))</f>
        <v>شركة علاء شاكر</v>
      </c>
      <c r="E1356" s="16">
        <f>IF($A1356="", "", IFERROR(VLOOKUP($A1356, Stock_New!$A:$M, 6, FALSE), ""))</f>
        <v>84</v>
      </c>
      <c r="F1356" s="239">
        <v>125.0</v>
      </c>
      <c r="G1356" s="16"/>
      <c r="H1356" s="33">
        <v>125.0</v>
      </c>
      <c r="I1356" s="238">
        <v>46166.0</v>
      </c>
      <c r="J1356" s="5" t="s">
        <v>72</v>
      </c>
      <c r="K1356" s="5" t="s">
        <v>4127</v>
      </c>
      <c r="L1356" s="16"/>
      <c r="M1356" s="19"/>
      <c r="N1356" s="16"/>
      <c r="O1356" s="16"/>
      <c r="P1356" s="16"/>
    </row>
    <row r="1357" ht="22.5" customHeight="1">
      <c r="A1357" s="138" t="s">
        <v>309</v>
      </c>
      <c r="B1357" s="16" t="str">
        <f>IF(A1357="","",IFERROR(VLOOKUP(A1357, Stock_New!A:M, 2, FALSE),""))</f>
        <v>بوتات</v>
      </c>
      <c r="C1357" s="236">
        <v>1.0</v>
      </c>
      <c r="D1357" s="16" t="str">
        <f>IF(A1357="","",IFERROR(VLOOKUP(A1357, Stock_New!A:M, 3, FALSE),""))</f>
        <v>شركة حسين علي</v>
      </c>
      <c r="E1357" s="16">
        <f>IF($A1357="", "", IFERROR(VLOOKUP($A1357, Stock_New!$A:$M, 6, FALSE), ""))</f>
        <v>24</v>
      </c>
      <c r="F1357" s="239">
        <v>50.0</v>
      </c>
      <c r="G1357" s="16"/>
      <c r="H1357" s="33">
        <v>50.0</v>
      </c>
      <c r="I1357" s="238">
        <v>46166.0</v>
      </c>
      <c r="J1357" s="5" t="s">
        <v>72</v>
      </c>
      <c r="K1357" s="5" t="s">
        <v>4130</v>
      </c>
      <c r="L1357" s="16"/>
      <c r="M1357" s="19"/>
      <c r="N1357" s="16"/>
      <c r="O1357" s="16"/>
      <c r="P1357" s="16"/>
    </row>
    <row r="1358" ht="22.5" customHeight="1">
      <c r="A1358" s="138" t="s">
        <v>303</v>
      </c>
      <c r="B1358" s="16" t="str">
        <f>IF(A1358="","",IFERROR(VLOOKUP(A1358, Stock_New!A:M, 2, FALSE),""))</f>
        <v>ورد لوحدة</v>
      </c>
      <c r="C1358" s="236">
        <v>1.0</v>
      </c>
      <c r="D1358" s="16" t="str">
        <f>IF(A1358="","",IFERROR(VLOOKUP(A1358, Stock_New!A:M, 3, FALSE),""))</f>
        <v>شركة علاء شاكر</v>
      </c>
      <c r="E1358" s="16">
        <f>IF($A1358="", "", IFERROR(VLOOKUP($A1358, Stock_New!$A:$M, 6, FALSE), ""))</f>
        <v>84</v>
      </c>
      <c r="F1358" s="239">
        <v>150.0</v>
      </c>
      <c r="G1358" s="16"/>
      <c r="H1358" s="33">
        <v>150.0</v>
      </c>
      <c r="I1358" s="238">
        <v>46167.0</v>
      </c>
      <c r="J1358" s="5" t="s">
        <v>72</v>
      </c>
      <c r="K1358" s="5" t="s">
        <v>4131</v>
      </c>
      <c r="L1358" s="16"/>
      <c r="M1358" s="19"/>
      <c r="N1358" s="16"/>
      <c r="O1358" s="16"/>
      <c r="P1358" s="16"/>
    </row>
    <row r="1359" ht="22.5" customHeight="1">
      <c r="A1359" s="138" t="s">
        <v>309</v>
      </c>
      <c r="B1359" s="16" t="str">
        <f>IF(A1359="","",IFERROR(VLOOKUP(A1359, Stock_New!A:M, 2, FALSE),""))</f>
        <v>بوتات</v>
      </c>
      <c r="C1359" s="236">
        <v>1.0</v>
      </c>
      <c r="D1359" s="16" t="str">
        <f>IF(A1359="","",IFERROR(VLOOKUP(A1359, Stock_New!A:M, 3, FALSE),""))</f>
        <v>شركة حسين علي</v>
      </c>
      <c r="E1359" s="16">
        <f>IF($A1359="", "", IFERROR(VLOOKUP($A1359, Stock_New!$A:$M, 6, FALSE), ""))</f>
        <v>24</v>
      </c>
      <c r="F1359" s="239">
        <v>50.0</v>
      </c>
      <c r="G1359" s="16"/>
      <c r="H1359" s="33">
        <v>50.0</v>
      </c>
      <c r="I1359" s="238">
        <v>46167.0</v>
      </c>
      <c r="J1359" s="5" t="s">
        <v>72</v>
      </c>
      <c r="K1359" s="5" t="s">
        <v>4132</v>
      </c>
      <c r="L1359" s="16"/>
      <c r="M1359" s="19"/>
      <c r="N1359" s="16"/>
      <c r="O1359" s="16"/>
      <c r="P1359" s="16"/>
    </row>
    <row r="1360" ht="22.5" customHeight="1">
      <c r="A1360" s="138" t="s">
        <v>1151</v>
      </c>
      <c r="B1360" s="16" t="str">
        <f>IF(A1360="","",IFERROR(VLOOKUP(A1360, Stock_New!A:M, 2, FALSE),""))</f>
        <v>شجر</v>
      </c>
      <c r="C1360" s="236">
        <v>1.0</v>
      </c>
      <c r="D1360" s="16" t="str">
        <f>IF(A1360="","",IFERROR(VLOOKUP(A1360, Stock_New!A:M, 3, FALSE),""))</f>
        <v>عبدالفتاح</v>
      </c>
      <c r="E1360" s="16">
        <f>IF($A1360="", "", IFERROR(VLOOKUP($A1360, Stock_New!$A:$M, 6, FALSE), ""))</f>
        <v>108</v>
      </c>
      <c r="F1360" s="239">
        <v>150.0</v>
      </c>
      <c r="G1360" s="16"/>
      <c r="H1360" s="33">
        <v>150.0</v>
      </c>
      <c r="I1360" s="238">
        <v>46167.0</v>
      </c>
      <c r="J1360" s="5" t="s">
        <v>72</v>
      </c>
      <c r="K1360" s="5" t="s">
        <v>4133</v>
      </c>
      <c r="L1360" s="16"/>
      <c r="M1360" s="19"/>
      <c r="N1360" s="16"/>
      <c r="O1360" s="16"/>
      <c r="P1360" s="16"/>
    </row>
    <row r="1361" ht="22.5" customHeight="1">
      <c r="A1361" s="138" t="s">
        <v>933</v>
      </c>
      <c r="B1361" s="16" t="str">
        <f>IF(A1361="","",IFERROR(VLOOKUP(A1361, Stock_New!A:M, 2, FALSE),""))</f>
        <v>بوتات</v>
      </c>
      <c r="C1361" s="236">
        <v>1.0</v>
      </c>
      <c r="D1361" s="16" t="str">
        <f>IF(A1361="","",IFERROR(VLOOKUP(A1361, Stock_New!A:M, 3, FALSE),""))</f>
        <v>عبدالفتاح</v>
      </c>
      <c r="E1361" s="16">
        <f>IF($A1361="", "", IFERROR(VLOOKUP($A1361, Stock_New!$A:$M, 6, FALSE), ""))</f>
        <v>12</v>
      </c>
      <c r="F1361" s="239">
        <v>50.0</v>
      </c>
      <c r="G1361" s="16"/>
      <c r="H1361" s="33">
        <v>50.0</v>
      </c>
      <c r="I1361" s="238">
        <v>46167.0</v>
      </c>
      <c r="J1361" s="5" t="s">
        <v>72</v>
      </c>
      <c r="K1361" s="5" t="s">
        <v>4136</v>
      </c>
      <c r="L1361" s="16"/>
      <c r="M1361" s="19"/>
      <c r="N1361" s="16"/>
      <c r="O1361" s="16"/>
      <c r="P1361" s="16"/>
    </row>
    <row r="1362" ht="22.5" customHeight="1">
      <c r="A1362" s="138" t="s">
        <v>336</v>
      </c>
      <c r="B1362" s="16" t="str">
        <f>IF(A1362="","",IFERROR(VLOOKUP(A1362, Stock_New!A:M, 2, FALSE),""))</f>
        <v>بوتات</v>
      </c>
      <c r="C1362" s="236">
        <v>1.0</v>
      </c>
      <c r="D1362" s="16" t="str">
        <f>IF(A1362="","",IFERROR(VLOOKUP(A1362, Stock_New!A:M, 3, FALSE),""))</f>
        <v>شركة حسين علي</v>
      </c>
      <c r="E1362" s="16">
        <f>IF($A1362="", "", IFERROR(VLOOKUP($A1362, Stock_New!$A:$M, 6, FALSE), ""))</f>
        <v>120</v>
      </c>
      <c r="F1362" s="239">
        <v>150.0</v>
      </c>
      <c r="G1362" s="16"/>
      <c r="H1362" s="33">
        <v>150.0</v>
      </c>
      <c r="I1362" s="238">
        <v>46167.0</v>
      </c>
      <c r="J1362" s="5" t="s">
        <v>72</v>
      </c>
      <c r="K1362" s="5" t="s">
        <v>4137</v>
      </c>
      <c r="L1362" s="16"/>
      <c r="M1362" s="19"/>
      <c r="N1362" s="16"/>
      <c r="O1362" s="16"/>
      <c r="P1362" s="16"/>
    </row>
    <row r="1363" ht="22.5" customHeight="1">
      <c r="A1363" s="138" t="s">
        <v>1049</v>
      </c>
      <c r="B1363" s="16" t="str">
        <f>IF(A1363="","",IFERROR(VLOOKUP(A1363, Stock_New!A:M, 2, FALSE),""))</f>
        <v>بورسلين</v>
      </c>
      <c r="C1363" s="236">
        <v>1.0</v>
      </c>
      <c r="D1363" s="16" t="str">
        <f>IF(A1363="","",IFERROR(VLOOKUP(A1363, Stock_New!A:M, 3, FALSE),""))</f>
        <v>شركة حسين علي</v>
      </c>
      <c r="E1363" s="16">
        <f>IF($A1363="", "", IFERROR(VLOOKUP($A1363, Stock_New!$A:$M, 6, FALSE), ""))</f>
        <v>114</v>
      </c>
      <c r="F1363" s="239">
        <v>140.0</v>
      </c>
      <c r="G1363" s="16"/>
      <c r="H1363" s="33">
        <v>140.0</v>
      </c>
      <c r="I1363" s="238">
        <v>46167.0</v>
      </c>
      <c r="J1363" s="5" t="s">
        <v>72</v>
      </c>
      <c r="K1363" s="5" t="s">
        <v>4139</v>
      </c>
      <c r="L1363" s="16"/>
      <c r="M1363" s="19"/>
      <c r="N1363" s="16"/>
      <c r="O1363" s="16"/>
      <c r="P1363" s="16"/>
    </row>
    <row r="1364" ht="22.5" customHeight="1">
      <c r="A1364" s="138" t="s">
        <v>482</v>
      </c>
      <c r="B1364" s="16" t="str">
        <f>IF(A1364="","",IFERROR(VLOOKUP(A1364, Stock_New!A:M, 2, FALSE),""))</f>
        <v>كريستال</v>
      </c>
      <c r="C1364" s="236">
        <v>1.0</v>
      </c>
      <c r="D1364" s="16" t="str">
        <f>IF(A1364="","",IFERROR(VLOOKUP(A1364, Stock_New!A:M, 3, FALSE),""))</f>
        <v>شركة علاء شاكر</v>
      </c>
      <c r="E1364" s="16">
        <f>IF($A1364="", "", IFERROR(VLOOKUP($A1364, Stock_New!$A:$M, 6, FALSE), ""))</f>
        <v>240</v>
      </c>
      <c r="F1364" s="239">
        <v>250.0</v>
      </c>
      <c r="G1364" s="16"/>
      <c r="H1364" s="33">
        <v>250.0</v>
      </c>
      <c r="I1364" s="238">
        <v>46167.0</v>
      </c>
      <c r="J1364" s="5" t="s">
        <v>72</v>
      </c>
      <c r="K1364" s="5" t="s">
        <v>4141</v>
      </c>
      <c r="L1364" s="16"/>
      <c r="M1364" s="19"/>
      <c r="N1364" s="16"/>
      <c r="O1364" s="16"/>
      <c r="P1364" s="16"/>
    </row>
    <row r="1365" ht="22.5" customHeight="1">
      <c r="A1365" s="138" t="s">
        <v>749</v>
      </c>
      <c r="B1365" s="16" t="str">
        <f>IF(A1365="","",IFERROR(VLOOKUP(A1365, Stock_New!A:M, 2, FALSE),""))</f>
        <v>شجر</v>
      </c>
      <c r="C1365" s="236">
        <v>1.0</v>
      </c>
      <c r="D1365" s="16" t="str">
        <f>IF(A1365="","",IFERROR(VLOOKUP(A1365, Stock_New!A:M, 3, FALSE),""))</f>
        <v>عبدالفتاح</v>
      </c>
      <c r="E1365" s="16">
        <f>IF($A1365="", "", IFERROR(VLOOKUP($A1365, Stock_New!$A:$M, 6, FALSE), ""))</f>
        <v>180</v>
      </c>
      <c r="F1365" s="239">
        <v>275.0</v>
      </c>
      <c r="G1365" s="16"/>
      <c r="H1365" s="33">
        <v>275.0</v>
      </c>
      <c r="I1365" s="238">
        <v>46167.0</v>
      </c>
      <c r="J1365" s="5" t="s">
        <v>72</v>
      </c>
      <c r="K1365" s="5" t="s">
        <v>4145</v>
      </c>
      <c r="L1365" s="16"/>
      <c r="M1365" s="19"/>
      <c r="N1365" s="16"/>
      <c r="O1365" s="16"/>
      <c r="P1365" s="16"/>
    </row>
    <row r="1366" ht="22.5" customHeight="1">
      <c r="A1366" s="138" t="s">
        <v>336</v>
      </c>
      <c r="B1366" s="16" t="str">
        <f>IF(A1366="","",IFERROR(VLOOKUP(A1366, Stock_New!A:M, 2, FALSE),""))</f>
        <v>بوتات</v>
      </c>
      <c r="C1366" s="236">
        <v>1.0</v>
      </c>
      <c r="D1366" s="16" t="str">
        <f>IF(A1366="","",IFERROR(VLOOKUP(A1366, Stock_New!A:M, 3, FALSE),""))</f>
        <v>شركة حسين علي</v>
      </c>
      <c r="E1366" s="16">
        <f>IF($A1366="", "", IFERROR(VLOOKUP($A1366, Stock_New!$A:$M, 6, FALSE), ""))</f>
        <v>120</v>
      </c>
      <c r="F1366" s="239">
        <v>150.0</v>
      </c>
      <c r="G1366" s="16"/>
      <c r="H1366" s="33">
        <v>150.0</v>
      </c>
      <c r="I1366" s="238">
        <v>46167.0</v>
      </c>
      <c r="J1366" s="5" t="s">
        <v>72</v>
      </c>
      <c r="K1366" s="5" t="s">
        <v>4149</v>
      </c>
      <c r="L1366" s="16"/>
      <c r="M1366" s="19"/>
      <c r="N1366" s="16"/>
      <c r="O1366" s="16"/>
      <c r="P1366" s="16"/>
    </row>
    <row r="1367" ht="22.5" customHeight="1">
      <c r="A1367" s="138" t="s">
        <v>933</v>
      </c>
      <c r="B1367" s="16" t="str">
        <f>IF(A1367="","",IFERROR(VLOOKUP(A1367, Stock_New!A:M, 2, FALSE),""))</f>
        <v>بوتات</v>
      </c>
      <c r="C1367" s="236">
        <v>1.0</v>
      </c>
      <c r="D1367" s="16" t="str">
        <f>IF(A1367="","",IFERROR(VLOOKUP(A1367, Stock_New!A:M, 3, FALSE),""))</f>
        <v>عبدالفتاح</v>
      </c>
      <c r="E1367" s="16">
        <f>IF($A1367="", "", IFERROR(VLOOKUP($A1367, Stock_New!$A:$M, 6, FALSE), ""))</f>
        <v>12</v>
      </c>
      <c r="F1367" s="239">
        <v>25.0</v>
      </c>
      <c r="G1367" s="16"/>
      <c r="H1367" s="33">
        <v>25.0</v>
      </c>
      <c r="I1367" s="238">
        <v>46167.0</v>
      </c>
      <c r="J1367" s="5" t="s">
        <v>72</v>
      </c>
      <c r="K1367" s="5" t="s">
        <v>4151</v>
      </c>
      <c r="L1367" s="16"/>
      <c r="M1367" s="19"/>
      <c r="N1367" s="16"/>
      <c r="O1367" s="16"/>
      <c r="P1367" s="16"/>
    </row>
    <row r="1368" ht="22.5" customHeight="1">
      <c r="A1368" s="138" t="s">
        <v>467</v>
      </c>
      <c r="B1368" s="16" t="str">
        <f>IF(A1368="","",IFERROR(VLOOKUP(A1368, Stock_New!A:M, 2, FALSE),""))</f>
        <v>ورد لوحده</v>
      </c>
      <c r="C1368" s="236">
        <v>1.0</v>
      </c>
      <c r="D1368" s="16" t="str">
        <f>IF(A1368="","",IFERROR(VLOOKUP(A1368, Stock_New!A:M, 3, FALSE),""))</f>
        <v>ذكريا</v>
      </c>
      <c r="E1368" s="16">
        <f>IF($A1368="", "", IFERROR(VLOOKUP($A1368, Stock_New!$A:$M, 6, FALSE), ""))</f>
        <v>126</v>
      </c>
      <c r="F1368" s="239">
        <v>130.0</v>
      </c>
      <c r="G1368" s="16"/>
      <c r="H1368" s="33">
        <v>130.0</v>
      </c>
      <c r="I1368" s="238">
        <v>46167.0</v>
      </c>
      <c r="J1368" s="5" t="s">
        <v>72</v>
      </c>
      <c r="K1368" s="5" t="s">
        <v>4153</v>
      </c>
      <c r="L1368" s="16"/>
      <c r="M1368" s="19"/>
      <c r="N1368" s="16"/>
      <c r="O1368" s="16"/>
      <c r="P1368" s="16"/>
    </row>
    <row r="1369" ht="22.5" customHeight="1">
      <c r="A1369" s="138" t="s">
        <v>309</v>
      </c>
      <c r="B1369" s="16" t="str">
        <f>IF(A1369="","",IFERROR(VLOOKUP(A1369, Stock_New!A:M, 2, FALSE),""))</f>
        <v>بوتات</v>
      </c>
      <c r="C1369" s="236">
        <v>1.0</v>
      </c>
      <c r="D1369" s="16" t="str">
        <f>IF(A1369="","",IFERROR(VLOOKUP(A1369, Stock_New!A:M, 3, FALSE),""))</f>
        <v>شركة حسين علي</v>
      </c>
      <c r="E1369" s="16">
        <f>IF($A1369="", "", IFERROR(VLOOKUP($A1369, Stock_New!$A:$M, 6, FALSE), ""))</f>
        <v>24</v>
      </c>
      <c r="F1369" s="239">
        <v>40.0</v>
      </c>
      <c r="G1369" s="16"/>
      <c r="H1369" s="33">
        <v>40.0</v>
      </c>
      <c r="I1369" s="238">
        <v>46167.0</v>
      </c>
      <c r="J1369" s="5" t="s">
        <v>72</v>
      </c>
      <c r="K1369" s="5" t="s">
        <v>4155</v>
      </c>
      <c r="L1369" s="16"/>
      <c r="M1369" s="19"/>
      <c r="N1369" s="16"/>
      <c r="O1369" s="16"/>
      <c r="P1369" s="16"/>
    </row>
    <row r="1370" ht="22.5" customHeight="1">
      <c r="A1370" s="138" t="s">
        <v>268</v>
      </c>
      <c r="B1370" s="16" t="str">
        <f>IF(A1370="","",IFERROR(VLOOKUP(A1370, Stock_New!A:M, 2, FALSE),""))</f>
        <v>سيلفرات</v>
      </c>
      <c r="C1370" s="236">
        <v>1.0</v>
      </c>
      <c r="D1370" s="16" t="str">
        <f>IF(A1370="","",IFERROR(VLOOKUP(A1370, Stock_New!A:M, 3, FALSE),""))</f>
        <v>شركة حسين علي</v>
      </c>
      <c r="E1370" s="16">
        <f>IF($A1370="", "", IFERROR(VLOOKUP($A1370, Stock_New!$A:$M, 6, FALSE), ""))</f>
        <v>214.5</v>
      </c>
      <c r="F1370" s="239">
        <v>250.0</v>
      </c>
      <c r="G1370" s="16"/>
      <c r="H1370" s="33">
        <v>250.0</v>
      </c>
      <c r="I1370" s="238">
        <v>46167.0</v>
      </c>
      <c r="J1370" s="5" t="s">
        <v>72</v>
      </c>
      <c r="K1370" s="5" t="s">
        <v>4323</v>
      </c>
      <c r="L1370" s="16"/>
      <c r="M1370" s="19"/>
      <c r="N1370" s="16"/>
      <c r="O1370" s="16"/>
      <c r="P1370" s="16"/>
    </row>
    <row r="1371" ht="22.5" customHeight="1">
      <c r="A1371" s="138" t="s">
        <v>652</v>
      </c>
      <c r="B1371" s="16" t="str">
        <f>IF(A1371="","",IFERROR(VLOOKUP(A1371, Stock_New!A:M, 2, FALSE),""))</f>
        <v>سيلفرات</v>
      </c>
      <c r="C1371" s="236">
        <v>1.0</v>
      </c>
      <c r="D1371" s="16" t="str">
        <f>IF(A1371="","",IFERROR(VLOOKUP(A1371, Stock_New!A:M, 3, FALSE),""))</f>
        <v>ذكريا</v>
      </c>
      <c r="E1371" s="16">
        <f>IF($A1371="", "", IFERROR(VLOOKUP($A1371, Stock_New!$A:$M, 6, FALSE), ""))</f>
        <v>84</v>
      </c>
      <c r="F1371" s="239">
        <v>100.0</v>
      </c>
      <c r="G1371" s="16"/>
      <c r="H1371" s="33">
        <v>100.0</v>
      </c>
      <c r="I1371" s="238">
        <v>46167.0</v>
      </c>
      <c r="J1371" s="5" t="s">
        <v>72</v>
      </c>
      <c r="K1371" s="5" t="s">
        <v>4157</v>
      </c>
      <c r="L1371" s="16"/>
      <c r="M1371" s="19"/>
      <c r="N1371" s="16"/>
      <c r="O1371" s="16"/>
      <c r="P1371" s="16"/>
    </row>
    <row r="1372" ht="22.5" customHeight="1">
      <c r="A1372" s="138" t="s">
        <v>252</v>
      </c>
      <c r="B1372" s="16" t="str">
        <f>IF(A1372="","",IFERROR(VLOOKUP(A1372, Stock_New!A:M, 2, FALSE),""))</f>
        <v>ريش</v>
      </c>
      <c r="C1372" s="236">
        <v>3.0</v>
      </c>
      <c r="D1372" s="16" t="str">
        <f>IF(A1372="","",IFERROR(VLOOKUP(A1372, Stock_New!A:M, 3, FALSE),""))</f>
        <v>شركة حسين علي</v>
      </c>
      <c r="E1372" s="16">
        <f>IF($A1372="", "", IFERROR(VLOOKUP($A1372, Stock_New!$A:$M, 6, FALSE), ""))</f>
        <v>18</v>
      </c>
      <c r="F1372" s="239">
        <v>20.0</v>
      </c>
      <c r="G1372" s="16"/>
      <c r="H1372" s="33">
        <v>60.0</v>
      </c>
      <c r="I1372" s="238">
        <v>46167.0</v>
      </c>
      <c r="J1372" s="5" t="s">
        <v>72</v>
      </c>
      <c r="K1372" s="5" t="s">
        <v>4160</v>
      </c>
      <c r="L1372" s="16"/>
      <c r="M1372" s="19"/>
      <c r="N1372" s="16"/>
      <c r="O1372" s="16"/>
      <c r="P1372" s="16"/>
    </row>
    <row r="1373" ht="22.5" customHeight="1">
      <c r="A1373" s="138" t="s">
        <v>168</v>
      </c>
      <c r="B1373" s="16" t="str">
        <f>IF(A1373="","",IFERROR(VLOOKUP(A1373, Stock_New!A:M, 2, FALSE),""))</f>
        <v>خزف</v>
      </c>
      <c r="C1373" s="236">
        <v>1.0</v>
      </c>
      <c r="D1373" s="16" t="str">
        <f>IF(A1373="","",IFERROR(VLOOKUP(A1373, Stock_New!A:M, 3, FALSE),""))</f>
        <v>شركة حسين علي</v>
      </c>
      <c r="E1373" s="16">
        <f>IF($A1373="", "", IFERROR(VLOOKUP($A1373, Stock_New!$A:$M, 6, FALSE), ""))</f>
        <v>132</v>
      </c>
      <c r="F1373" s="239">
        <v>160.0</v>
      </c>
      <c r="G1373" s="16"/>
      <c r="H1373" s="33">
        <v>160.0</v>
      </c>
      <c r="I1373" s="238">
        <v>46167.0</v>
      </c>
      <c r="J1373" s="5" t="s">
        <v>72</v>
      </c>
      <c r="K1373" s="5" t="s">
        <v>4324</v>
      </c>
      <c r="L1373" s="16"/>
      <c r="M1373" s="19"/>
      <c r="N1373" s="16"/>
      <c r="O1373" s="16"/>
      <c r="P1373" s="16"/>
    </row>
    <row r="1374" ht="22.5" customHeight="1">
      <c r="A1374" s="138" t="s">
        <v>749</v>
      </c>
      <c r="B1374" s="16" t="str">
        <f>IF(A1374="","",IFERROR(VLOOKUP(A1374, Stock_New!A:M, 2, FALSE),""))</f>
        <v>شجر</v>
      </c>
      <c r="C1374" s="236">
        <v>1.0</v>
      </c>
      <c r="D1374" s="16" t="str">
        <f>IF(A1374="","",IFERROR(VLOOKUP(A1374, Stock_New!A:M, 3, FALSE),""))</f>
        <v>عبدالفتاح</v>
      </c>
      <c r="E1374" s="16">
        <f>IF($A1374="", "", IFERROR(VLOOKUP($A1374, Stock_New!$A:$M, 6, FALSE), ""))</f>
        <v>180</v>
      </c>
      <c r="F1374" s="239">
        <v>210.0</v>
      </c>
      <c r="G1374" s="16"/>
      <c r="H1374" s="33">
        <v>210.0</v>
      </c>
      <c r="I1374" s="238">
        <v>46167.0</v>
      </c>
      <c r="J1374" s="5" t="s">
        <v>72</v>
      </c>
      <c r="K1374" s="5" t="s">
        <v>4162</v>
      </c>
      <c r="L1374" s="16"/>
      <c r="M1374" s="19"/>
      <c r="N1374" s="16"/>
      <c r="O1374" s="16"/>
      <c r="P1374" s="16"/>
    </row>
    <row r="1375" ht="22.5" customHeight="1">
      <c r="A1375" s="138" t="s">
        <v>309</v>
      </c>
      <c r="B1375" s="16" t="str">
        <f>IF(A1375="","",IFERROR(VLOOKUP(A1375, Stock_New!A:M, 2, FALSE),""))</f>
        <v>بوتات</v>
      </c>
      <c r="C1375" s="236">
        <v>1.0</v>
      </c>
      <c r="D1375" s="16" t="str">
        <f>IF(A1375="","",IFERROR(VLOOKUP(A1375, Stock_New!A:M, 3, FALSE),""))</f>
        <v>شركة حسين علي</v>
      </c>
      <c r="E1375" s="16">
        <f>IF($A1375="", "", IFERROR(VLOOKUP($A1375, Stock_New!$A:$M, 6, FALSE), ""))</f>
        <v>24</v>
      </c>
      <c r="F1375" s="239">
        <v>50.0</v>
      </c>
      <c r="G1375" s="16"/>
      <c r="H1375" s="33">
        <v>50.0</v>
      </c>
      <c r="I1375" s="238">
        <v>46167.0</v>
      </c>
      <c r="J1375" s="5" t="s">
        <v>72</v>
      </c>
      <c r="K1375" s="5" t="s">
        <v>4164</v>
      </c>
      <c r="L1375" s="16"/>
      <c r="M1375" s="19"/>
      <c r="N1375" s="16"/>
      <c r="O1375" s="16"/>
      <c r="P1375" s="16"/>
    </row>
    <row r="1376" ht="22.5" customHeight="1">
      <c r="A1376" s="138" t="s">
        <v>930</v>
      </c>
      <c r="B1376" s="16" t="str">
        <f>IF(A1376="","",IFERROR(VLOOKUP(A1376, Stock_New!A:M, 2, FALSE),""))</f>
        <v>براويز</v>
      </c>
      <c r="C1376" s="236">
        <v>1.0</v>
      </c>
      <c r="D1376" s="16" t="str">
        <f>IF(A1376="","",IFERROR(VLOOKUP(A1376, Stock_New!A:M, 3, FALSE),""))</f>
        <v>شركة الفرسان للاستيراد والتصدير</v>
      </c>
      <c r="E1376" s="16">
        <f>IF($A1376="", "", IFERROR(VLOOKUP($A1376, Stock_New!$A:$M, 6, FALSE), ""))</f>
        <v>108</v>
      </c>
      <c r="F1376" s="239">
        <v>120.0</v>
      </c>
      <c r="G1376" s="16"/>
      <c r="H1376" s="33">
        <v>120.0</v>
      </c>
      <c r="I1376" s="238">
        <v>46167.0</v>
      </c>
      <c r="J1376" s="5" t="s">
        <v>72</v>
      </c>
      <c r="K1376" s="5" t="s">
        <v>4166</v>
      </c>
      <c r="L1376" s="16"/>
      <c r="M1376" s="19"/>
      <c r="N1376" s="16"/>
      <c r="O1376" s="16"/>
      <c r="P1376" s="16"/>
    </row>
    <row r="1377" ht="22.5" customHeight="1">
      <c r="A1377" s="138" t="s">
        <v>1124</v>
      </c>
      <c r="B1377" s="16" t="str">
        <f>IF(A1377="","",IFERROR(VLOOKUP(A1377, Stock_New!A:M, 2, FALSE),""))</f>
        <v/>
      </c>
      <c r="C1377" s="236">
        <v>1.0</v>
      </c>
      <c r="D1377" s="16" t="str">
        <f>IF(A1377="","",IFERROR(VLOOKUP(A1377, Stock_New!A:M, 3, FALSE),""))</f>
        <v/>
      </c>
      <c r="E1377" s="16" t="str">
        <f>IF($A1377="", "", IFERROR(VLOOKUP($A1377, Stock_New!$A:$M, 6, FALSE), ""))</f>
        <v/>
      </c>
      <c r="F1377" s="239">
        <v>50.0</v>
      </c>
      <c r="G1377" s="16"/>
      <c r="H1377" s="33">
        <v>50.0</v>
      </c>
      <c r="I1377" s="238">
        <v>46167.0</v>
      </c>
      <c r="J1377" s="5" t="s">
        <v>72</v>
      </c>
      <c r="K1377" s="5" t="s">
        <v>4168</v>
      </c>
      <c r="L1377" s="16"/>
      <c r="M1377" s="19"/>
      <c r="N1377" s="16"/>
      <c r="O1377" s="16"/>
      <c r="P1377" s="16"/>
    </row>
    <row r="1378" ht="22.5" customHeight="1">
      <c r="A1378" s="138" t="s">
        <v>930</v>
      </c>
      <c r="B1378" s="16" t="str">
        <f>IF(A1378="","",IFERROR(VLOOKUP(A1378, Stock_New!A:M, 2, FALSE),""))</f>
        <v>براويز</v>
      </c>
      <c r="C1378" s="236">
        <v>1.0</v>
      </c>
      <c r="D1378" s="16" t="str">
        <f>IF(A1378="","",IFERROR(VLOOKUP(A1378, Stock_New!A:M, 3, FALSE),""))</f>
        <v>شركة الفرسان للاستيراد والتصدير</v>
      </c>
      <c r="E1378" s="16">
        <f>IF($A1378="", "", IFERROR(VLOOKUP($A1378, Stock_New!$A:$M, 6, FALSE), ""))</f>
        <v>108</v>
      </c>
      <c r="F1378" s="239">
        <v>140.0</v>
      </c>
      <c r="G1378" s="16"/>
      <c r="H1378" s="33">
        <v>140.0</v>
      </c>
      <c r="I1378" s="238">
        <v>46167.0</v>
      </c>
      <c r="J1378" s="5" t="s">
        <v>72</v>
      </c>
      <c r="K1378" s="5" t="s">
        <v>4170</v>
      </c>
      <c r="L1378" s="16"/>
      <c r="M1378" s="19"/>
      <c r="N1378" s="16"/>
      <c r="O1378" s="16"/>
      <c r="P1378" s="16"/>
    </row>
    <row r="1379" ht="22.5" customHeight="1">
      <c r="A1379" s="138" t="s">
        <v>936</v>
      </c>
      <c r="B1379" s="16" t="str">
        <f>IF(A1379="","",IFERROR(VLOOKUP(A1379, Stock_New!A:M, 2, FALSE),""))</f>
        <v>لزق</v>
      </c>
      <c r="C1379" s="236">
        <v>1.0</v>
      </c>
      <c r="D1379" s="16" t="str">
        <f>IF(A1379="","",IFERROR(VLOOKUP(A1379, Stock_New!A:M, 3, FALSE),""))</f>
        <v/>
      </c>
      <c r="E1379" s="16">
        <f>IF($A1379="", "", IFERROR(VLOOKUP($A1379, Stock_New!$A:$M, 6, FALSE), ""))</f>
        <v>33.6</v>
      </c>
      <c r="F1379" s="239">
        <v>60.0</v>
      </c>
      <c r="G1379" s="16"/>
      <c r="H1379" s="33">
        <v>60.0</v>
      </c>
      <c r="I1379" s="238">
        <v>46167.0</v>
      </c>
      <c r="J1379" s="5" t="s">
        <v>72</v>
      </c>
      <c r="K1379" s="5" t="s">
        <v>4172</v>
      </c>
      <c r="L1379" s="16"/>
      <c r="M1379" s="19"/>
      <c r="N1379" s="16"/>
      <c r="O1379" s="16"/>
      <c r="P1379" s="16"/>
    </row>
    <row r="1380" ht="22.5" customHeight="1">
      <c r="A1380" s="138" t="s">
        <v>590</v>
      </c>
      <c r="B1380" s="16" t="str">
        <f>IF(A1380="","",IFERROR(VLOOKUP(A1380, Stock_New!A:M, 2, FALSE),""))</f>
        <v>ورد ديكور</v>
      </c>
      <c r="C1380" s="236">
        <v>2.0</v>
      </c>
      <c r="D1380" s="16" t="str">
        <f>IF(A1380="","",IFERROR(VLOOKUP(A1380, Stock_New!A:M, 3, FALSE),""))</f>
        <v>سنتر محمد رشدي</v>
      </c>
      <c r="E1380" s="16">
        <f>IF($A1380="", "", IFERROR(VLOOKUP($A1380, Stock_New!$A:$M, 6, FALSE), ""))</f>
        <v>123.6</v>
      </c>
      <c r="F1380" s="239">
        <v>150.0</v>
      </c>
      <c r="G1380" s="16"/>
      <c r="H1380" s="33">
        <v>300.0</v>
      </c>
      <c r="I1380" s="238">
        <v>46167.0</v>
      </c>
      <c r="J1380" s="5" t="s">
        <v>72</v>
      </c>
      <c r="K1380" s="5" t="s">
        <v>4326</v>
      </c>
      <c r="L1380" s="16"/>
      <c r="M1380" s="19"/>
      <c r="N1380" s="16"/>
      <c r="O1380" s="16"/>
      <c r="P1380" s="16"/>
    </row>
    <row r="1381" ht="22.5" customHeight="1">
      <c r="A1381" s="138" t="s">
        <v>856</v>
      </c>
      <c r="B1381" s="16" t="str">
        <f>IF(A1381="","",IFERROR(VLOOKUP(A1381, Stock_New!A:M, 2, FALSE),""))</f>
        <v>شمع</v>
      </c>
      <c r="C1381" s="236">
        <v>2.0</v>
      </c>
      <c r="D1381" s="16" t="str">
        <f>IF(A1381="","",IFERROR(VLOOKUP(A1381, Stock_New!A:M, 3, FALSE),""))</f>
        <v>سنتر محمد رشدي</v>
      </c>
      <c r="E1381" s="16">
        <f>IF($A1381="", "", IFERROR(VLOOKUP($A1381, Stock_New!$A:$M, 6, FALSE), ""))</f>
        <v>5.5</v>
      </c>
      <c r="F1381" s="239">
        <f>7.5</f>
        <v>7.5</v>
      </c>
      <c r="G1381" s="16"/>
      <c r="H1381" s="33">
        <v>15.0</v>
      </c>
      <c r="I1381" s="238">
        <v>46167.0</v>
      </c>
      <c r="J1381" s="5" t="s">
        <v>72</v>
      </c>
      <c r="K1381" s="5" t="s">
        <v>4174</v>
      </c>
      <c r="L1381" s="16"/>
      <c r="M1381" s="19"/>
      <c r="N1381" s="16"/>
      <c r="O1381" s="16"/>
      <c r="P1381" s="16"/>
    </row>
    <row r="1382" ht="22.5" customHeight="1">
      <c r="A1382" s="138" t="s">
        <v>245</v>
      </c>
      <c r="B1382" s="16" t="str">
        <f>IF(A1382="","",IFERROR(VLOOKUP(A1382, Stock_New!A:M, 2, FALSE),""))</f>
        <v>ورد لحدة</v>
      </c>
      <c r="C1382" s="236">
        <v>1.0</v>
      </c>
      <c r="D1382" s="16" t="str">
        <f>IF(A1382="","",IFERROR(VLOOKUP(A1382, Stock_New!A:M, 3, FALSE),""))</f>
        <v>شركة حسين علي</v>
      </c>
      <c r="E1382" s="16">
        <f>IF($A1382="", "", IFERROR(VLOOKUP($A1382, Stock_New!$A:$M, 6, FALSE), ""))</f>
        <v>180</v>
      </c>
      <c r="F1382" s="239">
        <v>200.0</v>
      </c>
      <c r="G1382" s="16"/>
      <c r="H1382" s="33">
        <v>200.0</v>
      </c>
      <c r="I1382" s="238">
        <v>46167.0</v>
      </c>
      <c r="J1382" s="5" t="s">
        <v>72</v>
      </c>
      <c r="K1382" s="5" t="s">
        <v>4176</v>
      </c>
      <c r="L1382" s="16"/>
      <c r="M1382" s="19"/>
      <c r="N1382" s="16"/>
      <c r="O1382" s="16"/>
      <c r="P1382" s="16"/>
    </row>
    <row r="1383" ht="22.5" customHeight="1">
      <c r="A1383" s="138" t="s">
        <v>252</v>
      </c>
      <c r="B1383" s="16" t="str">
        <f>IF(A1383="","",IFERROR(VLOOKUP(A1383, Stock_New!A:M, 2, FALSE),""))</f>
        <v>ريش</v>
      </c>
      <c r="C1383" s="236">
        <v>3.0</v>
      </c>
      <c r="D1383" s="16" t="str">
        <f>IF(A1383="","",IFERROR(VLOOKUP(A1383, Stock_New!A:M, 3, FALSE),""))</f>
        <v>شركة حسين علي</v>
      </c>
      <c r="E1383" s="16">
        <f>IF($A1383="", "", IFERROR(VLOOKUP($A1383, Stock_New!$A:$M, 6, FALSE), ""))</f>
        <v>18</v>
      </c>
      <c r="F1383" s="239">
        <v>20.0</v>
      </c>
      <c r="G1383" s="16"/>
      <c r="H1383" s="33">
        <v>60.0</v>
      </c>
      <c r="I1383" s="238">
        <v>46167.0</v>
      </c>
      <c r="J1383" s="5" t="s">
        <v>72</v>
      </c>
      <c r="K1383" s="5" t="s">
        <v>4178</v>
      </c>
      <c r="L1383" s="16"/>
      <c r="M1383" s="19"/>
      <c r="N1383" s="16"/>
      <c r="O1383" s="16"/>
      <c r="P1383" s="16"/>
    </row>
    <row r="1384" ht="22.5" customHeight="1">
      <c r="A1384" s="138" t="s">
        <v>309</v>
      </c>
      <c r="B1384" s="16" t="str">
        <f>IF(A1384="","",IFERROR(VLOOKUP(A1384, Stock_New!A:M, 2, FALSE),""))</f>
        <v>بوتات</v>
      </c>
      <c r="C1384" s="236">
        <v>1.0</v>
      </c>
      <c r="D1384" s="16" t="str">
        <f>IF(A1384="","",IFERROR(VLOOKUP(A1384, Stock_New!A:M, 3, FALSE),""))</f>
        <v>شركة حسين علي</v>
      </c>
      <c r="E1384" s="16">
        <f>IF($A1384="", "", IFERROR(VLOOKUP($A1384, Stock_New!$A:$M, 6, FALSE), ""))</f>
        <v>24</v>
      </c>
      <c r="F1384" s="239">
        <v>30.0</v>
      </c>
      <c r="G1384" s="16"/>
      <c r="H1384" s="33">
        <v>30.0</v>
      </c>
      <c r="I1384" s="238">
        <v>46167.0</v>
      </c>
      <c r="J1384" s="5" t="s">
        <v>72</v>
      </c>
      <c r="K1384" s="5" t="s">
        <v>4179</v>
      </c>
      <c r="L1384" s="16"/>
      <c r="M1384" s="19"/>
      <c r="N1384" s="16"/>
      <c r="O1384" s="16"/>
      <c r="P1384" s="16"/>
    </row>
    <row r="1385" ht="22.5" customHeight="1">
      <c r="A1385" s="138" t="s">
        <v>756</v>
      </c>
      <c r="B1385" s="16" t="str">
        <f>IF(A1385="","",IFERROR(VLOOKUP(A1385, Stock_New!A:M, 2, FALSE),""))</f>
        <v>ورد لوحدة</v>
      </c>
      <c r="C1385" s="236">
        <v>1.0</v>
      </c>
      <c r="D1385" s="16" t="str">
        <f>IF(A1385="","",IFERROR(VLOOKUP(A1385, Stock_New!A:M, 3, FALSE),""))</f>
        <v>شركة حسين علي</v>
      </c>
      <c r="E1385" s="16">
        <f>IF($A1385="", "", IFERROR(VLOOKUP($A1385, Stock_New!$A:$M, 6, FALSE), ""))</f>
        <v>36</v>
      </c>
      <c r="F1385" s="239">
        <v>60.0</v>
      </c>
      <c r="G1385" s="16"/>
      <c r="H1385" s="33">
        <v>60.0</v>
      </c>
      <c r="I1385" s="238">
        <v>46167.0</v>
      </c>
      <c r="J1385" s="5" t="s">
        <v>72</v>
      </c>
      <c r="K1385" s="5" t="s">
        <v>4181</v>
      </c>
      <c r="L1385" s="16"/>
      <c r="M1385" s="19"/>
      <c r="N1385" s="16"/>
      <c r="O1385" s="16"/>
      <c r="P1385" s="16"/>
    </row>
    <row r="1386" ht="22.5" customHeight="1">
      <c r="A1386" s="138" t="s">
        <v>670</v>
      </c>
      <c r="B1386" s="16" t="str">
        <f>IF(A1386="","",IFERROR(VLOOKUP(A1386, Stock_New!A:M, 2, FALSE),""))</f>
        <v>بوتات</v>
      </c>
      <c r="C1386" s="236">
        <v>1.0</v>
      </c>
      <c r="D1386" s="16" t="str">
        <f>IF(A1386="","",IFERROR(VLOOKUP(A1386, Stock_New!A:M, 3, FALSE),""))</f>
        <v>شركة حسين علي</v>
      </c>
      <c r="E1386" s="16">
        <f>IF($A1386="", "", IFERROR(VLOOKUP($A1386, Stock_New!$A:$M, 6, FALSE), ""))</f>
        <v>14.53</v>
      </c>
      <c r="F1386" s="239">
        <v>20.0</v>
      </c>
      <c r="G1386" s="16"/>
      <c r="H1386" s="33">
        <v>20.0</v>
      </c>
      <c r="I1386" s="238">
        <v>46167.0</v>
      </c>
      <c r="J1386" s="5" t="s">
        <v>72</v>
      </c>
      <c r="K1386" s="5" t="s">
        <v>4183</v>
      </c>
      <c r="L1386" s="16"/>
      <c r="M1386" s="19"/>
      <c r="N1386" s="16"/>
      <c r="O1386" s="16"/>
      <c r="P1386" s="16"/>
    </row>
    <row r="1387" ht="22.5" customHeight="1">
      <c r="A1387" s="138" t="s">
        <v>1029</v>
      </c>
      <c r="B1387" s="16" t="str">
        <f>IF(A1387="","",IFERROR(VLOOKUP(A1387, Stock_New!A:M, 2, FALSE),""))</f>
        <v/>
      </c>
      <c r="C1387" s="236">
        <v>1.0</v>
      </c>
      <c r="D1387" s="16" t="str">
        <f>IF(A1387="","",IFERROR(VLOOKUP(A1387, Stock_New!A:M, 3, FALSE),""))</f>
        <v/>
      </c>
      <c r="E1387" s="16" t="str">
        <f>IF($A1387="", "", IFERROR(VLOOKUP($A1387, Stock_New!$A:$M, 6, FALSE), ""))</f>
        <v/>
      </c>
      <c r="F1387" s="239">
        <v>70.0</v>
      </c>
      <c r="G1387" s="16"/>
      <c r="H1387" s="33">
        <v>70.0</v>
      </c>
      <c r="I1387" s="238">
        <v>46167.0</v>
      </c>
      <c r="J1387" s="5" t="s">
        <v>72</v>
      </c>
      <c r="K1387" s="5" t="s">
        <v>4328</v>
      </c>
      <c r="L1387" s="16"/>
      <c r="M1387" s="19"/>
      <c r="N1387" s="16"/>
      <c r="O1387" s="16"/>
      <c r="P1387" s="16"/>
    </row>
    <row r="1388" ht="22.5" customHeight="1">
      <c r="A1388" s="138" t="s">
        <v>329</v>
      </c>
      <c r="B1388" s="16" t="str">
        <f>IF(A1388="","",IFERROR(VLOOKUP(A1388, Stock_New!A:M, 2, FALSE),""))</f>
        <v>بوكيه</v>
      </c>
      <c r="C1388" s="236">
        <v>1.0</v>
      </c>
      <c r="D1388" s="16" t="str">
        <f>IF(A1388="","",IFERROR(VLOOKUP(A1388, Stock_New!A:M, 3, FALSE),""))</f>
        <v>ذكريا</v>
      </c>
      <c r="E1388" s="16">
        <f>IF($A1388="", "", IFERROR(VLOOKUP($A1388, Stock_New!$A:$M, 6, FALSE), ""))</f>
        <v>132</v>
      </c>
      <c r="F1388" s="239">
        <v>150.0</v>
      </c>
      <c r="G1388" s="16"/>
      <c r="H1388" s="33">
        <f>F1388*C1388</f>
        <v>150</v>
      </c>
      <c r="I1388" s="238">
        <v>46167.0</v>
      </c>
      <c r="J1388" s="5" t="s">
        <v>1612</v>
      </c>
      <c r="K1388" s="5"/>
      <c r="L1388" s="16"/>
      <c r="M1388" s="19"/>
      <c r="N1388" s="16"/>
      <c r="O1388" s="16"/>
      <c r="P1388" s="16"/>
    </row>
    <row r="1389" ht="22.5" customHeight="1">
      <c r="A1389" s="138" t="s">
        <v>619</v>
      </c>
      <c r="B1389" s="16" t="str">
        <f>IF(A1389="","",IFERROR(VLOOKUP(A1389, Stock_New!A:M, 2, FALSE),""))</f>
        <v>بوكيه</v>
      </c>
      <c r="C1389" s="236">
        <f>0.5</f>
        <v>0.5</v>
      </c>
      <c r="D1389" s="16" t="str">
        <f>IF(A1389="","",IFERROR(VLOOKUP(A1389, Stock_New!A:M, 3, FALSE),""))</f>
        <v>manufactured</v>
      </c>
      <c r="E1389" s="16">
        <f>IF($A1389="", "", IFERROR(VLOOKUP($A1389, Stock_New!$A:$M, 6, FALSE), ""))</f>
        <v>202</v>
      </c>
      <c r="F1389" s="239">
        <v>400.0</v>
      </c>
      <c r="G1389" s="16"/>
      <c r="H1389" s="33">
        <v>200.0</v>
      </c>
      <c r="I1389" s="238">
        <v>46167.0</v>
      </c>
      <c r="J1389" s="5" t="s">
        <v>72</v>
      </c>
      <c r="K1389" s="5" t="s">
        <v>4185</v>
      </c>
      <c r="L1389" s="16"/>
      <c r="M1389" s="19"/>
      <c r="N1389" s="16"/>
      <c r="O1389" s="16"/>
      <c r="P1389" s="16"/>
    </row>
    <row r="1390" ht="22.5" customHeight="1">
      <c r="A1390" s="138" t="s">
        <v>837</v>
      </c>
      <c r="B1390" s="16" t="str">
        <f>IF(A1390="","",IFERROR(VLOOKUP(A1390, Stock_New!A:M, 2, FALSE),""))</f>
        <v>ورد لوحدة</v>
      </c>
      <c r="C1390" s="236">
        <v>1.0</v>
      </c>
      <c r="D1390" s="16" t="str">
        <f>IF(A1390="","",IFERROR(VLOOKUP(A1390, Stock_New!A:M, 3, FALSE),""))</f>
        <v>شركة حسين علي</v>
      </c>
      <c r="E1390" s="16">
        <f>IF($A1390="", "", IFERROR(VLOOKUP($A1390, Stock_New!$A:$M, 6, FALSE), ""))</f>
        <v>20.4</v>
      </c>
      <c r="F1390" s="239">
        <v>25.0</v>
      </c>
      <c r="G1390" s="16"/>
      <c r="H1390" s="33">
        <v>25.0</v>
      </c>
      <c r="I1390" s="238">
        <v>46167.0</v>
      </c>
      <c r="J1390" s="5" t="s">
        <v>72</v>
      </c>
      <c r="K1390" s="5" t="s">
        <v>4189</v>
      </c>
      <c r="L1390" s="16"/>
      <c r="M1390" s="19"/>
      <c r="N1390" s="16"/>
      <c r="O1390" s="16"/>
      <c r="P1390" s="16"/>
    </row>
    <row r="1391" ht="22.5" customHeight="1">
      <c r="A1391" s="138" t="s">
        <v>1173</v>
      </c>
      <c r="B1391" s="16" t="str">
        <f>IF(A1391="","",IFERROR(VLOOKUP(A1391, Stock_New!A:M, 2, FALSE),""))</f>
        <v>ورد لوحدة</v>
      </c>
      <c r="C1391" s="236">
        <v>1.0</v>
      </c>
      <c r="D1391" s="16" t="str">
        <f>IF(A1391="","",IFERROR(VLOOKUP(A1391, Stock_New!A:M, 3, FALSE),""))</f>
        <v>شركة الفرسان للاستيراد والتصدير</v>
      </c>
      <c r="E1391" s="16">
        <f>IF($A1391="", "", IFERROR(VLOOKUP($A1391, Stock_New!$A:$M, 6, FALSE), ""))</f>
        <v>66</v>
      </c>
      <c r="F1391" s="239">
        <v>75.0</v>
      </c>
      <c r="G1391" s="16"/>
      <c r="H1391" s="33">
        <v>75.0</v>
      </c>
      <c r="I1391" s="238">
        <v>46167.0</v>
      </c>
      <c r="J1391" s="5" t="s">
        <v>72</v>
      </c>
      <c r="K1391" s="5" t="s">
        <v>4191</v>
      </c>
      <c r="L1391" s="16"/>
      <c r="M1391" s="19"/>
      <c r="N1391" s="16"/>
      <c r="O1391" s="16"/>
      <c r="P1391" s="16"/>
    </row>
    <row r="1392" ht="22.5" customHeight="1">
      <c r="A1392" s="138" t="s">
        <v>670</v>
      </c>
      <c r="B1392" s="16" t="str">
        <f>IF(A1392="","",IFERROR(VLOOKUP(A1392, Stock_New!A:M, 2, FALSE),""))</f>
        <v>بوتات</v>
      </c>
      <c r="C1392" s="236">
        <v>1.0</v>
      </c>
      <c r="D1392" s="16" t="str">
        <f>IF(A1392="","",IFERROR(VLOOKUP(A1392, Stock_New!A:M, 3, FALSE),""))</f>
        <v>شركة حسين علي</v>
      </c>
      <c r="E1392" s="16">
        <f>IF($A1392="", "", IFERROR(VLOOKUP($A1392, Stock_New!$A:$M, 6, FALSE), ""))</f>
        <v>14.53</v>
      </c>
      <c r="F1392" s="239">
        <v>20.0</v>
      </c>
      <c r="G1392" s="16"/>
      <c r="H1392" s="33">
        <v>20.0</v>
      </c>
      <c r="I1392" s="238">
        <v>46167.0</v>
      </c>
      <c r="J1392" s="5" t="s">
        <v>72</v>
      </c>
      <c r="K1392" s="5" t="s">
        <v>4195</v>
      </c>
      <c r="L1392" s="16"/>
      <c r="M1392" s="19"/>
      <c r="N1392" s="16"/>
      <c r="O1392" s="16"/>
      <c r="P1392" s="16"/>
    </row>
    <row r="1393" ht="22.5" customHeight="1">
      <c r="A1393" s="138" t="s">
        <v>674</v>
      </c>
      <c r="B1393" s="16" t="str">
        <f>IF(A1393="","",IFERROR(VLOOKUP(A1393, Stock_New!A:M, 2, FALSE),""))</f>
        <v>ورد لوحدة</v>
      </c>
      <c r="C1393" s="236">
        <f>4/5</f>
        <v>0.8</v>
      </c>
      <c r="D1393" s="16" t="str">
        <f>IF(A1393="","",IFERROR(VLOOKUP(A1393, Stock_New!A:M, 3, FALSE),""))</f>
        <v>شركة الفرسان</v>
      </c>
      <c r="E1393" s="16">
        <f>IF($A1393="", "", IFERROR(VLOOKUP($A1393, Stock_New!$A:$M, 6, FALSE), ""))</f>
        <v>60</v>
      </c>
      <c r="F1393" s="239">
        <v>100.0</v>
      </c>
      <c r="G1393" s="16"/>
      <c r="H1393" s="33">
        <v>80.0</v>
      </c>
      <c r="I1393" s="238">
        <v>46167.0</v>
      </c>
      <c r="J1393" s="5" t="s">
        <v>72</v>
      </c>
      <c r="K1393" s="5" t="s">
        <v>4197</v>
      </c>
      <c r="L1393" s="16"/>
      <c r="M1393" s="19"/>
      <c r="N1393" s="16"/>
      <c r="O1393" s="16"/>
      <c r="P1393" s="16"/>
    </row>
    <row r="1394" ht="22.5" customHeight="1">
      <c r="A1394" s="138" t="s">
        <v>1156</v>
      </c>
      <c r="B1394" s="16" t="str">
        <f>IF(A1394="","",IFERROR(VLOOKUP(A1394, Stock_New!A:M, 2, FALSE),""))</f>
        <v>بوكيه</v>
      </c>
      <c r="C1394" s="236">
        <v>1.0</v>
      </c>
      <c r="D1394" s="16" t="str">
        <f>IF(A1394="","",IFERROR(VLOOKUP(A1394, Stock_New!A:M, 3, FALSE),""))</f>
        <v>manufactured</v>
      </c>
      <c r="E1394" s="16">
        <f>IF($A1394="", "", IFERROR(VLOOKUP($A1394, Stock_New!$A:$M, 6, FALSE), ""))</f>
        <v>15</v>
      </c>
      <c r="F1394" s="239">
        <v>25.0</v>
      </c>
      <c r="G1394" s="16"/>
      <c r="H1394" s="33">
        <v>25.0</v>
      </c>
      <c r="I1394" s="238">
        <v>46167.0</v>
      </c>
      <c r="J1394" s="5" t="s">
        <v>72</v>
      </c>
      <c r="K1394" s="5" t="s">
        <v>4201</v>
      </c>
      <c r="L1394" s="16"/>
      <c r="M1394" s="19"/>
      <c r="N1394" s="16"/>
      <c r="O1394" s="16"/>
      <c r="P1394" s="16"/>
    </row>
    <row r="1395" ht="22.5" customHeight="1">
      <c r="A1395" s="138" t="s">
        <v>1156</v>
      </c>
      <c r="B1395" s="16" t="str">
        <f>IF(A1395="","",IFERROR(VLOOKUP(A1395, Stock_New!A:M, 2, FALSE),""))</f>
        <v>بوكيه</v>
      </c>
      <c r="C1395" s="236">
        <v>2.0</v>
      </c>
      <c r="D1395" s="16" t="str">
        <f>IF(A1395="","",IFERROR(VLOOKUP(A1395, Stock_New!A:M, 3, FALSE),""))</f>
        <v>manufactured</v>
      </c>
      <c r="E1395" s="16">
        <f>IF($A1395="", "", IFERROR(VLOOKUP($A1395, Stock_New!$A:$M, 6, FALSE), ""))</f>
        <v>15</v>
      </c>
      <c r="F1395" s="239">
        <v>25.0</v>
      </c>
      <c r="G1395" s="16"/>
      <c r="H1395" s="33">
        <v>50.0</v>
      </c>
      <c r="I1395" s="238">
        <v>46167.0</v>
      </c>
      <c r="J1395" s="5" t="s">
        <v>72</v>
      </c>
      <c r="K1395" s="5" t="s">
        <v>4203</v>
      </c>
      <c r="L1395" s="16"/>
      <c r="M1395" s="19"/>
      <c r="N1395" s="16"/>
      <c r="O1395" s="16"/>
      <c r="P1395" s="16"/>
    </row>
    <row r="1396" ht="22.5" customHeight="1">
      <c r="A1396" s="138" t="s">
        <v>554</v>
      </c>
      <c r="B1396" s="16" t="str">
        <f>IF(A1396="","",IFERROR(VLOOKUP(A1396, Stock_New!A:M, 2, FALSE),""))</f>
        <v>مقزمات</v>
      </c>
      <c r="C1396" s="236">
        <v>2.0</v>
      </c>
      <c r="D1396" s="16" t="str">
        <f>IF(A1396="","",IFERROR(VLOOKUP(A1396, Stock_New!A:M, 3, FALSE),""))</f>
        <v>manufactured</v>
      </c>
      <c r="E1396" s="16">
        <f>IF($A1396="", "", IFERROR(VLOOKUP($A1396, Stock_New!$A:$M, 6, FALSE), ""))</f>
        <v>27.86666667</v>
      </c>
      <c r="F1396" s="239">
        <v>45.0</v>
      </c>
      <c r="G1396" s="16"/>
      <c r="H1396" s="33">
        <v>90.0</v>
      </c>
      <c r="I1396" s="238">
        <v>46167.0</v>
      </c>
      <c r="J1396" s="5" t="s">
        <v>72</v>
      </c>
      <c r="K1396" s="5" t="s">
        <v>4205</v>
      </c>
      <c r="L1396" s="16"/>
      <c r="M1396" s="19"/>
      <c r="N1396" s="16"/>
      <c r="O1396" s="16"/>
      <c r="P1396" s="16"/>
    </row>
    <row r="1397" ht="22.5" customHeight="1">
      <c r="A1397" s="138" t="s">
        <v>920</v>
      </c>
      <c r="B1397" s="16" t="str">
        <f>IF(A1397="","",IFERROR(VLOOKUP(A1397, Stock_New!A:M, 2, FALSE),""))</f>
        <v>ديكور مكتب</v>
      </c>
      <c r="C1397" s="236">
        <v>1.0</v>
      </c>
      <c r="D1397" s="16" t="str">
        <f>IF(A1397="","",IFERROR(VLOOKUP(A1397, Stock_New!A:M, 3, FALSE),""))</f>
        <v>شركة علاء شاكر</v>
      </c>
      <c r="E1397" s="16">
        <f>IF($A1397="", "", IFERROR(VLOOKUP($A1397, Stock_New!$A:$M, 6, FALSE), ""))</f>
        <v>156</v>
      </c>
      <c r="F1397" s="239">
        <v>190.0</v>
      </c>
      <c r="G1397" s="16"/>
      <c r="H1397" s="33">
        <v>190.0</v>
      </c>
      <c r="I1397" s="238">
        <v>46167.0</v>
      </c>
      <c r="J1397" s="5" t="s">
        <v>72</v>
      </c>
      <c r="K1397" s="5" t="s">
        <v>4207</v>
      </c>
      <c r="L1397" s="16"/>
      <c r="M1397" s="19"/>
      <c r="N1397" s="16"/>
      <c r="O1397" s="16"/>
      <c r="P1397" s="16"/>
    </row>
    <row r="1398" ht="22.5" customHeight="1">
      <c r="A1398" s="138" t="s">
        <v>803</v>
      </c>
      <c r="B1398" s="16" t="str">
        <f>IF(A1398="","",IFERROR(VLOOKUP(A1398, Stock_New!A:M, 2, FALSE),""))</f>
        <v>ديكور معدن</v>
      </c>
      <c r="C1398" s="236">
        <v>1.0</v>
      </c>
      <c r="D1398" s="16" t="str">
        <f>IF(A1398="","",IFERROR(VLOOKUP(A1398, Stock_New!A:M, 3, FALSE),""))</f>
        <v>سنتر محمد رشدي</v>
      </c>
      <c r="E1398" s="16">
        <f>IF($A1398="", "", IFERROR(VLOOKUP($A1398, Stock_New!$A:$M, 6, FALSE), ""))</f>
        <v>174</v>
      </c>
      <c r="F1398" s="239">
        <v>210.0</v>
      </c>
      <c r="G1398" s="16"/>
      <c r="H1398" s="33">
        <v>210.0</v>
      </c>
      <c r="I1398" s="238">
        <v>46167.0</v>
      </c>
      <c r="J1398" s="5" t="s">
        <v>72</v>
      </c>
      <c r="K1398" s="5" t="s">
        <v>4211</v>
      </c>
      <c r="L1398" s="16"/>
      <c r="M1398" s="19"/>
      <c r="N1398" s="16"/>
      <c r="O1398" s="16"/>
      <c r="P1398" s="16"/>
    </row>
    <row r="1399" ht="22.5" customHeight="1">
      <c r="A1399" s="138" t="s">
        <v>309</v>
      </c>
      <c r="B1399" s="16" t="str">
        <f>IF(A1399="","",IFERROR(VLOOKUP(A1399, Stock_New!A:M, 2, FALSE),""))</f>
        <v>بوتات</v>
      </c>
      <c r="C1399" s="236">
        <v>2.0</v>
      </c>
      <c r="D1399" s="16" t="str">
        <f>IF(A1399="","",IFERROR(VLOOKUP(A1399, Stock_New!A:M, 3, FALSE),""))</f>
        <v>شركة حسين علي</v>
      </c>
      <c r="E1399" s="16">
        <f>IF($A1399="", "", IFERROR(VLOOKUP($A1399, Stock_New!$A:$M, 6, FALSE), ""))</f>
        <v>24</v>
      </c>
      <c r="F1399" s="239">
        <v>50.0</v>
      </c>
      <c r="G1399" s="16"/>
      <c r="H1399" s="33">
        <v>100.0</v>
      </c>
      <c r="I1399" s="238">
        <v>46168.0</v>
      </c>
      <c r="J1399" s="5" t="s">
        <v>72</v>
      </c>
      <c r="K1399" s="5" t="s">
        <v>4214</v>
      </c>
      <c r="L1399" s="16"/>
      <c r="M1399" s="19"/>
      <c r="N1399" s="16"/>
      <c r="O1399" s="16"/>
      <c r="P1399" s="16"/>
    </row>
    <row r="1400" ht="22.5" customHeight="1">
      <c r="A1400" s="138" t="s">
        <v>500</v>
      </c>
      <c r="B1400" s="16" t="str">
        <f>IF(A1400="","",IFERROR(VLOOKUP(A1400, Stock_New!A:M, 2, FALSE),""))</f>
        <v>ورد لوحدة</v>
      </c>
      <c r="C1400" s="236">
        <v>1.0</v>
      </c>
      <c r="D1400" s="16" t="str">
        <f>IF(A1400="","",IFERROR(VLOOKUP(A1400, Stock_New!A:M, 3, FALSE),""))</f>
        <v>شركة الفرسان</v>
      </c>
      <c r="E1400" s="16">
        <f>IF($A1400="", "", IFERROR(VLOOKUP($A1400, Stock_New!$A:$M, 6, FALSE), ""))</f>
        <v>150</v>
      </c>
      <c r="F1400" s="239">
        <v>200.0</v>
      </c>
      <c r="G1400" s="16"/>
      <c r="H1400" s="33">
        <v>200.0</v>
      </c>
      <c r="I1400" s="238">
        <v>46168.0</v>
      </c>
      <c r="J1400" s="5" t="s">
        <v>72</v>
      </c>
      <c r="K1400" s="5" t="s">
        <v>4216</v>
      </c>
      <c r="L1400" s="16"/>
      <c r="M1400" s="19"/>
      <c r="N1400" s="16"/>
      <c r="O1400" s="16"/>
      <c r="P1400" s="16"/>
    </row>
    <row r="1401" ht="22.5" customHeight="1">
      <c r="A1401" s="138" t="s">
        <v>930</v>
      </c>
      <c r="B1401" s="16" t="str">
        <f>IF(A1401="","",IFERROR(VLOOKUP(A1401, Stock_New!A:M, 2, FALSE),""))</f>
        <v>براويز</v>
      </c>
      <c r="C1401" s="236">
        <v>1.0</v>
      </c>
      <c r="D1401" s="16" t="str">
        <f>IF(A1401="","",IFERROR(VLOOKUP(A1401, Stock_New!A:M, 3, FALSE),""))</f>
        <v>شركة الفرسان للاستيراد والتصدير</v>
      </c>
      <c r="E1401" s="16">
        <f>IF($A1401="", "", IFERROR(VLOOKUP($A1401, Stock_New!$A:$M, 6, FALSE), ""))</f>
        <v>108</v>
      </c>
      <c r="F1401" s="239">
        <v>140.0</v>
      </c>
      <c r="G1401" s="16"/>
      <c r="H1401" s="33">
        <v>140.0</v>
      </c>
      <c r="I1401" s="238">
        <v>46168.0</v>
      </c>
      <c r="J1401" s="5" t="s">
        <v>72</v>
      </c>
      <c r="K1401" s="5" t="s">
        <v>4218</v>
      </c>
      <c r="L1401" s="16"/>
      <c r="M1401" s="19"/>
      <c r="N1401" s="16"/>
      <c r="O1401" s="16"/>
      <c r="P1401" s="16"/>
    </row>
    <row r="1402" ht="22.5" customHeight="1">
      <c r="A1402" s="138" t="s">
        <v>1173</v>
      </c>
      <c r="B1402" s="16" t="str">
        <f>IF(A1402="","",IFERROR(VLOOKUP(A1402, Stock_New!A:M, 2, FALSE),""))</f>
        <v>ورد لوحدة</v>
      </c>
      <c r="C1402" s="236">
        <v>1.0</v>
      </c>
      <c r="D1402" s="16" t="str">
        <f>IF(A1402="","",IFERROR(VLOOKUP(A1402, Stock_New!A:M, 3, FALSE),""))</f>
        <v>شركة الفرسان للاستيراد والتصدير</v>
      </c>
      <c r="E1402" s="16">
        <f>IF($A1402="", "", IFERROR(VLOOKUP($A1402, Stock_New!$A:$M, 6, FALSE), ""))</f>
        <v>66</v>
      </c>
      <c r="F1402" s="239">
        <v>60.0</v>
      </c>
      <c r="G1402" s="16"/>
      <c r="H1402" s="33">
        <v>60.0</v>
      </c>
      <c r="I1402" s="238">
        <v>46168.0</v>
      </c>
      <c r="J1402" s="5" t="s">
        <v>72</v>
      </c>
      <c r="K1402" s="5" t="s">
        <v>4220</v>
      </c>
      <c r="L1402" s="16"/>
      <c r="M1402" s="19"/>
      <c r="N1402" s="16"/>
      <c r="O1402" s="16"/>
      <c r="P1402" s="16"/>
    </row>
    <row r="1403" ht="22.5" customHeight="1">
      <c r="A1403" s="138" t="s">
        <v>670</v>
      </c>
      <c r="B1403" s="16" t="str">
        <f>IF(A1403="","",IFERROR(VLOOKUP(A1403, Stock_New!A:M, 2, FALSE),""))</f>
        <v>بوتات</v>
      </c>
      <c r="C1403" s="236">
        <v>1.0</v>
      </c>
      <c r="D1403" s="16" t="str">
        <f>IF(A1403="","",IFERROR(VLOOKUP(A1403, Stock_New!A:M, 3, FALSE),""))</f>
        <v>شركة حسين علي</v>
      </c>
      <c r="E1403" s="16">
        <f>IF($A1403="", "", IFERROR(VLOOKUP($A1403, Stock_New!$A:$M, 6, FALSE), ""))</f>
        <v>14.53</v>
      </c>
      <c r="F1403" s="239">
        <v>20.0</v>
      </c>
      <c r="G1403" s="16"/>
      <c r="H1403" s="33">
        <v>20.0</v>
      </c>
      <c r="I1403" s="238">
        <v>46168.0</v>
      </c>
      <c r="J1403" s="5" t="s">
        <v>72</v>
      </c>
      <c r="K1403" s="5" t="s">
        <v>4222</v>
      </c>
      <c r="L1403" s="16"/>
      <c r="M1403" s="19"/>
      <c r="N1403" s="16"/>
      <c r="O1403" s="16"/>
      <c r="P1403" s="16"/>
    </row>
    <row r="1404" ht="22.5" customHeight="1">
      <c r="A1404" s="138" t="s">
        <v>186</v>
      </c>
      <c r="B1404" s="16" t="str">
        <f>IF(A1404="","",IFERROR(VLOOKUP(A1404, Stock_New!A:M, 2, FALSE),""))</f>
        <v>شجر</v>
      </c>
      <c r="C1404" s="236">
        <v>1.0</v>
      </c>
      <c r="D1404" s="16" t="str">
        <f>IF(A1404="","",IFERROR(VLOOKUP(A1404, Stock_New!A:M, 3, FALSE),""))</f>
        <v>ذكريا</v>
      </c>
      <c r="E1404" s="16">
        <f>IF($A1404="", "", IFERROR(VLOOKUP($A1404, Stock_New!$A:$M, 6, FALSE), ""))</f>
        <v>100.8</v>
      </c>
      <c r="F1404" s="239">
        <v>100.0</v>
      </c>
      <c r="G1404" s="16"/>
      <c r="H1404" s="33">
        <v>100.0</v>
      </c>
      <c r="I1404" s="238">
        <v>46168.0</v>
      </c>
      <c r="J1404" s="5" t="s">
        <v>72</v>
      </c>
      <c r="K1404" s="5" t="s">
        <v>4224</v>
      </c>
      <c r="L1404" s="16"/>
      <c r="M1404" s="19"/>
      <c r="N1404" s="16"/>
      <c r="O1404" s="16"/>
      <c r="P1404" s="16"/>
    </row>
    <row r="1405" ht="22.5" customHeight="1">
      <c r="A1405" s="138" t="s">
        <v>309</v>
      </c>
      <c r="B1405" s="16" t="str">
        <f>IF(A1405="","",IFERROR(VLOOKUP(A1405, Stock_New!A:M, 2, FALSE),""))</f>
        <v>بوتات</v>
      </c>
      <c r="C1405" s="236">
        <v>1.0</v>
      </c>
      <c r="D1405" s="16" t="str">
        <f>IF(A1405="","",IFERROR(VLOOKUP(A1405, Stock_New!A:M, 3, FALSE),""))</f>
        <v>شركة حسين علي</v>
      </c>
      <c r="E1405" s="16">
        <f>IF($A1405="", "", IFERROR(VLOOKUP($A1405, Stock_New!$A:$M, 6, FALSE), ""))</f>
        <v>24</v>
      </c>
      <c r="F1405" s="239">
        <v>50.0</v>
      </c>
      <c r="G1405" s="16"/>
      <c r="H1405" s="33">
        <v>50.0</v>
      </c>
      <c r="I1405" s="238">
        <v>46168.0</v>
      </c>
      <c r="J1405" s="5" t="s">
        <v>72</v>
      </c>
      <c r="K1405" s="5" t="s">
        <v>4226</v>
      </c>
      <c r="L1405" s="16"/>
      <c r="M1405" s="19"/>
      <c r="N1405" s="16"/>
      <c r="O1405" s="16"/>
      <c r="P1405" s="16"/>
    </row>
    <row r="1406" ht="22.5" customHeight="1">
      <c r="A1406" s="138" t="s">
        <v>756</v>
      </c>
      <c r="B1406" s="16" t="str">
        <f>IF(A1406="","",IFERROR(VLOOKUP(A1406, Stock_New!A:M, 2, FALSE),""))</f>
        <v>ورد لوحدة</v>
      </c>
      <c r="C1406" s="236">
        <v>1.0</v>
      </c>
      <c r="D1406" s="16" t="str">
        <f>IF(A1406="","",IFERROR(VLOOKUP(A1406, Stock_New!A:M, 3, FALSE),""))</f>
        <v>شركة حسين علي</v>
      </c>
      <c r="E1406" s="16">
        <f>IF($A1406="", "", IFERROR(VLOOKUP($A1406, Stock_New!$A:$M, 6, FALSE), ""))</f>
        <v>36</v>
      </c>
      <c r="F1406" s="239">
        <v>70.0</v>
      </c>
      <c r="G1406" s="16"/>
      <c r="H1406" s="33">
        <v>70.0</v>
      </c>
      <c r="I1406" s="238">
        <v>46168.0</v>
      </c>
      <c r="J1406" s="5" t="s">
        <v>72</v>
      </c>
      <c r="K1406" s="5" t="s">
        <v>4228</v>
      </c>
      <c r="L1406" s="16"/>
      <c r="M1406" s="19"/>
      <c r="N1406" s="16"/>
      <c r="O1406" s="16"/>
      <c r="P1406" s="16"/>
    </row>
    <row r="1407" ht="22.5" customHeight="1">
      <c r="A1407" s="138" t="s">
        <v>670</v>
      </c>
      <c r="B1407" s="16" t="str">
        <f>IF(A1407="","",IFERROR(VLOOKUP(A1407, Stock_New!A:M, 2, FALSE),""))</f>
        <v>بوتات</v>
      </c>
      <c r="C1407" s="236">
        <v>1.0</v>
      </c>
      <c r="D1407" s="16" t="str">
        <f>IF(A1407="","",IFERROR(VLOOKUP(A1407, Stock_New!A:M, 3, FALSE),""))</f>
        <v>شركة حسين علي</v>
      </c>
      <c r="E1407" s="16">
        <f>IF($A1407="", "", IFERROR(VLOOKUP($A1407, Stock_New!$A:$M, 6, FALSE), ""))</f>
        <v>14.53</v>
      </c>
      <c r="F1407" s="239">
        <v>30.0</v>
      </c>
      <c r="G1407" s="16"/>
      <c r="H1407" s="33">
        <v>30.0</v>
      </c>
      <c r="I1407" s="238">
        <v>46168.0</v>
      </c>
      <c r="J1407" s="5" t="s">
        <v>72</v>
      </c>
      <c r="K1407" s="5" t="s">
        <v>4230</v>
      </c>
      <c r="L1407" s="16"/>
      <c r="M1407" s="19"/>
      <c r="N1407" s="16"/>
      <c r="O1407" s="16"/>
      <c r="P1407" s="16"/>
    </row>
    <row r="1408" ht="22.5" customHeight="1">
      <c r="A1408" s="138" t="s">
        <v>1000</v>
      </c>
      <c r="B1408" s="16" t="str">
        <f>IF(A1408="","",IFERROR(VLOOKUP(A1408, Stock_New!A:M, 2, FALSE),""))</f>
        <v>بوتات</v>
      </c>
      <c r="C1408" s="236">
        <v>3.0</v>
      </c>
      <c r="D1408" s="16" t="str">
        <f>IF(A1408="","",IFERROR(VLOOKUP(A1408, Stock_New!A:M, 3, FALSE),""))</f>
        <v>شركة حسين علي</v>
      </c>
      <c r="E1408" s="16">
        <f>IF($A1408="", "", IFERROR(VLOOKUP($A1408, Stock_New!$A:$M, 6, FALSE), ""))</f>
        <v>13.2</v>
      </c>
      <c r="F1408" s="239">
        <v>25.0</v>
      </c>
      <c r="G1408" s="16"/>
      <c r="H1408" s="33">
        <v>75.0</v>
      </c>
      <c r="I1408" s="238">
        <v>46168.0</v>
      </c>
      <c r="J1408" s="5" t="s">
        <v>72</v>
      </c>
      <c r="K1408" s="5" t="s">
        <v>4232</v>
      </c>
      <c r="L1408" s="16"/>
      <c r="M1408" s="19"/>
      <c r="N1408" s="16"/>
      <c r="O1408" s="16"/>
      <c r="P1408" s="16"/>
    </row>
    <row r="1409" ht="22.5" customHeight="1">
      <c r="A1409" s="138" t="s">
        <v>412</v>
      </c>
      <c r="B1409" s="16" t="str">
        <f>IF(A1409="","",IFERROR(VLOOKUP(A1409, Stock_New!A:M, 2, FALSE),""))</f>
        <v>سيلفرات</v>
      </c>
      <c r="C1409" s="236">
        <v>1.0</v>
      </c>
      <c r="D1409" s="16" t="str">
        <f>IF(A1409="","",IFERROR(VLOOKUP(A1409, Stock_New!A:M, 3, FALSE),""))</f>
        <v>ذكريا</v>
      </c>
      <c r="E1409" s="16">
        <f>IF($A1409="", "", IFERROR(VLOOKUP($A1409, Stock_New!$A:$M, 6, FALSE), ""))</f>
        <v>234</v>
      </c>
      <c r="F1409" s="239">
        <v>250.0</v>
      </c>
      <c r="G1409" s="16"/>
      <c r="H1409" s="33">
        <v>250.0</v>
      </c>
      <c r="I1409" s="238">
        <v>46168.0</v>
      </c>
      <c r="J1409" s="5" t="s">
        <v>72</v>
      </c>
      <c r="K1409" s="5" t="s">
        <v>4234</v>
      </c>
      <c r="L1409" s="16"/>
      <c r="M1409" s="19"/>
      <c r="N1409" s="16"/>
      <c r="O1409" s="16"/>
      <c r="P1409" s="16"/>
    </row>
    <row r="1410" ht="22.5" customHeight="1">
      <c r="A1410" s="138" t="s">
        <v>245</v>
      </c>
      <c r="B1410" s="16" t="str">
        <f>IF(A1410="","",IFERROR(VLOOKUP(A1410, Stock_New!A:M, 2, FALSE),""))</f>
        <v>ورد لحدة</v>
      </c>
      <c r="C1410" s="236">
        <v>1.0</v>
      </c>
      <c r="D1410" s="16" t="str">
        <f>IF(A1410="","",IFERROR(VLOOKUP(A1410, Stock_New!A:M, 3, FALSE),""))</f>
        <v>شركة حسين علي</v>
      </c>
      <c r="E1410" s="16">
        <f>IF($A1410="", "", IFERROR(VLOOKUP($A1410, Stock_New!$A:$M, 6, FALSE), ""))</f>
        <v>180</v>
      </c>
      <c r="F1410" s="239">
        <v>190.0</v>
      </c>
      <c r="G1410" s="16"/>
      <c r="H1410" s="33">
        <v>190.0</v>
      </c>
      <c r="I1410" s="238">
        <v>46168.0</v>
      </c>
      <c r="J1410" s="5" t="s">
        <v>72</v>
      </c>
      <c r="K1410" s="5" t="s">
        <v>4236</v>
      </c>
      <c r="L1410" s="16"/>
      <c r="M1410" s="19"/>
      <c r="N1410" s="16"/>
      <c r="O1410" s="16"/>
      <c r="P1410" s="16"/>
    </row>
    <row r="1411" ht="22.5" customHeight="1">
      <c r="A1411" s="138" t="s">
        <v>252</v>
      </c>
      <c r="B1411" s="16" t="str">
        <f>IF(A1411="","",IFERROR(VLOOKUP(A1411, Stock_New!A:M, 2, FALSE),""))</f>
        <v>ريش</v>
      </c>
      <c r="C1411" s="236">
        <v>4.0</v>
      </c>
      <c r="D1411" s="16" t="str">
        <f>IF(A1411="","",IFERROR(VLOOKUP(A1411, Stock_New!A:M, 3, FALSE),""))</f>
        <v>شركة حسين علي</v>
      </c>
      <c r="E1411" s="16">
        <f>IF($A1411="", "", IFERROR(VLOOKUP($A1411, Stock_New!$A:$M, 6, FALSE), ""))</f>
        <v>18</v>
      </c>
      <c r="F1411" s="239">
        <v>20.0</v>
      </c>
      <c r="G1411" s="16"/>
      <c r="H1411" s="33">
        <v>80.0</v>
      </c>
      <c r="I1411" s="238">
        <v>46168.0</v>
      </c>
      <c r="J1411" s="5" t="s">
        <v>72</v>
      </c>
      <c r="K1411" s="5" t="s">
        <v>4240</v>
      </c>
      <c r="L1411" s="16"/>
      <c r="M1411" s="19"/>
      <c r="N1411" s="16"/>
      <c r="O1411" s="16"/>
      <c r="P1411" s="16"/>
    </row>
    <row r="1412" ht="22.5" customHeight="1">
      <c r="A1412" s="138" t="s">
        <v>1067</v>
      </c>
      <c r="B1412" s="16" t="str">
        <f>IF(A1412="","",IFERROR(VLOOKUP(A1412, Stock_New!A:M, 2, FALSE),""))</f>
        <v>بوكيه</v>
      </c>
      <c r="C1412" s="236">
        <f>5/18</f>
        <v>0.2777777778</v>
      </c>
      <c r="D1412" s="16" t="str">
        <f>IF(A1412="","",IFERROR(VLOOKUP(A1412, Stock_New!A:M, 3, FALSE),""))</f>
        <v>شركة حسين علي</v>
      </c>
      <c r="E1412" s="16">
        <f>IF($A1412="", "", IFERROR(VLOOKUP($A1412, Stock_New!$A:$M, 6, FALSE), ""))</f>
        <v>78</v>
      </c>
      <c r="F1412" s="239">
        <v>180.0</v>
      </c>
      <c r="G1412" s="16"/>
      <c r="H1412" s="33">
        <v>50.0</v>
      </c>
      <c r="I1412" s="238">
        <v>46168.0</v>
      </c>
      <c r="J1412" s="5" t="s">
        <v>72</v>
      </c>
      <c r="K1412" s="5" t="s">
        <v>4242</v>
      </c>
      <c r="L1412" s="16"/>
      <c r="M1412" s="19"/>
      <c r="N1412" s="16"/>
      <c r="O1412" s="16"/>
      <c r="P1412" s="16"/>
    </row>
    <row r="1413" ht="22.5" customHeight="1">
      <c r="A1413" s="138" t="s">
        <v>920</v>
      </c>
      <c r="B1413" s="16" t="str">
        <f>IF(A1413="","",IFERROR(VLOOKUP(A1413, Stock_New!A:M, 2, FALSE),""))</f>
        <v>ديكور مكتب</v>
      </c>
      <c r="C1413" s="236">
        <v>1.0</v>
      </c>
      <c r="D1413" s="16" t="str">
        <f>IF(A1413="","",IFERROR(VLOOKUP(A1413, Stock_New!A:M, 3, FALSE),""))</f>
        <v>شركة علاء شاكر</v>
      </c>
      <c r="E1413" s="16">
        <f>IF($A1413="", "", IFERROR(VLOOKUP($A1413, Stock_New!$A:$M, 6, FALSE), ""))</f>
        <v>156</v>
      </c>
      <c r="F1413" s="239">
        <v>170.0</v>
      </c>
      <c r="G1413" s="16"/>
      <c r="H1413" s="33">
        <v>170.0</v>
      </c>
      <c r="I1413" s="238">
        <v>46168.0</v>
      </c>
      <c r="J1413" s="5" t="s">
        <v>72</v>
      </c>
      <c r="K1413" s="5" t="s">
        <v>4245</v>
      </c>
      <c r="L1413" s="16"/>
      <c r="M1413" s="19"/>
      <c r="N1413" s="16"/>
      <c r="O1413" s="16"/>
      <c r="P1413" s="16"/>
    </row>
    <row r="1414" ht="22.5" customHeight="1">
      <c r="A1414" s="138" t="s">
        <v>412</v>
      </c>
      <c r="B1414" s="16" t="str">
        <f>IF(A1414="","",IFERROR(VLOOKUP(A1414, Stock_New!A:M, 2, FALSE),""))</f>
        <v>سيلفرات</v>
      </c>
      <c r="C1414" s="236">
        <v>1.0</v>
      </c>
      <c r="D1414" s="16" t="str">
        <f>IF(A1414="","",IFERROR(VLOOKUP(A1414, Stock_New!A:M, 3, FALSE),""))</f>
        <v>ذكريا</v>
      </c>
      <c r="E1414" s="16">
        <f>IF($A1414="", "", IFERROR(VLOOKUP($A1414, Stock_New!$A:$M, 6, FALSE), ""))</f>
        <v>234</v>
      </c>
      <c r="F1414" s="239">
        <v>240.0</v>
      </c>
      <c r="G1414" s="16"/>
      <c r="H1414" s="33">
        <v>240.0</v>
      </c>
      <c r="I1414" s="238">
        <v>46168.0</v>
      </c>
      <c r="J1414" s="5" t="s">
        <v>72</v>
      </c>
      <c r="K1414" s="5" t="s">
        <v>4247</v>
      </c>
      <c r="L1414" s="16"/>
      <c r="M1414" s="19"/>
      <c r="N1414" s="16"/>
      <c r="O1414" s="16"/>
      <c r="P1414" s="16"/>
    </row>
    <row r="1415" ht="22.5" customHeight="1">
      <c r="A1415" s="138" t="s">
        <v>245</v>
      </c>
      <c r="B1415" s="16" t="str">
        <f>IF(A1415="","",IFERROR(VLOOKUP(A1415, Stock_New!A:M, 2, FALSE),""))</f>
        <v>ورد لحدة</v>
      </c>
      <c r="C1415" s="236">
        <v>1.0</v>
      </c>
      <c r="D1415" s="16" t="str">
        <f>IF(A1415="","",IFERROR(VLOOKUP(A1415, Stock_New!A:M, 3, FALSE),""))</f>
        <v>شركة حسين علي</v>
      </c>
      <c r="E1415" s="16">
        <f>IF($A1415="", "", IFERROR(VLOOKUP($A1415, Stock_New!$A:$M, 6, FALSE), ""))</f>
        <v>180</v>
      </c>
      <c r="F1415" s="239">
        <v>190.0</v>
      </c>
      <c r="G1415" s="16"/>
      <c r="H1415" s="33">
        <v>190.0</v>
      </c>
      <c r="I1415" s="238">
        <v>46168.0</v>
      </c>
      <c r="J1415" s="5" t="s">
        <v>72</v>
      </c>
      <c r="K1415" s="5" t="s">
        <v>4249</v>
      </c>
      <c r="L1415" s="16"/>
      <c r="M1415" s="19"/>
      <c r="N1415" s="16"/>
      <c r="O1415" s="16"/>
      <c r="P1415" s="16"/>
    </row>
    <row r="1416" ht="22.5" customHeight="1">
      <c r="A1416" s="138" t="s">
        <v>252</v>
      </c>
      <c r="B1416" s="16" t="str">
        <f>IF(A1416="","",IFERROR(VLOOKUP(A1416, Stock_New!A:M, 2, FALSE),""))</f>
        <v>ريش</v>
      </c>
      <c r="C1416" s="236">
        <v>4.0</v>
      </c>
      <c r="D1416" s="16" t="str">
        <f>IF(A1416="","",IFERROR(VLOOKUP(A1416, Stock_New!A:M, 3, FALSE),""))</f>
        <v>شركة حسين علي</v>
      </c>
      <c r="E1416" s="16">
        <f>IF($A1416="", "", IFERROR(VLOOKUP($A1416, Stock_New!$A:$M, 6, FALSE), ""))</f>
        <v>18</v>
      </c>
      <c r="F1416" s="239">
        <v>20.0</v>
      </c>
      <c r="G1416" s="16"/>
      <c r="H1416" s="33">
        <v>80.0</v>
      </c>
      <c r="I1416" s="238">
        <v>46168.0</v>
      </c>
      <c r="J1416" s="5" t="s">
        <v>72</v>
      </c>
      <c r="K1416" s="5" t="s">
        <v>4251</v>
      </c>
      <c r="L1416" s="16"/>
      <c r="M1416" s="19"/>
      <c r="N1416" s="16"/>
      <c r="O1416" s="16"/>
      <c r="P1416" s="16"/>
    </row>
    <row r="1417" ht="22.5" customHeight="1">
      <c r="A1417" s="138" t="s">
        <v>363</v>
      </c>
      <c r="B1417" s="16" t="str">
        <f>IF(A1417="","",IFERROR(VLOOKUP(A1417, Stock_New!A:M, 2, FALSE),""))</f>
        <v>ورد لوحدة</v>
      </c>
      <c r="C1417" s="236">
        <f>4/18</f>
        <v>0.2222222222</v>
      </c>
      <c r="D1417" s="16" t="str">
        <f>IF(A1417="","",IFERROR(VLOOKUP(A1417, Stock_New!A:M, 3, FALSE),""))</f>
        <v>شركة الفرسان</v>
      </c>
      <c r="E1417" s="16">
        <f>IF($A1417="", "", IFERROR(VLOOKUP($A1417, Stock_New!$A:$M, 6, FALSE), ""))</f>
        <v>132</v>
      </c>
      <c r="F1417" s="239">
        <v>180.0</v>
      </c>
      <c r="G1417" s="16"/>
      <c r="H1417" s="33">
        <v>40.0</v>
      </c>
      <c r="I1417" s="238">
        <v>46168.0</v>
      </c>
      <c r="J1417" s="5" t="s">
        <v>72</v>
      </c>
      <c r="K1417" s="5" t="s">
        <v>4253</v>
      </c>
      <c r="L1417" s="16"/>
      <c r="M1417" s="19"/>
      <c r="N1417" s="16"/>
      <c r="O1417" s="16"/>
      <c r="P1417" s="16"/>
    </row>
    <row r="1418" ht="22.5" customHeight="1">
      <c r="A1418" s="138" t="s">
        <v>298</v>
      </c>
      <c r="B1418" s="16" t="str">
        <f>IF(A1418="","",IFERROR(VLOOKUP(A1418, Stock_New!A:M, 2, FALSE),""))</f>
        <v>سيلفرات</v>
      </c>
      <c r="C1418" s="236">
        <v>1.0</v>
      </c>
      <c r="D1418" s="16" t="str">
        <f>IF(A1418="","",IFERROR(VLOOKUP(A1418, Stock_New!A:M, 3, FALSE),""))</f>
        <v>سنتر محمد رشدي</v>
      </c>
      <c r="E1418" s="16">
        <f>IF($A1418="", "", IFERROR(VLOOKUP($A1418, Stock_New!$A:$M, 6, FALSE), ""))</f>
        <v>348</v>
      </c>
      <c r="F1418" s="239">
        <v>400.0</v>
      </c>
      <c r="G1418" s="16"/>
      <c r="H1418" s="33">
        <v>400.0</v>
      </c>
      <c r="I1418" s="238">
        <v>46168.0</v>
      </c>
      <c r="J1418" s="5" t="s">
        <v>72</v>
      </c>
      <c r="K1418" s="5" t="s">
        <v>4258</v>
      </c>
      <c r="L1418" s="16"/>
      <c r="M1418" s="19"/>
      <c r="N1418" s="16"/>
      <c r="O1418" s="16"/>
      <c r="P1418" s="16"/>
    </row>
    <row r="1419" ht="22.5" customHeight="1">
      <c r="A1419" s="138" t="s">
        <v>144</v>
      </c>
      <c r="B1419" s="16" t="str">
        <f>IF(A1419="","",IFERROR(VLOOKUP(A1419, Stock_New!A:M, 2, FALSE),""))</f>
        <v>كهربائيات</v>
      </c>
      <c r="C1419" s="236">
        <v>1.0</v>
      </c>
      <c r="D1419" s="16" t="str">
        <f>IF(A1419="","",IFERROR(VLOOKUP(A1419, Stock_New!A:M, 3, FALSE),""))</f>
        <v>شركة البطل</v>
      </c>
      <c r="E1419" s="16">
        <f>IF($A1419="", "", IFERROR(VLOOKUP($A1419, Stock_New!$A:$M, 6, FALSE), ""))</f>
        <v>144</v>
      </c>
      <c r="F1419" s="239">
        <v>170.0</v>
      </c>
      <c r="G1419" s="16"/>
      <c r="H1419" s="33">
        <v>170.0</v>
      </c>
      <c r="I1419" s="238">
        <v>46168.0</v>
      </c>
      <c r="J1419" s="5" t="s">
        <v>72</v>
      </c>
      <c r="K1419" s="5" t="s">
        <v>4265</v>
      </c>
      <c r="L1419" s="16"/>
      <c r="M1419" s="19"/>
      <c r="N1419" s="16"/>
      <c r="O1419" s="16"/>
      <c r="P1419" s="16"/>
    </row>
    <row r="1420" ht="22.5" customHeight="1">
      <c r="A1420" s="69" t="s">
        <v>1174</v>
      </c>
      <c r="B1420" s="16" t="str">
        <f>IF(A1420="","",IFERROR(VLOOKUP(A1420, Stock_New!A:M, 2, FALSE),""))</f>
        <v>ديكور مكتب</v>
      </c>
      <c r="C1420" s="236">
        <v>1.0</v>
      </c>
      <c r="D1420" s="16" t="str">
        <f>IF(A1420="","",IFERROR(VLOOKUP(A1420, Stock_New!A:M, 3, FALSE),""))</f>
        <v>محمد رشدي</v>
      </c>
      <c r="E1420" s="16">
        <f>IF($A1420="", "", IFERROR(VLOOKUP($A1420, Stock_New!$A:$M, 6, FALSE), ""))</f>
        <v>105.6</v>
      </c>
      <c r="F1420" s="239">
        <v>135.0</v>
      </c>
      <c r="G1420" s="16"/>
      <c r="H1420" s="33">
        <v>135.0</v>
      </c>
      <c r="I1420" s="238">
        <v>46168.0</v>
      </c>
      <c r="J1420" s="5" t="s">
        <v>72</v>
      </c>
      <c r="K1420" s="5" t="s">
        <v>4267</v>
      </c>
      <c r="L1420" s="16"/>
      <c r="M1420" s="19"/>
      <c r="N1420" s="16"/>
      <c r="O1420" s="16"/>
      <c r="P1420" s="16"/>
    </row>
    <row r="1421" ht="22.5" customHeight="1">
      <c r="A1421" s="138" t="s">
        <v>306</v>
      </c>
      <c r="B1421" s="16" t="str">
        <f>IF(A1421="","",IFERROR(VLOOKUP(A1421, Stock_New!A:M, 2, FALSE),""))</f>
        <v>ورد لوحدة</v>
      </c>
      <c r="C1421" s="236">
        <v>4.0</v>
      </c>
      <c r="D1421" s="16" t="str">
        <f>IF(A1421="","",IFERROR(VLOOKUP(A1421, Stock_New!A:M, 3, FALSE),""))</f>
        <v>شركة الفرسان</v>
      </c>
      <c r="E1421" s="16">
        <f>IF($A1421="", "", IFERROR(VLOOKUP($A1421, Stock_New!$A:$M, 6, FALSE), ""))</f>
        <v>11</v>
      </c>
      <c r="F1421" s="239">
        <v>20.0</v>
      </c>
      <c r="G1421" s="16"/>
      <c r="H1421" s="33">
        <v>80.0</v>
      </c>
      <c r="I1421" s="238">
        <v>46168.0</v>
      </c>
      <c r="J1421" s="5" t="s">
        <v>72</v>
      </c>
      <c r="K1421" s="5" t="s">
        <v>4271</v>
      </c>
      <c r="L1421" s="16"/>
      <c r="M1421" s="19"/>
      <c r="N1421" s="16"/>
      <c r="O1421" s="16"/>
      <c r="P1421" s="16"/>
    </row>
    <row r="1422" ht="22.5" customHeight="1">
      <c r="A1422" s="138" t="s">
        <v>142</v>
      </c>
      <c r="B1422" s="16" t="str">
        <f>IF(A1422="","",IFERROR(VLOOKUP(A1422, Stock_New!A:M, 2, FALSE),""))</f>
        <v>شجر</v>
      </c>
      <c r="C1422" s="236">
        <v>1.0</v>
      </c>
      <c r="D1422" s="16" t="str">
        <f>IF(A1422="","",IFERROR(VLOOKUP(A1422, Stock_New!A:M, 3, FALSE),""))</f>
        <v>شركة الفرسان</v>
      </c>
      <c r="E1422" s="16">
        <f>IF($A1422="", "", IFERROR(VLOOKUP($A1422, Stock_New!$A:$M, 6, FALSE), ""))</f>
        <v>360</v>
      </c>
      <c r="F1422" s="239">
        <v>375.0</v>
      </c>
      <c r="G1422" s="16"/>
      <c r="H1422" s="33">
        <v>375.0</v>
      </c>
      <c r="I1422" s="238">
        <v>46168.0</v>
      </c>
      <c r="J1422" s="5" t="s">
        <v>72</v>
      </c>
      <c r="K1422" s="5" t="s">
        <v>4273</v>
      </c>
      <c r="L1422" s="16"/>
      <c r="M1422" s="19"/>
      <c r="N1422" s="16"/>
      <c r="O1422" s="16"/>
      <c r="P1422" s="16"/>
    </row>
    <row r="1423" ht="22.5" customHeight="1">
      <c r="A1423" s="138" t="s">
        <v>151</v>
      </c>
      <c r="B1423" s="16" t="str">
        <f>IF(A1423="","",IFERROR(VLOOKUP(A1423, Stock_New!A:M, 2, FALSE),""))</f>
        <v>بوتات</v>
      </c>
      <c r="C1423" s="236">
        <v>1.0</v>
      </c>
      <c r="D1423" s="16" t="str">
        <f>IF(A1423="","",IFERROR(VLOOKUP(A1423, Stock_New!A:M, 3, FALSE),""))</f>
        <v>عبدالفتاح</v>
      </c>
      <c r="E1423" s="16">
        <f>IF($A1423="", "", IFERROR(VLOOKUP($A1423, Stock_New!$A:$M, 6, FALSE), ""))</f>
        <v>78</v>
      </c>
      <c r="F1423" s="239">
        <v>75.0</v>
      </c>
      <c r="G1423" s="16"/>
      <c r="H1423" s="33">
        <v>75.0</v>
      </c>
      <c r="I1423" s="238">
        <v>46168.0</v>
      </c>
      <c r="J1423" s="5" t="s">
        <v>72</v>
      </c>
      <c r="K1423" s="5" t="s">
        <v>4277</v>
      </c>
      <c r="L1423" s="16"/>
      <c r="M1423" s="19"/>
      <c r="N1423" s="16"/>
      <c r="O1423" s="16"/>
      <c r="P1423" s="16"/>
    </row>
    <row r="1424" ht="22.5" customHeight="1">
      <c r="A1424" s="138" t="s">
        <v>596</v>
      </c>
      <c r="B1424" s="16" t="str">
        <f>IF(A1424="","",IFERROR(VLOOKUP(A1424, Stock_New!A:M, 2, FALSE),""))</f>
        <v>مروحة</v>
      </c>
      <c r="C1424" s="236">
        <v>2.0</v>
      </c>
      <c r="D1424" s="16" t="str">
        <f>IF(A1424="","",IFERROR(VLOOKUP(A1424, Stock_New!A:M, 3, FALSE),""))</f>
        <v>سنتر محمد رشدي</v>
      </c>
      <c r="E1424" s="16">
        <f>IF($A1424="", "", IFERROR(VLOOKUP($A1424, Stock_New!$A:$M, 6, FALSE), ""))</f>
        <v>21.5</v>
      </c>
      <c r="F1424" s="239">
        <v>30.0</v>
      </c>
      <c r="G1424" s="16"/>
      <c r="H1424" s="33">
        <v>60.0</v>
      </c>
      <c r="I1424" s="238">
        <v>46168.0</v>
      </c>
      <c r="J1424" s="5" t="s">
        <v>72</v>
      </c>
      <c r="K1424" s="5" t="s">
        <v>4281</v>
      </c>
      <c r="L1424" s="16"/>
      <c r="M1424" s="19"/>
      <c r="N1424" s="16"/>
      <c r="O1424" s="16"/>
      <c r="P1424" s="16"/>
    </row>
    <row r="1425" ht="22.5" customHeight="1">
      <c r="A1425" s="138" t="s">
        <v>309</v>
      </c>
      <c r="B1425" s="16" t="str">
        <f>IF(A1425="","",IFERROR(VLOOKUP(A1425, Stock_New!A:M, 2, FALSE),""))</f>
        <v>بوتات</v>
      </c>
      <c r="C1425" s="236">
        <v>2.0</v>
      </c>
      <c r="D1425" s="16" t="str">
        <f>IF(A1425="","",IFERROR(VLOOKUP(A1425, Stock_New!A:M, 3, FALSE),""))</f>
        <v>شركة حسين علي</v>
      </c>
      <c r="E1425" s="16">
        <f>IF($A1425="", "", IFERROR(VLOOKUP($A1425, Stock_New!$A:$M, 6, FALSE), ""))</f>
        <v>24</v>
      </c>
      <c r="F1425" s="239">
        <v>50.0</v>
      </c>
      <c r="G1425" s="16"/>
      <c r="H1425" s="33">
        <v>100.0</v>
      </c>
      <c r="I1425" s="238">
        <v>46168.0</v>
      </c>
      <c r="J1425" s="5" t="s">
        <v>72</v>
      </c>
      <c r="K1425" s="5" t="s">
        <v>4283</v>
      </c>
      <c r="L1425" s="16"/>
      <c r="M1425" s="19"/>
      <c r="N1425" s="16"/>
      <c r="O1425" s="16"/>
      <c r="P1425" s="16"/>
    </row>
    <row r="1426" ht="22.5" customHeight="1">
      <c r="A1426" s="138" t="s">
        <v>1175</v>
      </c>
      <c r="B1426" s="16" t="str">
        <f>IF(A1426="","",IFERROR(VLOOKUP(A1426, Stock_New!A:M, 2, FALSE),""))</f>
        <v>ورق شجر</v>
      </c>
      <c r="C1426" s="236">
        <f>6/12</f>
        <v>0.5</v>
      </c>
      <c r="D1426" s="16" t="str">
        <f>IF(A1426="","",IFERROR(VLOOKUP(A1426, Stock_New!A:M, 3, FALSE),""))</f>
        <v>شركة علاء شاكر</v>
      </c>
      <c r="E1426" s="16">
        <f>IF($A1426="", "", IFERROR(VLOOKUP($A1426, Stock_New!$A:$M, 6, FALSE), ""))</f>
        <v>90</v>
      </c>
      <c r="F1426" s="239">
        <v>160.0</v>
      </c>
      <c r="G1426" s="16"/>
      <c r="H1426" s="33">
        <v>80.0</v>
      </c>
      <c r="I1426" s="238">
        <v>46168.0</v>
      </c>
      <c r="J1426" s="5" t="s">
        <v>72</v>
      </c>
      <c r="K1426" s="5" t="s">
        <v>4285</v>
      </c>
      <c r="L1426" s="16"/>
      <c r="M1426" s="19"/>
      <c r="N1426" s="16"/>
      <c r="O1426" s="16"/>
      <c r="P1426" s="16"/>
    </row>
    <row r="1427" ht="22.5" customHeight="1">
      <c r="A1427" s="138" t="s">
        <v>500</v>
      </c>
      <c r="B1427" s="16" t="str">
        <f>IF(A1427="","",IFERROR(VLOOKUP(A1427, Stock_New!A:M, 2, FALSE),""))</f>
        <v>ورد لوحدة</v>
      </c>
      <c r="C1427" s="236">
        <v>1.0</v>
      </c>
      <c r="D1427" s="16" t="str">
        <f>IF(A1427="","",IFERROR(VLOOKUP(A1427, Stock_New!A:M, 3, FALSE),""))</f>
        <v>شركة الفرسان</v>
      </c>
      <c r="E1427" s="16">
        <f>IF($A1427="", "", IFERROR(VLOOKUP($A1427, Stock_New!$A:$M, 6, FALSE), ""))</f>
        <v>150</v>
      </c>
      <c r="F1427" s="239">
        <v>155.0</v>
      </c>
      <c r="G1427" s="16"/>
      <c r="H1427" s="33">
        <v>155.0</v>
      </c>
      <c r="I1427" s="238">
        <v>46168.0</v>
      </c>
      <c r="J1427" s="5" t="s">
        <v>72</v>
      </c>
      <c r="K1427" s="5" t="s">
        <v>4289</v>
      </c>
      <c r="L1427" s="16"/>
      <c r="M1427" s="19"/>
      <c r="N1427" s="16"/>
      <c r="O1427" s="16"/>
      <c r="P1427" s="16"/>
    </row>
    <row r="1428" ht="22.5" customHeight="1">
      <c r="A1428" s="138" t="s">
        <v>1067</v>
      </c>
      <c r="B1428" s="16" t="str">
        <f>IF(A1428="","",IFERROR(VLOOKUP(A1428, Stock_New!A:M, 2, FALSE),""))</f>
        <v>بوكيه</v>
      </c>
      <c r="C1428" s="236">
        <f>4/12</f>
        <v>0.3333333333</v>
      </c>
      <c r="D1428" s="16" t="str">
        <f>IF(A1428="","",IFERROR(VLOOKUP(A1428, Stock_New!A:M, 3, FALSE),""))</f>
        <v>شركة حسين علي</v>
      </c>
      <c r="E1428" s="16">
        <f>IF($A1428="", "", IFERROR(VLOOKUP($A1428, Stock_New!$A:$M, 6, FALSE), ""))</f>
        <v>78</v>
      </c>
      <c r="F1428" s="239">
        <v>90.0</v>
      </c>
      <c r="G1428" s="16"/>
      <c r="H1428" s="33">
        <v>30.0</v>
      </c>
      <c r="I1428" s="238">
        <v>46168.0</v>
      </c>
      <c r="J1428" s="5" t="s">
        <v>72</v>
      </c>
      <c r="K1428" s="5" t="s">
        <v>4290</v>
      </c>
      <c r="L1428" s="16"/>
      <c r="M1428" s="19"/>
      <c r="N1428" s="16"/>
      <c r="O1428" s="16"/>
      <c r="P1428" s="16"/>
    </row>
    <row r="1429" ht="22.5" customHeight="1">
      <c r="A1429" s="138" t="s">
        <v>309</v>
      </c>
      <c r="B1429" s="16" t="str">
        <f>IF(A1429="","",IFERROR(VLOOKUP(A1429, Stock_New!A:M, 2, FALSE),""))</f>
        <v>بوتات</v>
      </c>
      <c r="C1429" s="236">
        <v>1.0</v>
      </c>
      <c r="D1429" s="16" t="str">
        <f>IF(A1429="","",IFERROR(VLOOKUP(A1429, Stock_New!A:M, 3, FALSE),""))</f>
        <v>شركة حسين علي</v>
      </c>
      <c r="E1429" s="16">
        <f>IF($A1429="", "", IFERROR(VLOOKUP($A1429, Stock_New!$A:$M, 6, FALSE), ""))</f>
        <v>24</v>
      </c>
      <c r="F1429" s="239">
        <v>35.0</v>
      </c>
      <c r="G1429" s="16"/>
      <c r="H1429" s="33">
        <v>35.0</v>
      </c>
      <c r="I1429" s="238">
        <v>46168.0</v>
      </c>
      <c r="J1429" s="5" t="s">
        <v>72</v>
      </c>
      <c r="K1429" s="5" t="s">
        <v>4292</v>
      </c>
      <c r="L1429" s="16"/>
      <c r="M1429" s="19"/>
      <c r="N1429" s="16"/>
      <c r="O1429" s="16"/>
      <c r="P1429" s="16"/>
    </row>
    <row r="1430" ht="22.5" customHeight="1">
      <c r="A1430" s="138" t="s">
        <v>1173</v>
      </c>
      <c r="B1430" s="16" t="str">
        <f>IF(A1430="","",IFERROR(VLOOKUP(A1430, Stock_New!A:M, 2, FALSE),""))</f>
        <v>ورد لوحدة</v>
      </c>
      <c r="C1430" s="236">
        <v>1.0</v>
      </c>
      <c r="D1430" s="16" t="str">
        <f>IF(A1430="","",IFERROR(VLOOKUP(A1430, Stock_New!A:M, 3, FALSE),""))</f>
        <v>شركة الفرسان للاستيراد والتصدير</v>
      </c>
      <c r="E1430" s="16">
        <f>IF($A1430="", "", IFERROR(VLOOKUP($A1430, Stock_New!$A:$M, 6, FALSE), ""))</f>
        <v>66</v>
      </c>
      <c r="F1430" s="239">
        <v>75.0</v>
      </c>
      <c r="G1430" s="16"/>
      <c r="H1430" s="33">
        <v>75.0</v>
      </c>
      <c r="I1430" s="238">
        <v>46168.0</v>
      </c>
      <c r="J1430" s="5" t="s">
        <v>72</v>
      </c>
      <c r="K1430" s="5" t="s">
        <v>4294</v>
      </c>
      <c r="L1430" s="16"/>
      <c r="M1430" s="19"/>
      <c r="N1430" s="16"/>
      <c r="O1430" s="16"/>
      <c r="P1430" s="16"/>
    </row>
    <row r="1431" ht="22.5" customHeight="1">
      <c r="A1431" s="138" t="s">
        <v>363</v>
      </c>
      <c r="B1431" s="16" t="str">
        <f>IF(A1431="","",IFERROR(VLOOKUP(A1431, Stock_New!A:M, 2, FALSE),""))</f>
        <v>ورد لوحدة</v>
      </c>
      <c r="C1431" s="236">
        <f>4/18</f>
        <v>0.2222222222</v>
      </c>
      <c r="D1431" s="16" t="str">
        <f>IF(A1431="","",IFERROR(VLOOKUP(A1431, Stock_New!A:M, 3, FALSE),""))</f>
        <v>شركة الفرسان</v>
      </c>
      <c r="E1431" s="16">
        <f>IF($A1431="", "", IFERROR(VLOOKUP($A1431, Stock_New!$A:$M, 6, FALSE), ""))</f>
        <v>132</v>
      </c>
      <c r="F1431" s="239">
        <v>180.0</v>
      </c>
      <c r="G1431" s="16"/>
      <c r="H1431" s="33">
        <v>40.0</v>
      </c>
      <c r="I1431" s="238">
        <v>46168.0</v>
      </c>
      <c r="J1431" s="5" t="s">
        <v>72</v>
      </c>
      <c r="K1431" s="5" t="s">
        <v>4296</v>
      </c>
      <c r="L1431" s="16"/>
      <c r="M1431" s="19"/>
      <c r="N1431" s="16"/>
      <c r="O1431" s="16"/>
      <c r="P1431" s="16"/>
    </row>
    <row r="1432" ht="22.5" customHeight="1">
      <c r="A1432" s="138" t="s">
        <v>395</v>
      </c>
      <c r="B1432" s="16" t="str">
        <f>IF(A1432="","",IFERROR(VLOOKUP(A1432, Stock_New!A:M, 2, FALSE),""))</f>
        <v>ورد لوحدة</v>
      </c>
      <c r="C1432" s="236">
        <f>2/12</f>
        <v>0.1666666667</v>
      </c>
      <c r="D1432" s="16" t="str">
        <f>IF(A1432="","",IFERROR(VLOOKUP(A1432, Stock_New!A:M, 3, FALSE),""))</f>
        <v>شركة حسين علي</v>
      </c>
      <c r="E1432" s="16">
        <f>IF($A1432="", "", IFERROR(VLOOKUP($A1432, Stock_New!$A:$M, 6, FALSE), ""))</f>
        <v>60</v>
      </c>
      <c r="F1432" s="239">
        <v>90.0</v>
      </c>
      <c r="G1432" s="16"/>
      <c r="H1432" s="33">
        <v>15.0</v>
      </c>
      <c r="I1432" s="238">
        <v>46168.0</v>
      </c>
      <c r="J1432" s="5" t="s">
        <v>72</v>
      </c>
      <c r="K1432" s="5" t="s">
        <v>4298</v>
      </c>
      <c r="L1432" s="16"/>
      <c r="M1432" s="19"/>
      <c r="N1432" s="16"/>
      <c r="O1432" s="16"/>
      <c r="P1432" s="16"/>
    </row>
    <row r="1433" ht="22.5" customHeight="1">
      <c r="A1433" s="138" t="s">
        <v>609</v>
      </c>
      <c r="B1433" s="16" t="str">
        <f>IF(A1433="","",IFERROR(VLOOKUP(A1433, Stock_New!A:M, 2, FALSE),""))</f>
        <v>سيلفرات</v>
      </c>
      <c r="C1433" s="236">
        <v>1.0</v>
      </c>
      <c r="D1433" s="16" t="str">
        <f>IF(A1433="","",IFERROR(VLOOKUP(A1433, Stock_New!A:M, 3, FALSE),""))</f>
        <v>شركة الهضبة</v>
      </c>
      <c r="E1433" s="16">
        <f>IF($A1433="", "", IFERROR(VLOOKUP($A1433, Stock_New!$A:$M, 6, FALSE), ""))</f>
        <v>204</v>
      </c>
      <c r="F1433" s="239">
        <v>200.0</v>
      </c>
      <c r="G1433" s="16"/>
      <c r="H1433" s="33">
        <v>200.0</v>
      </c>
      <c r="I1433" s="238">
        <v>46168.0</v>
      </c>
      <c r="J1433" s="5" t="s">
        <v>72</v>
      </c>
      <c r="K1433" s="5" t="s">
        <v>4330</v>
      </c>
      <c r="L1433" s="16"/>
      <c r="M1433" s="19"/>
      <c r="N1433" s="16"/>
      <c r="O1433" s="16"/>
      <c r="P1433" s="16"/>
    </row>
    <row r="1434" ht="22.5" customHeight="1">
      <c r="A1434" s="138" t="s">
        <v>303</v>
      </c>
      <c r="B1434" s="16" t="str">
        <f>IF(A1434="","",IFERROR(VLOOKUP(A1434, Stock_New!A:M, 2, FALSE),""))</f>
        <v>ورد لوحدة</v>
      </c>
      <c r="C1434" s="236">
        <v>1.0</v>
      </c>
      <c r="D1434" s="16" t="str">
        <f>IF(A1434="","",IFERROR(VLOOKUP(A1434, Stock_New!A:M, 3, FALSE),""))</f>
        <v>شركة علاء شاكر</v>
      </c>
      <c r="E1434" s="16">
        <f>IF($A1434="", "", IFERROR(VLOOKUP($A1434, Stock_New!$A:$M, 6, FALSE), ""))</f>
        <v>84</v>
      </c>
      <c r="F1434" s="239">
        <v>150.0</v>
      </c>
      <c r="G1434" s="16"/>
      <c r="H1434" s="33">
        <v>150.0</v>
      </c>
      <c r="I1434" s="238">
        <v>46168.0</v>
      </c>
      <c r="J1434" s="5" t="s">
        <v>72</v>
      </c>
      <c r="K1434" s="5" t="s">
        <v>4300</v>
      </c>
      <c r="L1434" s="16"/>
      <c r="M1434" s="19"/>
      <c r="N1434" s="16"/>
      <c r="O1434" s="16"/>
      <c r="P1434" s="16"/>
    </row>
    <row r="1435" ht="22.5" customHeight="1">
      <c r="A1435" s="138" t="s">
        <v>309</v>
      </c>
      <c r="B1435" s="16" t="str">
        <f>IF(A1435="","",IFERROR(VLOOKUP(A1435, Stock_New!A:M, 2, FALSE),""))</f>
        <v>بوتات</v>
      </c>
      <c r="C1435" s="236">
        <v>1.0</v>
      </c>
      <c r="D1435" s="16" t="str">
        <f>IF(A1435="","",IFERROR(VLOOKUP(A1435, Stock_New!A:M, 3, FALSE),""))</f>
        <v>شركة حسين علي</v>
      </c>
      <c r="E1435" s="16">
        <f>IF($A1435="", "", IFERROR(VLOOKUP($A1435, Stock_New!$A:$M, 6, FALSE), ""))</f>
        <v>24</v>
      </c>
      <c r="F1435" s="239">
        <v>50.0</v>
      </c>
      <c r="G1435" s="16"/>
      <c r="H1435" s="33">
        <v>50.0</v>
      </c>
      <c r="I1435" s="238">
        <v>46168.0</v>
      </c>
      <c r="J1435" s="5" t="s">
        <v>72</v>
      </c>
      <c r="K1435" s="5" t="s">
        <v>4302</v>
      </c>
      <c r="L1435" s="16"/>
      <c r="M1435" s="19"/>
      <c r="N1435" s="16"/>
      <c r="O1435" s="16"/>
      <c r="P1435" s="16"/>
    </row>
    <row r="1436" ht="22.5" customHeight="1">
      <c r="A1436" s="138" t="s">
        <v>596</v>
      </c>
      <c r="B1436" s="16" t="str">
        <f>IF(A1436="","",IFERROR(VLOOKUP(A1436, Stock_New!A:M, 2, FALSE),""))</f>
        <v>مروحة</v>
      </c>
      <c r="C1436" s="236">
        <v>1.0</v>
      </c>
      <c r="D1436" s="16" t="str">
        <f>IF(A1436="","",IFERROR(VLOOKUP(A1436, Stock_New!A:M, 3, FALSE),""))</f>
        <v>سنتر محمد رشدي</v>
      </c>
      <c r="E1436" s="16">
        <f>IF($A1436="", "", IFERROR(VLOOKUP($A1436, Stock_New!$A:$M, 6, FALSE), ""))</f>
        <v>21.5</v>
      </c>
      <c r="F1436" s="239">
        <v>30.0</v>
      </c>
      <c r="G1436" s="16"/>
      <c r="H1436" s="33">
        <v>30.0</v>
      </c>
      <c r="I1436" s="238">
        <v>46168.0</v>
      </c>
      <c r="J1436" s="5" t="s">
        <v>72</v>
      </c>
      <c r="K1436" s="5" t="s">
        <v>4304</v>
      </c>
      <c r="L1436" s="16"/>
      <c r="M1436" s="19"/>
      <c r="N1436" s="16"/>
      <c r="O1436" s="16"/>
      <c r="P1436" s="16"/>
    </row>
    <row r="1437" ht="22.5" customHeight="1">
      <c r="A1437" s="138" t="s">
        <v>1173</v>
      </c>
      <c r="B1437" s="16" t="str">
        <f>IF(A1437="","",IFERROR(VLOOKUP(A1437, Stock_New!A:M, 2, FALSE),""))</f>
        <v>ورد لوحدة</v>
      </c>
      <c r="C1437" s="236">
        <f>3/5</f>
        <v>0.6</v>
      </c>
      <c r="D1437" s="16" t="str">
        <f>IF(A1437="","",IFERROR(VLOOKUP(A1437, Stock_New!A:M, 3, FALSE),""))</f>
        <v>شركة الفرسان للاستيراد والتصدير</v>
      </c>
      <c r="E1437" s="16">
        <f>IF($A1437="", "", IFERROR(VLOOKUP($A1437, Stock_New!$A:$M, 6, FALSE), ""))</f>
        <v>66</v>
      </c>
      <c r="F1437" s="239">
        <v>50.0</v>
      </c>
      <c r="G1437" s="16"/>
      <c r="H1437" s="33">
        <v>30.0</v>
      </c>
      <c r="I1437" s="238">
        <v>46168.0</v>
      </c>
      <c r="J1437" s="5" t="s">
        <v>72</v>
      </c>
      <c r="K1437" s="5" t="s">
        <v>4306</v>
      </c>
      <c r="L1437" s="16"/>
      <c r="M1437" s="19"/>
      <c r="N1437" s="16"/>
      <c r="O1437" s="16"/>
      <c r="P1437" s="16"/>
    </row>
    <row r="1438" ht="22.5" customHeight="1">
      <c r="A1438" s="138" t="s">
        <v>1176</v>
      </c>
      <c r="B1438" s="16" t="str">
        <f>IF(A1438="","",IFERROR(VLOOKUP(A1438, Stock_New!A:M, 2, FALSE),""))</f>
        <v>طقم عربيات</v>
      </c>
      <c r="C1438" s="236">
        <v>1.0</v>
      </c>
      <c r="D1438" s="16" t="str">
        <f>IF(A1438="","",IFERROR(VLOOKUP(A1438, Stock_New!A:M, 3, FALSE),""))</f>
        <v>سنتر محمد رشدي</v>
      </c>
      <c r="E1438" s="16">
        <f>IF($A1438="", "", IFERROR(VLOOKUP($A1438, Stock_New!$A:$M, 6, FALSE), ""))</f>
        <v>78</v>
      </c>
      <c r="F1438" s="239">
        <v>110.0</v>
      </c>
      <c r="G1438" s="16"/>
      <c r="H1438" s="33">
        <v>110.0</v>
      </c>
      <c r="I1438" s="238">
        <v>46168.0</v>
      </c>
      <c r="J1438" s="5" t="s">
        <v>72</v>
      </c>
      <c r="K1438" s="5" t="s">
        <v>4307</v>
      </c>
      <c r="L1438" s="16"/>
      <c r="M1438" s="19"/>
      <c r="N1438" s="16"/>
      <c r="O1438" s="16"/>
      <c r="P1438" s="16"/>
    </row>
    <row r="1439" ht="22.5" customHeight="1">
      <c r="A1439" s="138" t="s">
        <v>303</v>
      </c>
      <c r="B1439" s="16" t="str">
        <f>IF(A1439="","",IFERROR(VLOOKUP(A1439, Stock_New!A:M, 2, FALSE),""))</f>
        <v>ورد لوحدة</v>
      </c>
      <c r="C1439" s="236">
        <v>1.0</v>
      </c>
      <c r="D1439" s="16" t="str">
        <f>IF(A1439="","",IFERROR(VLOOKUP(A1439, Stock_New!A:M, 3, FALSE),""))</f>
        <v>شركة علاء شاكر</v>
      </c>
      <c r="E1439" s="16">
        <f>IF($A1439="", "", IFERROR(VLOOKUP($A1439, Stock_New!$A:$M, 6, FALSE), ""))</f>
        <v>84</v>
      </c>
      <c r="F1439" s="239">
        <v>150.0</v>
      </c>
      <c r="G1439" s="16"/>
      <c r="H1439" s="33">
        <f t="shared" ref="H1439:H51292" si="21">F1439*C1439</f>
        <v>150</v>
      </c>
      <c r="I1439" s="238">
        <v>46173.0</v>
      </c>
      <c r="J1439" s="5" t="s">
        <v>782</v>
      </c>
      <c r="K1439" s="5"/>
      <c r="L1439" s="16"/>
      <c r="M1439" s="19"/>
      <c r="N1439" s="16"/>
      <c r="O1439" s="16"/>
      <c r="P1439" s="16"/>
    </row>
    <row r="1440" ht="22.5" customHeight="1">
      <c r="A1440" s="138" t="s">
        <v>309</v>
      </c>
      <c r="B1440" s="16" t="str">
        <f>IF(A1440="","",IFERROR(VLOOKUP(A1440, Stock_New!A:M, 2, FALSE),""))</f>
        <v>بوتات</v>
      </c>
      <c r="C1440" s="236">
        <v>1.0</v>
      </c>
      <c r="D1440" s="16" t="str">
        <f>IF(A1440="","",IFERROR(VLOOKUP(A1440, Stock_New!A:M, 3, FALSE),""))</f>
        <v>شركة حسين علي</v>
      </c>
      <c r="E1440" s="16">
        <f>IF($A1440="", "", IFERROR(VLOOKUP($A1440, Stock_New!$A:$M, 6, FALSE), ""))</f>
        <v>24</v>
      </c>
      <c r="F1440" s="239">
        <v>50.0</v>
      </c>
      <c r="G1440" s="16"/>
      <c r="H1440" s="33">
        <f t="shared" si="21"/>
        <v>50</v>
      </c>
      <c r="I1440" s="238">
        <v>46173.0</v>
      </c>
      <c r="J1440" s="5" t="s">
        <v>782</v>
      </c>
      <c r="K1440" s="5"/>
      <c r="L1440" s="16"/>
      <c r="M1440" s="19"/>
      <c r="N1440" s="16"/>
      <c r="O1440" s="16"/>
      <c r="P1440" s="16"/>
    </row>
  </sheetData>
  <dataValidations>
    <dataValidation type="list" allowBlank="1" showErrorMessage="1" sqref="A2:A67 A69:A88 A90:A96">
      <formula1>#REF!</formula1>
    </dataValidation>
    <dataValidation type="custom" allowBlank="1" showDropDown="1" sqref="C2:C51292">
      <formula1>AND(ISNUMBER(C2),(NOT(OR(NOT(ISERROR(DATEVALUE(C2))), AND(ISNUMBER(C2), LEFT(CELL("format", C2))="D")))))</formula1>
    </dataValidation>
    <dataValidation type="list" allowBlank="1" showDropDown="1" sqref="A2:A51292">
      <formula1>#REF!</formula1>
    </dataValidation>
  </dataValidations>
  <drawing ns1:id="rId1"/>
  <tableParts count="1">
    <tablePart ns1:id="rId3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5"/>
    <col customWidth="1" min="4" max="4" width="16.13"/>
    <col customWidth="1" min="6" max="6" width="33.38"/>
  </cols>
  <sheetData>
    <row r="1" ht="22.5" customHeight="1">
      <c r="A1" s="4" t="s">
        <v>1679</v>
      </c>
      <c r="B1" s="4" t="s">
        <v>1680</v>
      </c>
      <c r="C1" s="4" t="s">
        <v>1681</v>
      </c>
      <c r="D1" s="4" t="s">
        <v>1682</v>
      </c>
      <c r="E1" s="4" t="s">
        <v>1683</v>
      </c>
      <c r="F1" s="4" t="s">
        <v>1684</v>
      </c>
    </row>
    <row r="2" ht="22.5" customHeight="1">
      <c r="A2" s="195">
        <v>45998.01096383102</v>
      </c>
      <c r="B2" s="96" t="s">
        <v>1493</v>
      </c>
      <c r="C2" s="96" t="s">
        <v>1685</v>
      </c>
      <c r="D2" s="96" t="s">
        <v>1686</v>
      </c>
      <c r="E2" s="196">
        <v>210.0</v>
      </c>
      <c r="F2" s="106" t="s">
        <v>1687</v>
      </c>
    </row>
    <row r="3" ht="22.5" customHeight="1">
      <c r="A3" s="195">
        <v>45998.01096383102</v>
      </c>
      <c r="B3" s="96" t="s">
        <v>1493</v>
      </c>
      <c r="C3" s="96" t="s">
        <v>1688</v>
      </c>
      <c r="D3" s="96" t="s">
        <v>1689</v>
      </c>
      <c r="E3" s="196">
        <v>240.0</v>
      </c>
      <c r="F3" s="106" t="s">
        <v>1690</v>
      </c>
    </row>
    <row r="4" ht="22.5" customHeight="1">
      <c r="A4" s="195">
        <v>45998.010964155095</v>
      </c>
      <c r="B4" s="96" t="s">
        <v>1498</v>
      </c>
      <c r="C4" s="96" t="s">
        <v>1685</v>
      </c>
      <c r="D4" s="96" t="s">
        <v>1686</v>
      </c>
      <c r="E4" s="196">
        <v>190.0</v>
      </c>
      <c r="F4" s="106" t="s">
        <v>1691</v>
      </c>
    </row>
    <row r="5" ht="22.5" customHeight="1">
      <c r="A5" s="195">
        <v>45998.010964155095</v>
      </c>
      <c r="B5" s="96" t="s">
        <v>1498</v>
      </c>
      <c r="C5" s="96" t="s">
        <v>1688</v>
      </c>
      <c r="D5" s="96" t="s">
        <v>1689</v>
      </c>
      <c r="E5" s="196">
        <v>150.0</v>
      </c>
      <c r="F5" s="106" t="s">
        <v>1693</v>
      </c>
    </row>
    <row r="6" ht="22.5" customHeight="1">
      <c r="A6" s="195">
        <v>45998.01096458333</v>
      </c>
      <c r="B6" s="96" t="s">
        <v>1505</v>
      </c>
      <c r="C6" s="96" t="s">
        <v>1685</v>
      </c>
      <c r="D6" s="96" t="s">
        <v>1686</v>
      </c>
      <c r="E6" s="196">
        <v>140.0</v>
      </c>
      <c r="F6" s="106" t="s">
        <v>1694</v>
      </c>
    </row>
    <row r="7" ht="22.5" customHeight="1">
      <c r="A7" s="195">
        <v>45998.01096458333</v>
      </c>
      <c r="B7" s="96" t="s">
        <v>1505</v>
      </c>
      <c r="C7" s="96" t="s">
        <v>1688</v>
      </c>
      <c r="D7" s="96" t="s">
        <v>1689</v>
      </c>
      <c r="E7" s="196">
        <v>150.0</v>
      </c>
      <c r="F7" s="106" t="s">
        <v>1695</v>
      </c>
    </row>
    <row r="8" ht="22.5" customHeight="1">
      <c r="A8" s="197">
        <v>45998.01096489583</v>
      </c>
      <c r="B8" s="100" t="s">
        <v>1512</v>
      </c>
      <c r="C8" s="100" t="s">
        <v>1685</v>
      </c>
      <c r="D8" s="100" t="s">
        <v>1686</v>
      </c>
      <c r="E8" s="198">
        <v>135.0</v>
      </c>
      <c r="F8" s="199" t="s">
        <v>1696</v>
      </c>
    </row>
    <row r="9" ht="22.5" customHeight="1">
      <c r="A9" s="197">
        <v>45998.01096489583</v>
      </c>
      <c r="B9" s="100" t="s">
        <v>1512</v>
      </c>
      <c r="C9" s="100" t="s">
        <v>1688</v>
      </c>
      <c r="D9" s="100" t="s">
        <v>1689</v>
      </c>
      <c r="E9" s="198">
        <v>195.0</v>
      </c>
      <c r="F9" s="199" t="s">
        <v>1697</v>
      </c>
    </row>
    <row r="10" ht="22.5" customHeight="1">
      <c r="A10" s="197">
        <v>45998.010965208334</v>
      </c>
      <c r="B10" s="100" t="s">
        <v>1517</v>
      </c>
      <c r="C10" s="100" t="s">
        <v>1685</v>
      </c>
      <c r="D10" s="100" t="s">
        <v>1686</v>
      </c>
      <c r="E10" s="198">
        <v>185.0</v>
      </c>
      <c r="F10" s="199" t="s">
        <v>1698</v>
      </c>
    </row>
    <row r="11" ht="22.5" customHeight="1">
      <c r="A11" s="197">
        <v>45998.010965208334</v>
      </c>
      <c r="B11" s="100" t="s">
        <v>1517</v>
      </c>
      <c r="C11" s="100" t="s">
        <v>1688</v>
      </c>
      <c r="D11" s="100" t="s">
        <v>1689</v>
      </c>
      <c r="E11" s="198">
        <v>235.0</v>
      </c>
      <c r="F11" s="199" t="s">
        <v>1699</v>
      </c>
    </row>
    <row r="12" ht="22.5" customHeight="1">
      <c r="A12" s="197">
        <v>45998.01096559028</v>
      </c>
      <c r="B12" s="100" t="s">
        <v>1523</v>
      </c>
      <c r="C12" s="100" t="s">
        <v>1685</v>
      </c>
      <c r="D12" s="100" t="s">
        <v>1686</v>
      </c>
      <c r="E12" s="198">
        <v>63.0</v>
      </c>
      <c r="F12" s="100" t="s">
        <v>1701</v>
      </c>
    </row>
    <row r="13" ht="22.5" customHeight="1">
      <c r="A13" s="197">
        <v>45998.01096559028</v>
      </c>
      <c r="B13" s="100" t="s">
        <v>1523</v>
      </c>
      <c r="C13" s="100" t="s">
        <v>1688</v>
      </c>
      <c r="D13" s="100" t="s">
        <v>1689</v>
      </c>
      <c r="E13" s="198">
        <v>100.0</v>
      </c>
      <c r="F13" s="100" t="s">
        <v>1702</v>
      </c>
    </row>
    <row r="14" ht="22.5" customHeight="1">
      <c r="A14" s="197">
        <v>45998.01096596065</v>
      </c>
      <c r="B14" s="100" t="s">
        <v>1533</v>
      </c>
      <c r="C14" s="100" t="s">
        <v>1685</v>
      </c>
      <c r="D14" s="100" t="s">
        <v>1686</v>
      </c>
      <c r="E14" s="198">
        <v>195.0</v>
      </c>
      <c r="F14" s="199" t="s">
        <v>1703</v>
      </c>
    </row>
    <row r="15" ht="22.5" customHeight="1">
      <c r="A15" s="197">
        <v>45998.01096596065</v>
      </c>
      <c r="B15" s="100" t="s">
        <v>1533</v>
      </c>
      <c r="C15" s="100" t="s">
        <v>1688</v>
      </c>
      <c r="D15" s="100" t="s">
        <v>1689</v>
      </c>
      <c r="E15" s="198">
        <v>245.0</v>
      </c>
      <c r="F15" s="199" t="s">
        <v>1704</v>
      </c>
    </row>
    <row r="16" ht="22.5" customHeight="1">
      <c r="A16" s="197">
        <v>45998.01096625</v>
      </c>
      <c r="B16" s="100" t="s">
        <v>1537</v>
      </c>
      <c r="C16" s="100" t="s">
        <v>1685</v>
      </c>
      <c r="D16" s="100" t="s">
        <v>1686</v>
      </c>
      <c r="E16" s="198">
        <v>170.0</v>
      </c>
      <c r="F16" s="199" t="s">
        <v>1705</v>
      </c>
    </row>
    <row r="17" ht="22.5" customHeight="1">
      <c r="A17" s="197">
        <v>45998.01096625</v>
      </c>
      <c r="B17" s="100" t="s">
        <v>1537</v>
      </c>
      <c r="C17" s="100" t="s">
        <v>1688</v>
      </c>
      <c r="D17" s="100" t="s">
        <v>1689</v>
      </c>
      <c r="E17" s="198">
        <v>220.0</v>
      </c>
      <c r="F17" s="199" t="s">
        <v>1706</v>
      </c>
    </row>
    <row r="18" ht="22.5" customHeight="1">
      <c r="A18" s="197">
        <v>45998.01096662037</v>
      </c>
      <c r="B18" s="100" t="s">
        <v>1541</v>
      </c>
      <c r="C18" s="100" t="s">
        <v>1685</v>
      </c>
      <c r="D18" s="100" t="s">
        <v>1686</v>
      </c>
      <c r="E18" s="198">
        <v>150.0</v>
      </c>
      <c r="F18" s="199" t="s">
        <v>1707</v>
      </c>
    </row>
    <row r="19" ht="22.5" customHeight="1">
      <c r="A19" s="197">
        <v>45998.01096662037</v>
      </c>
      <c r="B19" s="100" t="s">
        <v>1541</v>
      </c>
      <c r="C19" s="100" t="s">
        <v>1688</v>
      </c>
      <c r="D19" s="100" t="s">
        <v>1689</v>
      </c>
      <c r="E19" s="198">
        <v>200.0</v>
      </c>
      <c r="F19" s="199" t="s">
        <v>1709</v>
      </c>
    </row>
    <row r="20" ht="22.5" customHeight="1">
      <c r="A20" s="197">
        <v>45998.01096695602</v>
      </c>
      <c r="B20" s="100" t="s">
        <v>1546</v>
      </c>
      <c r="C20" s="100" t="s">
        <v>1685</v>
      </c>
      <c r="D20" s="100" t="s">
        <v>1686</v>
      </c>
      <c r="E20" s="198">
        <v>135.0</v>
      </c>
      <c r="F20" s="199" t="s">
        <v>1696</v>
      </c>
    </row>
    <row r="21" ht="22.5" customHeight="1">
      <c r="A21" s="197">
        <v>45998.01096695602</v>
      </c>
      <c r="B21" s="100" t="s">
        <v>1546</v>
      </c>
      <c r="C21" s="100" t="s">
        <v>1688</v>
      </c>
      <c r="D21" s="100" t="s">
        <v>1689</v>
      </c>
      <c r="E21" s="198">
        <v>195.0</v>
      </c>
      <c r="F21" s="199" t="s">
        <v>1697</v>
      </c>
    </row>
    <row r="22" ht="22.5" customHeight="1">
      <c r="A22" s="197">
        <v>45998.01096726852</v>
      </c>
      <c r="B22" s="100" t="s">
        <v>1552</v>
      </c>
      <c r="C22" s="100" t="s">
        <v>1685</v>
      </c>
      <c r="D22" s="100" t="s">
        <v>1686</v>
      </c>
      <c r="E22" s="198">
        <v>120.0</v>
      </c>
      <c r="F22" s="199" t="s">
        <v>1710</v>
      </c>
    </row>
    <row r="23" ht="22.5" customHeight="1">
      <c r="A23" s="197">
        <v>45998.01096726852</v>
      </c>
      <c r="B23" s="100" t="s">
        <v>1552</v>
      </c>
      <c r="C23" s="100" t="s">
        <v>1688</v>
      </c>
      <c r="D23" s="100" t="s">
        <v>1689</v>
      </c>
      <c r="E23" s="198">
        <v>180.0</v>
      </c>
      <c r="F23" s="199" t="s">
        <v>1711</v>
      </c>
    </row>
    <row r="24" ht="22.5" customHeight="1">
      <c r="A24" s="197">
        <v>45998.010967615744</v>
      </c>
      <c r="B24" s="100" t="s">
        <v>1559</v>
      </c>
      <c r="C24" s="100" t="s">
        <v>1685</v>
      </c>
      <c r="D24" s="100" t="s">
        <v>1686</v>
      </c>
      <c r="E24" s="198">
        <v>105.0</v>
      </c>
      <c r="F24" s="199" t="s">
        <v>1687</v>
      </c>
    </row>
    <row r="25" ht="22.5" customHeight="1">
      <c r="A25" s="197">
        <v>45998.010967615744</v>
      </c>
      <c r="B25" s="100" t="s">
        <v>1559</v>
      </c>
      <c r="C25" s="100" t="s">
        <v>1688</v>
      </c>
      <c r="D25" s="100" t="s">
        <v>1689</v>
      </c>
      <c r="E25" s="198">
        <v>140.0</v>
      </c>
      <c r="F25" s="199" t="s">
        <v>1690</v>
      </c>
    </row>
    <row r="26" ht="22.5" customHeight="1">
      <c r="A26" s="197">
        <v>45998.01096792824</v>
      </c>
      <c r="B26" s="100" t="s">
        <v>1571</v>
      </c>
      <c r="C26" s="100" t="s">
        <v>1685</v>
      </c>
      <c r="D26" s="100" t="s">
        <v>1686</v>
      </c>
      <c r="E26" s="198">
        <v>60.0</v>
      </c>
      <c r="F26" s="199" t="s">
        <v>1713</v>
      </c>
    </row>
    <row r="27" ht="22.5" customHeight="1">
      <c r="A27" s="197">
        <v>45998.01096792824</v>
      </c>
      <c r="B27" s="100" t="s">
        <v>1571</v>
      </c>
      <c r="C27" s="100" t="s">
        <v>1688</v>
      </c>
      <c r="D27" s="100" t="s">
        <v>1689</v>
      </c>
      <c r="E27" s="198">
        <v>120.0</v>
      </c>
      <c r="F27" s="199" t="s">
        <v>1714</v>
      </c>
    </row>
    <row r="28" ht="22.5" customHeight="1">
      <c r="A28" s="197">
        <v>45998.01096825232</v>
      </c>
      <c r="B28" s="100" t="s">
        <v>1579</v>
      </c>
      <c r="C28" s="100" t="s">
        <v>1685</v>
      </c>
      <c r="D28" s="100" t="s">
        <v>1686</v>
      </c>
      <c r="E28" s="198">
        <v>94.5</v>
      </c>
      <c r="F28" s="100" t="s">
        <v>1701</v>
      </c>
    </row>
    <row r="29" ht="22.5" customHeight="1">
      <c r="A29" s="197">
        <v>45998.01096825232</v>
      </c>
      <c r="B29" s="100" t="s">
        <v>1579</v>
      </c>
      <c r="C29" s="100" t="s">
        <v>1688</v>
      </c>
      <c r="D29" s="100" t="s">
        <v>1689</v>
      </c>
      <c r="E29" s="198">
        <v>150.0</v>
      </c>
      <c r="F29" s="100" t="s">
        <v>1702</v>
      </c>
    </row>
    <row r="30" ht="22.5" customHeight="1">
      <c r="A30" s="197">
        <v>45998.01096863426</v>
      </c>
      <c r="B30" s="100" t="s">
        <v>1588</v>
      </c>
      <c r="C30" s="100" t="s">
        <v>1685</v>
      </c>
      <c r="D30" s="100" t="s">
        <v>1686</v>
      </c>
      <c r="E30" s="198">
        <v>220.0</v>
      </c>
      <c r="F30" s="199" t="s">
        <v>1716</v>
      </c>
    </row>
    <row r="31" ht="22.5" customHeight="1">
      <c r="A31" s="197">
        <v>45998.01096863426</v>
      </c>
      <c r="B31" s="100" t="s">
        <v>1588</v>
      </c>
      <c r="C31" s="100" t="s">
        <v>1688</v>
      </c>
      <c r="D31" s="100" t="s">
        <v>1689</v>
      </c>
      <c r="E31" s="198">
        <v>252.0</v>
      </c>
      <c r="F31" s="199" t="s">
        <v>1717</v>
      </c>
    </row>
    <row r="32" ht="22.5" customHeight="1">
      <c r="A32" s="197">
        <v>45998.010969016206</v>
      </c>
      <c r="B32" s="100" t="s">
        <v>1595</v>
      </c>
      <c r="C32" s="100" t="s">
        <v>1685</v>
      </c>
      <c r="D32" s="100" t="s">
        <v>1686</v>
      </c>
      <c r="E32" s="198">
        <v>175.0</v>
      </c>
      <c r="F32" s="199" t="s">
        <v>1718</v>
      </c>
    </row>
    <row r="33" ht="22.5" customHeight="1">
      <c r="A33" s="197">
        <v>45998.010969016206</v>
      </c>
      <c r="B33" s="100" t="s">
        <v>1595</v>
      </c>
      <c r="C33" s="100" t="s">
        <v>1688</v>
      </c>
      <c r="D33" s="100" t="s">
        <v>1689</v>
      </c>
      <c r="E33" s="198">
        <v>290.0</v>
      </c>
      <c r="F33" s="199" t="s">
        <v>1719</v>
      </c>
    </row>
    <row r="34" ht="22.5" customHeight="1">
      <c r="A34" s="197">
        <v>45998.010969386574</v>
      </c>
      <c r="B34" s="100" t="s">
        <v>1605</v>
      </c>
      <c r="C34" s="100" t="s">
        <v>1685</v>
      </c>
      <c r="D34" s="100" t="s">
        <v>1686</v>
      </c>
      <c r="E34" s="198">
        <v>160.0</v>
      </c>
      <c r="F34" s="199" t="s">
        <v>1720</v>
      </c>
    </row>
    <row r="35" ht="22.5" customHeight="1">
      <c r="A35" s="197">
        <v>45998.010969386574</v>
      </c>
      <c r="B35" s="100" t="s">
        <v>1605</v>
      </c>
      <c r="C35" s="100" t="s">
        <v>1688</v>
      </c>
      <c r="D35" s="100" t="s">
        <v>1689</v>
      </c>
      <c r="E35" s="198">
        <v>233.0</v>
      </c>
      <c r="F35" s="199" t="s">
        <v>1721</v>
      </c>
    </row>
    <row r="36" ht="22.5" customHeight="1">
      <c r="A36" s="197">
        <v>45998.010969814815</v>
      </c>
      <c r="B36" s="100" t="s">
        <v>1617</v>
      </c>
      <c r="C36" s="100" t="s">
        <v>1685</v>
      </c>
      <c r="D36" s="100" t="s">
        <v>1686</v>
      </c>
      <c r="E36" s="198">
        <v>175.0</v>
      </c>
      <c r="F36" s="199" t="s">
        <v>1722</v>
      </c>
    </row>
    <row r="37" ht="22.5" customHeight="1">
      <c r="A37" s="197">
        <v>45998.010969814815</v>
      </c>
      <c r="B37" s="100" t="s">
        <v>1617</v>
      </c>
      <c r="C37" s="100" t="s">
        <v>1688</v>
      </c>
      <c r="D37" s="100" t="s">
        <v>1689</v>
      </c>
      <c r="E37" s="198">
        <v>220.0</v>
      </c>
      <c r="F37" s="199" t="s">
        <v>1724</v>
      </c>
    </row>
    <row r="38" ht="22.5" customHeight="1">
      <c r="A38" s="197">
        <v>45998.01097021991</v>
      </c>
      <c r="B38" s="100" t="s">
        <v>1624</v>
      </c>
      <c r="C38" s="100" t="s">
        <v>1685</v>
      </c>
      <c r="D38" s="100" t="s">
        <v>1686</v>
      </c>
      <c r="E38" s="198">
        <v>31.5</v>
      </c>
      <c r="F38" s="100" t="s">
        <v>1701</v>
      </c>
    </row>
    <row r="39" ht="22.5" customHeight="1">
      <c r="A39" s="197">
        <v>45998.01097021991</v>
      </c>
      <c r="B39" s="100" t="s">
        <v>1624</v>
      </c>
      <c r="C39" s="100" t="s">
        <v>1688</v>
      </c>
      <c r="D39" s="100" t="s">
        <v>1689</v>
      </c>
      <c r="E39" s="198">
        <v>50.0</v>
      </c>
      <c r="F39" s="100" t="s">
        <v>1702</v>
      </c>
    </row>
    <row r="40" ht="22.5" customHeight="1">
      <c r="A40" s="197">
        <v>45998.0109706713</v>
      </c>
      <c r="B40" s="100" t="s">
        <v>1629</v>
      </c>
      <c r="C40" s="100" t="s">
        <v>1685</v>
      </c>
      <c r="D40" s="100" t="s">
        <v>1686</v>
      </c>
      <c r="E40" s="198">
        <v>75.0</v>
      </c>
      <c r="F40" s="199" t="s">
        <v>1707</v>
      </c>
    </row>
    <row r="41" ht="22.5" customHeight="1">
      <c r="A41" s="197">
        <v>45998.0109706713</v>
      </c>
      <c r="B41" s="100" t="s">
        <v>1629</v>
      </c>
      <c r="C41" s="100" t="s">
        <v>1688</v>
      </c>
      <c r="D41" s="100" t="s">
        <v>1689</v>
      </c>
      <c r="E41" s="198">
        <v>100.0</v>
      </c>
      <c r="F41" s="199" t="s">
        <v>1709</v>
      </c>
    </row>
    <row r="42" ht="22.5" customHeight="1">
      <c r="A42" s="197">
        <v>45998.01097116898</v>
      </c>
      <c r="B42" s="100" t="s">
        <v>1640</v>
      </c>
      <c r="C42" s="100" t="s">
        <v>1685</v>
      </c>
      <c r="D42" s="100" t="s">
        <v>1686</v>
      </c>
      <c r="E42" s="198">
        <v>210.0</v>
      </c>
      <c r="F42" s="199" t="s">
        <v>1687</v>
      </c>
    </row>
    <row r="43" ht="22.5" customHeight="1">
      <c r="A43" s="197">
        <v>45998.01097116898</v>
      </c>
      <c r="B43" s="100" t="s">
        <v>1640</v>
      </c>
      <c r="C43" s="100" t="s">
        <v>1688</v>
      </c>
      <c r="D43" s="100" t="s">
        <v>1689</v>
      </c>
      <c r="E43" s="198">
        <v>270.0</v>
      </c>
      <c r="F43" s="199" t="s">
        <v>1690</v>
      </c>
    </row>
    <row r="44" ht="22.5" customHeight="1">
      <c r="A44" s="197">
        <v>45998.01097145834</v>
      </c>
      <c r="B44" s="100" t="s">
        <v>1644</v>
      </c>
      <c r="C44" s="100" t="s">
        <v>1685</v>
      </c>
      <c r="D44" s="100" t="s">
        <v>1686</v>
      </c>
      <c r="E44" s="198">
        <v>63.0</v>
      </c>
      <c r="F44" s="100" t="s">
        <v>1701</v>
      </c>
    </row>
    <row r="45" ht="22.5" customHeight="1">
      <c r="A45" s="197">
        <v>45998.01097145834</v>
      </c>
      <c r="B45" s="100" t="s">
        <v>1644</v>
      </c>
      <c r="C45" s="100" t="s">
        <v>1688</v>
      </c>
      <c r="D45" s="100" t="s">
        <v>1689</v>
      </c>
      <c r="E45" s="198">
        <v>100.0</v>
      </c>
      <c r="F45" s="100" t="s">
        <v>1702</v>
      </c>
    </row>
    <row r="46" ht="22.5" customHeight="1">
      <c r="A46" s="197">
        <v>45998.01097179398</v>
      </c>
      <c r="B46" s="100" t="s">
        <v>1649</v>
      </c>
      <c r="C46" s="100" t="s">
        <v>1685</v>
      </c>
      <c r="D46" s="100" t="s">
        <v>1686</v>
      </c>
      <c r="E46" s="198">
        <v>94.5</v>
      </c>
      <c r="F46" s="100" t="s">
        <v>1701</v>
      </c>
    </row>
    <row r="47" ht="22.5" customHeight="1">
      <c r="A47" s="197">
        <v>45998.01097179398</v>
      </c>
      <c r="B47" s="100" t="s">
        <v>1649</v>
      </c>
      <c r="C47" s="100" t="s">
        <v>1688</v>
      </c>
      <c r="D47" s="100" t="s">
        <v>1689</v>
      </c>
      <c r="E47" s="198">
        <v>150.0</v>
      </c>
      <c r="F47" s="100" t="s">
        <v>1702</v>
      </c>
    </row>
    <row r="48" ht="22.5" customHeight="1">
      <c r="A48" s="197">
        <v>45998.01097208333</v>
      </c>
      <c r="B48" s="100" t="s">
        <v>1653</v>
      </c>
      <c r="C48" s="100" t="s">
        <v>1685</v>
      </c>
      <c r="D48" s="100" t="s">
        <v>1686</v>
      </c>
      <c r="E48" s="198">
        <v>135.0</v>
      </c>
      <c r="F48" s="199" t="s">
        <v>1726</v>
      </c>
    </row>
    <row r="49" ht="22.5" customHeight="1">
      <c r="A49" s="197">
        <v>45998.01097208333</v>
      </c>
      <c r="B49" s="100" t="s">
        <v>1653</v>
      </c>
      <c r="C49" s="100" t="s">
        <v>1688</v>
      </c>
      <c r="D49" s="100" t="s">
        <v>1689</v>
      </c>
      <c r="E49" s="198">
        <v>249.75</v>
      </c>
      <c r="F49" s="199" t="s">
        <v>1727</v>
      </c>
    </row>
    <row r="50" ht="22.5" customHeight="1">
      <c r="A50" s="197">
        <v>45998.01097240741</v>
      </c>
      <c r="B50" s="100" t="s">
        <v>1656</v>
      </c>
      <c r="C50" s="100" t="s">
        <v>1685</v>
      </c>
      <c r="D50" s="100" t="s">
        <v>1686</v>
      </c>
      <c r="E50" s="198">
        <v>63.0</v>
      </c>
      <c r="F50" s="100" t="s">
        <v>1701</v>
      </c>
    </row>
    <row r="51" ht="22.5" customHeight="1">
      <c r="A51" s="197">
        <v>45998.01097240741</v>
      </c>
      <c r="B51" s="100" t="s">
        <v>1656</v>
      </c>
      <c r="C51" s="100" t="s">
        <v>1688</v>
      </c>
      <c r="D51" s="100" t="s">
        <v>1689</v>
      </c>
      <c r="E51" s="198">
        <v>99.9</v>
      </c>
      <c r="F51" s="100" t="s">
        <v>1702</v>
      </c>
    </row>
    <row r="52" ht="22.5" customHeight="1">
      <c r="A52" s="197">
        <v>45998.010972662036</v>
      </c>
      <c r="B52" s="100" t="s">
        <v>1660</v>
      </c>
      <c r="C52" s="100" t="s">
        <v>1685</v>
      </c>
      <c r="D52" s="100" t="s">
        <v>1686</v>
      </c>
      <c r="E52" s="198">
        <v>170.0</v>
      </c>
      <c r="F52" s="199" t="s">
        <v>1729</v>
      </c>
    </row>
    <row r="53" ht="22.5" customHeight="1">
      <c r="A53" s="197">
        <v>45998.010972662036</v>
      </c>
      <c r="B53" s="100" t="s">
        <v>1660</v>
      </c>
      <c r="C53" s="100" t="s">
        <v>1688</v>
      </c>
      <c r="D53" s="100" t="s">
        <v>1689</v>
      </c>
      <c r="E53" s="198">
        <v>249.8</v>
      </c>
      <c r="F53" s="199" t="s">
        <v>1730</v>
      </c>
    </row>
    <row r="54" ht="22.5" customHeight="1">
      <c r="A54" s="197">
        <v>45998.01097293981</v>
      </c>
      <c r="B54" s="100" t="s">
        <v>1665</v>
      </c>
      <c r="C54" s="100" t="s">
        <v>1685</v>
      </c>
      <c r="D54" s="100" t="s">
        <v>1686</v>
      </c>
      <c r="E54" s="198">
        <v>300.0</v>
      </c>
      <c r="F54" s="199" t="s">
        <v>1731</v>
      </c>
    </row>
    <row r="55" ht="22.5" customHeight="1">
      <c r="A55" s="197">
        <v>45998.01097293981</v>
      </c>
      <c r="B55" s="100" t="s">
        <v>1665</v>
      </c>
      <c r="C55" s="100" t="s">
        <v>1688</v>
      </c>
      <c r="D55" s="100" t="s">
        <v>1689</v>
      </c>
      <c r="E55" s="198">
        <v>399.6</v>
      </c>
      <c r="F55" s="199" t="s">
        <v>1732</v>
      </c>
    </row>
    <row r="56" ht="22.5" customHeight="1">
      <c r="A56" s="197">
        <v>45998.01097329861</v>
      </c>
      <c r="B56" s="100" t="s">
        <v>1670</v>
      </c>
      <c r="C56" s="100" t="s">
        <v>1685</v>
      </c>
      <c r="D56" s="100" t="s">
        <v>1686</v>
      </c>
      <c r="E56" s="198">
        <v>75.0</v>
      </c>
      <c r="F56" s="199" t="s">
        <v>1707</v>
      </c>
    </row>
    <row r="57" ht="22.5" customHeight="1">
      <c r="A57" s="197">
        <v>45998.01097329861</v>
      </c>
      <c r="B57" s="100" t="s">
        <v>1670</v>
      </c>
      <c r="C57" s="100" t="s">
        <v>1688</v>
      </c>
      <c r="D57" s="100" t="s">
        <v>1689</v>
      </c>
      <c r="E57" s="198">
        <v>99.9</v>
      </c>
      <c r="F57" s="199" t="s">
        <v>1709</v>
      </c>
    </row>
    <row r="58" ht="22.5" customHeight="1">
      <c r="A58" s="197">
        <v>45998.0109737037</v>
      </c>
      <c r="B58" s="100" t="s">
        <v>1674</v>
      </c>
      <c r="C58" s="100" t="s">
        <v>1685</v>
      </c>
      <c r="D58" s="100" t="s">
        <v>1686</v>
      </c>
      <c r="E58" s="198">
        <v>725.0</v>
      </c>
      <c r="F58" s="199" t="s">
        <v>1735</v>
      </c>
    </row>
    <row r="59" ht="22.5" customHeight="1">
      <c r="A59" s="197">
        <v>45998.0109737037</v>
      </c>
      <c r="B59" s="100" t="s">
        <v>1674</v>
      </c>
      <c r="C59" s="100" t="s">
        <v>1688</v>
      </c>
      <c r="D59" s="100" t="s">
        <v>1689</v>
      </c>
      <c r="E59" s="198">
        <v>934.53</v>
      </c>
      <c r="F59" s="199" t="s">
        <v>1736</v>
      </c>
    </row>
    <row r="60" ht="22.5" customHeight="1">
      <c r="A60" s="197">
        <v>45998.010974247685</v>
      </c>
      <c r="B60" s="100" t="s">
        <v>1675</v>
      </c>
      <c r="C60" s="100" t="s">
        <v>1685</v>
      </c>
      <c r="D60" s="100" t="s">
        <v>1686</v>
      </c>
      <c r="E60" s="198">
        <v>598.33</v>
      </c>
      <c r="F60" s="199" t="s">
        <v>1737</v>
      </c>
    </row>
    <row r="61" ht="22.5" customHeight="1">
      <c r="A61" s="197">
        <v>45998.010974247685</v>
      </c>
      <c r="B61" s="100" t="s">
        <v>1675</v>
      </c>
      <c r="C61" s="100" t="s">
        <v>1688</v>
      </c>
      <c r="D61" s="100" t="s">
        <v>1689</v>
      </c>
      <c r="E61" s="198">
        <v>794.6</v>
      </c>
      <c r="F61" s="199" t="s">
        <v>1738</v>
      </c>
    </row>
    <row r="62" ht="22.5" customHeight="1">
      <c r="A62" s="197">
        <v>45998.01097469908</v>
      </c>
      <c r="B62" s="100" t="s">
        <v>1676</v>
      </c>
      <c r="C62" s="100" t="s">
        <v>1685</v>
      </c>
      <c r="D62" s="100" t="s">
        <v>1686</v>
      </c>
      <c r="E62" s="198">
        <v>110.0</v>
      </c>
      <c r="F62" s="199" t="s">
        <v>1739</v>
      </c>
    </row>
    <row r="63" ht="22.5" customHeight="1">
      <c r="A63" s="197">
        <v>45998.01097469908</v>
      </c>
      <c r="B63" s="100" t="s">
        <v>1676</v>
      </c>
      <c r="C63" s="100" t="s">
        <v>1688</v>
      </c>
      <c r="D63" s="100" t="s">
        <v>1689</v>
      </c>
      <c r="E63" s="198">
        <v>149.93</v>
      </c>
      <c r="F63" s="199" t="s">
        <v>1740</v>
      </c>
    </row>
    <row r="64" ht="22.5" customHeight="1">
      <c r="A64" s="197">
        <v>45998.01097498843</v>
      </c>
      <c r="B64" s="100" t="s">
        <v>1678</v>
      </c>
      <c r="C64" s="100" t="s">
        <v>1685</v>
      </c>
      <c r="D64" s="100" t="s">
        <v>1686</v>
      </c>
      <c r="E64" s="198">
        <v>330.0</v>
      </c>
      <c r="F64" s="199" t="s">
        <v>1742</v>
      </c>
    </row>
    <row r="65" ht="22.5" customHeight="1">
      <c r="A65" s="197">
        <v>45998.01097498843</v>
      </c>
      <c r="B65" s="100" t="s">
        <v>1678</v>
      </c>
      <c r="C65" s="100" t="s">
        <v>1688</v>
      </c>
      <c r="D65" s="100" t="s">
        <v>1689</v>
      </c>
      <c r="E65" s="198">
        <v>439.78</v>
      </c>
      <c r="F65" s="199" t="s">
        <v>1743</v>
      </c>
    </row>
    <row r="66" ht="22.5" customHeight="1">
      <c r="A66" s="197">
        <v>45998.01097541666</v>
      </c>
      <c r="B66" s="100" t="s">
        <v>1692</v>
      </c>
      <c r="C66" s="100" t="s">
        <v>1685</v>
      </c>
      <c r="D66" s="100" t="s">
        <v>1686</v>
      </c>
      <c r="E66" s="198">
        <v>365.0</v>
      </c>
      <c r="F66" s="199" t="s">
        <v>1744</v>
      </c>
    </row>
    <row r="67" ht="22.5" customHeight="1">
      <c r="A67" s="197">
        <v>45998.01097541666</v>
      </c>
      <c r="B67" s="100" t="s">
        <v>1692</v>
      </c>
      <c r="C67" s="100" t="s">
        <v>1688</v>
      </c>
      <c r="D67" s="100" t="s">
        <v>1689</v>
      </c>
      <c r="E67" s="198">
        <v>789.61</v>
      </c>
      <c r="F67" s="199" t="s">
        <v>1745</v>
      </c>
    </row>
    <row r="68" ht="22.5" customHeight="1">
      <c r="A68" s="197">
        <v>45998.01097582176</v>
      </c>
      <c r="B68" s="100" t="s">
        <v>1700</v>
      </c>
      <c r="C68" s="100" t="s">
        <v>1685</v>
      </c>
      <c r="D68" s="100" t="s">
        <v>1686</v>
      </c>
      <c r="E68" s="198">
        <v>211.67</v>
      </c>
      <c r="F68" s="199" t="s">
        <v>1746</v>
      </c>
    </row>
    <row r="69" ht="22.5" customHeight="1">
      <c r="A69" s="197">
        <v>45998.01097582176</v>
      </c>
      <c r="B69" s="100" t="s">
        <v>1700</v>
      </c>
      <c r="C69" s="100" t="s">
        <v>1688</v>
      </c>
      <c r="D69" s="100" t="s">
        <v>1689</v>
      </c>
      <c r="E69" s="198">
        <v>274.86</v>
      </c>
      <c r="F69" s="199" t="s">
        <v>1747</v>
      </c>
    </row>
    <row r="70" ht="22.5" customHeight="1">
      <c r="A70" s="197">
        <v>45998.01097614583</v>
      </c>
      <c r="B70" s="100" t="s">
        <v>1708</v>
      </c>
      <c r="C70" s="100" t="s">
        <v>1685</v>
      </c>
      <c r="D70" s="100" t="s">
        <v>1686</v>
      </c>
      <c r="E70" s="198">
        <v>120.0</v>
      </c>
      <c r="F70" s="199" t="s">
        <v>1748</v>
      </c>
    </row>
    <row r="71" ht="22.5" customHeight="1">
      <c r="A71" s="197">
        <v>45998.01097614583</v>
      </c>
      <c r="B71" s="100" t="s">
        <v>1708</v>
      </c>
      <c r="C71" s="100" t="s">
        <v>1688</v>
      </c>
      <c r="D71" s="100" t="s">
        <v>1689</v>
      </c>
      <c r="E71" s="198">
        <v>169.92</v>
      </c>
      <c r="F71" s="199" t="s">
        <v>1750</v>
      </c>
    </row>
    <row r="72" ht="22.5" customHeight="1">
      <c r="A72" s="197">
        <v>45998.01097643518</v>
      </c>
      <c r="B72" s="100" t="s">
        <v>1712</v>
      </c>
      <c r="C72" s="100" t="s">
        <v>1685</v>
      </c>
      <c r="D72" s="100" t="s">
        <v>1686</v>
      </c>
      <c r="E72" s="198">
        <v>225.0</v>
      </c>
      <c r="F72" s="199" t="s">
        <v>1751</v>
      </c>
    </row>
    <row r="73" ht="22.5" customHeight="1">
      <c r="A73" s="197">
        <v>45998.01097643518</v>
      </c>
      <c r="B73" s="100" t="s">
        <v>1712</v>
      </c>
      <c r="C73" s="100" t="s">
        <v>1688</v>
      </c>
      <c r="D73" s="100" t="s">
        <v>1689</v>
      </c>
      <c r="E73" s="198">
        <v>299.86</v>
      </c>
      <c r="F73" s="199" t="s">
        <v>1752</v>
      </c>
    </row>
    <row r="74" ht="22.5" customHeight="1">
      <c r="A74" s="197">
        <v>45998.01097693287</v>
      </c>
      <c r="B74" s="100" t="s">
        <v>1715</v>
      </c>
      <c r="C74" s="100" t="s">
        <v>1685</v>
      </c>
      <c r="D74" s="100" t="s">
        <v>1686</v>
      </c>
      <c r="E74" s="198">
        <v>157.5</v>
      </c>
      <c r="F74" s="100" t="s">
        <v>1701</v>
      </c>
    </row>
    <row r="75" ht="22.5" customHeight="1">
      <c r="A75" s="197">
        <v>45998.01097693287</v>
      </c>
      <c r="B75" s="100" t="s">
        <v>1715</v>
      </c>
      <c r="C75" s="100" t="s">
        <v>1688</v>
      </c>
      <c r="D75" s="100" t="s">
        <v>1689</v>
      </c>
      <c r="E75" s="198">
        <v>249.9</v>
      </c>
      <c r="F75" s="100" t="s">
        <v>1702</v>
      </c>
    </row>
    <row r="76" ht="22.5" customHeight="1">
      <c r="A76" s="197">
        <v>45998.01097736111</v>
      </c>
      <c r="B76" s="100" t="s">
        <v>1723</v>
      </c>
      <c r="C76" s="100" t="s">
        <v>1685</v>
      </c>
      <c r="D76" s="100" t="s">
        <v>1686</v>
      </c>
      <c r="E76" s="198">
        <v>56.4</v>
      </c>
      <c r="F76" s="199" t="s">
        <v>1753</v>
      </c>
    </row>
    <row r="77" ht="22.5" customHeight="1">
      <c r="A77" s="197">
        <v>45998.01097736111</v>
      </c>
      <c r="B77" s="100" t="s">
        <v>1723</v>
      </c>
      <c r="C77" s="100" t="s">
        <v>1688</v>
      </c>
      <c r="D77" s="100" t="s">
        <v>1689</v>
      </c>
      <c r="E77" s="198">
        <v>79.96</v>
      </c>
      <c r="F77" s="199" t="s">
        <v>1754</v>
      </c>
    </row>
    <row r="78" ht="22.5" customHeight="1">
      <c r="A78" s="197">
        <v>45998.01097793982</v>
      </c>
      <c r="B78" s="100" t="s">
        <v>1725</v>
      </c>
      <c r="C78" s="100" t="s">
        <v>1685</v>
      </c>
      <c r="D78" s="100" t="s">
        <v>1686</v>
      </c>
      <c r="E78" s="198">
        <v>165.0</v>
      </c>
      <c r="F78" s="199" t="s">
        <v>1742</v>
      </c>
    </row>
    <row r="79" ht="22.5" customHeight="1">
      <c r="A79" s="197">
        <v>45998.01097793982</v>
      </c>
      <c r="B79" s="100" t="s">
        <v>1725</v>
      </c>
      <c r="C79" s="100" t="s">
        <v>1688</v>
      </c>
      <c r="D79" s="100" t="s">
        <v>1689</v>
      </c>
      <c r="E79" s="198">
        <v>220.0</v>
      </c>
      <c r="F79" s="199" t="s">
        <v>1743</v>
      </c>
    </row>
    <row r="80" ht="22.5" customHeight="1">
      <c r="A80" s="197">
        <v>45998.01097878472</v>
      </c>
      <c r="B80" s="100" t="s">
        <v>1728</v>
      </c>
      <c r="C80" s="100" t="s">
        <v>1685</v>
      </c>
      <c r="D80" s="100" t="s">
        <v>1686</v>
      </c>
      <c r="E80" s="198">
        <v>31.5</v>
      </c>
      <c r="F80" s="100" t="s">
        <v>1701</v>
      </c>
    </row>
    <row r="81" ht="22.5" customHeight="1">
      <c r="A81" s="197">
        <v>45998.01097878472</v>
      </c>
      <c r="B81" s="100" t="s">
        <v>1728</v>
      </c>
      <c r="C81" s="100" t="s">
        <v>1688</v>
      </c>
      <c r="D81" s="100" t="s">
        <v>1689</v>
      </c>
      <c r="E81" s="198">
        <v>50.0</v>
      </c>
      <c r="F81" s="100" t="s">
        <v>1702</v>
      </c>
    </row>
    <row r="82" ht="22.5" customHeight="1">
      <c r="A82" s="197">
        <v>45998.01097913194</v>
      </c>
      <c r="B82" s="100" t="s">
        <v>1733</v>
      </c>
      <c r="C82" s="100" t="s">
        <v>1685</v>
      </c>
      <c r="D82" s="100" t="s">
        <v>1686</v>
      </c>
      <c r="E82" s="198">
        <v>28.2</v>
      </c>
      <c r="F82" s="199" t="s">
        <v>1753</v>
      </c>
    </row>
    <row r="83" ht="22.5" customHeight="1">
      <c r="A83" s="197">
        <v>45998.01097913194</v>
      </c>
      <c r="B83" s="100" t="s">
        <v>1733</v>
      </c>
      <c r="C83" s="100" t="s">
        <v>1688</v>
      </c>
      <c r="D83" s="100" t="s">
        <v>1689</v>
      </c>
      <c r="E83" s="198">
        <v>40.0</v>
      </c>
      <c r="F83" s="199" t="s">
        <v>1754</v>
      </c>
    </row>
    <row r="84" ht="22.5" customHeight="1">
      <c r="A84" s="197">
        <v>45998.010979513885</v>
      </c>
      <c r="B84" s="100" t="s">
        <v>1741</v>
      </c>
      <c r="C84" s="100" t="s">
        <v>1685</v>
      </c>
      <c r="D84" s="100" t="s">
        <v>1686</v>
      </c>
      <c r="E84" s="198">
        <v>17.0</v>
      </c>
      <c r="F84" s="199" t="s">
        <v>1729</v>
      </c>
    </row>
    <row r="85" ht="22.5" customHeight="1">
      <c r="A85" s="197">
        <v>45998.010979513885</v>
      </c>
      <c r="B85" s="100" t="s">
        <v>1741</v>
      </c>
      <c r="C85" s="100" t="s">
        <v>1688</v>
      </c>
      <c r="D85" s="100" t="s">
        <v>1689</v>
      </c>
      <c r="E85" s="198">
        <v>25.0</v>
      </c>
      <c r="F85" s="199" t="s">
        <v>1730</v>
      </c>
    </row>
    <row r="86" ht="22.5" customHeight="1">
      <c r="A86" s="197">
        <v>45998.01097982639</v>
      </c>
      <c r="B86" s="100" t="s">
        <v>1749</v>
      </c>
      <c r="C86" s="100" t="s">
        <v>1685</v>
      </c>
      <c r="D86" s="100" t="s">
        <v>1686</v>
      </c>
      <c r="E86" s="198">
        <v>195.0</v>
      </c>
      <c r="F86" s="199" t="s">
        <v>1757</v>
      </c>
    </row>
    <row r="87" ht="22.5" customHeight="1">
      <c r="A87" s="197">
        <v>45998.01097982639</v>
      </c>
      <c r="B87" s="100" t="s">
        <v>1749</v>
      </c>
      <c r="C87" s="100" t="s">
        <v>1688</v>
      </c>
      <c r="D87" s="100" t="s">
        <v>1689</v>
      </c>
      <c r="E87" s="198">
        <v>220.0</v>
      </c>
      <c r="F87" s="199" t="s">
        <v>1758</v>
      </c>
    </row>
    <row r="88" ht="22.5" customHeight="1">
      <c r="A88" s="197">
        <v>45998.01098019676</v>
      </c>
      <c r="B88" s="100" t="s">
        <v>1755</v>
      </c>
      <c r="C88" s="100" t="s">
        <v>1685</v>
      </c>
      <c r="D88" s="100" t="s">
        <v>1686</v>
      </c>
      <c r="E88" s="198">
        <v>60.0</v>
      </c>
      <c r="F88" s="199" t="s">
        <v>1713</v>
      </c>
    </row>
    <row r="89" ht="22.5" customHeight="1">
      <c r="A89" s="197">
        <v>45998.01098019676</v>
      </c>
      <c r="B89" s="100" t="s">
        <v>1755</v>
      </c>
      <c r="C89" s="100" t="s">
        <v>1688</v>
      </c>
      <c r="D89" s="100" t="s">
        <v>1689</v>
      </c>
      <c r="E89" s="198">
        <v>120.0</v>
      </c>
      <c r="F89" s="199" t="s">
        <v>1714</v>
      </c>
    </row>
    <row r="90" ht="22.5" customHeight="1">
      <c r="A90" s="197">
        <v>45998.010980694446</v>
      </c>
      <c r="B90" s="100" t="s">
        <v>1756</v>
      </c>
      <c r="C90" s="100" t="s">
        <v>1685</v>
      </c>
      <c r="D90" s="100" t="s">
        <v>1686</v>
      </c>
      <c r="E90" s="198">
        <v>135.0</v>
      </c>
      <c r="F90" s="199" t="s">
        <v>1759</v>
      </c>
    </row>
    <row r="91" ht="22.5" customHeight="1">
      <c r="A91" s="197">
        <v>45998.010980694446</v>
      </c>
      <c r="B91" s="100" t="s">
        <v>1756</v>
      </c>
      <c r="C91" s="100" t="s">
        <v>1688</v>
      </c>
      <c r="D91" s="100" t="s">
        <v>1689</v>
      </c>
      <c r="E91" s="198">
        <v>175.0</v>
      </c>
      <c r="F91" s="199" t="s">
        <v>1760</v>
      </c>
    </row>
    <row r="92" ht="22.5" customHeight="1">
      <c r="A92" s="197">
        <v>45998.01098097222</v>
      </c>
      <c r="B92" s="100" t="s">
        <v>1761</v>
      </c>
      <c r="C92" s="100" t="s">
        <v>1685</v>
      </c>
      <c r="D92" s="100" t="s">
        <v>1686</v>
      </c>
      <c r="E92" s="198">
        <v>40.0</v>
      </c>
      <c r="F92" s="199" t="s">
        <v>1762</v>
      </c>
    </row>
    <row r="93" ht="22.5" customHeight="1">
      <c r="A93" s="197">
        <v>45998.01098097222</v>
      </c>
      <c r="B93" s="100" t="s">
        <v>1761</v>
      </c>
      <c r="C93" s="100" t="s">
        <v>1688</v>
      </c>
      <c r="D93" s="100" t="s">
        <v>1689</v>
      </c>
      <c r="E93" s="198">
        <v>50.0</v>
      </c>
      <c r="F93" s="199" t="s">
        <v>1763</v>
      </c>
    </row>
    <row r="94" ht="22.5" customHeight="1">
      <c r="A94" s="197">
        <v>45998.01098141204</v>
      </c>
      <c r="B94" s="100" t="s">
        <v>1764</v>
      </c>
      <c r="C94" s="100" t="s">
        <v>1685</v>
      </c>
      <c r="D94" s="100" t="s">
        <v>1686</v>
      </c>
      <c r="E94" s="198">
        <v>31.5</v>
      </c>
      <c r="F94" s="100" t="s">
        <v>1701</v>
      </c>
    </row>
    <row r="95" ht="22.5" customHeight="1">
      <c r="A95" s="197">
        <v>45998.01098141204</v>
      </c>
      <c r="B95" s="100" t="s">
        <v>1764</v>
      </c>
      <c r="C95" s="100" t="s">
        <v>1688</v>
      </c>
      <c r="D95" s="100" t="s">
        <v>1689</v>
      </c>
      <c r="E95" s="198">
        <v>50.0</v>
      </c>
      <c r="F95" s="100" t="s">
        <v>1702</v>
      </c>
    </row>
    <row r="96" ht="22.5" customHeight="1">
      <c r="A96" s="197">
        <v>45998.01098179398</v>
      </c>
      <c r="B96" s="100" t="s">
        <v>1765</v>
      </c>
      <c r="C96" s="100" t="s">
        <v>1685</v>
      </c>
      <c r="D96" s="100" t="s">
        <v>1686</v>
      </c>
      <c r="E96" s="198">
        <v>195.0</v>
      </c>
      <c r="F96" s="199" t="s">
        <v>1703</v>
      </c>
    </row>
    <row r="97" ht="22.5" customHeight="1">
      <c r="A97" s="197">
        <v>45998.01098179398</v>
      </c>
      <c r="B97" s="100" t="s">
        <v>1765</v>
      </c>
      <c r="C97" s="100" t="s">
        <v>1688</v>
      </c>
      <c r="D97" s="100" t="s">
        <v>1689</v>
      </c>
      <c r="E97" s="198">
        <v>219.78</v>
      </c>
      <c r="F97" s="199" t="s">
        <v>1704</v>
      </c>
    </row>
    <row r="98" ht="22.5" customHeight="1">
      <c r="A98" s="197">
        <v>45998.01098244213</v>
      </c>
      <c r="B98" s="100" t="s">
        <v>1766</v>
      </c>
      <c r="C98" s="100" t="s">
        <v>1685</v>
      </c>
      <c r="D98" s="100" t="s">
        <v>1686</v>
      </c>
      <c r="E98" s="198">
        <v>164.17</v>
      </c>
      <c r="F98" s="199" t="s">
        <v>1767</v>
      </c>
    </row>
    <row r="99" ht="22.5" customHeight="1">
      <c r="A99" s="197">
        <v>45998.01098244213</v>
      </c>
      <c r="B99" s="100" t="s">
        <v>1766</v>
      </c>
      <c r="C99" s="100" t="s">
        <v>1688</v>
      </c>
      <c r="D99" s="100" t="s">
        <v>1689</v>
      </c>
      <c r="E99" s="198">
        <v>219.78</v>
      </c>
      <c r="F99" s="199" t="s">
        <v>1768</v>
      </c>
    </row>
    <row r="100" ht="22.5" customHeight="1">
      <c r="A100" s="197">
        <v>45998.01098328704</v>
      </c>
      <c r="B100" s="100" t="s">
        <v>1769</v>
      </c>
      <c r="C100" s="100" t="s">
        <v>1685</v>
      </c>
      <c r="D100" s="100" t="s">
        <v>1686</v>
      </c>
      <c r="E100" s="198">
        <v>165.0</v>
      </c>
      <c r="F100" s="199" t="s">
        <v>1770</v>
      </c>
    </row>
    <row r="101" ht="22.5" customHeight="1">
      <c r="A101" s="197">
        <v>45998.01098328704</v>
      </c>
      <c r="B101" s="100" t="s">
        <v>1769</v>
      </c>
      <c r="C101" s="100" t="s">
        <v>1688</v>
      </c>
      <c r="D101" s="100" t="s">
        <v>1689</v>
      </c>
      <c r="E101" s="198">
        <v>224.79</v>
      </c>
      <c r="F101" s="199" t="s">
        <v>1771</v>
      </c>
    </row>
    <row r="102" ht="22.5" customHeight="1">
      <c r="A102" s="197">
        <v>45998.01098436343</v>
      </c>
      <c r="B102" s="100" t="s">
        <v>1772</v>
      </c>
      <c r="C102" s="100" t="s">
        <v>1685</v>
      </c>
      <c r="D102" s="100" t="s">
        <v>1686</v>
      </c>
      <c r="E102" s="198">
        <v>94.5</v>
      </c>
      <c r="F102" s="100" t="s">
        <v>1701</v>
      </c>
    </row>
    <row r="103" ht="22.5" customHeight="1">
      <c r="A103" s="197">
        <v>45998.01098436343</v>
      </c>
      <c r="B103" s="100" t="s">
        <v>1772</v>
      </c>
      <c r="C103" s="100" t="s">
        <v>1688</v>
      </c>
      <c r="D103" s="100" t="s">
        <v>1689</v>
      </c>
      <c r="E103" s="198">
        <v>149.85</v>
      </c>
      <c r="F103" s="100" t="s">
        <v>1702</v>
      </c>
    </row>
    <row r="104" ht="22.5" customHeight="1">
      <c r="A104" s="197">
        <v>45998.01098479167</v>
      </c>
      <c r="B104" s="100" t="s">
        <v>1773</v>
      </c>
      <c r="C104" s="100" t="s">
        <v>1685</v>
      </c>
      <c r="D104" s="100" t="s">
        <v>1686</v>
      </c>
      <c r="E104" s="198">
        <v>110.0</v>
      </c>
      <c r="F104" s="199" t="s">
        <v>1774</v>
      </c>
    </row>
    <row r="105" ht="22.5" customHeight="1">
      <c r="A105" s="197">
        <v>45998.01098479167</v>
      </c>
      <c r="B105" s="100" t="s">
        <v>1773</v>
      </c>
      <c r="C105" s="100" t="s">
        <v>1688</v>
      </c>
      <c r="D105" s="100" t="s">
        <v>1689</v>
      </c>
      <c r="E105" s="198">
        <v>209.79</v>
      </c>
      <c r="F105" s="199" t="s">
        <v>1775</v>
      </c>
    </row>
    <row r="106" ht="22.5" customHeight="1">
      <c r="A106" s="197">
        <v>45998.01098528935</v>
      </c>
      <c r="B106" s="100" t="s">
        <v>1776</v>
      </c>
      <c r="C106" s="100" t="s">
        <v>1685</v>
      </c>
      <c r="D106" s="100" t="s">
        <v>1686</v>
      </c>
      <c r="E106" s="198">
        <v>165.0</v>
      </c>
      <c r="F106" s="199" t="s">
        <v>1742</v>
      </c>
    </row>
    <row r="107" ht="22.5" customHeight="1">
      <c r="A107" s="197">
        <v>45998.01098528935</v>
      </c>
      <c r="B107" s="100" t="s">
        <v>1776</v>
      </c>
      <c r="C107" s="100" t="s">
        <v>1688</v>
      </c>
      <c r="D107" s="100" t="s">
        <v>1689</v>
      </c>
      <c r="E107" s="198">
        <v>219.78</v>
      </c>
      <c r="F107" s="199" t="s">
        <v>1743</v>
      </c>
    </row>
    <row r="108" ht="22.5" customHeight="1">
      <c r="A108" s="197">
        <v>45998.01098594908</v>
      </c>
      <c r="B108" s="100" t="s">
        <v>1777</v>
      </c>
      <c r="C108" s="100" t="s">
        <v>1685</v>
      </c>
      <c r="D108" s="100" t="s">
        <v>1686</v>
      </c>
      <c r="E108" s="198">
        <v>328.34</v>
      </c>
      <c r="F108" s="199" t="s">
        <v>1767</v>
      </c>
    </row>
    <row r="109" ht="22.5" customHeight="1">
      <c r="A109" s="197">
        <v>45998.01098594908</v>
      </c>
      <c r="B109" s="100" t="s">
        <v>1777</v>
      </c>
      <c r="C109" s="100" t="s">
        <v>1688</v>
      </c>
      <c r="D109" s="100" t="s">
        <v>1689</v>
      </c>
      <c r="E109" s="198">
        <v>439.56</v>
      </c>
      <c r="F109" s="199" t="s">
        <v>1768</v>
      </c>
    </row>
    <row r="110" ht="22.5" customHeight="1">
      <c r="A110" s="197">
        <v>45998.01098664352</v>
      </c>
      <c r="B110" s="100" t="s">
        <v>1778</v>
      </c>
      <c r="C110" s="100" t="s">
        <v>1685</v>
      </c>
      <c r="D110" s="100" t="s">
        <v>1686</v>
      </c>
      <c r="E110" s="198">
        <v>325.0</v>
      </c>
      <c r="F110" s="199" t="s">
        <v>1779</v>
      </c>
    </row>
    <row r="111" ht="22.5" customHeight="1">
      <c r="A111" s="197">
        <v>45998.01098664352</v>
      </c>
      <c r="B111" s="100" t="s">
        <v>1778</v>
      </c>
      <c r="C111" s="100" t="s">
        <v>1688</v>
      </c>
      <c r="D111" s="100" t="s">
        <v>1689</v>
      </c>
      <c r="E111" s="198">
        <v>424.58</v>
      </c>
      <c r="F111" s="199" t="s">
        <v>1780</v>
      </c>
    </row>
    <row r="112" ht="22.5" customHeight="1">
      <c r="A112" s="197">
        <v>45998.01098737269</v>
      </c>
      <c r="B112" s="100" t="s">
        <v>1781</v>
      </c>
      <c r="C112" s="100" t="s">
        <v>1685</v>
      </c>
      <c r="D112" s="100" t="s">
        <v>1686</v>
      </c>
      <c r="E112" s="198">
        <v>562.5</v>
      </c>
      <c r="F112" s="199" t="s">
        <v>1782</v>
      </c>
    </row>
    <row r="113" ht="22.5" customHeight="1">
      <c r="A113" s="197">
        <v>45998.01098737269</v>
      </c>
      <c r="B113" s="100" t="s">
        <v>1781</v>
      </c>
      <c r="C113" s="100" t="s">
        <v>1688</v>
      </c>
      <c r="D113" s="100" t="s">
        <v>1689</v>
      </c>
      <c r="E113" s="198">
        <v>714.29</v>
      </c>
      <c r="F113" s="199" t="s">
        <v>1783</v>
      </c>
    </row>
    <row r="114" ht="22.5" customHeight="1">
      <c r="A114" s="197">
        <v>45998.01098803241</v>
      </c>
      <c r="B114" s="100" t="s">
        <v>1784</v>
      </c>
      <c r="C114" s="100" t="s">
        <v>1685</v>
      </c>
      <c r="D114" s="100" t="s">
        <v>1686</v>
      </c>
      <c r="E114" s="198">
        <v>235.0</v>
      </c>
      <c r="F114" s="199" t="s">
        <v>1785</v>
      </c>
    </row>
    <row r="115" ht="22.5" customHeight="1">
      <c r="A115" s="197">
        <v>45998.01098803241</v>
      </c>
      <c r="B115" s="100" t="s">
        <v>1784</v>
      </c>
      <c r="C115" s="100" t="s">
        <v>1688</v>
      </c>
      <c r="D115" s="100" t="s">
        <v>1689</v>
      </c>
      <c r="E115" s="198">
        <v>349.65</v>
      </c>
      <c r="F115" s="199" t="s">
        <v>1786</v>
      </c>
    </row>
    <row r="116" ht="22.5" customHeight="1">
      <c r="A116" s="197">
        <v>45998.01098866898</v>
      </c>
      <c r="B116" s="100" t="s">
        <v>1787</v>
      </c>
      <c r="C116" s="100" t="s">
        <v>1685</v>
      </c>
      <c r="D116" s="100" t="s">
        <v>1686</v>
      </c>
      <c r="E116" s="198">
        <v>160.0</v>
      </c>
      <c r="F116" s="199" t="s">
        <v>1788</v>
      </c>
    </row>
    <row r="117" ht="22.5" customHeight="1">
      <c r="A117" s="197">
        <v>45998.01098866898</v>
      </c>
      <c r="B117" s="100" t="s">
        <v>1787</v>
      </c>
      <c r="C117" s="100" t="s">
        <v>1688</v>
      </c>
      <c r="D117" s="100" t="s">
        <v>1689</v>
      </c>
      <c r="E117" s="198">
        <v>200.0</v>
      </c>
      <c r="F117" s="199" t="s">
        <v>1789</v>
      </c>
    </row>
    <row r="118" ht="22.5" customHeight="1">
      <c r="A118" s="197">
        <v>45998.0109891551</v>
      </c>
      <c r="B118" s="100" t="s">
        <v>1790</v>
      </c>
      <c r="C118" s="100" t="s">
        <v>1685</v>
      </c>
      <c r="D118" s="100" t="s">
        <v>1686</v>
      </c>
      <c r="E118" s="198">
        <v>310.0</v>
      </c>
      <c r="F118" s="199" t="s">
        <v>1791</v>
      </c>
    </row>
    <row r="119" ht="22.5" customHeight="1">
      <c r="A119" s="197">
        <v>45998.0109891551</v>
      </c>
      <c r="B119" s="100" t="s">
        <v>1790</v>
      </c>
      <c r="C119" s="100" t="s">
        <v>1688</v>
      </c>
      <c r="D119" s="100" t="s">
        <v>1689</v>
      </c>
      <c r="E119" s="198">
        <v>450.0</v>
      </c>
      <c r="F119" s="199" t="s">
        <v>1792</v>
      </c>
    </row>
    <row r="120" ht="22.5" customHeight="1">
      <c r="A120" s="197">
        <v>45998.010989525465</v>
      </c>
      <c r="B120" s="100" t="s">
        <v>1793</v>
      </c>
      <c r="C120" s="100" t="s">
        <v>1685</v>
      </c>
      <c r="D120" s="100" t="s">
        <v>1686</v>
      </c>
      <c r="E120" s="198">
        <v>328.34</v>
      </c>
      <c r="F120" s="199" t="s">
        <v>1767</v>
      </c>
    </row>
    <row r="121" ht="22.5" customHeight="1">
      <c r="A121" s="197">
        <v>45998.010989525465</v>
      </c>
      <c r="B121" s="100" t="s">
        <v>1793</v>
      </c>
      <c r="C121" s="100" t="s">
        <v>1688</v>
      </c>
      <c r="D121" s="100" t="s">
        <v>1689</v>
      </c>
      <c r="E121" s="198">
        <v>440.0</v>
      </c>
      <c r="F121" s="199" t="s">
        <v>1768</v>
      </c>
    </row>
    <row r="122" ht="22.5" customHeight="1">
      <c r="A122" s="197">
        <v>45998.01099003472</v>
      </c>
      <c r="B122" s="100" t="s">
        <v>1794</v>
      </c>
      <c r="C122" s="100" t="s">
        <v>1685</v>
      </c>
      <c r="D122" s="100" t="s">
        <v>1686</v>
      </c>
      <c r="E122" s="198">
        <v>165.0</v>
      </c>
      <c r="F122" s="199" t="s">
        <v>1795</v>
      </c>
    </row>
    <row r="123" ht="22.5" customHeight="1">
      <c r="A123" s="197">
        <v>45998.01099003472</v>
      </c>
      <c r="B123" s="100" t="s">
        <v>1794</v>
      </c>
      <c r="C123" s="100" t="s">
        <v>1688</v>
      </c>
      <c r="D123" s="100" t="s">
        <v>1689</v>
      </c>
      <c r="E123" s="198">
        <v>335.0</v>
      </c>
      <c r="F123" s="199" t="s">
        <v>1796</v>
      </c>
    </row>
    <row r="124" ht="22.5" customHeight="1">
      <c r="A124" s="197">
        <v>45998.01099070602</v>
      </c>
      <c r="B124" s="100" t="s">
        <v>1797</v>
      </c>
      <c r="C124" s="100" t="s">
        <v>1685</v>
      </c>
      <c r="D124" s="100" t="s">
        <v>1686</v>
      </c>
      <c r="E124" s="198">
        <v>225.0</v>
      </c>
      <c r="F124" s="199" t="s">
        <v>1798</v>
      </c>
    </row>
    <row r="125" ht="22.5" customHeight="1">
      <c r="A125" s="197">
        <v>45998.01099070602</v>
      </c>
      <c r="B125" s="100" t="s">
        <v>1797</v>
      </c>
      <c r="C125" s="100" t="s">
        <v>1688</v>
      </c>
      <c r="D125" s="100" t="s">
        <v>1689</v>
      </c>
      <c r="E125" s="198">
        <v>300.0</v>
      </c>
      <c r="F125" s="199" t="s">
        <v>1799</v>
      </c>
    </row>
    <row r="126" ht="22.5" customHeight="1">
      <c r="A126" s="197">
        <v>45998.010991504634</v>
      </c>
      <c r="B126" s="100" t="s">
        <v>1800</v>
      </c>
      <c r="C126" s="100" t="s">
        <v>1685</v>
      </c>
      <c r="D126" s="100" t="s">
        <v>1686</v>
      </c>
      <c r="E126" s="198">
        <v>210.0</v>
      </c>
      <c r="F126" s="199" t="s">
        <v>1801</v>
      </c>
    </row>
    <row r="127" ht="22.5" customHeight="1">
      <c r="A127" s="197">
        <v>45998.010991504634</v>
      </c>
      <c r="B127" s="100" t="s">
        <v>1800</v>
      </c>
      <c r="C127" s="100" t="s">
        <v>1688</v>
      </c>
      <c r="D127" s="100" t="s">
        <v>1689</v>
      </c>
      <c r="E127" s="198">
        <v>264.0</v>
      </c>
      <c r="F127" s="199" t="s">
        <v>1802</v>
      </c>
    </row>
    <row r="128" ht="22.5" customHeight="1">
      <c r="A128" s="197">
        <v>45998.01099230324</v>
      </c>
      <c r="B128" s="100" t="s">
        <v>1803</v>
      </c>
      <c r="C128" s="100" t="s">
        <v>1685</v>
      </c>
      <c r="D128" s="100" t="s">
        <v>1686</v>
      </c>
      <c r="E128" s="198">
        <v>135.0</v>
      </c>
      <c r="F128" s="199" t="s">
        <v>1759</v>
      </c>
    </row>
    <row r="129" ht="22.5" customHeight="1">
      <c r="A129" s="197">
        <v>45998.01099230324</v>
      </c>
      <c r="B129" s="100" t="s">
        <v>1803</v>
      </c>
      <c r="C129" s="100" t="s">
        <v>1688</v>
      </c>
      <c r="D129" s="100" t="s">
        <v>1689</v>
      </c>
      <c r="E129" s="198">
        <v>175.0</v>
      </c>
      <c r="F129" s="199" t="s">
        <v>1760</v>
      </c>
    </row>
    <row r="130" ht="22.5" customHeight="1">
      <c r="A130" s="197">
        <v>45998.01099282407</v>
      </c>
      <c r="B130" s="100" t="s">
        <v>1804</v>
      </c>
      <c r="C130" s="100" t="s">
        <v>1685</v>
      </c>
      <c r="D130" s="100" t="s">
        <v>1686</v>
      </c>
      <c r="E130" s="198">
        <v>35.0</v>
      </c>
      <c r="F130" s="199" t="s">
        <v>1805</v>
      </c>
    </row>
    <row r="131" ht="22.5" customHeight="1">
      <c r="A131" s="197">
        <v>45998.01099282407</v>
      </c>
      <c r="B131" s="100" t="s">
        <v>1804</v>
      </c>
      <c r="C131" s="100" t="s">
        <v>1688</v>
      </c>
      <c r="D131" s="100" t="s">
        <v>1689</v>
      </c>
      <c r="E131" s="198">
        <v>50.0</v>
      </c>
      <c r="F131" s="199" t="s">
        <v>1806</v>
      </c>
    </row>
    <row r="132" ht="22.5" customHeight="1">
      <c r="A132" s="197">
        <v>45998.01099313657</v>
      </c>
      <c r="B132" s="100" t="s">
        <v>1807</v>
      </c>
      <c r="C132" s="100" t="s">
        <v>1685</v>
      </c>
      <c r="D132" s="100" t="s">
        <v>1686</v>
      </c>
      <c r="E132" s="198">
        <v>94.5</v>
      </c>
      <c r="F132" s="100" t="s">
        <v>1701</v>
      </c>
    </row>
    <row r="133" ht="22.5" customHeight="1">
      <c r="A133" s="197">
        <v>45998.01099313657</v>
      </c>
      <c r="B133" s="100" t="s">
        <v>1807</v>
      </c>
      <c r="C133" s="100" t="s">
        <v>1688</v>
      </c>
      <c r="D133" s="100" t="s">
        <v>1689</v>
      </c>
      <c r="E133" s="198">
        <v>150.0</v>
      </c>
      <c r="F133" s="100" t="s">
        <v>1702</v>
      </c>
    </row>
    <row r="134" ht="22.5" customHeight="1">
      <c r="A134" s="197">
        <v>45998.01099358796</v>
      </c>
      <c r="B134" s="100" t="s">
        <v>1808</v>
      </c>
      <c r="C134" s="100" t="s">
        <v>1685</v>
      </c>
      <c r="D134" s="100" t="s">
        <v>1686</v>
      </c>
      <c r="E134" s="198">
        <v>28.2</v>
      </c>
      <c r="F134" s="199" t="s">
        <v>1753</v>
      </c>
    </row>
    <row r="135" ht="22.5" customHeight="1">
      <c r="A135" s="197">
        <v>45998.01099358796</v>
      </c>
      <c r="B135" s="100" t="s">
        <v>1808</v>
      </c>
      <c r="C135" s="100" t="s">
        <v>1688</v>
      </c>
      <c r="D135" s="100" t="s">
        <v>1689</v>
      </c>
      <c r="E135" s="198">
        <v>40.0</v>
      </c>
      <c r="F135" s="199" t="s">
        <v>1754</v>
      </c>
    </row>
    <row r="136" ht="22.5" customHeight="1">
      <c r="A136" s="197">
        <v>45998.010993993055</v>
      </c>
      <c r="B136" s="100" t="s">
        <v>1810</v>
      </c>
      <c r="C136" s="100" t="s">
        <v>1685</v>
      </c>
      <c r="D136" s="100" t="s">
        <v>1686</v>
      </c>
      <c r="E136" s="198">
        <v>170.0</v>
      </c>
      <c r="F136" s="199" t="s">
        <v>1811</v>
      </c>
    </row>
    <row r="137" ht="22.5" customHeight="1">
      <c r="A137" s="197">
        <v>45998.010993993055</v>
      </c>
      <c r="B137" s="100" t="s">
        <v>1810</v>
      </c>
      <c r="C137" s="100" t="s">
        <v>1688</v>
      </c>
      <c r="D137" s="100" t="s">
        <v>1689</v>
      </c>
      <c r="E137" s="198">
        <v>230.0</v>
      </c>
      <c r="F137" s="199" t="s">
        <v>1812</v>
      </c>
    </row>
    <row r="138" ht="22.5" customHeight="1">
      <c r="A138" s="197">
        <v>45998.01099443287</v>
      </c>
      <c r="B138" s="100" t="s">
        <v>1813</v>
      </c>
      <c r="C138" s="100" t="s">
        <v>1685</v>
      </c>
      <c r="D138" s="100" t="s">
        <v>1686</v>
      </c>
      <c r="E138" s="198">
        <v>575.0</v>
      </c>
      <c r="F138" s="199" t="s">
        <v>1814</v>
      </c>
    </row>
    <row r="139" ht="22.5" customHeight="1">
      <c r="A139" s="197">
        <v>45998.01099443287</v>
      </c>
      <c r="B139" s="100" t="s">
        <v>1813</v>
      </c>
      <c r="C139" s="100" t="s">
        <v>1688</v>
      </c>
      <c r="D139" s="100" t="s">
        <v>1689</v>
      </c>
      <c r="E139" s="198">
        <v>700.0</v>
      </c>
      <c r="F139" s="199" t="s">
        <v>1815</v>
      </c>
    </row>
    <row r="140" ht="22.5" customHeight="1">
      <c r="A140" s="197">
        <v>45998.010994861106</v>
      </c>
      <c r="B140" s="100" t="s">
        <v>1816</v>
      </c>
      <c r="C140" s="100" t="s">
        <v>1685</v>
      </c>
      <c r="D140" s="100" t="s">
        <v>1686</v>
      </c>
      <c r="E140" s="198">
        <v>170.0</v>
      </c>
      <c r="F140" s="199" t="s">
        <v>1817</v>
      </c>
    </row>
    <row r="141" ht="22.5" customHeight="1">
      <c r="A141" s="197">
        <v>45998.010994861106</v>
      </c>
      <c r="B141" s="100" t="s">
        <v>1816</v>
      </c>
      <c r="C141" s="100" t="s">
        <v>1688</v>
      </c>
      <c r="D141" s="100" t="s">
        <v>1689</v>
      </c>
      <c r="E141" s="198">
        <v>205.0</v>
      </c>
      <c r="F141" s="199" t="s">
        <v>1819</v>
      </c>
    </row>
    <row r="142" ht="22.5" customHeight="1">
      <c r="A142" s="197">
        <v>45998.010995324075</v>
      </c>
      <c r="B142" s="100" t="s">
        <v>1820</v>
      </c>
      <c r="C142" s="100" t="s">
        <v>1685</v>
      </c>
      <c r="D142" s="100" t="s">
        <v>1686</v>
      </c>
      <c r="E142" s="198">
        <v>350.0</v>
      </c>
      <c r="F142" s="199" t="s">
        <v>1722</v>
      </c>
    </row>
    <row r="143" ht="22.5" customHeight="1">
      <c r="A143" s="197">
        <v>45998.010995324075</v>
      </c>
      <c r="B143" s="100" t="s">
        <v>1820</v>
      </c>
      <c r="C143" s="100" t="s">
        <v>1688</v>
      </c>
      <c r="D143" s="100" t="s">
        <v>1689</v>
      </c>
      <c r="E143" s="198">
        <v>420.0</v>
      </c>
      <c r="F143" s="199" t="s">
        <v>1724</v>
      </c>
    </row>
    <row r="144" ht="22.5" customHeight="1">
      <c r="A144" s="197">
        <v>45998.01099576389</v>
      </c>
      <c r="B144" s="100" t="s">
        <v>1821</v>
      </c>
      <c r="C144" s="100" t="s">
        <v>1685</v>
      </c>
      <c r="D144" s="100" t="s">
        <v>1686</v>
      </c>
      <c r="E144" s="198">
        <v>330.0</v>
      </c>
      <c r="F144" s="199" t="s">
        <v>1742</v>
      </c>
    </row>
    <row r="145" ht="22.5" customHeight="1">
      <c r="A145" s="197">
        <v>45998.01099576389</v>
      </c>
      <c r="B145" s="100" t="s">
        <v>1821</v>
      </c>
      <c r="C145" s="100" t="s">
        <v>1688</v>
      </c>
      <c r="D145" s="100" t="s">
        <v>1689</v>
      </c>
      <c r="E145" s="198">
        <v>420.0</v>
      </c>
      <c r="F145" s="199" t="s">
        <v>1743</v>
      </c>
    </row>
    <row r="146" ht="22.5" customHeight="1">
      <c r="A146" s="197">
        <v>45998.010996122684</v>
      </c>
      <c r="B146" s="100" t="s">
        <v>1822</v>
      </c>
      <c r="C146" s="100" t="s">
        <v>1685</v>
      </c>
      <c r="D146" s="100" t="s">
        <v>1686</v>
      </c>
      <c r="E146" s="198">
        <v>310.0</v>
      </c>
      <c r="F146" s="199" t="s">
        <v>1823</v>
      </c>
    </row>
    <row r="147" ht="22.5" customHeight="1">
      <c r="A147" s="197">
        <v>45998.010996122684</v>
      </c>
      <c r="B147" s="100" t="s">
        <v>1822</v>
      </c>
      <c r="C147" s="100" t="s">
        <v>1688</v>
      </c>
      <c r="D147" s="100" t="s">
        <v>1689</v>
      </c>
      <c r="E147" s="198">
        <v>374.74</v>
      </c>
      <c r="F147" s="199" t="s">
        <v>1824</v>
      </c>
    </row>
    <row r="148" ht="22.5" customHeight="1">
      <c r="A148" s="197">
        <v>45998.01099649306</v>
      </c>
      <c r="B148" s="100" t="s">
        <v>1825</v>
      </c>
      <c r="C148" s="100" t="s">
        <v>1685</v>
      </c>
      <c r="D148" s="100" t="s">
        <v>1686</v>
      </c>
      <c r="E148" s="198">
        <v>330.0</v>
      </c>
      <c r="F148" s="199" t="s">
        <v>1742</v>
      </c>
    </row>
    <row r="149" ht="22.5" customHeight="1">
      <c r="A149" s="197">
        <v>45998.01099649306</v>
      </c>
      <c r="B149" s="100" t="s">
        <v>1825</v>
      </c>
      <c r="C149" s="100" t="s">
        <v>1688</v>
      </c>
      <c r="D149" s="100" t="s">
        <v>1689</v>
      </c>
      <c r="E149" s="198">
        <v>419.7</v>
      </c>
      <c r="F149" s="199" t="s">
        <v>1743</v>
      </c>
    </row>
    <row r="150" ht="22.5" customHeight="1">
      <c r="A150" s="197">
        <v>45998.01099712963</v>
      </c>
      <c r="B150" s="100" t="s">
        <v>1826</v>
      </c>
      <c r="C150" s="100" t="s">
        <v>1685</v>
      </c>
      <c r="D150" s="100" t="s">
        <v>1686</v>
      </c>
      <c r="E150" s="198">
        <v>250.0</v>
      </c>
      <c r="F150" s="199" t="s">
        <v>1827</v>
      </c>
    </row>
    <row r="151" ht="22.5" customHeight="1">
      <c r="A151" s="197">
        <v>45998.01099712963</v>
      </c>
      <c r="B151" s="100" t="s">
        <v>1826</v>
      </c>
      <c r="C151" s="100" t="s">
        <v>1688</v>
      </c>
      <c r="D151" s="100" t="s">
        <v>1689</v>
      </c>
      <c r="E151" s="198">
        <v>299.79</v>
      </c>
      <c r="F151" s="199" t="s">
        <v>1828</v>
      </c>
    </row>
    <row r="152" ht="22.5" customHeight="1">
      <c r="A152" s="197">
        <v>45998.010997777776</v>
      </c>
      <c r="B152" s="100" t="s">
        <v>1829</v>
      </c>
      <c r="C152" s="100" t="s">
        <v>1685</v>
      </c>
      <c r="D152" s="100" t="s">
        <v>1686</v>
      </c>
      <c r="E152" s="198">
        <v>325.0</v>
      </c>
      <c r="F152" s="199" t="s">
        <v>1830</v>
      </c>
    </row>
    <row r="153" ht="22.5" customHeight="1">
      <c r="A153" s="197">
        <v>45998.010997777776</v>
      </c>
      <c r="B153" s="100" t="s">
        <v>1829</v>
      </c>
      <c r="C153" s="100" t="s">
        <v>1688</v>
      </c>
      <c r="D153" s="100" t="s">
        <v>1689</v>
      </c>
      <c r="E153" s="198">
        <v>389.73</v>
      </c>
      <c r="F153" s="199" t="s">
        <v>1831</v>
      </c>
    </row>
    <row r="154" ht="22.5" customHeight="1">
      <c r="A154" s="197">
        <v>45998.01099869213</v>
      </c>
      <c r="B154" s="100" t="s">
        <v>1832</v>
      </c>
      <c r="C154" s="100" t="s">
        <v>1685</v>
      </c>
      <c r="D154" s="100" t="s">
        <v>1686</v>
      </c>
      <c r="E154" s="198">
        <v>89.07</v>
      </c>
      <c r="F154" s="199" t="s">
        <v>1833</v>
      </c>
    </row>
    <row r="155" ht="22.5" customHeight="1">
      <c r="A155" s="197">
        <v>45998.01099869213</v>
      </c>
      <c r="B155" s="100" t="s">
        <v>1832</v>
      </c>
      <c r="C155" s="100" t="s">
        <v>1688</v>
      </c>
      <c r="D155" s="100" t="s">
        <v>1689</v>
      </c>
      <c r="E155" s="198">
        <v>149.89</v>
      </c>
      <c r="F155" s="199" t="s">
        <v>1834</v>
      </c>
    </row>
    <row r="156" ht="22.5" customHeight="1">
      <c r="A156" s="197">
        <v>45998.01099916667</v>
      </c>
      <c r="B156" s="100" t="s">
        <v>1835</v>
      </c>
      <c r="C156" s="100" t="s">
        <v>1685</v>
      </c>
      <c r="D156" s="100" t="s">
        <v>1686</v>
      </c>
      <c r="E156" s="198">
        <v>135.0</v>
      </c>
      <c r="F156" s="199" t="s">
        <v>1759</v>
      </c>
    </row>
    <row r="157" ht="22.5" customHeight="1">
      <c r="A157" s="197">
        <v>45998.01099916667</v>
      </c>
      <c r="B157" s="100" t="s">
        <v>1835</v>
      </c>
      <c r="C157" s="100" t="s">
        <v>1688</v>
      </c>
      <c r="D157" s="100" t="s">
        <v>1689</v>
      </c>
      <c r="E157" s="198">
        <v>159.89</v>
      </c>
      <c r="F157" s="199" t="s">
        <v>1760</v>
      </c>
    </row>
    <row r="158" ht="22.5" customHeight="1">
      <c r="A158" s="197">
        <v>45998.010999872684</v>
      </c>
      <c r="B158" s="100" t="s">
        <v>1836</v>
      </c>
      <c r="C158" s="100" t="s">
        <v>1685</v>
      </c>
      <c r="D158" s="100" t="s">
        <v>1686</v>
      </c>
      <c r="E158" s="198">
        <v>63.0</v>
      </c>
      <c r="F158" s="100" t="s">
        <v>1701</v>
      </c>
    </row>
    <row r="159" ht="22.5" customHeight="1">
      <c r="A159" s="197">
        <v>45998.010999872684</v>
      </c>
      <c r="B159" s="100" t="s">
        <v>1836</v>
      </c>
      <c r="C159" s="100" t="s">
        <v>1688</v>
      </c>
      <c r="D159" s="100" t="s">
        <v>1689</v>
      </c>
      <c r="E159" s="198">
        <v>100.0</v>
      </c>
      <c r="F159" s="100" t="s">
        <v>1702</v>
      </c>
    </row>
    <row r="160" ht="22.5" customHeight="1">
      <c r="A160" s="197">
        <v>45998.01100042824</v>
      </c>
      <c r="B160" s="100" t="s">
        <v>1837</v>
      </c>
      <c r="C160" s="100" t="s">
        <v>1685</v>
      </c>
      <c r="D160" s="100" t="s">
        <v>1686</v>
      </c>
      <c r="E160" s="198">
        <v>90.0</v>
      </c>
      <c r="F160" s="199" t="s">
        <v>1838</v>
      </c>
    </row>
    <row r="161" ht="22.5" customHeight="1">
      <c r="A161" s="197">
        <v>45998.01100042824</v>
      </c>
      <c r="B161" s="100" t="s">
        <v>1837</v>
      </c>
      <c r="C161" s="100" t="s">
        <v>1688</v>
      </c>
      <c r="D161" s="100" t="s">
        <v>1689</v>
      </c>
      <c r="E161" s="198">
        <v>140.0</v>
      </c>
      <c r="F161" s="199" t="s">
        <v>1839</v>
      </c>
    </row>
    <row r="162" ht="22.5" customHeight="1">
      <c r="A162" s="197">
        <v>45998.01100096064</v>
      </c>
      <c r="B162" s="100" t="s">
        <v>1840</v>
      </c>
      <c r="C162" s="100" t="s">
        <v>1685</v>
      </c>
      <c r="D162" s="100" t="s">
        <v>1686</v>
      </c>
      <c r="E162" s="198">
        <v>385.0</v>
      </c>
      <c r="F162" s="199" t="s">
        <v>1841</v>
      </c>
    </row>
    <row r="163" ht="22.5" customHeight="1">
      <c r="A163" s="197">
        <v>45998.01100096064</v>
      </c>
      <c r="B163" s="100" t="s">
        <v>1840</v>
      </c>
      <c r="C163" s="100" t="s">
        <v>1688</v>
      </c>
      <c r="D163" s="100" t="s">
        <v>1689</v>
      </c>
      <c r="E163" s="198">
        <v>490.0</v>
      </c>
      <c r="F163" s="199" t="s">
        <v>1842</v>
      </c>
    </row>
    <row r="164" ht="22.5" customHeight="1">
      <c r="A164" s="197">
        <v>45998.01100125</v>
      </c>
      <c r="B164" s="100" t="s">
        <v>1843</v>
      </c>
      <c r="C164" s="100" t="s">
        <v>1685</v>
      </c>
      <c r="D164" s="100" t="s">
        <v>1686</v>
      </c>
      <c r="E164" s="198">
        <v>195.0</v>
      </c>
      <c r="F164" s="199" t="s">
        <v>1703</v>
      </c>
    </row>
    <row r="165" ht="22.5" customHeight="1">
      <c r="A165" s="197">
        <v>45998.01100125</v>
      </c>
      <c r="B165" s="100" t="s">
        <v>1843</v>
      </c>
      <c r="C165" s="100" t="s">
        <v>1688</v>
      </c>
      <c r="D165" s="100" t="s">
        <v>1689</v>
      </c>
      <c r="E165" s="198">
        <v>210.0</v>
      </c>
      <c r="F165" s="199" t="s">
        <v>1704</v>
      </c>
    </row>
    <row r="166" ht="22.5" customHeight="1">
      <c r="A166" s="197">
        <v>45998.01100157408</v>
      </c>
      <c r="B166" s="100" t="s">
        <v>1844</v>
      </c>
      <c r="C166" s="100" t="s">
        <v>1685</v>
      </c>
      <c r="D166" s="100" t="s">
        <v>1686</v>
      </c>
      <c r="E166" s="198">
        <v>164.17</v>
      </c>
      <c r="F166" s="199" t="s">
        <v>1767</v>
      </c>
    </row>
    <row r="167" ht="22.5" customHeight="1">
      <c r="A167" s="197">
        <v>45998.01100157408</v>
      </c>
      <c r="B167" s="100" t="s">
        <v>1844</v>
      </c>
      <c r="C167" s="100" t="s">
        <v>1688</v>
      </c>
      <c r="D167" s="100" t="s">
        <v>1689</v>
      </c>
      <c r="E167" s="198">
        <v>210.0</v>
      </c>
      <c r="F167" s="199" t="s">
        <v>1768</v>
      </c>
    </row>
    <row r="168" ht="22.5" customHeight="1">
      <c r="A168" s="197">
        <v>45998.01100182871</v>
      </c>
      <c r="B168" s="100" t="s">
        <v>1845</v>
      </c>
      <c r="C168" s="100" t="s">
        <v>1685</v>
      </c>
      <c r="D168" s="100" t="s">
        <v>1686</v>
      </c>
      <c r="E168" s="198">
        <v>89.07</v>
      </c>
      <c r="F168" s="199" t="s">
        <v>1833</v>
      </c>
    </row>
    <row r="169" ht="22.5" customHeight="1">
      <c r="A169" s="197">
        <v>45998.01100182871</v>
      </c>
      <c r="B169" s="100" t="s">
        <v>1845</v>
      </c>
      <c r="C169" s="100" t="s">
        <v>1688</v>
      </c>
      <c r="D169" s="100" t="s">
        <v>1689</v>
      </c>
      <c r="E169" s="198">
        <v>115.0</v>
      </c>
      <c r="F169" s="199" t="s">
        <v>1834</v>
      </c>
    </row>
    <row r="170" ht="22.5" customHeight="1">
      <c r="A170" s="197">
        <v>45998.01100222222</v>
      </c>
      <c r="B170" s="100" t="s">
        <v>1846</v>
      </c>
      <c r="C170" s="100" t="s">
        <v>1685</v>
      </c>
      <c r="D170" s="100" t="s">
        <v>1686</v>
      </c>
      <c r="E170" s="198">
        <v>28.2</v>
      </c>
      <c r="F170" s="199" t="s">
        <v>1753</v>
      </c>
    </row>
    <row r="171" ht="22.5" customHeight="1">
      <c r="A171" s="197">
        <v>45998.01100222222</v>
      </c>
      <c r="B171" s="100" t="s">
        <v>1846</v>
      </c>
      <c r="C171" s="100" t="s">
        <v>1688</v>
      </c>
      <c r="D171" s="100" t="s">
        <v>1689</v>
      </c>
      <c r="E171" s="198">
        <v>40.0</v>
      </c>
      <c r="F171" s="199" t="s">
        <v>1754</v>
      </c>
    </row>
    <row r="172" ht="22.5" customHeight="1">
      <c r="A172" s="197">
        <v>45998.01100266204</v>
      </c>
      <c r="B172" s="100" t="s">
        <v>1847</v>
      </c>
      <c r="C172" s="100" t="s">
        <v>1685</v>
      </c>
      <c r="D172" s="100" t="s">
        <v>1686</v>
      </c>
      <c r="E172" s="198">
        <v>63.0</v>
      </c>
      <c r="F172" s="100" t="s">
        <v>1701</v>
      </c>
    </row>
    <row r="173" ht="22.5" customHeight="1">
      <c r="A173" s="197">
        <v>45998.01100266204</v>
      </c>
      <c r="B173" s="100" t="s">
        <v>1847</v>
      </c>
      <c r="C173" s="100" t="s">
        <v>1688</v>
      </c>
      <c r="D173" s="100" t="s">
        <v>1689</v>
      </c>
      <c r="E173" s="198">
        <v>100.0</v>
      </c>
      <c r="F173" s="100" t="s">
        <v>1702</v>
      </c>
    </row>
    <row r="174" ht="22.5" customHeight="1">
      <c r="A174" s="197">
        <v>45998.011002893516</v>
      </c>
      <c r="B174" s="100" t="s">
        <v>1848</v>
      </c>
      <c r="C174" s="100" t="s">
        <v>1685</v>
      </c>
      <c r="D174" s="100" t="s">
        <v>1686</v>
      </c>
      <c r="E174" s="198">
        <v>60.0</v>
      </c>
      <c r="F174" s="199" t="s">
        <v>1713</v>
      </c>
    </row>
    <row r="175" ht="22.5" customHeight="1">
      <c r="A175" s="197">
        <v>45998.011002893516</v>
      </c>
      <c r="B175" s="100" t="s">
        <v>1848</v>
      </c>
      <c r="C175" s="100" t="s">
        <v>1688</v>
      </c>
      <c r="D175" s="100" t="s">
        <v>1689</v>
      </c>
      <c r="E175" s="198">
        <v>95.0</v>
      </c>
      <c r="F175" s="199" t="s">
        <v>1714</v>
      </c>
    </row>
    <row r="176" ht="22.5" customHeight="1">
      <c r="A176" s="197">
        <v>45998.011003078704</v>
      </c>
      <c r="B176" s="100" t="s">
        <v>1849</v>
      </c>
      <c r="C176" s="100" t="s">
        <v>1685</v>
      </c>
      <c r="D176" s="100" t="s">
        <v>1686</v>
      </c>
      <c r="E176" s="198">
        <v>80.0</v>
      </c>
      <c r="F176" s="199" t="s">
        <v>1850</v>
      </c>
    </row>
    <row r="177" ht="22.5" customHeight="1">
      <c r="A177" s="197">
        <v>45998.011003078704</v>
      </c>
      <c r="B177" s="100" t="s">
        <v>1849</v>
      </c>
      <c r="C177" s="100" t="s">
        <v>1688</v>
      </c>
      <c r="D177" s="100" t="s">
        <v>1689</v>
      </c>
      <c r="E177" s="198">
        <v>120.0</v>
      </c>
      <c r="F177" s="199" t="s">
        <v>1851</v>
      </c>
    </row>
    <row r="178" ht="22.5" customHeight="1">
      <c r="A178" s="197">
        <v>45998.01100341435</v>
      </c>
      <c r="B178" s="100" t="s">
        <v>1852</v>
      </c>
      <c r="C178" s="100" t="s">
        <v>1685</v>
      </c>
      <c r="D178" s="100" t="s">
        <v>1686</v>
      </c>
      <c r="E178" s="198">
        <v>75.0</v>
      </c>
      <c r="F178" s="199" t="s">
        <v>1853</v>
      </c>
    </row>
    <row r="179" ht="22.5" customHeight="1">
      <c r="A179" s="197">
        <v>45998.01100341435</v>
      </c>
      <c r="B179" s="100" t="s">
        <v>1852</v>
      </c>
      <c r="C179" s="100" t="s">
        <v>1688</v>
      </c>
      <c r="D179" s="100" t="s">
        <v>1689</v>
      </c>
      <c r="E179" s="198">
        <v>95.0</v>
      </c>
      <c r="F179" s="199" t="s">
        <v>1854</v>
      </c>
    </row>
    <row r="180" ht="22.5" customHeight="1">
      <c r="A180" s="197">
        <v>45998.01100380787</v>
      </c>
      <c r="B180" s="100" t="s">
        <v>1855</v>
      </c>
      <c r="C180" s="100" t="s">
        <v>1685</v>
      </c>
      <c r="D180" s="100" t="s">
        <v>1686</v>
      </c>
      <c r="E180" s="198">
        <v>54.0</v>
      </c>
      <c r="F180" s="100" t="s">
        <v>1856</v>
      </c>
    </row>
    <row r="181" ht="22.5" customHeight="1">
      <c r="A181" s="197">
        <v>45998.01100380787</v>
      </c>
      <c r="B181" s="100" t="s">
        <v>1855</v>
      </c>
      <c r="C181" s="100" t="s">
        <v>1688</v>
      </c>
      <c r="D181" s="100" t="s">
        <v>1689</v>
      </c>
      <c r="E181" s="198">
        <v>75.0</v>
      </c>
      <c r="F181" s="100" t="s">
        <v>1857</v>
      </c>
    </row>
    <row r="182" ht="22.5" customHeight="1">
      <c r="A182" s="197">
        <v>45998.011004050924</v>
      </c>
      <c r="B182" s="100" t="s">
        <v>1858</v>
      </c>
      <c r="C182" s="100" t="s">
        <v>1685</v>
      </c>
      <c r="D182" s="100" t="s">
        <v>1686</v>
      </c>
      <c r="E182" s="198">
        <v>24.0</v>
      </c>
      <c r="F182" s="199" t="s">
        <v>1859</v>
      </c>
    </row>
    <row r="183" ht="22.5" customHeight="1">
      <c r="A183" s="197">
        <v>45998.011004050924</v>
      </c>
      <c r="B183" s="100" t="s">
        <v>1858</v>
      </c>
      <c r="C183" s="100" t="s">
        <v>1688</v>
      </c>
      <c r="D183" s="100" t="s">
        <v>1689</v>
      </c>
      <c r="E183" s="198">
        <v>50.0</v>
      </c>
      <c r="F183" s="199" t="s">
        <v>1860</v>
      </c>
    </row>
    <row r="184" ht="22.5" customHeight="1">
      <c r="A184" s="197">
        <v>45998.01100449074</v>
      </c>
      <c r="B184" s="100" t="s">
        <v>1861</v>
      </c>
      <c r="C184" s="100" t="s">
        <v>1685</v>
      </c>
      <c r="D184" s="100" t="s">
        <v>1686</v>
      </c>
      <c r="E184" s="198">
        <v>150.0</v>
      </c>
      <c r="F184" s="199" t="s">
        <v>1862</v>
      </c>
    </row>
    <row r="185" ht="22.5" customHeight="1">
      <c r="A185" s="197">
        <v>45998.01100449074</v>
      </c>
      <c r="B185" s="100" t="s">
        <v>1861</v>
      </c>
      <c r="C185" s="100" t="s">
        <v>1688</v>
      </c>
      <c r="D185" s="100" t="s">
        <v>1689</v>
      </c>
      <c r="E185" s="198">
        <v>170.0</v>
      </c>
      <c r="F185" s="199" t="s">
        <v>1863</v>
      </c>
    </row>
    <row r="186" ht="22.5" customHeight="1">
      <c r="A186" s="197">
        <v>45998.01100496528</v>
      </c>
      <c r="B186" s="100" t="s">
        <v>1864</v>
      </c>
      <c r="C186" s="100" t="s">
        <v>1685</v>
      </c>
      <c r="D186" s="100" t="s">
        <v>1686</v>
      </c>
      <c r="E186" s="198">
        <v>55.0</v>
      </c>
      <c r="F186" s="199" t="s">
        <v>1770</v>
      </c>
    </row>
    <row r="187" ht="22.5" customHeight="1">
      <c r="A187" s="197">
        <v>45998.01100496528</v>
      </c>
      <c r="B187" s="100" t="s">
        <v>1864</v>
      </c>
      <c r="C187" s="100" t="s">
        <v>1688</v>
      </c>
      <c r="D187" s="100" t="s">
        <v>1689</v>
      </c>
      <c r="E187" s="198">
        <v>70.0</v>
      </c>
      <c r="F187" s="199" t="s">
        <v>1771</v>
      </c>
    </row>
    <row r="188" ht="22.5" customHeight="1">
      <c r="A188" s="197">
        <v>45998.011005312495</v>
      </c>
      <c r="B188" s="100" t="s">
        <v>1865</v>
      </c>
      <c r="C188" s="100" t="s">
        <v>1685</v>
      </c>
      <c r="D188" s="100" t="s">
        <v>1686</v>
      </c>
      <c r="E188" s="198">
        <v>63.0</v>
      </c>
      <c r="F188" s="100" t="s">
        <v>1701</v>
      </c>
    </row>
    <row r="189" ht="22.5" customHeight="1">
      <c r="A189" s="197">
        <v>45998.011005312495</v>
      </c>
      <c r="B189" s="100" t="s">
        <v>1865</v>
      </c>
      <c r="C189" s="100" t="s">
        <v>1688</v>
      </c>
      <c r="D189" s="100" t="s">
        <v>1689</v>
      </c>
      <c r="E189" s="198">
        <v>100.0</v>
      </c>
      <c r="F189" s="100" t="s">
        <v>1702</v>
      </c>
    </row>
    <row r="190" ht="22.5" customHeight="1">
      <c r="A190" s="197">
        <v>45998.01100571759</v>
      </c>
      <c r="B190" s="100" t="s">
        <v>1866</v>
      </c>
      <c r="C190" s="100" t="s">
        <v>1685</v>
      </c>
      <c r="D190" s="100" t="s">
        <v>1686</v>
      </c>
      <c r="E190" s="198">
        <v>125.0</v>
      </c>
      <c r="F190" s="199" t="s">
        <v>1867</v>
      </c>
    </row>
    <row r="191" ht="22.5" customHeight="1">
      <c r="A191" s="197">
        <v>45998.01100571759</v>
      </c>
      <c r="B191" s="100" t="s">
        <v>1866</v>
      </c>
      <c r="C191" s="100" t="s">
        <v>1688</v>
      </c>
      <c r="D191" s="100" t="s">
        <v>1689</v>
      </c>
      <c r="E191" s="198">
        <v>220.0</v>
      </c>
      <c r="F191" s="199" t="s">
        <v>1868</v>
      </c>
    </row>
    <row r="192" ht="22.5" customHeight="1">
      <c r="A192" s="197">
        <v>45998.011006099536</v>
      </c>
      <c r="B192" s="100" t="s">
        <v>1869</v>
      </c>
      <c r="C192" s="100" t="s">
        <v>1685</v>
      </c>
      <c r="D192" s="100" t="s">
        <v>1686</v>
      </c>
      <c r="E192" s="198">
        <v>168.0</v>
      </c>
      <c r="F192" s="199" t="s">
        <v>1870</v>
      </c>
    </row>
    <row r="193" ht="22.5" customHeight="1">
      <c r="A193" s="197">
        <v>45998.011006099536</v>
      </c>
      <c r="B193" s="100" t="s">
        <v>1869</v>
      </c>
      <c r="C193" s="100" t="s">
        <v>1688</v>
      </c>
      <c r="D193" s="100" t="s">
        <v>1689</v>
      </c>
      <c r="E193" s="198">
        <v>220.0</v>
      </c>
      <c r="F193" s="199" t="s">
        <v>1871</v>
      </c>
    </row>
    <row r="194" ht="22.5" customHeight="1">
      <c r="A194" s="197">
        <v>45998.011006388886</v>
      </c>
      <c r="B194" s="100" t="s">
        <v>1872</v>
      </c>
      <c r="C194" s="100" t="s">
        <v>1685</v>
      </c>
      <c r="D194" s="100" t="s">
        <v>1686</v>
      </c>
      <c r="E194" s="198">
        <v>70.0</v>
      </c>
      <c r="F194" s="199" t="s">
        <v>1805</v>
      </c>
    </row>
    <row r="195" ht="22.5" customHeight="1">
      <c r="A195" s="197">
        <v>45998.011006388886</v>
      </c>
      <c r="B195" s="100" t="s">
        <v>1872</v>
      </c>
      <c r="C195" s="100" t="s">
        <v>1688</v>
      </c>
      <c r="D195" s="100" t="s">
        <v>1689</v>
      </c>
      <c r="E195" s="198">
        <v>100.0</v>
      </c>
      <c r="F195" s="199" t="s">
        <v>1806</v>
      </c>
    </row>
    <row r="196" ht="22.5" customHeight="1">
      <c r="A196" s="197">
        <v>45998.011006643515</v>
      </c>
      <c r="B196" s="100" t="s">
        <v>1873</v>
      </c>
      <c r="C196" s="100" t="s">
        <v>1685</v>
      </c>
      <c r="D196" s="100" t="s">
        <v>1686</v>
      </c>
      <c r="E196" s="198">
        <v>110.0</v>
      </c>
      <c r="F196" s="199" t="s">
        <v>1874</v>
      </c>
    </row>
    <row r="197" ht="22.5" customHeight="1">
      <c r="A197" s="197">
        <v>45998.011006643515</v>
      </c>
      <c r="B197" s="100" t="s">
        <v>1873</v>
      </c>
      <c r="C197" s="100" t="s">
        <v>1688</v>
      </c>
      <c r="D197" s="100" t="s">
        <v>1689</v>
      </c>
      <c r="E197" s="198">
        <v>190.0</v>
      </c>
      <c r="F197" s="199" t="s">
        <v>1875</v>
      </c>
    </row>
    <row r="198" ht="22.5" customHeight="1">
      <c r="A198" s="197">
        <v>45998.011006886576</v>
      </c>
      <c r="B198" s="100" t="s">
        <v>1876</v>
      </c>
      <c r="C198" s="100" t="s">
        <v>1685</v>
      </c>
      <c r="D198" s="100" t="s">
        <v>1686</v>
      </c>
      <c r="E198" s="198">
        <v>31.5</v>
      </c>
      <c r="F198" s="100" t="s">
        <v>1701</v>
      </c>
    </row>
    <row r="199" ht="22.5" customHeight="1">
      <c r="A199" s="197">
        <v>45998.011006886576</v>
      </c>
      <c r="B199" s="100" t="s">
        <v>1876</v>
      </c>
      <c r="C199" s="100" t="s">
        <v>1688</v>
      </c>
      <c r="D199" s="100" t="s">
        <v>1689</v>
      </c>
      <c r="E199" s="198">
        <v>50.0</v>
      </c>
      <c r="F199" s="100" t="s">
        <v>1702</v>
      </c>
    </row>
    <row r="200" ht="22.5" customHeight="1">
      <c r="A200" s="197">
        <v>45998.01100726852</v>
      </c>
      <c r="B200" s="100" t="s">
        <v>1877</v>
      </c>
      <c r="C200" s="100" t="s">
        <v>1685</v>
      </c>
      <c r="D200" s="100" t="s">
        <v>1686</v>
      </c>
      <c r="E200" s="198">
        <v>28.2</v>
      </c>
      <c r="F200" s="199" t="s">
        <v>1753</v>
      </c>
    </row>
    <row r="201" ht="22.5" customHeight="1">
      <c r="A201" s="197">
        <v>45998.01100726852</v>
      </c>
      <c r="B201" s="100" t="s">
        <v>1877</v>
      </c>
      <c r="C201" s="100" t="s">
        <v>1688</v>
      </c>
      <c r="D201" s="100" t="s">
        <v>1689</v>
      </c>
      <c r="E201" s="198">
        <v>40.0</v>
      </c>
      <c r="F201" s="199" t="s">
        <v>1754</v>
      </c>
    </row>
    <row r="202" ht="22.5" customHeight="1">
      <c r="A202" s="197">
        <v>45998.0110075</v>
      </c>
      <c r="B202" s="100" t="s">
        <v>1878</v>
      </c>
      <c r="C202" s="100" t="s">
        <v>1685</v>
      </c>
      <c r="D202" s="100" t="s">
        <v>1686</v>
      </c>
      <c r="E202" s="198">
        <v>180.0</v>
      </c>
      <c r="F202" s="199" t="s">
        <v>1879</v>
      </c>
    </row>
    <row r="203" ht="22.5" customHeight="1">
      <c r="A203" s="197">
        <v>45998.0110075</v>
      </c>
      <c r="B203" s="100" t="s">
        <v>1878</v>
      </c>
      <c r="C203" s="100" t="s">
        <v>1688</v>
      </c>
      <c r="D203" s="100" t="s">
        <v>1689</v>
      </c>
      <c r="E203" s="198">
        <v>234.84</v>
      </c>
      <c r="F203" s="199" t="s">
        <v>1880</v>
      </c>
    </row>
    <row r="204" ht="22.5" customHeight="1">
      <c r="A204" s="197">
        <v>45998.01100778935</v>
      </c>
      <c r="B204" s="100" t="s">
        <v>1881</v>
      </c>
      <c r="C204" s="100" t="s">
        <v>1685</v>
      </c>
      <c r="D204" s="100" t="s">
        <v>1686</v>
      </c>
      <c r="E204" s="198">
        <v>275.0</v>
      </c>
      <c r="F204" s="199" t="s">
        <v>1882</v>
      </c>
    </row>
    <row r="205" ht="22.5" customHeight="1">
      <c r="A205" s="197">
        <v>45998.01100778935</v>
      </c>
      <c r="B205" s="100" t="s">
        <v>1881</v>
      </c>
      <c r="C205" s="100" t="s">
        <v>1688</v>
      </c>
      <c r="D205" s="100" t="s">
        <v>1689</v>
      </c>
      <c r="E205" s="198">
        <v>329.77</v>
      </c>
      <c r="F205" s="199" t="s">
        <v>1883</v>
      </c>
    </row>
    <row r="206" ht="22.5" customHeight="1">
      <c r="A206" s="197">
        <v>45998.01100806713</v>
      </c>
      <c r="B206" s="100" t="s">
        <v>1884</v>
      </c>
      <c r="C206" s="100" t="s">
        <v>1685</v>
      </c>
      <c r="D206" s="100" t="s">
        <v>1686</v>
      </c>
      <c r="E206" s="198">
        <v>164.17</v>
      </c>
      <c r="F206" s="199" t="s">
        <v>1767</v>
      </c>
    </row>
    <row r="207" ht="22.5" customHeight="1">
      <c r="A207" s="197">
        <v>45998.01100806713</v>
      </c>
      <c r="B207" s="100" t="s">
        <v>1884</v>
      </c>
      <c r="C207" s="100" t="s">
        <v>1688</v>
      </c>
      <c r="D207" s="100" t="s">
        <v>1689</v>
      </c>
      <c r="E207" s="198">
        <v>219.85</v>
      </c>
      <c r="F207" s="199" t="s">
        <v>1768</v>
      </c>
    </row>
    <row r="208" ht="22.5" customHeight="1">
      <c r="A208" s="197">
        <v>45998.01100834491</v>
      </c>
      <c r="B208" s="100" t="s">
        <v>1885</v>
      </c>
      <c r="C208" s="100" t="s">
        <v>1685</v>
      </c>
      <c r="D208" s="100" t="s">
        <v>1686</v>
      </c>
      <c r="E208" s="198">
        <v>195.0</v>
      </c>
      <c r="F208" s="199" t="s">
        <v>1703</v>
      </c>
    </row>
    <row r="209" ht="22.5" customHeight="1">
      <c r="A209" s="197">
        <v>45998.01100834491</v>
      </c>
      <c r="B209" s="100" t="s">
        <v>1885</v>
      </c>
      <c r="C209" s="100" t="s">
        <v>1688</v>
      </c>
      <c r="D209" s="100" t="s">
        <v>1689</v>
      </c>
      <c r="E209" s="198">
        <v>219.85</v>
      </c>
      <c r="F209" s="199" t="s">
        <v>1704</v>
      </c>
    </row>
    <row r="210" ht="22.5" customHeight="1">
      <c r="A210" s="197">
        <v>45998.011008587964</v>
      </c>
      <c r="B210" s="100" t="s">
        <v>1886</v>
      </c>
      <c r="C210" s="100" t="s">
        <v>1685</v>
      </c>
      <c r="D210" s="100" t="s">
        <v>1686</v>
      </c>
      <c r="E210" s="198">
        <v>164.17</v>
      </c>
      <c r="F210" s="199" t="s">
        <v>1767</v>
      </c>
    </row>
    <row r="211" ht="22.5" customHeight="1">
      <c r="A211" s="197">
        <v>45998.011008587964</v>
      </c>
      <c r="B211" s="100" t="s">
        <v>1886</v>
      </c>
      <c r="C211" s="100" t="s">
        <v>1688</v>
      </c>
      <c r="D211" s="100" t="s">
        <v>1689</v>
      </c>
      <c r="E211" s="198">
        <v>209.85</v>
      </c>
      <c r="F211" s="199" t="s">
        <v>1768</v>
      </c>
    </row>
    <row r="212" ht="22.5" customHeight="1">
      <c r="A212" s="197">
        <v>45998.011008912035</v>
      </c>
      <c r="B212" s="100" t="s">
        <v>1887</v>
      </c>
      <c r="C212" s="100" t="s">
        <v>1685</v>
      </c>
      <c r="D212" s="100" t="s">
        <v>1686</v>
      </c>
      <c r="E212" s="198">
        <v>400.0</v>
      </c>
      <c r="F212" s="199" t="s">
        <v>1888</v>
      </c>
    </row>
    <row r="213" ht="22.5" customHeight="1">
      <c r="A213" s="197">
        <v>45998.011008912035</v>
      </c>
      <c r="B213" s="100" t="s">
        <v>1887</v>
      </c>
      <c r="C213" s="100" t="s">
        <v>1688</v>
      </c>
      <c r="D213" s="100" t="s">
        <v>1689</v>
      </c>
      <c r="E213" s="198">
        <v>480.0</v>
      </c>
      <c r="F213" s="199" t="s">
        <v>1889</v>
      </c>
    </row>
    <row r="214" ht="22.5" customHeight="1">
      <c r="A214" s="197">
        <v>45998.011009317124</v>
      </c>
      <c r="B214" s="100" t="s">
        <v>1890</v>
      </c>
      <c r="C214" s="100" t="s">
        <v>1685</v>
      </c>
      <c r="D214" s="100" t="s">
        <v>1686</v>
      </c>
      <c r="E214" s="198">
        <v>164.17</v>
      </c>
      <c r="F214" s="199" t="s">
        <v>1767</v>
      </c>
    </row>
    <row r="215" ht="22.5" customHeight="1">
      <c r="A215" s="197">
        <v>45998.011009317124</v>
      </c>
      <c r="B215" s="100" t="s">
        <v>1890</v>
      </c>
      <c r="C215" s="100" t="s">
        <v>1688</v>
      </c>
      <c r="D215" s="100" t="s">
        <v>1689</v>
      </c>
      <c r="E215" s="198">
        <v>210.0</v>
      </c>
      <c r="F215" s="199" t="s">
        <v>1768</v>
      </c>
    </row>
    <row r="216" ht="22.5" customHeight="1">
      <c r="A216" s="197">
        <v>45998.011009560185</v>
      </c>
      <c r="B216" s="100" t="s">
        <v>1891</v>
      </c>
      <c r="C216" s="100" t="s">
        <v>1685</v>
      </c>
      <c r="D216" s="100" t="s">
        <v>1686</v>
      </c>
      <c r="E216" s="198">
        <v>205.0</v>
      </c>
      <c r="F216" s="199" t="s">
        <v>1892</v>
      </c>
    </row>
    <row r="217" ht="22.5" customHeight="1">
      <c r="A217" s="197">
        <v>45998.011009560185</v>
      </c>
      <c r="B217" s="100" t="s">
        <v>1891</v>
      </c>
      <c r="C217" s="100" t="s">
        <v>1688</v>
      </c>
      <c r="D217" s="100" t="s">
        <v>1689</v>
      </c>
      <c r="E217" s="198">
        <v>274.73</v>
      </c>
      <c r="F217" s="199" t="s">
        <v>1893</v>
      </c>
    </row>
    <row r="218" ht="22.5" customHeight="1">
      <c r="A218" s="197">
        <v>45998.01100994213</v>
      </c>
      <c r="B218" s="100" t="s">
        <v>1894</v>
      </c>
      <c r="C218" s="100" t="s">
        <v>1685</v>
      </c>
      <c r="D218" s="100" t="s">
        <v>1686</v>
      </c>
      <c r="E218" s="198">
        <v>240.0</v>
      </c>
      <c r="F218" s="199" t="s">
        <v>1895</v>
      </c>
    </row>
    <row r="219" ht="22.5" customHeight="1">
      <c r="A219" s="197">
        <v>45998.01100994213</v>
      </c>
      <c r="B219" s="100" t="s">
        <v>1894</v>
      </c>
      <c r="C219" s="100" t="s">
        <v>1688</v>
      </c>
      <c r="D219" s="100" t="s">
        <v>1689</v>
      </c>
      <c r="E219" s="198">
        <v>359.64</v>
      </c>
      <c r="F219" s="199" t="s">
        <v>1896</v>
      </c>
    </row>
    <row r="220" ht="22.5" customHeight="1">
      <c r="A220" s="197">
        <v>45998.01101037037</v>
      </c>
      <c r="B220" s="100" t="s">
        <v>1897</v>
      </c>
      <c r="C220" s="100" t="s">
        <v>1685</v>
      </c>
      <c r="D220" s="100" t="s">
        <v>1686</v>
      </c>
      <c r="E220" s="198">
        <v>35.0</v>
      </c>
      <c r="F220" s="199" t="s">
        <v>1805</v>
      </c>
    </row>
    <row r="221" ht="22.5" customHeight="1">
      <c r="A221" s="197">
        <v>45998.01101037037</v>
      </c>
      <c r="B221" s="100" t="s">
        <v>1897</v>
      </c>
      <c r="C221" s="100" t="s">
        <v>1688</v>
      </c>
      <c r="D221" s="100" t="s">
        <v>1689</v>
      </c>
      <c r="E221" s="198">
        <v>45.0</v>
      </c>
      <c r="F221" s="199" t="s">
        <v>1806</v>
      </c>
    </row>
    <row r="222" ht="22.5" customHeight="1">
      <c r="A222" s="197">
        <v>45998.01101079861</v>
      </c>
      <c r="B222" s="100" t="s">
        <v>1898</v>
      </c>
      <c r="C222" s="100" t="s">
        <v>1685</v>
      </c>
      <c r="D222" s="100" t="s">
        <v>1686</v>
      </c>
      <c r="E222" s="198">
        <v>420.0</v>
      </c>
      <c r="F222" s="199" t="s">
        <v>1742</v>
      </c>
    </row>
    <row r="223" ht="22.5" customHeight="1">
      <c r="A223" s="197">
        <v>45998.01101079861</v>
      </c>
      <c r="B223" s="100" t="s">
        <v>1898</v>
      </c>
      <c r="C223" s="100" t="s">
        <v>1688</v>
      </c>
      <c r="D223" s="100" t="s">
        <v>1689</v>
      </c>
      <c r="E223" s="198">
        <v>599.4</v>
      </c>
      <c r="F223" s="199" t="s">
        <v>1743</v>
      </c>
    </row>
    <row r="224" ht="22.5" customHeight="1">
      <c r="A224" s="197">
        <v>45998.01101106482</v>
      </c>
      <c r="B224" s="100" t="s">
        <v>1899</v>
      </c>
      <c r="C224" s="100" t="s">
        <v>1685</v>
      </c>
      <c r="D224" s="100" t="s">
        <v>1686</v>
      </c>
      <c r="E224" s="198">
        <v>60.0</v>
      </c>
      <c r="F224" s="199" t="s">
        <v>1713</v>
      </c>
    </row>
    <row r="225" ht="22.5" customHeight="1">
      <c r="A225" s="197">
        <v>45998.01101106482</v>
      </c>
      <c r="B225" s="100" t="s">
        <v>1899</v>
      </c>
      <c r="C225" s="100" t="s">
        <v>1688</v>
      </c>
      <c r="D225" s="100" t="s">
        <v>1689</v>
      </c>
      <c r="E225" s="198">
        <v>94.91</v>
      </c>
      <c r="F225" s="199" t="s">
        <v>1714</v>
      </c>
    </row>
    <row r="226" ht="22.5" customHeight="1">
      <c r="A226" s="197">
        <v>45998.01101136574</v>
      </c>
      <c r="B226" s="100" t="s">
        <v>1900</v>
      </c>
      <c r="C226" s="100" t="s">
        <v>1685</v>
      </c>
      <c r="D226" s="100" t="s">
        <v>1686</v>
      </c>
      <c r="E226" s="198">
        <v>225.0</v>
      </c>
      <c r="F226" s="199" t="s">
        <v>1901</v>
      </c>
    </row>
    <row r="227" ht="22.5" customHeight="1">
      <c r="A227" s="197">
        <v>45998.01101136574</v>
      </c>
      <c r="B227" s="100" t="s">
        <v>1900</v>
      </c>
      <c r="C227" s="100" t="s">
        <v>1688</v>
      </c>
      <c r="D227" s="100" t="s">
        <v>1689</v>
      </c>
      <c r="E227" s="198">
        <v>290.0</v>
      </c>
      <c r="F227" s="199" t="s">
        <v>1902</v>
      </c>
    </row>
    <row r="228" ht="22.5" customHeight="1">
      <c r="A228" s="197">
        <v>45998.01101164352</v>
      </c>
      <c r="B228" s="100" t="s">
        <v>1903</v>
      </c>
      <c r="C228" s="100" t="s">
        <v>1685</v>
      </c>
      <c r="D228" s="100" t="s">
        <v>1686</v>
      </c>
      <c r="E228" s="198">
        <v>30.0</v>
      </c>
      <c r="F228" s="199" t="s">
        <v>1904</v>
      </c>
    </row>
    <row r="229" ht="22.5" customHeight="1">
      <c r="A229" s="197">
        <v>45998.01101164352</v>
      </c>
      <c r="B229" s="100" t="s">
        <v>1903</v>
      </c>
      <c r="C229" s="100" t="s">
        <v>1688</v>
      </c>
      <c r="D229" s="100" t="s">
        <v>1689</v>
      </c>
      <c r="E229" s="198">
        <v>60.0</v>
      </c>
      <c r="F229" s="199" t="s">
        <v>1906</v>
      </c>
    </row>
    <row r="230" ht="22.5" customHeight="1">
      <c r="A230" s="197">
        <v>45998.01101194444</v>
      </c>
      <c r="B230" s="100" t="s">
        <v>1907</v>
      </c>
      <c r="C230" s="100" t="s">
        <v>1685</v>
      </c>
      <c r="D230" s="100" t="s">
        <v>1686</v>
      </c>
      <c r="E230" s="198">
        <v>225.0</v>
      </c>
      <c r="F230" s="199" t="s">
        <v>1901</v>
      </c>
    </row>
    <row r="231" ht="22.5" customHeight="1">
      <c r="A231" s="197">
        <v>45998.01101194444</v>
      </c>
      <c r="B231" s="100" t="s">
        <v>1907</v>
      </c>
      <c r="C231" s="100" t="s">
        <v>1688</v>
      </c>
      <c r="D231" s="100" t="s">
        <v>1689</v>
      </c>
      <c r="E231" s="198">
        <v>290.0</v>
      </c>
      <c r="F231" s="199" t="s">
        <v>1902</v>
      </c>
    </row>
    <row r="232" ht="22.5" customHeight="1">
      <c r="A232" s="197">
        <v>45998.01101215278</v>
      </c>
      <c r="B232" s="100" t="s">
        <v>1908</v>
      </c>
      <c r="C232" s="100" t="s">
        <v>1685</v>
      </c>
      <c r="D232" s="100" t="s">
        <v>1686</v>
      </c>
      <c r="E232" s="198">
        <v>30.0</v>
      </c>
      <c r="F232" s="199" t="s">
        <v>1904</v>
      </c>
    </row>
    <row r="233" ht="22.5" customHeight="1">
      <c r="A233" s="197">
        <v>45998.01101215278</v>
      </c>
      <c r="B233" s="100" t="s">
        <v>1908</v>
      </c>
      <c r="C233" s="100" t="s">
        <v>1688</v>
      </c>
      <c r="D233" s="100" t="s">
        <v>1689</v>
      </c>
      <c r="E233" s="198">
        <v>60.0</v>
      </c>
      <c r="F233" s="199" t="s">
        <v>1906</v>
      </c>
    </row>
    <row r="234" ht="22.5" customHeight="1">
      <c r="A234" s="197">
        <v>45998.01101255787</v>
      </c>
      <c r="B234" s="100" t="s">
        <v>1909</v>
      </c>
      <c r="C234" s="100" t="s">
        <v>1685</v>
      </c>
      <c r="D234" s="100" t="s">
        <v>1686</v>
      </c>
      <c r="E234" s="198">
        <v>235.0</v>
      </c>
      <c r="F234" s="199" t="s">
        <v>1785</v>
      </c>
    </row>
    <row r="235" ht="22.5" customHeight="1">
      <c r="A235" s="197">
        <v>45998.01101255787</v>
      </c>
      <c r="B235" s="100" t="s">
        <v>1909</v>
      </c>
      <c r="C235" s="100" t="s">
        <v>1688</v>
      </c>
      <c r="D235" s="100" t="s">
        <v>1689</v>
      </c>
      <c r="E235" s="198">
        <v>350.0</v>
      </c>
      <c r="F235" s="199" t="s">
        <v>1786</v>
      </c>
    </row>
    <row r="236" ht="22.5" customHeight="1">
      <c r="A236" s="197">
        <v>45998.01101295139</v>
      </c>
      <c r="B236" s="100" t="s">
        <v>1910</v>
      </c>
      <c r="C236" s="100" t="s">
        <v>1685</v>
      </c>
      <c r="D236" s="100" t="s">
        <v>1686</v>
      </c>
      <c r="E236" s="198">
        <v>140.0</v>
      </c>
      <c r="F236" s="100" t="s">
        <v>1911</v>
      </c>
    </row>
    <row r="237" ht="22.5" customHeight="1">
      <c r="A237" s="197">
        <v>45998.01101295139</v>
      </c>
      <c r="B237" s="100" t="s">
        <v>1910</v>
      </c>
      <c r="C237" s="100" t="s">
        <v>1688</v>
      </c>
      <c r="D237" s="100" t="s">
        <v>1689</v>
      </c>
      <c r="E237" s="198">
        <v>220.0</v>
      </c>
      <c r="F237" s="100" t="s">
        <v>1912</v>
      </c>
    </row>
    <row r="238" ht="22.5" customHeight="1">
      <c r="A238" s="197">
        <v>45998.01101322917</v>
      </c>
      <c r="B238" s="100" t="s">
        <v>1913</v>
      </c>
      <c r="C238" s="100" t="s">
        <v>1685</v>
      </c>
      <c r="D238" s="100" t="s">
        <v>1686</v>
      </c>
      <c r="E238" s="198">
        <v>75.0</v>
      </c>
      <c r="F238" s="199" t="s">
        <v>1914</v>
      </c>
    </row>
    <row r="239" ht="22.5" customHeight="1">
      <c r="A239" s="197">
        <v>45998.01101322917</v>
      </c>
      <c r="B239" s="100" t="s">
        <v>1913</v>
      </c>
      <c r="C239" s="100" t="s">
        <v>1688</v>
      </c>
      <c r="D239" s="100" t="s">
        <v>1689</v>
      </c>
      <c r="E239" s="198">
        <v>100.0</v>
      </c>
      <c r="F239" s="199" t="s">
        <v>1915</v>
      </c>
    </row>
    <row r="240" ht="22.5" customHeight="1">
      <c r="A240" s="197">
        <v>45998.011013564814</v>
      </c>
      <c r="B240" s="100" t="s">
        <v>1916</v>
      </c>
      <c r="C240" s="100" t="s">
        <v>1685</v>
      </c>
      <c r="D240" s="100" t="s">
        <v>1686</v>
      </c>
      <c r="E240" s="198">
        <v>280.0</v>
      </c>
      <c r="F240" s="199" t="s">
        <v>1742</v>
      </c>
    </row>
    <row r="241" ht="22.5" customHeight="1">
      <c r="A241" s="197">
        <v>45998.011013564814</v>
      </c>
      <c r="B241" s="100" t="s">
        <v>1916</v>
      </c>
      <c r="C241" s="100" t="s">
        <v>1688</v>
      </c>
      <c r="D241" s="100" t="s">
        <v>1689</v>
      </c>
      <c r="E241" s="198">
        <v>400.0</v>
      </c>
      <c r="F241" s="199" t="s">
        <v>1743</v>
      </c>
    </row>
    <row r="242" ht="22.5" customHeight="1">
      <c r="A242" s="197">
        <v>45998.011013888885</v>
      </c>
      <c r="B242" s="100" t="s">
        <v>1917</v>
      </c>
      <c r="C242" s="100" t="s">
        <v>1685</v>
      </c>
      <c r="D242" s="100" t="s">
        <v>1686</v>
      </c>
      <c r="E242" s="198">
        <v>275.0</v>
      </c>
      <c r="F242" s="199" t="s">
        <v>1918</v>
      </c>
    </row>
    <row r="243" ht="22.5" customHeight="1">
      <c r="A243" s="197">
        <v>45998.011013888885</v>
      </c>
      <c r="B243" s="100" t="s">
        <v>1917</v>
      </c>
      <c r="C243" s="100" t="s">
        <v>1688</v>
      </c>
      <c r="D243" s="100" t="s">
        <v>1689</v>
      </c>
      <c r="E243" s="198">
        <v>400.0</v>
      </c>
      <c r="F243" s="199" t="s">
        <v>1919</v>
      </c>
    </row>
    <row r="244" ht="22.5" customHeight="1">
      <c r="A244" s="197">
        <v>45998.01101430556</v>
      </c>
      <c r="B244" s="100" t="s">
        <v>1920</v>
      </c>
      <c r="C244" s="100" t="s">
        <v>1685</v>
      </c>
      <c r="D244" s="100" t="s">
        <v>1686</v>
      </c>
      <c r="E244" s="198">
        <v>170.0</v>
      </c>
      <c r="F244" s="199" t="s">
        <v>1817</v>
      </c>
    </row>
    <row r="245" ht="22.5" customHeight="1">
      <c r="A245" s="197">
        <v>45998.01101430556</v>
      </c>
      <c r="B245" s="100" t="s">
        <v>1920</v>
      </c>
      <c r="C245" s="100" t="s">
        <v>1688</v>
      </c>
      <c r="D245" s="100" t="s">
        <v>1689</v>
      </c>
      <c r="E245" s="198">
        <v>200.0</v>
      </c>
      <c r="F245" s="199" t="s">
        <v>1819</v>
      </c>
    </row>
    <row r="246" ht="22.5" customHeight="1">
      <c r="A246" s="197">
        <v>45998.01101454861</v>
      </c>
      <c r="B246" s="100" t="s">
        <v>1921</v>
      </c>
      <c r="C246" s="100" t="s">
        <v>1685</v>
      </c>
      <c r="D246" s="100" t="s">
        <v>1686</v>
      </c>
      <c r="E246" s="198">
        <v>155.0</v>
      </c>
      <c r="F246" s="199" t="s">
        <v>1922</v>
      </c>
    </row>
    <row r="247" ht="22.5" customHeight="1">
      <c r="A247" s="197">
        <v>45998.01101454861</v>
      </c>
      <c r="B247" s="100" t="s">
        <v>1921</v>
      </c>
      <c r="C247" s="100" t="s">
        <v>1688</v>
      </c>
      <c r="D247" s="100" t="s">
        <v>1689</v>
      </c>
      <c r="E247" s="198">
        <v>200.0</v>
      </c>
      <c r="F247" s="199" t="s">
        <v>1923</v>
      </c>
    </row>
    <row r="248" ht="22.5" customHeight="1">
      <c r="A248" s="197">
        <v>45998.01101483796</v>
      </c>
      <c r="B248" s="100" t="s">
        <v>1924</v>
      </c>
      <c r="C248" s="100" t="s">
        <v>1685</v>
      </c>
      <c r="D248" s="100" t="s">
        <v>1686</v>
      </c>
      <c r="E248" s="198">
        <v>220.0</v>
      </c>
      <c r="F248" s="199" t="s">
        <v>1925</v>
      </c>
    </row>
    <row r="249" ht="22.5" customHeight="1">
      <c r="A249" s="197">
        <v>45998.01101483796</v>
      </c>
      <c r="B249" s="100" t="s">
        <v>1924</v>
      </c>
      <c r="C249" s="100" t="s">
        <v>1688</v>
      </c>
      <c r="D249" s="100" t="s">
        <v>1689</v>
      </c>
      <c r="E249" s="198">
        <v>260.0</v>
      </c>
      <c r="F249" s="199" t="s">
        <v>1926</v>
      </c>
    </row>
    <row r="250" ht="22.5" customHeight="1">
      <c r="A250" s="197">
        <v>45998.01101530093</v>
      </c>
      <c r="B250" s="100" t="s">
        <v>1927</v>
      </c>
      <c r="C250" s="100" t="s">
        <v>1685</v>
      </c>
      <c r="D250" s="100" t="s">
        <v>1686</v>
      </c>
      <c r="E250" s="198">
        <v>325.0</v>
      </c>
      <c r="F250" s="199" t="s">
        <v>1928</v>
      </c>
    </row>
    <row r="251" ht="22.5" customHeight="1">
      <c r="A251" s="197">
        <v>45998.01101530093</v>
      </c>
      <c r="B251" s="100" t="s">
        <v>1927</v>
      </c>
      <c r="C251" s="100" t="s">
        <v>1688</v>
      </c>
      <c r="D251" s="100" t="s">
        <v>1689</v>
      </c>
      <c r="E251" s="198">
        <v>350.0</v>
      </c>
      <c r="F251" s="199" t="s">
        <v>1929</v>
      </c>
    </row>
    <row r="252" ht="22.5" customHeight="1">
      <c r="A252" s="197">
        <v>45998.01101598379</v>
      </c>
      <c r="B252" s="100" t="s">
        <v>1930</v>
      </c>
      <c r="C252" s="100" t="s">
        <v>1685</v>
      </c>
      <c r="D252" s="100" t="s">
        <v>1686</v>
      </c>
      <c r="E252" s="198">
        <v>30.0</v>
      </c>
      <c r="F252" s="199" t="s">
        <v>1904</v>
      </c>
    </row>
    <row r="253" ht="22.5" customHeight="1">
      <c r="A253" s="197">
        <v>45998.01101598379</v>
      </c>
      <c r="B253" s="100" t="s">
        <v>1930</v>
      </c>
      <c r="C253" s="100" t="s">
        <v>1688</v>
      </c>
      <c r="D253" s="100" t="s">
        <v>1689</v>
      </c>
      <c r="E253" s="198">
        <v>40.0</v>
      </c>
      <c r="F253" s="199" t="s">
        <v>1906</v>
      </c>
    </row>
    <row r="254" ht="22.5" customHeight="1">
      <c r="A254" s="197">
        <v>45998.011016944445</v>
      </c>
      <c r="B254" s="100" t="s">
        <v>1931</v>
      </c>
      <c r="C254" s="100" t="s">
        <v>1685</v>
      </c>
      <c r="D254" s="100" t="s">
        <v>1686</v>
      </c>
      <c r="E254" s="198">
        <v>140.0</v>
      </c>
      <c r="F254" s="199" t="s">
        <v>1742</v>
      </c>
    </row>
    <row r="255" ht="22.5" customHeight="1">
      <c r="A255" s="197">
        <v>45998.011016944445</v>
      </c>
      <c r="B255" s="100" t="s">
        <v>1931</v>
      </c>
      <c r="C255" s="100" t="s">
        <v>1688</v>
      </c>
      <c r="D255" s="100" t="s">
        <v>1689</v>
      </c>
      <c r="E255" s="198">
        <v>200.0</v>
      </c>
      <c r="F255" s="199" t="s">
        <v>1743</v>
      </c>
    </row>
    <row r="256" ht="22.5" customHeight="1">
      <c r="A256" s="197">
        <v>45998.01101752315</v>
      </c>
      <c r="B256" s="100" t="s">
        <v>1932</v>
      </c>
      <c r="C256" s="100" t="s">
        <v>1685</v>
      </c>
      <c r="D256" s="100" t="s">
        <v>1686</v>
      </c>
      <c r="E256" s="198">
        <v>45.0</v>
      </c>
      <c r="F256" s="199" t="s">
        <v>1838</v>
      </c>
    </row>
    <row r="257" ht="22.5" customHeight="1">
      <c r="A257" s="197">
        <v>45998.01101752315</v>
      </c>
      <c r="B257" s="100" t="s">
        <v>1932</v>
      </c>
      <c r="C257" s="100" t="s">
        <v>1688</v>
      </c>
      <c r="D257" s="100" t="s">
        <v>1689</v>
      </c>
      <c r="E257" s="198">
        <v>60.0</v>
      </c>
      <c r="F257" s="199" t="s">
        <v>1839</v>
      </c>
    </row>
    <row r="258" ht="22.5" customHeight="1">
      <c r="A258" s="197">
        <v>45998.01101800926</v>
      </c>
      <c r="B258" s="100" t="s">
        <v>1933</v>
      </c>
      <c r="C258" s="100" t="s">
        <v>1685</v>
      </c>
      <c r="D258" s="100" t="s">
        <v>1686</v>
      </c>
      <c r="E258" s="198">
        <v>45.0</v>
      </c>
      <c r="F258" s="199" t="s">
        <v>1934</v>
      </c>
    </row>
    <row r="259" ht="22.5" customHeight="1">
      <c r="A259" s="197">
        <v>45998.01101800926</v>
      </c>
      <c r="B259" s="100" t="s">
        <v>1933</v>
      </c>
      <c r="C259" s="100" t="s">
        <v>1688</v>
      </c>
      <c r="D259" s="100" t="s">
        <v>1689</v>
      </c>
      <c r="E259" s="198">
        <v>60.0</v>
      </c>
      <c r="F259" s="199" t="s">
        <v>1935</v>
      </c>
    </row>
    <row r="260" ht="22.5" customHeight="1">
      <c r="A260" s="197">
        <v>45998.01101834491</v>
      </c>
      <c r="B260" s="100" t="s">
        <v>1936</v>
      </c>
      <c r="C260" s="100" t="s">
        <v>1685</v>
      </c>
      <c r="D260" s="100" t="s">
        <v>1686</v>
      </c>
      <c r="E260" s="198">
        <v>65.0</v>
      </c>
      <c r="F260" s="100" t="s">
        <v>1937</v>
      </c>
    </row>
    <row r="261" ht="22.5" customHeight="1">
      <c r="A261" s="197">
        <v>45998.01101834491</v>
      </c>
      <c r="B261" s="100" t="s">
        <v>1936</v>
      </c>
      <c r="C261" s="100" t="s">
        <v>1688</v>
      </c>
      <c r="D261" s="100" t="s">
        <v>1689</v>
      </c>
      <c r="E261" s="198">
        <v>95.0</v>
      </c>
      <c r="F261" s="100" t="s">
        <v>1938</v>
      </c>
    </row>
    <row r="262" ht="22.5" customHeight="1">
      <c r="A262" s="197">
        <v>45998.01101872685</v>
      </c>
      <c r="B262" s="100" t="s">
        <v>1939</v>
      </c>
      <c r="C262" s="100" t="s">
        <v>1685</v>
      </c>
      <c r="D262" s="100" t="s">
        <v>1686</v>
      </c>
      <c r="E262" s="198">
        <v>195.0</v>
      </c>
      <c r="F262" s="199" t="s">
        <v>1940</v>
      </c>
    </row>
    <row r="263" ht="22.5" customHeight="1">
      <c r="A263" s="197">
        <v>45998.01101872685</v>
      </c>
      <c r="B263" s="100" t="s">
        <v>1939</v>
      </c>
      <c r="C263" s="100" t="s">
        <v>1688</v>
      </c>
      <c r="D263" s="100" t="s">
        <v>1689</v>
      </c>
      <c r="E263" s="198">
        <v>235.0</v>
      </c>
      <c r="F263" s="199" t="s">
        <v>1941</v>
      </c>
    </row>
    <row r="264" ht="22.5" customHeight="1">
      <c r="A264" s="197">
        <v>45998.01101915509</v>
      </c>
      <c r="B264" s="100" t="s">
        <v>1942</v>
      </c>
      <c r="C264" s="100" t="s">
        <v>1685</v>
      </c>
      <c r="D264" s="100" t="s">
        <v>1686</v>
      </c>
      <c r="E264" s="198">
        <v>164.17</v>
      </c>
      <c r="F264" s="199" t="s">
        <v>1767</v>
      </c>
    </row>
    <row r="265" ht="22.5" customHeight="1">
      <c r="A265" s="197">
        <v>45998.01101915509</v>
      </c>
      <c r="B265" s="100" t="s">
        <v>1942</v>
      </c>
      <c r="C265" s="100" t="s">
        <v>1688</v>
      </c>
      <c r="D265" s="100" t="s">
        <v>1689</v>
      </c>
      <c r="E265" s="198">
        <v>195.0</v>
      </c>
      <c r="F265" s="199" t="s">
        <v>1768</v>
      </c>
    </row>
    <row r="266" ht="22.5" customHeight="1">
      <c r="A266" s="197">
        <v>45998.01101940972</v>
      </c>
      <c r="B266" s="100" t="s">
        <v>1943</v>
      </c>
      <c r="C266" s="100" t="s">
        <v>1685</v>
      </c>
      <c r="D266" s="100" t="s">
        <v>1686</v>
      </c>
      <c r="E266" s="198">
        <v>140.0</v>
      </c>
      <c r="F266" s="100" t="s">
        <v>1911</v>
      </c>
    </row>
    <row r="267" ht="22.5" customHeight="1">
      <c r="A267" s="197">
        <v>45998.01101940972</v>
      </c>
      <c r="B267" s="100" t="s">
        <v>1943</v>
      </c>
      <c r="C267" s="100" t="s">
        <v>1688</v>
      </c>
      <c r="D267" s="100" t="s">
        <v>1689</v>
      </c>
      <c r="E267" s="198">
        <v>180.0</v>
      </c>
      <c r="F267" s="100" t="s">
        <v>1912</v>
      </c>
    </row>
    <row r="268" ht="22.5" customHeight="1">
      <c r="A268" s="197">
        <v>45998.0110196875</v>
      </c>
      <c r="B268" s="100" t="s">
        <v>1944</v>
      </c>
      <c r="C268" s="100" t="s">
        <v>1685</v>
      </c>
      <c r="D268" s="100" t="s">
        <v>1686</v>
      </c>
      <c r="E268" s="198">
        <v>120.0</v>
      </c>
      <c r="F268" s="199" t="s">
        <v>1710</v>
      </c>
    </row>
    <row r="269" ht="22.5" customHeight="1">
      <c r="A269" s="197">
        <v>45998.0110196875</v>
      </c>
      <c r="B269" s="100" t="s">
        <v>1944</v>
      </c>
      <c r="C269" s="100" t="s">
        <v>1688</v>
      </c>
      <c r="D269" s="100" t="s">
        <v>1689</v>
      </c>
      <c r="E269" s="198">
        <v>180.0</v>
      </c>
      <c r="F269" s="199" t="s">
        <v>1711</v>
      </c>
    </row>
    <row r="270" ht="22.5" customHeight="1">
      <c r="A270" s="197">
        <v>45998.011020034726</v>
      </c>
      <c r="B270" s="100" t="s">
        <v>1945</v>
      </c>
      <c r="C270" s="100" t="s">
        <v>1685</v>
      </c>
      <c r="D270" s="100" t="s">
        <v>1686</v>
      </c>
      <c r="E270" s="198">
        <v>211.67</v>
      </c>
      <c r="F270" s="199" t="s">
        <v>1746</v>
      </c>
    </row>
    <row r="271" ht="22.5" customHeight="1">
      <c r="A271" s="197">
        <v>45998.011020034726</v>
      </c>
      <c r="B271" s="100" t="s">
        <v>1945</v>
      </c>
      <c r="C271" s="100" t="s">
        <v>1688</v>
      </c>
      <c r="D271" s="100" t="s">
        <v>1689</v>
      </c>
      <c r="E271" s="198">
        <v>260.0</v>
      </c>
      <c r="F271" s="199" t="s">
        <v>1747</v>
      </c>
    </row>
    <row r="272" ht="22.5" customHeight="1">
      <c r="A272" s="197">
        <v>45998.01102023148</v>
      </c>
      <c r="B272" s="100" t="s">
        <v>1946</v>
      </c>
      <c r="C272" s="100" t="s">
        <v>1685</v>
      </c>
      <c r="D272" s="100" t="s">
        <v>1686</v>
      </c>
      <c r="E272" s="198">
        <v>135.0</v>
      </c>
      <c r="F272" s="199" t="s">
        <v>1947</v>
      </c>
    </row>
    <row r="273" ht="22.5" customHeight="1">
      <c r="A273" s="197">
        <v>45998.01102023148</v>
      </c>
      <c r="B273" s="100" t="s">
        <v>1946</v>
      </c>
      <c r="C273" s="100" t="s">
        <v>1688</v>
      </c>
      <c r="D273" s="100" t="s">
        <v>1689</v>
      </c>
      <c r="E273" s="198">
        <v>200.0</v>
      </c>
      <c r="F273" s="199" t="s">
        <v>1948</v>
      </c>
    </row>
    <row r="274" ht="22.5" customHeight="1">
      <c r="A274" s="197">
        <v>45998.01102042824</v>
      </c>
      <c r="B274" s="100" t="s">
        <v>1949</v>
      </c>
      <c r="C274" s="100" t="s">
        <v>1685</v>
      </c>
      <c r="D274" s="100" t="s">
        <v>1686</v>
      </c>
      <c r="E274" s="198">
        <v>75.0</v>
      </c>
      <c r="F274" s="199" t="s">
        <v>1950</v>
      </c>
    </row>
    <row r="275" ht="22.5" customHeight="1">
      <c r="A275" s="197">
        <v>45998.01102042824</v>
      </c>
      <c r="B275" s="100" t="s">
        <v>1949</v>
      </c>
      <c r="C275" s="100" t="s">
        <v>1688</v>
      </c>
      <c r="D275" s="100" t="s">
        <v>1689</v>
      </c>
      <c r="E275" s="198">
        <v>90.0</v>
      </c>
      <c r="F275" s="199" t="s">
        <v>1951</v>
      </c>
    </row>
    <row r="276" ht="22.5" customHeight="1">
      <c r="A276" s="197">
        <v>45998.0110206713</v>
      </c>
      <c r="B276" s="100" t="s">
        <v>1952</v>
      </c>
      <c r="C276" s="100" t="s">
        <v>1685</v>
      </c>
      <c r="D276" s="100" t="s">
        <v>1686</v>
      </c>
      <c r="E276" s="198">
        <v>47.5</v>
      </c>
      <c r="F276" s="199" t="s">
        <v>1953</v>
      </c>
    </row>
    <row r="277" ht="22.5" customHeight="1">
      <c r="A277" s="197">
        <v>45998.0110206713</v>
      </c>
      <c r="B277" s="100" t="s">
        <v>1952</v>
      </c>
      <c r="C277" s="100" t="s">
        <v>1688</v>
      </c>
      <c r="D277" s="100" t="s">
        <v>1689</v>
      </c>
      <c r="E277" s="198">
        <v>60.0</v>
      </c>
      <c r="F277" s="199" t="s">
        <v>1954</v>
      </c>
    </row>
    <row r="278" ht="22.5" customHeight="1">
      <c r="A278" s="197">
        <v>45998.01102106481</v>
      </c>
      <c r="B278" s="100" t="s">
        <v>1955</v>
      </c>
      <c r="C278" s="100" t="s">
        <v>1685</v>
      </c>
      <c r="D278" s="100" t="s">
        <v>1686</v>
      </c>
      <c r="E278" s="198">
        <v>211.67</v>
      </c>
      <c r="F278" s="199" t="s">
        <v>1746</v>
      </c>
    </row>
    <row r="279" ht="22.5" customHeight="1">
      <c r="A279" s="197">
        <v>45998.01102106481</v>
      </c>
      <c r="B279" s="100" t="s">
        <v>1955</v>
      </c>
      <c r="C279" s="100" t="s">
        <v>1688</v>
      </c>
      <c r="D279" s="100" t="s">
        <v>1689</v>
      </c>
      <c r="E279" s="198">
        <v>260.0</v>
      </c>
      <c r="F279" s="199" t="s">
        <v>1747</v>
      </c>
    </row>
    <row r="280" ht="22.5" customHeight="1">
      <c r="A280" s="197">
        <v>45998.0110212963</v>
      </c>
      <c r="B280" s="100" t="s">
        <v>1956</v>
      </c>
      <c r="C280" s="100" t="s">
        <v>1685</v>
      </c>
      <c r="D280" s="100" t="s">
        <v>1686</v>
      </c>
      <c r="E280" s="198">
        <v>75.0</v>
      </c>
      <c r="F280" s="199" t="s">
        <v>1950</v>
      </c>
    </row>
    <row r="281" ht="22.5" customHeight="1">
      <c r="A281" s="197">
        <v>45998.0110212963</v>
      </c>
      <c r="B281" s="100" t="s">
        <v>1956</v>
      </c>
      <c r="C281" s="100" t="s">
        <v>1688</v>
      </c>
      <c r="D281" s="100" t="s">
        <v>1689</v>
      </c>
      <c r="E281" s="198">
        <v>90.0</v>
      </c>
      <c r="F281" s="199" t="s">
        <v>1951</v>
      </c>
    </row>
    <row r="282" ht="22.5" customHeight="1">
      <c r="A282" s="197">
        <v>45998.01102157407</v>
      </c>
      <c r="B282" s="100" t="s">
        <v>1957</v>
      </c>
      <c r="C282" s="100" t="s">
        <v>1685</v>
      </c>
      <c r="D282" s="100" t="s">
        <v>1686</v>
      </c>
      <c r="E282" s="198">
        <v>30.0</v>
      </c>
      <c r="F282" s="199" t="s">
        <v>1958</v>
      </c>
    </row>
    <row r="283" ht="22.5" customHeight="1">
      <c r="A283" s="197">
        <v>45998.01102157407</v>
      </c>
      <c r="B283" s="100" t="s">
        <v>1957</v>
      </c>
      <c r="C283" s="100" t="s">
        <v>1688</v>
      </c>
      <c r="D283" s="100" t="s">
        <v>1689</v>
      </c>
      <c r="E283" s="198">
        <v>35.0</v>
      </c>
      <c r="F283" s="199" t="s">
        <v>1959</v>
      </c>
    </row>
    <row r="284" ht="22.5" customHeight="1">
      <c r="A284" s="197">
        <v>45998.011021805556</v>
      </c>
      <c r="B284" s="100" t="s">
        <v>1960</v>
      </c>
      <c r="C284" s="100" t="s">
        <v>1685</v>
      </c>
      <c r="D284" s="100" t="s">
        <v>1686</v>
      </c>
      <c r="E284" s="198">
        <v>120.0</v>
      </c>
      <c r="F284" s="199" t="s">
        <v>1710</v>
      </c>
    </row>
    <row r="285" ht="22.5" customHeight="1">
      <c r="A285" s="197">
        <v>45998.011021805556</v>
      </c>
      <c r="B285" s="100" t="s">
        <v>1960</v>
      </c>
      <c r="C285" s="100" t="s">
        <v>1688</v>
      </c>
      <c r="D285" s="100" t="s">
        <v>1689</v>
      </c>
      <c r="E285" s="198">
        <v>150.0</v>
      </c>
      <c r="F285" s="199" t="s">
        <v>1711</v>
      </c>
    </row>
    <row r="286" ht="22.5" customHeight="1">
      <c r="A286" s="197">
        <v>45998.011022164355</v>
      </c>
      <c r="B286" s="100" t="s">
        <v>1961</v>
      </c>
      <c r="C286" s="100" t="s">
        <v>1685</v>
      </c>
      <c r="D286" s="100" t="s">
        <v>1686</v>
      </c>
      <c r="E286" s="198">
        <v>35.0</v>
      </c>
      <c r="F286" s="199" t="s">
        <v>1805</v>
      </c>
    </row>
    <row r="287" ht="22.5" customHeight="1">
      <c r="A287" s="197">
        <v>45998.011022164355</v>
      </c>
      <c r="B287" s="100" t="s">
        <v>1961</v>
      </c>
      <c r="C287" s="100" t="s">
        <v>1688</v>
      </c>
      <c r="D287" s="100" t="s">
        <v>1689</v>
      </c>
      <c r="E287" s="198">
        <v>50.0</v>
      </c>
      <c r="F287" s="199" t="s">
        <v>1806</v>
      </c>
    </row>
    <row r="288" ht="22.5" customHeight="1">
      <c r="A288" s="197">
        <v>45998.01102243055</v>
      </c>
      <c r="B288" s="100" t="s">
        <v>1962</v>
      </c>
      <c r="C288" s="100" t="s">
        <v>1685</v>
      </c>
      <c r="D288" s="100" t="s">
        <v>1686</v>
      </c>
      <c r="E288" s="198">
        <v>625.0</v>
      </c>
      <c r="F288" s="199" t="s">
        <v>1963</v>
      </c>
    </row>
    <row r="289" ht="22.5" customHeight="1">
      <c r="A289" s="197">
        <v>45998.01102243055</v>
      </c>
      <c r="B289" s="100" t="s">
        <v>1962</v>
      </c>
      <c r="C289" s="100" t="s">
        <v>1688</v>
      </c>
      <c r="D289" s="100" t="s">
        <v>1689</v>
      </c>
      <c r="E289" s="198">
        <v>800.0</v>
      </c>
      <c r="F289" s="199" t="s">
        <v>1964</v>
      </c>
    </row>
    <row r="290" ht="22.5" customHeight="1">
      <c r="A290" s="197">
        <v>45998.01102276621</v>
      </c>
      <c r="B290" s="100" t="s">
        <v>1965</v>
      </c>
      <c r="C290" s="100" t="s">
        <v>1685</v>
      </c>
      <c r="D290" s="100" t="s">
        <v>1686</v>
      </c>
      <c r="E290" s="198">
        <v>80.0</v>
      </c>
      <c r="F290" s="199" t="s">
        <v>1850</v>
      </c>
    </row>
    <row r="291" ht="22.5" customHeight="1">
      <c r="A291" s="197">
        <v>45998.01102276621</v>
      </c>
      <c r="B291" s="100" t="s">
        <v>1965</v>
      </c>
      <c r="C291" s="100" t="s">
        <v>1688</v>
      </c>
      <c r="D291" s="100" t="s">
        <v>1689</v>
      </c>
      <c r="E291" s="198">
        <v>100.0</v>
      </c>
      <c r="F291" s="199" t="s">
        <v>1851</v>
      </c>
    </row>
    <row r="292" ht="22.5" customHeight="1">
      <c r="A292" s="197">
        <v>45998.01102298611</v>
      </c>
      <c r="B292" s="100" t="s">
        <v>1966</v>
      </c>
      <c r="C292" s="100" t="s">
        <v>1685</v>
      </c>
      <c r="D292" s="100" t="s">
        <v>1686</v>
      </c>
      <c r="E292" s="198">
        <v>175.0</v>
      </c>
      <c r="F292" s="199" t="s">
        <v>1967</v>
      </c>
    </row>
    <row r="293" ht="22.5" customHeight="1">
      <c r="A293" s="197">
        <v>45998.01102298611</v>
      </c>
      <c r="B293" s="100" t="s">
        <v>1966</v>
      </c>
      <c r="C293" s="100" t="s">
        <v>1688</v>
      </c>
      <c r="D293" s="100" t="s">
        <v>1689</v>
      </c>
      <c r="E293" s="198">
        <v>250.0</v>
      </c>
      <c r="F293" s="199" t="s">
        <v>1968</v>
      </c>
    </row>
    <row r="294" ht="22.5" customHeight="1">
      <c r="A294" s="197">
        <v>45998.01102329861</v>
      </c>
      <c r="B294" s="100" t="s">
        <v>1969</v>
      </c>
      <c r="C294" s="100" t="s">
        <v>1685</v>
      </c>
      <c r="D294" s="100" t="s">
        <v>1686</v>
      </c>
      <c r="E294" s="198">
        <v>140.0</v>
      </c>
      <c r="F294" s="199" t="s">
        <v>1742</v>
      </c>
    </row>
    <row r="295" ht="22.5" customHeight="1">
      <c r="A295" s="197">
        <v>45998.01102329861</v>
      </c>
      <c r="B295" s="100" t="s">
        <v>1969</v>
      </c>
      <c r="C295" s="100" t="s">
        <v>1688</v>
      </c>
      <c r="D295" s="100" t="s">
        <v>1689</v>
      </c>
      <c r="E295" s="198">
        <v>174.88</v>
      </c>
      <c r="F295" s="199" t="s">
        <v>1743</v>
      </c>
    </row>
    <row r="296" ht="22.5" customHeight="1">
      <c r="A296" s="197">
        <v>45998.01102355324</v>
      </c>
      <c r="B296" s="100" t="s">
        <v>1970</v>
      </c>
      <c r="C296" s="100" t="s">
        <v>1685</v>
      </c>
      <c r="D296" s="100" t="s">
        <v>1686</v>
      </c>
      <c r="E296" s="198">
        <v>110.0</v>
      </c>
      <c r="F296" s="199" t="s">
        <v>1971</v>
      </c>
    </row>
    <row r="297" ht="22.5" customHeight="1">
      <c r="A297" s="197">
        <v>45998.01102355324</v>
      </c>
      <c r="B297" s="100" t="s">
        <v>1970</v>
      </c>
      <c r="C297" s="100" t="s">
        <v>1688</v>
      </c>
      <c r="D297" s="100" t="s">
        <v>1689</v>
      </c>
      <c r="E297" s="198">
        <v>159.89</v>
      </c>
      <c r="F297" s="199" t="s">
        <v>1972</v>
      </c>
    </row>
    <row r="298" ht="22.5" customHeight="1">
      <c r="A298" s="197">
        <v>45998.011023831015</v>
      </c>
      <c r="B298" s="100" t="s">
        <v>1973</v>
      </c>
      <c r="C298" s="100" t="s">
        <v>1685</v>
      </c>
      <c r="D298" s="100" t="s">
        <v>1686</v>
      </c>
      <c r="E298" s="198">
        <v>70.0</v>
      </c>
      <c r="F298" s="199" t="s">
        <v>1805</v>
      </c>
    </row>
    <row r="299" ht="22.5" customHeight="1">
      <c r="A299" s="197">
        <v>45998.011023831015</v>
      </c>
      <c r="B299" s="100" t="s">
        <v>1973</v>
      </c>
      <c r="C299" s="100" t="s">
        <v>1688</v>
      </c>
      <c r="D299" s="100" t="s">
        <v>1689</v>
      </c>
      <c r="E299" s="198">
        <v>99.94</v>
      </c>
      <c r="F299" s="199" t="s">
        <v>1806</v>
      </c>
    </row>
    <row r="300" ht="22.5" customHeight="1">
      <c r="A300" s="197">
        <v>45998.0110240625</v>
      </c>
      <c r="B300" s="100" t="s">
        <v>1974</v>
      </c>
      <c r="C300" s="100" t="s">
        <v>1685</v>
      </c>
      <c r="D300" s="100" t="s">
        <v>1686</v>
      </c>
      <c r="E300" s="198">
        <v>225.0</v>
      </c>
      <c r="F300" s="199" t="s">
        <v>1901</v>
      </c>
    </row>
    <row r="301" ht="22.5" customHeight="1">
      <c r="A301" s="197">
        <v>45998.0110240625</v>
      </c>
      <c r="B301" s="100" t="s">
        <v>1974</v>
      </c>
      <c r="C301" s="100" t="s">
        <v>1688</v>
      </c>
      <c r="D301" s="100" t="s">
        <v>1689</v>
      </c>
      <c r="E301" s="198">
        <v>269.81</v>
      </c>
      <c r="F301" s="199" t="s">
        <v>1902</v>
      </c>
    </row>
    <row r="302" ht="22.5" customHeight="1">
      <c r="A302" s="197">
        <v>45998.01102439815</v>
      </c>
      <c r="B302" s="100" t="s">
        <v>1975</v>
      </c>
      <c r="C302" s="100" t="s">
        <v>1685</v>
      </c>
      <c r="D302" s="100" t="s">
        <v>1686</v>
      </c>
      <c r="E302" s="198">
        <v>15.0</v>
      </c>
      <c r="F302" s="199" t="s">
        <v>1904</v>
      </c>
    </row>
    <row r="303" ht="22.5" customHeight="1">
      <c r="A303" s="197">
        <v>45998.01102439815</v>
      </c>
      <c r="B303" s="100" t="s">
        <v>1975</v>
      </c>
      <c r="C303" s="100" t="s">
        <v>1688</v>
      </c>
      <c r="D303" s="100" t="s">
        <v>1689</v>
      </c>
      <c r="E303" s="198">
        <v>19.99</v>
      </c>
      <c r="F303" s="199" t="s">
        <v>1906</v>
      </c>
    </row>
    <row r="304" ht="22.5" customHeight="1">
      <c r="A304" s="197">
        <v>45998.0110246875</v>
      </c>
      <c r="B304" s="100" t="s">
        <v>1976</v>
      </c>
      <c r="C304" s="100" t="s">
        <v>1685</v>
      </c>
      <c r="D304" s="100" t="s">
        <v>1686</v>
      </c>
      <c r="E304" s="198">
        <v>525.0</v>
      </c>
      <c r="F304" s="199" t="s">
        <v>1977</v>
      </c>
    </row>
    <row r="305" ht="22.5" customHeight="1">
      <c r="A305" s="197">
        <v>45998.0110246875</v>
      </c>
      <c r="B305" s="100" t="s">
        <v>1976</v>
      </c>
      <c r="C305" s="100" t="s">
        <v>1688</v>
      </c>
      <c r="D305" s="100" t="s">
        <v>1689</v>
      </c>
      <c r="E305" s="198">
        <v>630.0</v>
      </c>
      <c r="F305" s="199" t="s">
        <v>1978</v>
      </c>
    </row>
    <row r="306" ht="22.5" customHeight="1">
      <c r="A306" s="197">
        <v>45998.011024907406</v>
      </c>
      <c r="B306" s="100" t="s">
        <v>1979</v>
      </c>
      <c r="C306" s="100" t="s">
        <v>1685</v>
      </c>
      <c r="D306" s="100" t="s">
        <v>1686</v>
      </c>
      <c r="E306" s="198">
        <v>135.0</v>
      </c>
      <c r="F306" s="199" t="s">
        <v>1980</v>
      </c>
    </row>
    <row r="307" ht="22.5" customHeight="1">
      <c r="A307" s="197">
        <v>45998.011024907406</v>
      </c>
      <c r="B307" s="100" t="s">
        <v>1979</v>
      </c>
      <c r="C307" s="100" t="s">
        <v>1688</v>
      </c>
      <c r="D307" s="100" t="s">
        <v>1689</v>
      </c>
      <c r="E307" s="198">
        <v>162.0</v>
      </c>
      <c r="F307" s="199" t="s">
        <v>1981</v>
      </c>
    </row>
    <row r="308" ht="22.5" customHeight="1">
      <c r="A308" s="197">
        <v>45998.011025127314</v>
      </c>
      <c r="B308" s="100" t="s">
        <v>1982</v>
      </c>
      <c r="C308" s="100" t="s">
        <v>1685</v>
      </c>
      <c r="D308" s="100" t="s">
        <v>1686</v>
      </c>
      <c r="E308" s="198">
        <v>60.0</v>
      </c>
      <c r="F308" s="199" t="s">
        <v>1713</v>
      </c>
    </row>
    <row r="309" ht="22.5" customHeight="1">
      <c r="A309" s="197">
        <v>45998.011025127314</v>
      </c>
      <c r="B309" s="100" t="s">
        <v>1982</v>
      </c>
      <c r="C309" s="100" t="s">
        <v>1688</v>
      </c>
      <c r="D309" s="100" t="s">
        <v>1689</v>
      </c>
      <c r="E309" s="198">
        <v>70.0</v>
      </c>
      <c r="F309" s="199" t="s">
        <v>1714</v>
      </c>
    </row>
    <row r="310" ht="22.5" customHeight="1">
      <c r="A310" s="197">
        <v>45998.011025370375</v>
      </c>
      <c r="B310" s="100" t="s">
        <v>1983</v>
      </c>
      <c r="C310" s="100" t="s">
        <v>1685</v>
      </c>
      <c r="D310" s="100" t="s">
        <v>1686</v>
      </c>
      <c r="E310" s="198">
        <v>140.0</v>
      </c>
      <c r="F310" s="199" t="s">
        <v>1742</v>
      </c>
    </row>
    <row r="311" ht="22.5" customHeight="1">
      <c r="A311" s="197">
        <v>45998.011025370375</v>
      </c>
      <c r="B311" s="100" t="s">
        <v>1983</v>
      </c>
      <c r="C311" s="100" t="s">
        <v>1688</v>
      </c>
      <c r="D311" s="100" t="s">
        <v>1689</v>
      </c>
      <c r="E311" s="198">
        <v>175.0</v>
      </c>
      <c r="F311" s="199" t="s">
        <v>1743</v>
      </c>
    </row>
    <row r="312" ht="22.5" customHeight="1">
      <c r="A312" s="197">
        <v>45998.01102582176</v>
      </c>
      <c r="B312" s="100" t="s">
        <v>1984</v>
      </c>
      <c r="C312" s="100" t="s">
        <v>1685</v>
      </c>
      <c r="D312" s="100" t="s">
        <v>1686</v>
      </c>
      <c r="E312" s="198">
        <v>141.0</v>
      </c>
      <c r="F312" s="199" t="s">
        <v>1753</v>
      </c>
    </row>
    <row r="313" ht="22.5" customHeight="1">
      <c r="A313" s="197">
        <v>45998.01102582176</v>
      </c>
      <c r="B313" s="100" t="s">
        <v>1984</v>
      </c>
      <c r="C313" s="100" t="s">
        <v>1688</v>
      </c>
      <c r="D313" s="100" t="s">
        <v>1689</v>
      </c>
      <c r="E313" s="198">
        <v>150.0</v>
      </c>
      <c r="F313" s="199" t="s">
        <v>1754</v>
      </c>
    </row>
    <row r="314" ht="22.5" customHeight="1">
      <c r="A314" s="197">
        <v>45998.011026064814</v>
      </c>
      <c r="B314" s="100" t="s">
        <v>1985</v>
      </c>
      <c r="C314" s="100" t="s">
        <v>1685</v>
      </c>
      <c r="D314" s="100" t="s">
        <v>1686</v>
      </c>
      <c r="E314" s="198">
        <v>48.0</v>
      </c>
      <c r="F314" s="199" t="s">
        <v>1986</v>
      </c>
    </row>
    <row r="315" ht="22.5" customHeight="1">
      <c r="A315" s="197">
        <v>45998.011026064814</v>
      </c>
      <c r="B315" s="100" t="s">
        <v>1985</v>
      </c>
      <c r="C315" s="100" t="s">
        <v>1688</v>
      </c>
      <c r="D315" s="100" t="s">
        <v>1689</v>
      </c>
      <c r="E315" s="198">
        <v>60.0</v>
      </c>
      <c r="F315" s="199" t="s">
        <v>1987</v>
      </c>
    </row>
    <row r="316" ht="22.5" customHeight="1">
      <c r="A316" s="197">
        <v>45998.01102637731</v>
      </c>
      <c r="B316" s="100" t="s">
        <v>1988</v>
      </c>
      <c r="C316" s="100" t="s">
        <v>1685</v>
      </c>
      <c r="D316" s="100" t="s">
        <v>1686</v>
      </c>
      <c r="E316" s="198">
        <v>210.0</v>
      </c>
      <c r="F316" s="199" t="s">
        <v>1989</v>
      </c>
    </row>
    <row r="317" ht="22.5" customHeight="1">
      <c r="A317" s="197">
        <v>45998.01102637731</v>
      </c>
      <c r="B317" s="100" t="s">
        <v>1988</v>
      </c>
      <c r="C317" s="100" t="s">
        <v>1688</v>
      </c>
      <c r="D317" s="100" t="s">
        <v>1689</v>
      </c>
      <c r="E317" s="198">
        <v>350.0</v>
      </c>
      <c r="F317" s="199" t="s">
        <v>1990</v>
      </c>
    </row>
    <row r="318" ht="22.5" customHeight="1">
      <c r="A318" s="197">
        <v>45998.01102662037</v>
      </c>
      <c r="B318" s="100" t="s">
        <v>1991</v>
      </c>
      <c r="C318" s="100" t="s">
        <v>1685</v>
      </c>
      <c r="D318" s="100" t="s">
        <v>1686</v>
      </c>
      <c r="E318" s="198">
        <v>32.0</v>
      </c>
      <c r="F318" s="199" t="s">
        <v>1986</v>
      </c>
    </row>
    <row r="319" ht="22.5" customHeight="1">
      <c r="A319" s="197">
        <v>45998.01102662037</v>
      </c>
      <c r="B319" s="100" t="s">
        <v>1991</v>
      </c>
      <c r="C319" s="100" t="s">
        <v>1688</v>
      </c>
      <c r="D319" s="100" t="s">
        <v>1689</v>
      </c>
      <c r="E319" s="198">
        <v>40.0</v>
      </c>
      <c r="F319" s="199" t="s">
        <v>1987</v>
      </c>
    </row>
    <row r="320" ht="22.5" customHeight="1">
      <c r="A320" s="197">
        <v>45998.01102686343</v>
      </c>
      <c r="B320" s="100" t="s">
        <v>1992</v>
      </c>
      <c r="C320" s="100" t="s">
        <v>1685</v>
      </c>
      <c r="D320" s="100" t="s">
        <v>1686</v>
      </c>
      <c r="E320" s="198">
        <v>32.0</v>
      </c>
      <c r="F320" s="199" t="s">
        <v>1986</v>
      </c>
    </row>
    <row r="321" ht="22.5" customHeight="1">
      <c r="A321" s="197">
        <v>45998.01102686343</v>
      </c>
      <c r="B321" s="100" t="s">
        <v>1992</v>
      </c>
      <c r="C321" s="100" t="s">
        <v>1688</v>
      </c>
      <c r="D321" s="100" t="s">
        <v>1689</v>
      </c>
      <c r="E321" s="198">
        <v>50.0</v>
      </c>
      <c r="F321" s="199" t="s">
        <v>1987</v>
      </c>
    </row>
    <row r="322" ht="22.5" customHeight="1">
      <c r="A322" s="197">
        <v>45998.011027141205</v>
      </c>
      <c r="B322" s="100" t="s">
        <v>1993</v>
      </c>
      <c r="C322" s="100" t="s">
        <v>1685</v>
      </c>
      <c r="D322" s="100" t="s">
        <v>1686</v>
      </c>
      <c r="E322" s="198">
        <v>56.4</v>
      </c>
      <c r="F322" s="199" t="s">
        <v>1753</v>
      </c>
    </row>
    <row r="323" ht="22.5" customHeight="1">
      <c r="A323" s="197">
        <v>45998.011027141205</v>
      </c>
      <c r="B323" s="100" t="s">
        <v>1993</v>
      </c>
      <c r="C323" s="100" t="s">
        <v>1688</v>
      </c>
      <c r="D323" s="100" t="s">
        <v>1689</v>
      </c>
      <c r="E323" s="198">
        <v>80.0</v>
      </c>
      <c r="F323" s="199" t="s">
        <v>1754</v>
      </c>
    </row>
    <row r="324" ht="22.5" customHeight="1">
      <c r="A324" s="197">
        <v>45998.01102744213</v>
      </c>
      <c r="B324" s="100" t="s">
        <v>1994</v>
      </c>
      <c r="C324" s="100" t="s">
        <v>1685</v>
      </c>
      <c r="D324" s="100" t="s">
        <v>1686</v>
      </c>
      <c r="E324" s="198">
        <v>300.0</v>
      </c>
      <c r="F324" s="199" t="s">
        <v>1731</v>
      </c>
    </row>
    <row r="325" ht="22.5" customHeight="1">
      <c r="A325" s="197">
        <v>45998.01102744213</v>
      </c>
      <c r="B325" s="100" t="s">
        <v>1994</v>
      </c>
      <c r="C325" s="100" t="s">
        <v>1688</v>
      </c>
      <c r="D325" s="100" t="s">
        <v>1689</v>
      </c>
      <c r="E325" s="198">
        <v>380.0</v>
      </c>
      <c r="F325" s="199" t="s">
        <v>1732</v>
      </c>
    </row>
    <row r="326" ht="22.5" customHeight="1">
      <c r="A326" s="197">
        <v>45998.011027754634</v>
      </c>
      <c r="B326" s="100" t="s">
        <v>1995</v>
      </c>
      <c r="C326" s="100" t="s">
        <v>1685</v>
      </c>
      <c r="D326" s="100" t="s">
        <v>1686</v>
      </c>
      <c r="E326" s="198">
        <v>137.5</v>
      </c>
      <c r="F326" s="199" t="s">
        <v>1996</v>
      </c>
    </row>
    <row r="327" ht="22.5" customHeight="1">
      <c r="A327" s="197">
        <v>45998.011027754634</v>
      </c>
      <c r="B327" s="100" t="s">
        <v>1995</v>
      </c>
      <c r="C327" s="100" t="s">
        <v>1688</v>
      </c>
      <c r="D327" s="100" t="s">
        <v>1689</v>
      </c>
      <c r="E327" s="198">
        <v>160.0</v>
      </c>
      <c r="F327" s="199" t="s">
        <v>1997</v>
      </c>
    </row>
    <row r="328" ht="22.5" customHeight="1">
      <c r="A328" s="197">
        <v>45998.01102809027</v>
      </c>
      <c r="B328" s="100" t="s">
        <v>1998</v>
      </c>
      <c r="C328" s="100" t="s">
        <v>1685</v>
      </c>
      <c r="D328" s="100" t="s">
        <v>1686</v>
      </c>
      <c r="E328" s="198">
        <v>137.5</v>
      </c>
      <c r="F328" s="199" t="s">
        <v>1996</v>
      </c>
    </row>
    <row r="329" ht="22.5" customHeight="1">
      <c r="A329" s="197">
        <v>45998.01102809027</v>
      </c>
      <c r="B329" s="100" t="s">
        <v>1998</v>
      </c>
      <c r="C329" s="100" t="s">
        <v>1688</v>
      </c>
      <c r="D329" s="100" t="s">
        <v>1689</v>
      </c>
      <c r="E329" s="198">
        <v>155.0</v>
      </c>
      <c r="F329" s="199" t="s">
        <v>1997</v>
      </c>
    </row>
    <row r="330" ht="22.5" customHeight="1">
      <c r="A330" s="197">
        <v>45998.01102837963</v>
      </c>
      <c r="B330" s="100" t="s">
        <v>1999</v>
      </c>
      <c r="C330" s="100" t="s">
        <v>1685</v>
      </c>
      <c r="D330" s="100" t="s">
        <v>1686</v>
      </c>
      <c r="E330" s="198">
        <v>12.0</v>
      </c>
      <c r="F330" s="199" t="s">
        <v>1859</v>
      </c>
    </row>
    <row r="331" ht="22.5" customHeight="1">
      <c r="A331" s="197">
        <v>45998.01102837963</v>
      </c>
      <c r="B331" s="100" t="s">
        <v>1999</v>
      </c>
      <c r="C331" s="100" t="s">
        <v>1688</v>
      </c>
      <c r="D331" s="100" t="s">
        <v>1689</v>
      </c>
      <c r="E331" s="198">
        <v>25.0</v>
      </c>
      <c r="F331" s="199" t="s">
        <v>1860</v>
      </c>
    </row>
    <row r="332" ht="22.5" customHeight="1">
      <c r="A332" s="197">
        <v>45998.011028622685</v>
      </c>
      <c r="B332" s="100" t="s">
        <v>2000</v>
      </c>
      <c r="C332" s="100" t="s">
        <v>1685</v>
      </c>
      <c r="D332" s="100" t="s">
        <v>1686</v>
      </c>
      <c r="E332" s="198">
        <v>328.34</v>
      </c>
      <c r="F332" s="199" t="s">
        <v>1767</v>
      </c>
    </row>
    <row r="333" ht="22.5" customHeight="1">
      <c r="A333" s="197">
        <v>45998.011028622685</v>
      </c>
      <c r="B333" s="100" t="s">
        <v>2000</v>
      </c>
      <c r="C333" s="100" t="s">
        <v>1688</v>
      </c>
      <c r="D333" s="100" t="s">
        <v>1689</v>
      </c>
      <c r="E333" s="198">
        <v>400.0</v>
      </c>
      <c r="F333" s="199" t="s">
        <v>1768</v>
      </c>
    </row>
    <row r="334" ht="22.5" customHeight="1">
      <c r="A334" s="197">
        <v>45998.01102900463</v>
      </c>
      <c r="B334" s="100" t="s">
        <v>2001</v>
      </c>
      <c r="C334" s="100" t="s">
        <v>1685</v>
      </c>
      <c r="D334" s="100" t="s">
        <v>1686</v>
      </c>
      <c r="E334" s="198">
        <v>135.0</v>
      </c>
      <c r="F334" s="199" t="s">
        <v>2002</v>
      </c>
    </row>
    <row r="335" ht="22.5" customHeight="1">
      <c r="A335" s="197">
        <v>45998.011029016205</v>
      </c>
      <c r="B335" s="100" t="s">
        <v>2001</v>
      </c>
      <c r="C335" s="100" t="s">
        <v>1688</v>
      </c>
      <c r="D335" s="100" t="s">
        <v>1689</v>
      </c>
      <c r="E335" s="198">
        <v>180.0</v>
      </c>
      <c r="F335" s="199" t="s">
        <v>2003</v>
      </c>
    </row>
    <row r="336" ht="22.5" customHeight="1">
      <c r="A336" s="197">
        <v>45998.01102936342</v>
      </c>
      <c r="B336" s="100" t="s">
        <v>2004</v>
      </c>
      <c r="C336" s="100" t="s">
        <v>1685</v>
      </c>
      <c r="D336" s="100" t="s">
        <v>1686</v>
      </c>
      <c r="E336" s="198">
        <v>35.0</v>
      </c>
      <c r="F336" s="199" t="s">
        <v>1805</v>
      </c>
    </row>
    <row r="337" ht="22.5" customHeight="1">
      <c r="A337" s="197">
        <v>45998.01102936342</v>
      </c>
      <c r="B337" s="100" t="s">
        <v>2004</v>
      </c>
      <c r="C337" s="100" t="s">
        <v>1688</v>
      </c>
      <c r="D337" s="100" t="s">
        <v>1689</v>
      </c>
      <c r="E337" s="198">
        <v>50.0</v>
      </c>
      <c r="F337" s="199" t="s">
        <v>1806</v>
      </c>
    </row>
    <row r="338" ht="22.5" customHeight="1">
      <c r="A338" s="197">
        <v>45998.01102965278</v>
      </c>
      <c r="B338" s="100" t="s">
        <v>2005</v>
      </c>
      <c r="C338" s="100" t="s">
        <v>1685</v>
      </c>
      <c r="D338" s="100" t="s">
        <v>1686</v>
      </c>
      <c r="E338" s="198">
        <v>80.0</v>
      </c>
      <c r="F338" s="199" t="s">
        <v>1986</v>
      </c>
    </row>
    <row r="339" ht="22.5" customHeight="1">
      <c r="A339" s="197">
        <v>45998.01102965278</v>
      </c>
      <c r="B339" s="100" t="s">
        <v>2005</v>
      </c>
      <c r="C339" s="100" t="s">
        <v>1688</v>
      </c>
      <c r="D339" s="100" t="s">
        <v>1689</v>
      </c>
      <c r="E339" s="198">
        <v>100.0</v>
      </c>
      <c r="F339" s="199" t="s">
        <v>1987</v>
      </c>
    </row>
    <row r="340" ht="22.5" customHeight="1">
      <c r="A340" s="197">
        <v>45998.01102987269</v>
      </c>
      <c r="B340" s="100" t="s">
        <v>2006</v>
      </c>
      <c r="C340" s="100" t="s">
        <v>1685</v>
      </c>
      <c r="D340" s="100" t="s">
        <v>1686</v>
      </c>
      <c r="E340" s="198">
        <v>105.0</v>
      </c>
      <c r="F340" s="199" t="s">
        <v>2007</v>
      </c>
    </row>
    <row r="341" ht="22.5" customHeight="1">
      <c r="A341" s="197">
        <v>45998.01102987269</v>
      </c>
      <c r="B341" s="100" t="s">
        <v>2006</v>
      </c>
      <c r="C341" s="100" t="s">
        <v>1688</v>
      </c>
      <c r="D341" s="100" t="s">
        <v>1689</v>
      </c>
      <c r="E341" s="198">
        <v>125.0</v>
      </c>
      <c r="F341" s="199" t="s">
        <v>2008</v>
      </c>
    </row>
    <row r="342" ht="22.5" customHeight="1">
      <c r="A342" s="197">
        <v>45998.01103013889</v>
      </c>
      <c r="B342" s="100" t="s">
        <v>2009</v>
      </c>
      <c r="C342" s="100" t="s">
        <v>1685</v>
      </c>
      <c r="D342" s="100" t="s">
        <v>1686</v>
      </c>
      <c r="E342" s="198">
        <v>35.0</v>
      </c>
      <c r="F342" s="199" t="s">
        <v>1805</v>
      </c>
    </row>
    <row r="343" ht="22.5" customHeight="1">
      <c r="A343" s="197">
        <v>45998.01103013889</v>
      </c>
      <c r="B343" s="100" t="s">
        <v>2009</v>
      </c>
      <c r="C343" s="100" t="s">
        <v>1688</v>
      </c>
      <c r="D343" s="100" t="s">
        <v>1689</v>
      </c>
      <c r="E343" s="198">
        <v>50.0</v>
      </c>
      <c r="F343" s="199" t="s">
        <v>1806</v>
      </c>
    </row>
    <row r="344" ht="22.5" customHeight="1">
      <c r="A344" s="197">
        <v>45998.011030567126</v>
      </c>
      <c r="B344" s="100" t="s">
        <v>2010</v>
      </c>
      <c r="C344" s="100" t="s">
        <v>1685</v>
      </c>
      <c r="D344" s="100" t="s">
        <v>1686</v>
      </c>
      <c r="E344" s="198">
        <v>150.0</v>
      </c>
      <c r="F344" s="199" t="s">
        <v>2011</v>
      </c>
    </row>
    <row r="345" ht="22.5" customHeight="1">
      <c r="A345" s="197">
        <v>45998.011030567126</v>
      </c>
      <c r="B345" s="100" t="s">
        <v>2010</v>
      </c>
      <c r="C345" s="100" t="s">
        <v>1688</v>
      </c>
      <c r="D345" s="100" t="s">
        <v>1689</v>
      </c>
      <c r="E345" s="198">
        <v>199.9</v>
      </c>
      <c r="F345" s="199" t="s">
        <v>2012</v>
      </c>
    </row>
    <row r="346" ht="22.5" customHeight="1">
      <c r="A346" s="197">
        <v>45998.01103079861</v>
      </c>
      <c r="B346" s="100" t="s">
        <v>2013</v>
      </c>
      <c r="C346" s="100" t="s">
        <v>1685</v>
      </c>
      <c r="D346" s="100" t="s">
        <v>1686</v>
      </c>
      <c r="E346" s="198">
        <v>35.0</v>
      </c>
      <c r="F346" s="199" t="s">
        <v>1805</v>
      </c>
    </row>
    <row r="347" ht="22.5" customHeight="1">
      <c r="A347" s="197">
        <v>45998.01103079861</v>
      </c>
      <c r="B347" s="100" t="s">
        <v>2013</v>
      </c>
      <c r="C347" s="100" t="s">
        <v>1688</v>
      </c>
      <c r="D347" s="100" t="s">
        <v>1689</v>
      </c>
      <c r="E347" s="198">
        <v>49.98</v>
      </c>
      <c r="F347" s="199" t="s">
        <v>1806</v>
      </c>
    </row>
    <row r="348" ht="22.5" customHeight="1">
      <c r="A348" s="197">
        <v>45998.011031030095</v>
      </c>
      <c r="B348" s="100" t="s">
        <v>2014</v>
      </c>
      <c r="C348" s="100" t="s">
        <v>1685</v>
      </c>
      <c r="D348" s="100" t="s">
        <v>1686</v>
      </c>
      <c r="E348" s="198">
        <v>235.0</v>
      </c>
      <c r="F348" s="199" t="s">
        <v>2015</v>
      </c>
    </row>
    <row r="349" ht="22.5" customHeight="1">
      <c r="A349" s="197">
        <v>45998.011031030095</v>
      </c>
      <c r="B349" s="100" t="s">
        <v>2014</v>
      </c>
      <c r="C349" s="100" t="s">
        <v>1688</v>
      </c>
      <c r="D349" s="100" t="s">
        <v>1689</v>
      </c>
      <c r="E349" s="198">
        <v>284.86</v>
      </c>
      <c r="F349" s="199" t="s">
        <v>2016</v>
      </c>
    </row>
    <row r="350" ht="22.5" customHeight="1">
      <c r="A350" s="197">
        <v>45998.011031331014</v>
      </c>
      <c r="B350" s="100" t="s">
        <v>2017</v>
      </c>
      <c r="C350" s="100" t="s">
        <v>1685</v>
      </c>
      <c r="D350" s="100" t="s">
        <v>1686</v>
      </c>
      <c r="E350" s="198">
        <v>328.34</v>
      </c>
      <c r="F350" s="199" t="s">
        <v>1767</v>
      </c>
    </row>
    <row r="351" ht="22.5" customHeight="1">
      <c r="A351" s="197">
        <v>45998.011031331014</v>
      </c>
      <c r="B351" s="100" t="s">
        <v>2017</v>
      </c>
      <c r="C351" s="100" t="s">
        <v>1688</v>
      </c>
      <c r="D351" s="100" t="s">
        <v>1689</v>
      </c>
      <c r="E351" s="198">
        <v>399.8</v>
      </c>
      <c r="F351" s="199" t="s">
        <v>1768</v>
      </c>
    </row>
    <row r="352" ht="22.5" customHeight="1">
      <c r="A352" s="197">
        <v>45998.011031585644</v>
      </c>
      <c r="B352" s="100" t="s">
        <v>2018</v>
      </c>
      <c r="C352" s="100" t="s">
        <v>1685</v>
      </c>
      <c r="D352" s="100" t="s">
        <v>1686</v>
      </c>
      <c r="E352" s="198">
        <v>90.0</v>
      </c>
      <c r="F352" s="199" t="s">
        <v>2019</v>
      </c>
    </row>
    <row r="353" ht="22.5" customHeight="1">
      <c r="A353" s="197">
        <v>45998.011031585644</v>
      </c>
      <c r="B353" s="100" t="s">
        <v>2018</v>
      </c>
      <c r="C353" s="100" t="s">
        <v>1688</v>
      </c>
      <c r="D353" s="100" t="s">
        <v>1689</v>
      </c>
      <c r="E353" s="198">
        <v>134.93</v>
      </c>
      <c r="F353" s="199" t="s">
        <v>2020</v>
      </c>
    </row>
    <row r="354" ht="22.5" customHeight="1">
      <c r="A354" s="197">
        <v>45998.011031875</v>
      </c>
      <c r="B354" s="100" t="s">
        <v>2021</v>
      </c>
      <c r="C354" s="100" t="s">
        <v>1685</v>
      </c>
      <c r="D354" s="100" t="s">
        <v>1686</v>
      </c>
      <c r="E354" s="198">
        <v>215.0</v>
      </c>
      <c r="F354" s="199" t="s">
        <v>2022</v>
      </c>
    </row>
    <row r="355" ht="22.5" customHeight="1">
      <c r="A355" s="197">
        <v>45998.011031875</v>
      </c>
      <c r="B355" s="100" t="s">
        <v>2021</v>
      </c>
      <c r="C355" s="100" t="s">
        <v>1688</v>
      </c>
      <c r="D355" s="100" t="s">
        <v>1689</v>
      </c>
      <c r="E355" s="198">
        <v>279.86</v>
      </c>
      <c r="F355" s="199" t="s">
        <v>2023</v>
      </c>
    </row>
    <row r="356" ht="22.5" customHeight="1">
      <c r="A356" s="197">
        <v>45998.01103212963</v>
      </c>
      <c r="B356" s="100" t="s">
        <v>2024</v>
      </c>
      <c r="C356" s="100" t="s">
        <v>1685</v>
      </c>
      <c r="D356" s="100" t="s">
        <v>1686</v>
      </c>
      <c r="E356" s="198">
        <v>95.0</v>
      </c>
      <c r="F356" s="199" t="s">
        <v>2025</v>
      </c>
    </row>
    <row r="357" ht="22.5" customHeight="1">
      <c r="A357" s="197">
        <v>45998.01103212963</v>
      </c>
      <c r="B357" s="100" t="s">
        <v>2024</v>
      </c>
      <c r="C357" s="100" t="s">
        <v>1688</v>
      </c>
      <c r="D357" s="100" t="s">
        <v>1689</v>
      </c>
      <c r="E357" s="198">
        <v>119.94</v>
      </c>
      <c r="F357" s="199" t="s">
        <v>2026</v>
      </c>
    </row>
    <row r="358" ht="22.5" customHeight="1">
      <c r="A358" s="197">
        <v>45998.011032395836</v>
      </c>
      <c r="B358" s="100" t="s">
        <v>2027</v>
      </c>
      <c r="C358" s="100" t="s">
        <v>1685</v>
      </c>
      <c r="D358" s="100" t="s">
        <v>1686</v>
      </c>
      <c r="E358" s="198">
        <v>164.17</v>
      </c>
      <c r="F358" s="199" t="s">
        <v>1767</v>
      </c>
    </row>
    <row r="359" ht="22.5" customHeight="1">
      <c r="A359" s="197">
        <v>45998.011032395836</v>
      </c>
      <c r="B359" s="100" t="s">
        <v>2027</v>
      </c>
      <c r="C359" s="100" t="s">
        <v>1688</v>
      </c>
      <c r="D359" s="100" t="s">
        <v>1689</v>
      </c>
      <c r="E359" s="198">
        <v>199.86</v>
      </c>
      <c r="F359" s="199" t="s">
        <v>1768</v>
      </c>
    </row>
    <row r="360" ht="22.5" customHeight="1">
      <c r="A360" s="197">
        <v>45998.011032650465</v>
      </c>
      <c r="B360" s="100" t="s">
        <v>2028</v>
      </c>
      <c r="C360" s="100" t="s">
        <v>1685</v>
      </c>
      <c r="D360" s="100" t="s">
        <v>1686</v>
      </c>
      <c r="E360" s="198">
        <v>145.0</v>
      </c>
      <c r="F360" s="199" t="s">
        <v>2029</v>
      </c>
    </row>
    <row r="361" ht="22.5" customHeight="1">
      <c r="A361" s="197">
        <v>45998.011032650465</v>
      </c>
      <c r="B361" s="100" t="s">
        <v>2028</v>
      </c>
      <c r="C361" s="100" t="s">
        <v>1688</v>
      </c>
      <c r="D361" s="100" t="s">
        <v>1689</v>
      </c>
      <c r="E361" s="198">
        <v>174.88</v>
      </c>
      <c r="F361" s="199" t="s">
        <v>2030</v>
      </c>
    </row>
    <row r="362" ht="22.5" customHeight="1">
      <c r="A362" s="197">
        <v>45998.011032951385</v>
      </c>
      <c r="B362" s="100" t="s">
        <v>2031</v>
      </c>
      <c r="C362" s="100" t="s">
        <v>1685</v>
      </c>
      <c r="D362" s="100" t="s">
        <v>1686</v>
      </c>
      <c r="E362" s="198">
        <v>170.0</v>
      </c>
      <c r="F362" s="199" t="s">
        <v>1817</v>
      </c>
    </row>
    <row r="363" ht="22.5" customHeight="1">
      <c r="A363" s="197">
        <v>45998.011032951385</v>
      </c>
      <c r="B363" s="100" t="s">
        <v>2031</v>
      </c>
      <c r="C363" s="100" t="s">
        <v>1688</v>
      </c>
      <c r="D363" s="100" t="s">
        <v>1689</v>
      </c>
      <c r="E363" s="198">
        <v>199.86</v>
      </c>
      <c r="F363" s="199" t="s">
        <v>1819</v>
      </c>
    </row>
    <row r="364" ht="22.5" customHeight="1">
      <c r="A364" s="197">
        <v>45998.01103325232</v>
      </c>
      <c r="B364" s="100" t="s">
        <v>2032</v>
      </c>
      <c r="C364" s="100" t="s">
        <v>1685</v>
      </c>
      <c r="D364" s="100" t="s">
        <v>1686</v>
      </c>
      <c r="E364" s="198">
        <v>175.0</v>
      </c>
      <c r="F364" s="100" t="s">
        <v>2033</v>
      </c>
    </row>
    <row r="365" ht="22.5" customHeight="1">
      <c r="A365" s="197">
        <v>45998.01103325232</v>
      </c>
      <c r="B365" s="100" t="s">
        <v>2032</v>
      </c>
      <c r="C365" s="100" t="s">
        <v>1688</v>
      </c>
      <c r="D365" s="100" t="s">
        <v>1689</v>
      </c>
      <c r="E365" s="198">
        <v>199.86</v>
      </c>
      <c r="F365" s="100" t="s">
        <v>2034</v>
      </c>
    </row>
    <row r="366" ht="22.5" customHeight="1">
      <c r="A366" s="197">
        <v>45998.011033622686</v>
      </c>
      <c r="B366" s="100" t="s">
        <v>2035</v>
      </c>
      <c r="C366" s="100" t="s">
        <v>1685</v>
      </c>
      <c r="D366" s="100" t="s">
        <v>1686</v>
      </c>
      <c r="E366" s="198">
        <v>195.0</v>
      </c>
      <c r="F366" s="199" t="s">
        <v>2036</v>
      </c>
    </row>
    <row r="367" ht="22.5" customHeight="1">
      <c r="A367" s="197">
        <v>45998.011033622686</v>
      </c>
      <c r="B367" s="100" t="s">
        <v>2035</v>
      </c>
      <c r="C367" s="100" t="s">
        <v>1688</v>
      </c>
      <c r="D367" s="100" t="s">
        <v>1689</v>
      </c>
      <c r="E367" s="198">
        <v>240.0</v>
      </c>
      <c r="F367" s="199" t="s">
        <v>2037</v>
      </c>
    </row>
    <row r="368" ht="22.5" customHeight="1">
      <c r="A368" s="197">
        <v>45998.01103395833</v>
      </c>
      <c r="B368" s="100" t="s">
        <v>2038</v>
      </c>
      <c r="C368" s="100" t="s">
        <v>1685</v>
      </c>
      <c r="D368" s="100" t="s">
        <v>1686</v>
      </c>
      <c r="E368" s="198">
        <v>30.0</v>
      </c>
      <c r="F368" s="199" t="s">
        <v>1958</v>
      </c>
    </row>
    <row r="369" ht="22.5" customHeight="1">
      <c r="A369" s="197">
        <v>45998.01103395833</v>
      </c>
      <c r="B369" s="100" t="s">
        <v>2038</v>
      </c>
      <c r="C369" s="100" t="s">
        <v>1688</v>
      </c>
      <c r="D369" s="100" t="s">
        <v>1689</v>
      </c>
      <c r="E369" s="198">
        <v>40.0</v>
      </c>
      <c r="F369" s="199" t="s">
        <v>1959</v>
      </c>
    </row>
    <row r="370" ht="22.5" customHeight="1">
      <c r="A370" s="197">
        <v>45998.01103432871</v>
      </c>
      <c r="B370" s="100" t="s">
        <v>2039</v>
      </c>
      <c r="C370" s="100" t="s">
        <v>1685</v>
      </c>
      <c r="D370" s="100" t="s">
        <v>1686</v>
      </c>
      <c r="E370" s="198">
        <v>56.4</v>
      </c>
      <c r="F370" s="199" t="s">
        <v>1753</v>
      </c>
    </row>
    <row r="371" ht="22.5" customHeight="1">
      <c r="A371" s="197">
        <v>45998.01103432871</v>
      </c>
      <c r="B371" s="100" t="s">
        <v>2039</v>
      </c>
      <c r="C371" s="100" t="s">
        <v>1688</v>
      </c>
      <c r="D371" s="100" t="s">
        <v>1689</v>
      </c>
      <c r="E371" s="198">
        <v>80.0</v>
      </c>
      <c r="F371" s="199" t="s">
        <v>1754</v>
      </c>
    </row>
    <row r="372" ht="22.5" customHeight="1">
      <c r="A372" s="197">
        <v>45998.0110346875</v>
      </c>
      <c r="B372" s="100" t="s">
        <v>2040</v>
      </c>
      <c r="C372" s="100" t="s">
        <v>1685</v>
      </c>
      <c r="D372" s="100" t="s">
        <v>1686</v>
      </c>
      <c r="E372" s="198">
        <v>75.0</v>
      </c>
      <c r="F372" s="199" t="s">
        <v>1950</v>
      </c>
    </row>
    <row r="373" ht="22.5" customHeight="1">
      <c r="A373" s="197">
        <v>45998.0110346875</v>
      </c>
      <c r="B373" s="100" t="s">
        <v>2040</v>
      </c>
      <c r="C373" s="100" t="s">
        <v>1688</v>
      </c>
      <c r="D373" s="100" t="s">
        <v>1689</v>
      </c>
      <c r="E373" s="198">
        <v>100.0</v>
      </c>
      <c r="F373" s="199" t="s">
        <v>1951</v>
      </c>
    </row>
    <row r="374" ht="22.5" customHeight="1">
      <c r="A374" s="197">
        <v>45998.01103504629</v>
      </c>
      <c r="B374" s="100" t="s">
        <v>2041</v>
      </c>
      <c r="C374" s="100" t="s">
        <v>1685</v>
      </c>
      <c r="D374" s="100" t="s">
        <v>1686</v>
      </c>
      <c r="E374" s="198">
        <v>225.0</v>
      </c>
      <c r="F374" s="199" t="s">
        <v>1901</v>
      </c>
    </row>
    <row r="375" ht="22.5" customHeight="1">
      <c r="A375" s="197">
        <v>45998.01103504629</v>
      </c>
      <c r="B375" s="100" t="s">
        <v>2041</v>
      </c>
      <c r="C375" s="100" t="s">
        <v>1688</v>
      </c>
      <c r="D375" s="100" t="s">
        <v>1689</v>
      </c>
      <c r="E375" s="198">
        <v>350.0</v>
      </c>
      <c r="F375" s="199" t="s">
        <v>1902</v>
      </c>
    </row>
    <row r="376" ht="22.5" customHeight="1">
      <c r="A376" s="197">
        <v>45998.01103545139</v>
      </c>
      <c r="B376" s="100" t="s">
        <v>2042</v>
      </c>
      <c r="C376" s="100" t="s">
        <v>1685</v>
      </c>
      <c r="D376" s="100" t="s">
        <v>1686</v>
      </c>
      <c r="E376" s="198">
        <v>15.0</v>
      </c>
      <c r="F376" s="199" t="s">
        <v>1904</v>
      </c>
    </row>
    <row r="377" ht="22.5" customHeight="1">
      <c r="A377" s="197">
        <v>45998.01103545139</v>
      </c>
      <c r="B377" s="100" t="s">
        <v>2042</v>
      </c>
      <c r="C377" s="100" t="s">
        <v>1688</v>
      </c>
      <c r="D377" s="100" t="s">
        <v>1689</v>
      </c>
      <c r="E377" s="198">
        <v>30.0</v>
      </c>
      <c r="F377" s="199" t="s">
        <v>1906</v>
      </c>
    </row>
    <row r="378" ht="22.5" customHeight="1">
      <c r="A378" s="197">
        <v>45998.011035937496</v>
      </c>
      <c r="B378" s="100" t="s">
        <v>2044</v>
      </c>
      <c r="C378" s="100" t="s">
        <v>1685</v>
      </c>
      <c r="D378" s="100" t="s">
        <v>1686</v>
      </c>
      <c r="E378" s="198">
        <v>165.0</v>
      </c>
      <c r="F378" s="199" t="s">
        <v>2045</v>
      </c>
    </row>
    <row r="379" ht="22.5" customHeight="1">
      <c r="A379" s="197">
        <v>45998.011035937496</v>
      </c>
      <c r="B379" s="100" t="s">
        <v>2044</v>
      </c>
      <c r="C379" s="100" t="s">
        <v>1688</v>
      </c>
      <c r="D379" s="100" t="s">
        <v>1689</v>
      </c>
      <c r="E379" s="198">
        <v>175.0</v>
      </c>
      <c r="F379" s="199" t="s">
        <v>2046</v>
      </c>
    </row>
    <row r="380" ht="22.5" customHeight="1">
      <c r="A380" s="197">
        <v>45998.01103637731</v>
      </c>
      <c r="B380" s="100" t="s">
        <v>2047</v>
      </c>
      <c r="C380" s="100" t="s">
        <v>1685</v>
      </c>
      <c r="D380" s="100" t="s">
        <v>1686</v>
      </c>
      <c r="E380" s="198">
        <v>150.0</v>
      </c>
      <c r="F380" s="199" t="s">
        <v>2011</v>
      </c>
    </row>
    <row r="381" ht="22.5" customHeight="1">
      <c r="A381" s="197">
        <v>45998.01103637731</v>
      </c>
      <c r="B381" s="100" t="s">
        <v>2047</v>
      </c>
      <c r="C381" s="100" t="s">
        <v>1688</v>
      </c>
      <c r="D381" s="100" t="s">
        <v>1689</v>
      </c>
      <c r="E381" s="198">
        <v>200.0</v>
      </c>
      <c r="F381" s="199" t="s">
        <v>2012</v>
      </c>
    </row>
    <row r="382" ht="22.5" customHeight="1">
      <c r="A382" s="197">
        <v>45998.01103659722</v>
      </c>
      <c r="B382" s="100" t="s">
        <v>2048</v>
      </c>
      <c r="C382" s="100" t="s">
        <v>1685</v>
      </c>
      <c r="D382" s="100" t="s">
        <v>1686</v>
      </c>
      <c r="E382" s="198">
        <v>35.0</v>
      </c>
      <c r="F382" s="199" t="s">
        <v>1805</v>
      </c>
    </row>
    <row r="383" ht="22.5" customHeight="1">
      <c r="A383" s="197">
        <v>45998.01103659722</v>
      </c>
      <c r="B383" s="100" t="s">
        <v>2048</v>
      </c>
      <c r="C383" s="100" t="s">
        <v>1688</v>
      </c>
      <c r="D383" s="100" t="s">
        <v>1689</v>
      </c>
      <c r="E383" s="198">
        <v>50.0</v>
      </c>
      <c r="F383" s="199" t="s">
        <v>1806</v>
      </c>
    </row>
    <row r="384" ht="22.5" customHeight="1">
      <c r="A384" s="197">
        <v>45998.0110368287</v>
      </c>
      <c r="B384" s="100" t="s">
        <v>2049</v>
      </c>
      <c r="C384" s="100" t="s">
        <v>1685</v>
      </c>
      <c r="D384" s="100" t="s">
        <v>1686</v>
      </c>
      <c r="E384" s="198">
        <v>75.0</v>
      </c>
      <c r="F384" s="199" t="s">
        <v>2011</v>
      </c>
    </row>
    <row r="385" ht="22.5" customHeight="1">
      <c r="A385" s="197">
        <v>45998.0110368287</v>
      </c>
      <c r="B385" s="100" t="s">
        <v>2049</v>
      </c>
      <c r="C385" s="100" t="s">
        <v>1688</v>
      </c>
      <c r="D385" s="100" t="s">
        <v>1689</v>
      </c>
      <c r="E385" s="198">
        <v>120.0</v>
      </c>
      <c r="F385" s="199" t="s">
        <v>2012</v>
      </c>
    </row>
    <row r="386" ht="22.5" customHeight="1">
      <c r="A386" s="197">
        <v>45998.011037118056</v>
      </c>
      <c r="B386" s="100" t="s">
        <v>2050</v>
      </c>
      <c r="C386" s="100" t="s">
        <v>1685</v>
      </c>
      <c r="D386" s="100" t="s">
        <v>1686</v>
      </c>
      <c r="E386" s="198">
        <v>164.17</v>
      </c>
      <c r="F386" s="199" t="s">
        <v>1767</v>
      </c>
    </row>
    <row r="387" ht="22.5" customHeight="1">
      <c r="A387" s="197">
        <v>45998.011037118056</v>
      </c>
      <c r="B387" s="100" t="s">
        <v>2050</v>
      </c>
      <c r="C387" s="100" t="s">
        <v>1688</v>
      </c>
      <c r="D387" s="100" t="s">
        <v>1689</v>
      </c>
      <c r="E387" s="198">
        <v>200.0</v>
      </c>
      <c r="F387" s="199" t="s">
        <v>1768</v>
      </c>
    </row>
    <row r="388" ht="22.5" customHeight="1">
      <c r="A388" s="197">
        <v>45998.01103734954</v>
      </c>
      <c r="B388" s="100" t="s">
        <v>2051</v>
      </c>
      <c r="C388" s="100" t="s">
        <v>1685</v>
      </c>
      <c r="D388" s="100" t="s">
        <v>1686</v>
      </c>
      <c r="E388" s="198">
        <v>160.0</v>
      </c>
      <c r="F388" s="199" t="s">
        <v>1788</v>
      </c>
    </row>
    <row r="389" ht="22.5" customHeight="1">
      <c r="A389" s="197">
        <v>45998.01103734954</v>
      </c>
      <c r="B389" s="100" t="s">
        <v>2051</v>
      </c>
      <c r="C389" s="100" t="s">
        <v>1688</v>
      </c>
      <c r="D389" s="100" t="s">
        <v>1689</v>
      </c>
      <c r="E389" s="198">
        <v>200.0</v>
      </c>
      <c r="F389" s="199" t="s">
        <v>1789</v>
      </c>
    </row>
    <row r="390" ht="22.5" customHeight="1">
      <c r="A390" s="197">
        <v>45998.01103767361</v>
      </c>
      <c r="B390" s="100" t="s">
        <v>2052</v>
      </c>
      <c r="C390" s="100" t="s">
        <v>1685</v>
      </c>
      <c r="D390" s="100" t="s">
        <v>1686</v>
      </c>
      <c r="E390" s="198">
        <v>150.0</v>
      </c>
      <c r="F390" s="199" t="s">
        <v>2011</v>
      </c>
    </row>
    <row r="391" ht="22.5" customHeight="1">
      <c r="A391" s="197">
        <v>45998.01103767361</v>
      </c>
      <c r="B391" s="100" t="s">
        <v>2052</v>
      </c>
      <c r="C391" s="100" t="s">
        <v>1688</v>
      </c>
      <c r="D391" s="100" t="s">
        <v>1689</v>
      </c>
      <c r="E391" s="198">
        <v>200.0</v>
      </c>
      <c r="F391" s="199" t="s">
        <v>2012</v>
      </c>
    </row>
    <row r="392" ht="22.5" customHeight="1">
      <c r="A392" s="197">
        <v>45998.011037881945</v>
      </c>
      <c r="B392" s="100" t="s">
        <v>2053</v>
      </c>
      <c r="C392" s="100" t="s">
        <v>1685</v>
      </c>
      <c r="D392" s="100" t="s">
        <v>1686</v>
      </c>
      <c r="E392" s="198">
        <v>35.0</v>
      </c>
      <c r="F392" s="199" t="s">
        <v>1805</v>
      </c>
    </row>
    <row r="393" ht="22.5" customHeight="1">
      <c r="A393" s="197">
        <v>45998.011037881945</v>
      </c>
      <c r="B393" s="100" t="s">
        <v>2053</v>
      </c>
      <c r="C393" s="100" t="s">
        <v>1688</v>
      </c>
      <c r="D393" s="100" t="s">
        <v>1689</v>
      </c>
      <c r="E393" s="198">
        <v>50.0</v>
      </c>
      <c r="F393" s="199" t="s">
        <v>1806</v>
      </c>
    </row>
    <row r="394" ht="22.5" customHeight="1">
      <c r="A394" s="197">
        <v>45998.01103818287</v>
      </c>
      <c r="B394" s="100" t="s">
        <v>2054</v>
      </c>
      <c r="C394" s="100" t="s">
        <v>1685</v>
      </c>
      <c r="D394" s="100" t="s">
        <v>1686</v>
      </c>
      <c r="E394" s="198">
        <v>155.0</v>
      </c>
      <c r="F394" s="199" t="s">
        <v>2055</v>
      </c>
    </row>
    <row r="395" ht="22.5" customHeight="1">
      <c r="A395" s="197">
        <v>45998.01103818287</v>
      </c>
      <c r="B395" s="100" t="s">
        <v>2054</v>
      </c>
      <c r="C395" s="100" t="s">
        <v>1688</v>
      </c>
      <c r="D395" s="100" t="s">
        <v>1689</v>
      </c>
      <c r="E395" s="198">
        <v>185.0</v>
      </c>
      <c r="F395" s="199" t="s">
        <v>2056</v>
      </c>
    </row>
    <row r="396" ht="22.5" customHeight="1">
      <c r="A396" s="197">
        <v>45998.01103846065</v>
      </c>
      <c r="B396" s="100" t="s">
        <v>2057</v>
      </c>
      <c r="C396" s="100" t="s">
        <v>1685</v>
      </c>
      <c r="D396" s="100" t="s">
        <v>1686</v>
      </c>
      <c r="E396" s="198">
        <v>65.0</v>
      </c>
      <c r="F396" s="100" t="s">
        <v>1937</v>
      </c>
    </row>
    <row r="397" ht="22.5" customHeight="1">
      <c r="A397" s="197">
        <v>45998.01103846065</v>
      </c>
      <c r="B397" s="100" t="s">
        <v>2057</v>
      </c>
      <c r="C397" s="100" t="s">
        <v>1688</v>
      </c>
      <c r="D397" s="100" t="s">
        <v>1689</v>
      </c>
      <c r="E397" s="198">
        <v>95.0</v>
      </c>
      <c r="F397" s="100" t="s">
        <v>1938</v>
      </c>
    </row>
    <row r="398" ht="22.5" customHeight="1">
      <c r="A398" s="197">
        <v>45998.01103869213</v>
      </c>
      <c r="B398" s="100" t="s">
        <v>2058</v>
      </c>
      <c r="C398" s="100" t="s">
        <v>1685</v>
      </c>
      <c r="D398" s="100" t="s">
        <v>1686</v>
      </c>
      <c r="E398" s="198">
        <v>40.0</v>
      </c>
      <c r="F398" s="199" t="s">
        <v>2059</v>
      </c>
    </row>
    <row r="399" ht="22.5" customHeight="1">
      <c r="A399" s="197">
        <v>45998.01103869213</v>
      </c>
      <c r="B399" s="100" t="s">
        <v>2058</v>
      </c>
      <c r="C399" s="100" t="s">
        <v>1688</v>
      </c>
      <c r="D399" s="100" t="s">
        <v>1689</v>
      </c>
      <c r="E399" s="198">
        <v>50.0</v>
      </c>
      <c r="F399" s="199" t="s">
        <v>2060</v>
      </c>
    </row>
    <row r="400" ht="22.5" customHeight="1">
      <c r="A400" s="197">
        <v>45998.01103892361</v>
      </c>
      <c r="B400" s="100" t="s">
        <v>2061</v>
      </c>
      <c r="C400" s="100" t="s">
        <v>1685</v>
      </c>
      <c r="D400" s="100" t="s">
        <v>1686</v>
      </c>
      <c r="E400" s="198">
        <v>105.0</v>
      </c>
      <c r="F400" s="199" t="s">
        <v>1989</v>
      </c>
    </row>
    <row r="401" ht="22.5" customHeight="1">
      <c r="A401" s="197">
        <v>45998.01103892361</v>
      </c>
      <c r="B401" s="100" t="s">
        <v>2061</v>
      </c>
      <c r="C401" s="100" t="s">
        <v>1688</v>
      </c>
      <c r="D401" s="100" t="s">
        <v>1689</v>
      </c>
      <c r="E401" s="198">
        <v>145.0</v>
      </c>
      <c r="F401" s="199" t="s">
        <v>1990</v>
      </c>
    </row>
    <row r="402" ht="22.5" customHeight="1">
      <c r="A402" s="197">
        <v>45998.01103925926</v>
      </c>
      <c r="B402" s="100" t="s">
        <v>2062</v>
      </c>
      <c r="C402" s="100" t="s">
        <v>1685</v>
      </c>
      <c r="D402" s="100" t="s">
        <v>1686</v>
      </c>
      <c r="E402" s="198">
        <v>31.5</v>
      </c>
      <c r="F402" s="100" t="s">
        <v>1701</v>
      </c>
    </row>
    <row r="403" ht="22.5" customHeight="1">
      <c r="A403" s="197">
        <v>45998.01103925926</v>
      </c>
      <c r="B403" s="100" t="s">
        <v>2062</v>
      </c>
      <c r="C403" s="100" t="s">
        <v>1688</v>
      </c>
      <c r="D403" s="100" t="s">
        <v>1689</v>
      </c>
      <c r="E403" s="198">
        <v>50.0</v>
      </c>
      <c r="F403" s="100" t="s">
        <v>1702</v>
      </c>
    </row>
    <row r="404" ht="22.5" customHeight="1">
      <c r="A404" s="197">
        <v>45998.01103952546</v>
      </c>
      <c r="B404" s="100" t="s">
        <v>2063</v>
      </c>
      <c r="C404" s="100" t="s">
        <v>1685</v>
      </c>
      <c r="D404" s="100" t="s">
        <v>1686</v>
      </c>
      <c r="E404" s="198">
        <v>28.2</v>
      </c>
      <c r="F404" s="199" t="s">
        <v>1753</v>
      </c>
    </row>
    <row r="405" ht="22.5" customHeight="1">
      <c r="A405" s="197">
        <v>45998.01103952546</v>
      </c>
      <c r="B405" s="100" t="s">
        <v>2063</v>
      </c>
      <c r="C405" s="100" t="s">
        <v>1688</v>
      </c>
      <c r="D405" s="100" t="s">
        <v>1689</v>
      </c>
      <c r="E405" s="198">
        <v>40.0</v>
      </c>
      <c r="F405" s="199" t="s">
        <v>1754</v>
      </c>
    </row>
    <row r="406" ht="22.5" customHeight="1">
      <c r="A406" s="197">
        <v>45998.011039791665</v>
      </c>
      <c r="B406" s="100" t="s">
        <v>2064</v>
      </c>
      <c r="C406" s="100" t="s">
        <v>1685</v>
      </c>
      <c r="D406" s="100" t="s">
        <v>1686</v>
      </c>
      <c r="E406" s="198">
        <v>16.0</v>
      </c>
      <c r="F406" s="199" t="s">
        <v>1986</v>
      </c>
    </row>
    <row r="407" ht="22.5" customHeight="1">
      <c r="A407" s="197">
        <v>45998.011039791665</v>
      </c>
      <c r="B407" s="100" t="s">
        <v>2064</v>
      </c>
      <c r="C407" s="100" t="s">
        <v>1688</v>
      </c>
      <c r="D407" s="100" t="s">
        <v>1689</v>
      </c>
      <c r="E407" s="198">
        <v>25.0</v>
      </c>
      <c r="F407" s="199" t="s">
        <v>1987</v>
      </c>
    </row>
    <row r="408" ht="22.5" customHeight="1">
      <c r="A408" s="197">
        <v>45998.01104008102</v>
      </c>
      <c r="B408" s="100" t="s">
        <v>2065</v>
      </c>
      <c r="C408" s="100" t="s">
        <v>1685</v>
      </c>
      <c r="D408" s="100" t="s">
        <v>1686</v>
      </c>
      <c r="E408" s="198">
        <v>94.5</v>
      </c>
      <c r="F408" s="100" t="s">
        <v>1701</v>
      </c>
    </row>
    <row r="409" ht="22.5" customHeight="1">
      <c r="A409" s="197">
        <v>45998.01104008102</v>
      </c>
      <c r="B409" s="100" t="s">
        <v>2065</v>
      </c>
      <c r="C409" s="100" t="s">
        <v>1688</v>
      </c>
      <c r="D409" s="100" t="s">
        <v>1689</v>
      </c>
      <c r="E409" s="198">
        <v>135.0</v>
      </c>
      <c r="F409" s="100" t="s">
        <v>1702</v>
      </c>
    </row>
    <row r="410" ht="22.5" customHeight="1">
      <c r="A410" s="197">
        <v>45998.01104032407</v>
      </c>
      <c r="B410" s="100" t="s">
        <v>2066</v>
      </c>
      <c r="C410" s="100" t="s">
        <v>1685</v>
      </c>
      <c r="D410" s="100" t="s">
        <v>1686</v>
      </c>
      <c r="E410" s="198">
        <v>56.4</v>
      </c>
      <c r="F410" s="199" t="s">
        <v>1753</v>
      </c>
    </row>
    <row r="411" ht="22.5" customHeight="1">
      <c r="A411" s="197">
        <v>45998.01104032407</v>
      </c>
      <c r="B411" s="100" t="s">
        <v>2066</v>
      </c>
      <c r="C411" s="100" t="s">
        <v>1688</v>
      </c>
      <c r="D411" s="100" t="s">
        <v>1689</v>
      </c>
      <c r="E411" s="198">
        <v>80.0</v>
      </c>
      <c r="F411" s="199" t="s">
        <v>1754</v>
      </c>
    </row>
    <row r="412" ht="22.5" customHeight="1">
      <c r="A412" s="197">
        <v>45998.011040613426</v>
      </c>
      <c r="B412" s="100" t="s">
        <v>2067</v>
      </c>
      <c r="C412" s="100" t="s">
        <v>1685</v>
      </c>
      <c r="D412" s="100" t="s">
        <v>1686</v>
      </c>
      <c r="E412" s="198">
        <v>75.0</v>
      </c>
      <c r="F412" s="199" t="s">
        <v>1950</v>
      </c>
    </row>
    <row r="413" ht="22.5" customHeight="1">
      <c r="A413" s="197">
        <v>45998.011040613426</v>
      </c>
      <c r="B413" s="100" t="s">
        <v>2067</v>
      </c>
      <c r="C413" s="100" t="s">
        <v>1688</v>
      </c>
      <c r="D413" s="100" t="s">
        <v>1689</v>
      </c>
      <c r="E413" s="198">
        <v>100.0</v>
      </c>
      <c r="F413" s="199" t="s">
        <v>1951</v>
      </c>
    </row>
    <row r="414" ht="22.5" customHeight="1">
      <c r="A414" s="197">
        <v>45998.011040972226</v>
      </c>
      <c r="B414" s="100" t="s">
        <v>2068</v>
      </c>
      <c r="C414" s="100" t="s">
        <v>1685</v>
      </c>
      <c r="D414" s="100" t="s">
        <v>1686</v>
      </c>
      <c r="E414" s="198">
        <v>50.0</v>
      </c>
      <c r="F414" s="199" t="s">
        <v>2069</v>
      </c>
    </row>
    <row r="415" ht="22.5" customHeight="1">
      <c r="A415" s="197">
        <v>45998.011040972226</v>
      </c>
      <c r="B415" s="100" t="s">
        <v>2068</v>
      </c>
      <c r="C415" s="100" t="s">
        <v>1688</v>
      </c>
      <c r="D415" s="100" t="s">
        <v>1689</v>
      </c>
      <c r="E415" s="198">
        <v>60.0</v>
      </c>
      <c r="F415" s="199" t="s">
        <v>2070</v>
      </c>
    </row>
    <row r="416" ht="22.5" customHeight="1">
      <c r="A416" s="197">
        <v>45998.011041192134</v>
      </c>
      <c r="B416" s="100" t="s">
        <v>2071</v>
      </c>
      <c r="C416" s="100" t="s">
        <v>1685</v>
      </c>
      <c r="D416" s="100" t="s">
        <v>1686</v>
      </c>
      <c r="E416" s="198">
        <v>45.0</v>
      </c>
      <c r="F416" s="199" t="s">
        <v>1838</v>
      </c>
    </row>
    <row r="417" ht="22.5" customHeight="1">
      <c r="A417" s="197">
        <v>45998.011041192134</v>
      </c>
      <c r="B417" s="100" t="s">
        <v>2071</v>
      </c>
      <c r="C417" s="100" t="s">
        <v>1688</v>
      </c>
      <c r="D417" s="100" t="s">
        <v>1689</v>
      </c>
      <c r="E417" s="198">
        <v>55.0</v>
      </c>
      <c r="F417" s="199" t="s">
        <v>1839</v>
      </c>
    </row>
    <row r="418" ht="22.5" customHeight="1">
      <c r="A418" s="197">
        <v>45998.01104145833</v>
      </c>
      <c r="B418" s="100" t="s">
        <v>2072</v>
      </c>
      <c r="C418" s="100" t="s">
        <v>1685</v>
      </c>
      <c r="D418" s="100" t="s">
        <v>1686</v>
      </c>
      <c r="E418" s="198">
        <v>75.0</v>
      </c>
      <c r="F418" s="199" t="s">
        <v>2011</v>
      </c>
    </row>
    <row r="419" ht="22.5" customHeight="1">
      <c r="A419" s="197">
        <v>45998.01104145833</v>
      </c>
      <c r="B419" s="100" t="s">
        <v>2072</v>
      </c>
      <c r="C419" s="100" t="s">
        <v>1688</v>
      </c>
      <c r="D419" s="100" t="s">
        <v>1689</v>
      </c>
      <c r="E419" s="198">
        <v>120.0</v>
      </c>
      <c r="F419" s="199" t="s">
        <v>2012</v>
      </c>
    </row>
    <row r="420" ht="22.5" customHeight="1">
      <c r="A420" s="197">
        <v>45998.011041770835</v>
      </c>
      <c r="B420" s="100" t="s">
        <v>2073</v>
      </c>
      <c r="C420" s="100" t="s">
        <v>1685</v>
      </c>
      <c r="D420" s="100" t="s">
        <v>1686</v>
      </c>
      <c r="E420" s="198">
        <v>65.0</v>
      </c>
      <c r="F420" s="100" t="s">
        <v>1937</v>
      </c>
    </row>
    <row r="421" ht="22.5" customHeight="1">
      <c r="A421" s="197">
        <v>45998.0110417824</v>
      </c>
      <c r="B421" s="100" t="s">
        <v>2073</v>
      </c>
      <c r="C421" s="100" t="s">
        <v>1688</v>
      </c>
      <c r="D421" s="100" t="s">
        <v>1689</v>
      </c>
      <c r="E421" s="198">
        <v>95.0</v>
      </c>
      <c r="F421" s="100" t="s">
        <v>1938</v>
      </c>
    </row>
    <row r="422" ht="22.5" customHeight="1">
      <c r="A422" s="197">
        <v>45998.01104216435</v>
      </c>
      <c r="B422" s="100" t="s">
        <v>2074</v>
      </c>
      <c r="C422" s="100" t="s">
        <v>1685</v>
      </c>
      <c r="D422" s="100" t="s">
        <v>1686</v>
      </c>
      <c r="E422" s="198">
        <v>135.0</v>
      </c>
      <c r="F422" s="199" t="s">
        <v>1980</v>
      </c>
    </row>
    <row r="423" ht="22.5" customHeight="1">
      <c r="A423" s="197">
        <v>45998.01104216435</v>
      </c>
      <c r="B423" s="100" t="s">
        <v>2074</v>
      </c>
      <c r="C423" s="100" t="s">
        <v>1688</v>
      </c>
      <c r="D423" s="100" t="s">
        <v>1689</v>
      </c>
      <c r="E423" s="198">
        <v>225.0</v>
      </c>
      <c r="F423" s="199" t="s">
        <v>1981</v>
      </c>
    </row>
    <row r="424" ht="22.5" customHeight="1">
      <c r="A424" s="197">
        <v>45998.011042488426</v>
      </c>
      <c r="B424" s="100" t="s">
        <v>2075</v>
      </c>
      <c r="C424" s="100" t="s">
        <v>1685</v>
      </c>
      <c r="D424" s="100" t="s">
        <v>1686</v>
      </c>
      <c r="E424" s="198">
        <v>155.0</v>
      </c>
      <c r="F424" s="199" t="s">
        <v>2055</v>
      </c>
    </row>
    <row r="425" ht="22.5" customHeight="1">
      <c r="A425" s="197">
        <v>45998.011042488426</v>
      </c>
      <c r="B425" s="100" t="s">
        <v>2075</v>
      </c>
      <c r="C425" s="100" t="s">
        <v>1688</v>
      </c>
      <c r="D425" s="100" t="s">
        <v>1689</v>
      </c>
      <c r="E425" s="198">
        <v>190.0</v>
      </c>
      <c r="F425" s="199" t="s">
        <v>2056</v>
      </c>
    </row>
    <row r="426" ht="22.5" customHeight="1">
      <c r="A426" s="197">
        <v>45998.01104283565</v>
      </c>
      <c r="B426" s="100" t="s">
        <v>2076</v>
      </c>
      <c r="C426" s="100" t="s">
        <v>1685</v>
      </c>
      <c r="D426" s="100" t="s">
        <v>1686</v>
      </c>
      <c r="E426" s="198">
        <v>205.0</v>
      </c>
      <c r="F426" s="199" t="s">
        <v>1892</v>
      </c>
    </row>
    <row r="427" ht="22.5" customHeight="1">
      <c r="A427" s="197">
        <v>45998.01104283565</v>
      </c>
      <c r="B427" s="100" t="s">
        <v>2076</v>
      </c>
      <c r="C427" s="100" t="s">
        <v>1688</v>
      </c>
      <c r="D427" s="100" t="s">
        <v>1689</v>
      </c>
      <c r="E427" s="198">
        <v>250.0</v>
      </c>
      <c r="F427" s="199" t="s">
        <v>1893</v>
      </c>
    </row>
    <row r="428" ht="22.5" customHeight="1">
      <c r="A428" s="197">
        <v>45998.01104341436</v>
      </c>
      <c r="B428" s="100" t="s">
        <v>2077</v>
      </c>
      <c r="C428" s="100" t="s">
        <v>1685</v>
      </c>
      <c r="D428" s="100" t="s">
        <v>1686</v>
      </c>
      <c r="E428" s="198">
        <v>95.0</v>
      </c>
      <c r="F428" s="199" t="s">
        <v>2025</v>
      </c>
    </row>
    <row r="429" ht="22.5" customHeight="1">
      <c r="A429" s="197">
        <v>45998.01104341436</v>
      </c>
      <c r="B429" s="100" t="s">
        <v>2077</v>
      </c>
      <c r="C429" s="100" t="s">
        <v>1688</v>
      </c>
      <c r="D429" s="100" t="s">
        <v>1689</v>
      </c>
      <c r="E429" s="198">
        <v>120.0</v>
      </c>
      <c r="F429" s="199" t="s">
        <v>2026</v>
      </c>
    </row>
    <row r="430" ht="22.5" customHeight="1">
      <c r="A430" s="197">
        <v>45998.01104377315</v>
      </c>
      <c r="B430" s="100" t="s">
        <v>2078</v>
      </c>
      <c r="C430" s="100" t="s">
        <v>1685</v>
      </c>
      <c r="D430" s="100" t="s">
        <v>1686</v>
      </c>
      <c r="E430" s="198">
        <v>84.6</v>
      </c>
      <c r="F430" s="199" t="s">
        <v>1753</v>
      </c>
    </row>
    <row r="431" ht="22.5" customHeight="1">
      <c r="A431" s="197">
        <v>45998.01104377315</v>
      </c>
      <c r="B431" s="100" t="s">
        <v>2078</v>
      </c>
      <c r="C431" s="100" t="s">
        <v>1688</v>
      </c>
      <c r="D431" s="100" t="s">
        <v>1689</v>
      </c>
      <c r="E431" s="198">
        <v>120.0</v>
      </c>
      <c r="F431" s="199" t="s">
        <v>1754</v>
      </c>
    </row>
    <row r="432" ht="22.5" customHeight="1">
      <c r="A432" s="197">
        <v>45998.01576846065</v>
      </c>
      <c r="B432" s="100" t="s">
        <v>1634</v>
      </c>
      <c r="C432" s="100" t="s">
        <v>1685</v>
      </c>
      <c r="D432" s="100" t="s">
        <v>1686</v>
      </c>
      <c r="E432" s="198">
        <v>378.58</v>
      </c>
      <c r="F432" s="199" t="s">
        <v>2079</v>
      </c>
    </row>
    <row r="433" ht="22.5" customHeight="1">
      <c r="A433" s="197">
        <v>45998.01576846065</v>
      </c>
      <c r="B433" s="100" t="s">
        <v>1634</v>
      </c>
      <c r="C433" s="100" t="s">
        <v>1688</v>
      </c>
      <c r="D433" s="100" t="s">
        <v>1689</v>
      </c>
      <c r="E433" s="198">
        <v>490.0</v>
      </c>
      <c r="F433" s="199" t="s">
        <v>2080</v>
      </c>
    </row>
    <row r="434" ht="22.5" customHeight="1">
      <c r="A434" s="197">
        <v>45998.01576869213</v>
      </c>
      <c r="B434" s="100" t="s">
        <v>1905</v>
      </c>
      <c r="C434" s="100" t="s">
        <v>1685</v>
      </c>
      <c r="D434" s="100" t="s">
        <v>1686</v>
      </c>
      <c r="E434" s="198">
        <v>145.0</v>
      </c>
      <c r="F434" s="199" t="s">
        <v>2029</v>
      </c>
    </row>
    <row r="435" ht="22.5" customHeight="1">
      <c r="A435" s="197">
        <v>45998.01576869213</v>
      </c>
      <c r="B435" s="100" t="s">
        <v>1905</v>
      </c>
      <c r="C435" s="100" t="s">
        <v>1688</v>
      </c>
      <c r="D435" s="100" t="s">
        <v>1689</v>
      </c>
      <c r="E435" s="198">
        <v>200.0</v>
      </c>
      <c r="F435" s="199" t="s">
        <v>2030</v>
      </c>
    </row>
    <row r="436" ht="22.5" customHeight="1">
      <c r="A436" s="197">
        <v>45998.01576892361</v>
      </c>
      <c r="B436" s="100" t="s">
        <v>2043</v>
      </c>
      <c r="C436" s="100" t="s">
        <v>1685</v>
      </c>
      <c r="D436" s="100" t="s">
        <v>1686</v>
      </c>
      <c r="E436" s="198">
        <v>145.0</v>
      </c>
      <c r="F436" s="199" t="s">
        <v>2029</v>
      </c>
    </row>
    <row r="437" ht="22.5" customHeight="1">
      <c r="A437" s="197">
        <v>45998.01576892361</v>
      </c>
      <c r="B437" s="100" t="s">
        <v>2043</v>
      </c>
      <c r="C437" s="100" t="s">
        <v>1688</v>
      </c>
      <c r="D437" s="100" t="s">
        <v>1689</v>
      </c>
      <c r="E437" s="198">
        <v>175.0</v>
      </c>
      <c r="F437" s="199" t="s">
        <v>2030</v>
      </c>
    </row>
    <row r="438" ht="22.5" customHeight="1">
      <c r="A438" s="197">
        <v>45998.01576921296</v>
      </c>
      <c r="B438" s="100" t="s">
        <v>2081</v>
      </c>
      <c r="C438" s="100" t="s">
        <v>1685</v>
      </c>
      <c r="D438" s="100" t="s">
        <v>1686</v>
      </c>
      <c r="E438" s="198">
        <v>145.0</v>
      </c>
      <c r="F438" s="199" t="s">
        <v>2029</v>
      </c>
    </row>
    <row r="439" ht="22.5" customHeight="1">
      <c r="A439" s="197">
        <v>45998.01576921296</v>
      </c>
      <c r="B439" s="100" t="s">
        <v>2081</v>
      </c>
      <c r="C439" s="100" t="s">
        <v>1688</v>
      </c>
      <c r="D439" s="100" t="s">
        <v>1689</v>
      </c>
      <c r="E439" s="198">
        <v>200.0</v>
      </c>
      <c r="F439" s="199" t="s">
        <v>2030</v>
      </c>
    </row>
    <row r="440" ht="22.5" customHeight="1">
      <c r="A440" s="197">
        <v>45998.01576981481</v>
      </c>
      <c r="B440" s="100" t="s">
        <v>2082</v>
      </c>
      <c r="C440" s="100" t="s">
        <v>1685</v>
      </c>
      <c r="D440" s="100" t="s">
        <v>1686</v>
      </c>
      <c r="E440" s="198">
        <v>100.0</v>
      </c>
      <c r="F440" s="100" t="s">
        <v>2083</v>
      </c>
    </row>
    <row r="441" ht="22.5" customHeight="1">
      <c r="A441" s="197">
        <v>45998.01576981481</v>
      </c>
      <c r="B441" s="100" t="s">
        <v>2082</v>
      </c>
      <c r="C441" s="100" t="s">
        <v>1688</v>
      </c>
      <c r="D441" s="100" t="s">
        <v>1689</v>
      </c>
      <c r="E441" s="198">
        <v>124.9</v>
      </c>
      <c r="F441" s="100" t="s">
        <v>2084</v>
      </c>
    </row>
    <row r="442" ht="22.5" customHeight="1">
      <c r="A442" s="197">
        <v>45999.60258982639</v>
      </c>
      <c r="B442" s="100" t="s">
        <v>2085</v>
      </c>
      <c r="C442" s="100" t="s">
        <v>1685</v>
      </c>
      <c r="D442" s="100" t="s">
        <v>1686</v>
      </c>
      <c r="E442" s="198">
        <v>120.0</v>
      </c>
      <c r="F442" s="199" t="s">
        <v>1958</v>
      </c>
    </row>
    <row r="443" ht="22.5" customHeight="1">
      <c r="A443" s="197">
        <v>45999.60258982639</v>
      </c>
      <c r="B443" s="100" t="s">
        <v>2085</v>
      </c>
      <c r="C443" s="100" t="s">
        <v>1688</v>
      </c>
      <c r="D443" s="100" t="s">
        <v>1689</v>
      </c>
      <c r="E443" s="198">
        <v>120.0</v>
      </c>
      <c r="F443" s="199" t="s">
        <v>1959</v>
      </c>
    </row>
    <row r="444" ht="22.5" customHeight="1">
      <c r="A444" s="197">
        <v>45999.60259013889</v>
      </c>
      <c r="B444" s="100" t="s">
        <v>2086</v>
      </c>
      <c r="C444" s="100" t="s">
        <v>1685</v>
      </c>
      <c r="D444" s="100" t="s">
        <v>1686</v>
      </c>
      <c r="E444" s="198">
        <v>105.0</v>
      </c>
      <c r="F444" s="199" t="s">
        <v>1805</v>
      </c>
    </row>
    <row r="445" ht="22.5" customHeight="1">
      <c r="A445" s="197">
        <v>45999.60259013889</v>
      </c>
      <c r="B445" s="100" t="s">
        <v>2086</v>
      </c>
      <c r="C445" s="100" t="s">
        <v>1688</v>
      </c>
      <c r="D445" s="100" t="s">
        <v>1689</v>
      </c>
      <c r="E445" s="198">
        <v>105.0</v>
      </c>
      <c r="F445" s="199" t="s">
        <v>1806</v>
      </c>
    </row>
    <row r="446" ht="22.5" customHeight="1">
      <c r="A446" s="197">
        <v>45999.6025903588</v>
      </c>
      <c r="B446" s="100" t="s">
        <v>2087</v>
      </c>
      <c r="C446" s="100" t="s">
        <v>1685</v>
      </c>
      <c r="D446" s="100" t="s">
        <v>1686</v>
      </c>
      <c r="E446" s="198">
        <v>75.0</v>
      </c>
      <c r="F446" s="199" t="s">
        <v>2088</v>
      </c>
    </row>
    <row r="447" ht="22.5" customHeight="1">
      <c r="A447" s="197">
        <v>45999.6025903588</v>
      </c>
      <c r="B447" s="100" t="s">
        <v>2087</v>
      </c>
      <c r="C447" s="100" t="s">
        <v>1688</v>
      </c>
      <c r="D447" s="100" t="s">
        <v>1689</v>
      </c>
      <c r="E447" s="198">
        <v>75.0</v>
      </c>
      <c r="F447" s="199" t="s">
        <v>2089</v>
      </c>
    </row>
    <row r="448" ht="22.5" customHeight="1">
      <c r="A448" s="197">
        <v>45999.85651564815</v>
      </c>
      <c r="B448" s="100" t="s">
        <v>2090</v>
      </c>
      <c r="C448" s="100" t="s">
        <v>1685</v>
      </c>
      <c r="D448" s="100" t="s">
        <v>1686</v>
      </c>
      <c r="E448" s="198">
        <v>325.0</v>
      </c>
      <c r="F448" s="199" t="s">
        <v>1779</v>
      </c>
    </row>
    <row r="449" ht="22.5" customHeight="1">
      <c r="A449" s="197">
        <v>45999.85651564815</v>
      </c>
      <c r="B449" s="100" t="s">
        <v>2090</v>
      </c>
      <c r="C449" s="100" t="s">
        <v>1688</v>
      </c>
      <c r="D449" s="100" t="s">
        <v>1689</v>
      </c>
      <c r="E449" s="198">
        <v>390.0</v>
      </c>
      <c r="F449" s="199" t="s">
        <v>1780</v>
      </c>
    </row>
    <row r="450" ht="22.5" customHeight="1">
      <c r="A450" s="197">
        <v>45999.85651585648</v>
      </c>
      <c r="B450" s="100" t="s">
        <v>2091</v>
      </c>
      <c r="C450" s="100" t="s">
        <v>1685</v>
      </c>
      <c r="D450" s="100" t="s">
        <v>1686</v>
      </c>
      <c r="E450" s="198">
        <v>225.0</v>
      </c>
      <c r="F450" s="199" t="s">
        <v>2092</v>
      </c>
    </row>
    <row r="451" ht="22.5" customHeight="1">
      <c r="A451" s="197">
        <v>45999.85651585648</v>
      </c>
      <c r="B451" s="100" t="s">
        <v>2091</v>
      </c>
      <c r="C451" s="100" t="s">
        <v>1688</v>
      </c>
      <c r="D451" s="100" t="s">
        <v>1689</v>
      </c>
      <c r="E451" s="198">
        <v>269.87</v>
      </c>
      <c r="F451" s="199" t="s">
        <v>2093</v>
      </c>
    </row>
    <row r="452" ht="22.5" customHeight="1">
      <c r="A452" s="197">
        <v>45999.856516087966</v>
      </c>
      <c r="B452" s="100" t="s">
        <v>2094</v>
      </c>
      <c r="C452" s="100" t="s">
        <v>1685</v>
      </c>
      <c r="D452" s="100" t="s">
        <v>1686</v>
      </c>
      <c r="E452" s="198">
        <v>178.14</v>
      </c>
      <c r="F452" s="199" t="s">
        <v>1833</v>
      </c>
    </row>
    <row r="453" ht="22.5" customHeight="1">
      <c r="A453" s="197">
        <v>45999.856516087966</v>
      </c>
      <c r="B453" s="100" t="s">
        <v>2094</v>
      </c>
      <c r="C453" s="100" t="s">
        <v>1688</v>
      </c>
      <c r="D453" s="100" t="s">
        <v>1689</v>
      </c>
      <c r="E453" s="198">
        <v>209.9</v>
      </c>
      <c r="F453" s="199" t="s">
        <v>1834</v>
      </c>
    </row>
    <row r="454" ht="22.5" customHeight="1">
      <c r="A454" s="197">
        <v>45999.85651628472</v>
      </c>
      <c r="B454" s="100" t="s">
        <v>2095</v>
      </c>
      <c r="C454" s="100" t="s">
        <v>1685</v>
      </c>
      <c r="D454" s="100" t="s">
        <v>1686</v>
      </c>
      <c r="E454" s="198">
        <v>35.0</v>
      </c>
      <c r="F454" s="199" t="s">
        <v>1805</v>
      </c>
    </row>
    <row r="455" ht="22.5" customHeight="1">
      <c r="A455" s="197">
        <v>45999.85651628472</v>
      </c>
      <c r="B455" s="100" t="s">
        <v>2095</v>
      </c>
      <c r="C455" s="100" t="s">
        <v>1688</v>
      </c>
      <c r="D455" s="100" t="s">
        <v>1689</v>
      </c>
      <c r="E455" s="198">
        <v>50.0</v>
      </c>
      <c r="F455" s="199" t="s">
        <v>1806</v>
      </c>
    </row>
    <row r="456" ht="22.5" customHeight="1">
      <c r="A456" s="197">
        <v>45999.856516458334</v>
      </c>
      <c r="B456" s="100" t="s">
        <v>2096</v>
      </c>
      <c r="C456" s="100" t="s">
        <v>1685</v>
      </c>
      <c r="D456" s="100" t="s">
        <v>1686</v>
      </c>
      <c r="E456" s="198">
        <v>130.0</v>
      </c>
      <c r="F456" s="100" t="s">
        <v>1937</v>
      </c>
    </row>
    <row r="457" ht="22.5" customHeight="1">
      <c r="A457" s="197">
        <v>45999.856516458334</v>
      </c>
      <c r="B457" s="100" t="s">
        <v>2096</v>
      </c>
      <c r="C457" s="100" t="s">
        <v>1688</v>
      </c>
      <c r="D457" s="100" t="s">
        <v>1689</v>
      </c>
      <c r="E457" s="198">
        <v>190.0</v>
      </c>
      <c r="F457" s="100" t="s">
        <v>1938</v>
      </c>
    </row>
    <row r="458" ht="22.5" customHeight="1">
      <c r="A458" s="197">
        <v>45999.859988564815</v>
      </c>
      <c r="B458" s="100" t="s">
        <v>2097</v>
      </c>
      <c r="C458" s="100" t="s">
        <v>1685</v>
      </c>
      <c r="D458" s="100" t="s">
        <v>1686</v>
      </c>
      <c r="E458" s="198">
        <v>405.0</v>
      </c>
      <c r="F458" s="199" t="s">
        <v>2002</v>
      </c>
    </row>
    <row r="459" ht="22.5" customHeight="1">
      <c r="A459" s="197">
        <v>45999.859988564815</v>
      </c>
      <c r="B459" s="100" t="s">
        <v>2097</v>
      </c>
      <c r="C459" s="100" t="s">
        <v>1688</v>
      </c>
      <c r="D459" s="100" t="s">
        <v>1689</v>
      </c>
      <c r="E459" s="198">
        <v>450.0</v>
      </c>
      <c r="F459" s="199" t="s">
        <v>2003</v>
      </c>
    </row>
    <row r="460" ht="22.5" customHeight="1">
      <c r="A460" s="197">
        <v>45999.859988807875</v>
      </c>
      <c r="B460" s="100" t="s">
        <v>2098</v>
      </c>
      <c r="C460" s="100" t="s">
        <v>1685</v>
      </c>
      <c r="D460" s="100" t="s">
        <v>1686</v>
      </c>
      <c r="E460" s="198">
        <v>50.0</v>
      </c>
      <c r="F460" s="199" t="s">
        <v>2069</v>
      </c>
    </row>
    <row r="461" ht="22.5" customHeight="1">
      <c r="A461" s="197">
        <v>45999.859988807875</v>
      </c>
      <c r="B461" s="100" t="s">
        <v>2098</v>
      </c>
      <c r="C461" s="100" t="s">
        <v>1688</v>
      </c>
      <c r="D461" s="100" t="s">
        <v>1689</v>
      </c>
      <c r="E461" s="198">
        <v>60.0</v>
      </c>
      <c r="F461" s="199" t="s">
        <v>2070</v>
      </c>
    </row>
    <row r="462" ht="22.5" customHeight="1">
      <c r="A462" s="197">
        <v>46000.60297125</v>
      </c>
      <c r="B462" s="100" t="s">
        <v>2099</v>
      </c>
      <c r="C462" s="100" t="s">
        <v>1685</v>
      </c>
      <c r="D462" s="100" t="s">
        <v>1686</v>
      </c>
      <c r="E462" s="198">
        <v>135.0</v>
      </c>
      <c r="F462" s="199" t="s">
        <v>2100</v>
      </c>
    </row>
    <row r="463" ht="22.5" customHeight="1">
      <c r="A463" s="197">
        <v>46000.60297125</v>
      </c>
      <c r="B463" s="100" t="s">
        <v>2099</v>
      </c>
      <c r="C463" s="100" t="s">
        <v>1688</v>
      </c>
      <c r="D463" s="100" t="s">
        <v>1689</v>
      </c>
      <c r="E463" s="198">
        <v>179.87</v>
      </c>
      <c r="F463" s="199" t="s">
        <v>2101</v>
      </c>
    </row>
    <row r="464" ht="22.5" customHeight="1">
      <c r="A464" s="197">
        <v>46000.60297253472</v>
      </c>
      <c r="B464" s="100" t="s">
        <v>2102</v>
      </c>
      <c r="C464" s="100" t="s">
        <v>1685</v>
      </c>
      <c r="D464" s="100" t="s">
        <v>1686</v>
      </c>
      <c r="E464" s="198">
        <v>175.0</v>
      </c>
      <c r="F464" s="199" t="s">
        <v>2103</v>
      </c>
    </row>
    <row r="465" ht="22.5" customHeight="1">
      <c r="A465" s="197">
        <v>46000.60297253472</v>
      </c>
      <c r="B465" s="100" t="s">
        <v>2102</v>
      </c>
      <c r="C465" s="100" t="s">
        <v>1688</v>
      </c>
      <c r="D465" s="100" t="s">
        <v>1689</v>
      </c>
      <c r="E465" s="198">
        <v>269.87</v>
      </c>
      <c r="F465" s="199" t="s">
        <v>2104</v>
      </c>
    </row>
    <row r="466" ht="22.5" customHeight="1">
      <c r="A466" s="197">
        <v>46005.8448324537</v>
      </c>
      <c r="B466" s="100" t="s">
        <v>2105</v>
      </c>
      <c r="C466" s="100" t="s">
        <v>1685</v>
      </c>
      <c r="D466" s="100" t="s">
        <v>1686</v>
      </c>
      <c r="E466" s="198">
        <v>600.0</v>
      </c>
      <c r="F466" s="199" t="s">
        <v>2106</v>
      </c>
    </row>
    <row r="467" ht="22.5" customHeight="1">
      <c r="A467" s="197">
        <v>46005.8448324537</v>
      </c>
      <c r="B467" s="100" t="s">
        <v>2105</v>
      </c>
      <c r="C467" s="100" t="s">
        <v>1688</v>
      </c>
      <c r="D467" s="100" t="s">
        <v>1689</v>
      </c>
      <c r="E467" s="198">
        <v>600.0</v>
      </c>
      <c r="F467" s="199" t="s">
        <v>2107</v>
      </c>
    </row>
    <row r="468" ht="22.5" customHeight="1">
      <c r="A468" s="197">
        <v>46005.84483268519</v>
      </c>
      <c r="B468" s="100" t="s">
        <v>2108</v>
      </c>
      <c r="C468" s="100" t="s">
        <v>1685</v>
      </c>
      <c r="D468" s="100" t="s">
        <v>1686</v>
      </c>
      <c r="E468" s="198">
        <v>40.0</v>
      </c>
      <c r="F468" s="199" t="s">
        <v>2109</v>
      </c>
    </row>
    <row r="469" ht="22.5" customHeight="1">
      <c r="A469" s="197">
        <v>46005.84483268519</v>
      </c>
      <c r="B469" s="100" t="s">
        <v>2108</v>
      </c>
      <c r="C469" s="100" t="s">
        <v>1688</v>
      </c>
      <c r="D469" s="100" t="s">
        <v>1689</v>
      </c>
      <c r="E469" s="198">
        <v>40.0</v>
      </c>
      <c r="F469" s="199" t="s">
        <v>2110</v>
      </c>
    </row>
    <row r="470" ht="22.5" customHeight="1">
      <c r="A470" s="197">
        <v>46005.853066446754</v>
      </c>
      <c r="B470" s="100" t="s">
        <v>2111</v>
      </c>
      <c r="C470" s="100" t="s">
        <v>1685</v>
      </c>
      <c r="D470" s="100" t="s">
        <v>1686</v>
      </c>
      <c r="E470" s="198">
        <v>167.5</v>
      </c>
      <c r="F470" s="199" t="s">
        <v>2112</v>
      </c>
    </row>
    <row r="471" ht="22.5" customHeight="1">
      <c r="A471" s="197">
        <v>46005.853066446754</v>
      </c>
      <c r="B471" s="100" t="s">
        <v>2111</v>
      </c>
      <c r="C471" s="100" t="s">
        <v>1688</v>
      </c>
      <c r="D471" s="100" t="s">
        <v>1689</v>
      </c>
      <c r="E471" s="198">
        <v>195.0</v>
      </c>
      <c r="F471" s="199" t="s">
        <v>2113</v>
      </c>
    </row>
    <row r="472" ht="22.5" customHeight="1">
      <c r="A472" s="197">
        <v>46005.85306663194</v>
      </c>
      <c r="B472" s="100" t="s">
        <v>2114</v>
      </c>
      <c r="C472" s="100" t="s">
        <v>1685</v>
      </c>
      <c r="D472" s="100" t="s">
        <v>1686</v>
      </c>
      <c r="E472" s="198">
        <v>170.0</v>
      </c>
      <c r="F472" s="199" t="s">
        <v>1817</v>
      </c>
    </row>
    <row r="473" ht="22.5" customHeight="1">
      <c r="A473" s="197">
        <v>46005.85306663194</v>
      </c>
      <c r="B473" s="100" t="s">
        <v>2114</v>
      </c>
      <c r="C473" s="100" t="s">
        <v>1688</v>
      </c>
      <c r="D473" s="100" t="s">
        <v>1689</v>
      </c>
      <c r="E473" s="198">
        <v>200.0</v>
      </c>
      <c r="F473" s="199" t="s">
        <v>1819</v>
      </c>
    </row>
    <row r="474" ht="22.5" customHeight="1">
      <c r="A474" s="197">
        <v>46005.85306684028</v>
      </c>
      <c r="B474" s="100" t="s">
        <v>2115</v>
      </c>
      <c r="C474" s="100" t="s">
        <v>1685</v>
      </c>
      <c r="D474" s="100" t="s">
        <v>1686</v>
      </c>
      <c r="E474" s="198">
        <v>150.0</v>
      </c>
      <c r="F474" s="199" t="s">
        <v>2088</v>
      </c>
    </row>
    <row r="475" ht="22.5" customHeight="1">
      <c r="A475" s="197">
        <v>46005.85306684028</v>
      </c>
      <c r="B475" s="100" t="s">
        <v>2115</v>
      </c>
      <c r="C475" s="100" t="s">
        <v>1688</v>
      </c>
      <c r="D475" s="100" t="s">
        <v>1689</v>
      </c>
      <c r="E475" s="198">
        <v>180.0</v>
      </c>
      <c r="F475" s="199" t="s">
        <v>2089</v>
      </c>
    </row>
    <row r="476" ht="22.5" customHeight="1">
      <c r="A476" s="197">
        <v>46005.85306703704</v>
      </c>
      <c r="B476" s="100" t="s">
        <v>2116</v>
      </c>
      <c r="C476" s="100" t="s">
        <v>1685</v>
      </c>
      <c r="D476" s="100" t="s">
        <v>1686</v>
      </c>
      <c r="E476" s="198">
        <v>35.0</v>
      </c>
      <c r="F476" s="199" t="s">
        <v>1805</v>
      </c>
    </row>
    <row r="477" ht="22.5" customHeight="1">
      <c r="A477" s="197">
        <v>46005.85306703704</v>
      </c>
      <c r="B477" s="100" t="s">
        <v>2116</v>
      </c>
      <c r="C477" s="100" t="s">
        <v>1688</v>
      </c>
      <c r="D477" s="100" t="s">
        <v>1689</v>
      </c>
      <c r="E477" s="198">
        <v>50.0</v>
      </c>
      <c r="F477" s="199" t="s">
        <v>1806</v>
      </c>
    </row>
    <row r="478" ht="22.5" customHeight="1">
      <c r="A478" s="197">
        <v>46005.853067199074</v>
      </c>
      <c r="B478" s="100" t="s">
        <v>2117</v>
      </c>
      <c r="C478" s="100" t="s">
        <v>1685</v>
      </c>
      <c r="D478" s="100" t="s">
        <v>1686</v>
      </c>
      <c r="E478" s="198">
        <v>56.4</v>
      </c>
      <c r="F478" s="199" t="s">
        <v>1753</v>
      </c>
    </row>
    <row r="479" ht="22.5" customHeight="1">
      <c r="A479" s="197">
        <v>46005.853067199074</v>
      </c>
      <c r="B479" s="100" t="s">
        <v>2117</v>
      </c>
      <c r="C479" s="100" t="s">
        <v>1688</v>
      </c>
      <c r="D479" s="100" t="s">
        <v>1689</v>
      </c>
      <c r="E479" s="198">
        <v>80.0</v>
      </c>
      <c r="F479" s="199" t="s">
        <v>1754</v>
      </c>
    </row>
    <row r="480" ht="22.5" customHeight="1">
      <c r="A480" s="197">
        <v>46005.853067407406</v>
      </c>
      <c r="B480" s="100" t="s">
        <v>2118</v>
      </c>
      <c r="C480" s="100" t="s">
        <v>1685</v>
      </c>
      <c r="D480" s="100" t="s">
        <v>1686</v>
      </c>
      <c r="E480" s="198">
        <v>63.0</v>
      </c>
      <c r="F480" s="100" t="s">
        <v>1701</v>
      </c>
    </row>
    <row r="481" ht="22.5" customHeight="1">
      <c r="A481" s="197">
        <v>46005.853067407406</v>
      </c>
      <c r="B481" s="100" t="s">
        <v>2118</v>
      </c>
      <c r="C481" s="100" t="s">
        <v>1688</v>
      </c>
      <c r="D481" s="100" t="s">
        <v>1689</v>
      </c>
      <c r="E481" s="198">
        <v>100.0</v>
      </c>
      <c r="F481" s="100" t="s">
        <v>1702</v>
      </c>
    </row>
    <row r="482" ht="22.5" customHeight="1">
      <c r="A482" s="197">
        <v>46005.85306758102</v>
      </c>
      <c r="B482" s="100" t="s">
        <v>2119</v>
      </c>
      <c r="C482" s="100" t="s">
        <v>1685</v>
      </c>
      <c r="D482" s="100" t="s">
        <v>1686</v>
      </c>
      <c r="E482" s="198">
        <v>22.5</v>
      </c>
      <c r="F482" s="199" t="s">
        <v>2120</v>
      </c>
    </row>
    <row r="483" ht="22.5" customHeight="1">
      <c r="A483" s="197">
        <v>46005.85306758102</v>
      </c>
      <c r="B483" s="100" t="s">
        <v>2119</v>
      </c>
      <c r="C483" s="100" t="s">
        <v>1688</v>
      </c>
      <c r="D483" s="100" t="s">
        <v>1689</v>
      </c>
      <c r="E483" s="198">
        <v>40.0</v>
      </c>
      <c r="F483" s="199" t="s">
        <v>2121</v>
      </c>
    </row>
    <row r="484" ht="22.5" customHeight="1">
      <c r="A484" s="197">
        <v>46005.85306775463</v>
      </c>
      <c r="B484" s="100" t="s">
        <v>2122</v>
      </c>
      <c r="C484" s="100" t="s">
        <v>1685</v>
      </c>
      <c r="D484" s="100" t="s">
        <v>1686</v>
      </c>
      <c r="E484" s="198">
        <v>33.39</v>
      </c>
      <c r="F484" s="100" t="s">
        <v>2123</v>
      </c>
    </row>
    <row r="485" ht="22.5" customHeight="1">
      <c r="A485" s="197">
        <v>46005.85306775463</v>
      </c>
      <c r="B485" s="100" t="s">
        <v>2122</v>
      </c>
      <c r="C485" s="100" t="s">
        <v>1688</v>
      </c>
      <c r="D485" s="100" t="s">
        <v>1689</v>
      </c>
      <c r="E485" s="198">
        <v>60.0</v>
      </c>
      <c r="F485" s="100" t="s">
        <v>2124</v>
      </c>
    </row>
    <row r="486" ht="22.5" customHeight="1">
      <c r="A486" s="197">
        <v>46005.85306797454</v>
      </c>
      <c r="B486" s="100" t="s">
        <v>2125</v>
      </c>
      <c r="C486" s="100" t="s">
        <v>1685</v>
      </c>
      <c r="D486" s="100" t="s">
        <v>1686</v>
      </c>
      <c r="E486" s="198">
        <v>175.0</v>
      </c>
      <c r="F486" s="199" t="s">
        <v>2103</v>
      </c>
    </row>
    <row r="487" ht="22.5" customHeight="1">
      <c r="A487" s="197">
        <v>46005.85306797454</v>
      </c>
      <c r="B487" s="100" t="s">
        <v>2125</v>
      </c>
      <c r="C487" s="100" t="s">
        <v>1688</v>
      </c>
      <c r="D487" s="100" t="s">
        <v>1689</v>
      </c>
      <c r="E487" s="198">
        <v>210.0</v>
      </c>
      <c r="F487" s="199" t="s">
        <v>2104</v>
      </c>
    </row>
    <row r="488" ht="22.5" customHeight="1">
      <c r="A488" s="197">
        <v>46005.85306824074</v>
      </c>
      <c r="B488" s="100" t="s">
        <v>2126</v>
      </c>
      <c r="C488" s="100" t="s">
        <v>1685</v>
      </c>
      <c r="D488" s="100" t="s">
        <v>1686</v>
      </c>
      <c r="E488" s="198">
        <v>89.07</v>
      </c>
      <c r="F488" s="199" t="s">
        <v>1833</v>
      </c>
    </row>
    <row r="489" ht="22.5" customHeight="1">
      <c r="A489" s="197">
        <v>46005.85306824074</v>
      </c>
      <c r="B489" s="100" t="s">
        <v>2126</v>
      </c>
      <c r="C489" s="100" t="s">
        <v>1688</v>
      </c>
      <c r="D489" s="100" t="s">
        <v>1689</v>
      </c>
      <c r="E489" s="198">
        <v>165.0</v>
      </c>
      <c r="F489" s="199" t="s">
        <v>1834</v>
      </c>
    </row>
    <row r="490" ht="22.5" customHeight="1">
      <c r="A490" s="197">
        <v>46005.853068530094</v>
      </c>
      <c r="B490" s="100" t="s">
        <v>2127</v>
      </c>
      <c r="C490" s="100" t="s">
        <v>1685</v>
      </c>
      <c r="D490" s="100" t="s">
        <v>1686</v>
      </c>
      <c r="E490" s="198">
        <v>130.0</v>
      </c>
      <c r="F490" s="199" t="s">
        <v>2128</v>
      </c>
    </row>
    <row r="491" ht="22.5" customHeight="1">
      <c r="A491" s="197">
        <v>46005.853068530094</v>
      </c>
      <c r="B491" s="100" t="s">
        <v>2127</v>
      </c>
      <c r="C491" s="100" t="s">
        <v>1688</v>
      </c>
      <c r="D491" s="100" t="s">
        <v>1689</v>
      </c>
      <c r="E491" s="198">
        <v>165.0</v>
      </c>
      <c r="F491" s="199" t="s">
        <v>2129</v>
      </c>
    </row>
    <row r="492" ht="22.5" customHeight="1">
      <c r="A492" s="197">
        <v>46005.853068807875</v>
      </c>
      <c r="B492" s="100" t="s">
        <v>2130</v>
      </c>
      <c r="C492" s="100" t="s">
        <v>1685</v>
      </c>
      <c r="D492" s="100" t="s">
        <v>1686</v>
      </c>
      <c r="E492" s="198">
        <v>135.0</v>
      </c>
      <c r="F492" s="199" t="s">
        <v>2131</v>
      </c>
    </row>
    <row r="493" ht="22.5" customHeight="1">
      <c r="A493" s="197">
        <v>46005.853068807875</v>
      </c>
      <c r="B493" s="100" t="s">
        <v>2130</v>
      </c>
      <c r="C493" s="100" t="s">
        <v>1688</v>
      </c>
      <c r="D493" s="100" t="s">
        <v>1689</v>
      </c>
      <c r="E493" s="198">
        <v>165.0</v>
      </c>
      <c r="F493" s="199" t="s">
        <v>2132</v>
      </c>
    </row>
    <row r="494" ht="22.5" customHeight="1">
      <c r="A494" s="197">
        <v>46005.85389215278</v>
      </c>
      <c r="B494" s="100" t="s">
        <v>2133</v>
      </c>
      <c r="C494" s="100" t="s">
        <v>1685</v>
      </c>
      <c r="D494" s="100" t="s">
        <v>1686</v>
      </c>
      <c r="E494" s="198">
        <v>85.0</v>
      </c>
      <c r="F494" s="199" t="s">
        <v>2134</v>
      </c>
    </row>
    <row r="495" ht="22.5" customHeight="1">
      <c r="A495" s="197">
        <v>46005.85389215278</v>
      </c>
      <c r="B495" s="100" t="s">
        <v>2133</v>
      </c>
      <c r="C495" s="100" t="s">
        <v>1688</v>
      </c>
      <c r="D495" s="100" t="s">
        <v>1689</v>
      </c>
      <c r="E495" s="198">
        <v>130.0</v>
      </c>
      <c r="F495" s="199" t="s">
        <v>2135</v>
      </c>
    </row>
    <row r="496" ht="22.5" customHeight="1">
      <c r="A496" s="197">
        <v>46006.698242743056</v>
      </c>
      <c r="B496" s="100" t="s">
        <v>2136</v>
      </c>
      <c r="C496" s="100" t="s">
        <v>1685</v>
      </c>
      <c r="D496" s="100" t="s">
        <v>1686</v>
      </c>
      <c r="E496" s="198">
        <v>17.5</v>
      </c>
      <c r="F496" s="199" t="s">
        <v>2137</v>
      </c>
    </row>
    <row r="497" ht="22.5" customHeight="1">
      <c r="A497" s="197">
        <v>46006.698242743056</v>
      </c>
      <c r="B497" s="100" t="s">
        <v>2136</v>
      </c>
      <c r="C497" s="100" t="s">
        <v>1688</v>
      </c>
      <c r="D497" s="100" t="s">
        <v>1689</v>
      </c>
      <c r="E497" s="198">
        <v>20.0</v>
      </c>
      <c r="F497" s="199" t="s">
        <v>2138</v>
      </c>
    </row>
    <row r="498" ht="22.5" customHeight="1">
      <c r="A498" s="197">
        <v>46006.69824319445</v>
      </c>
      <c r="B498" s="100" t="s">
        <v>2139</v>
      </c>
      <c r="C498" s="100" t="s">
        <v>1685</v>
      </c>
      <c r="D498" s="100" t="s">
        <v>1686</v>
      </c>
      <c r="E498" s="198">
        <v>33.75</v>
      </c>
      <c r="F498" s="199" t="s">
        <v>2120</v>
      </c>
    </row>
    <row r="499" ht="22.5" customHeight="1">
      <c r="A499" s="197">
        <v>46006.69824319445</v>
      </c>
      <c r="B499" s="100" t="s">
        <v>2139</v>
      </c>
      <c r="C499" s="100" t="s">
        <v>1688</v>
      </c>
      <c r="D499" s="100" t="s">
        <v>1689</v>
      </c>
      <c r="E499" s="198">
        <v>60.0</v>
      </c>
      <c r="F499" s="199" t="s">
        <v>2121</v>
      </c>
    </row>
    <row r="500" ht="22.5" customHeight="1">
      <c r="A500" s="197">
        <v>46006.85612251157</v>
      </c>
      <c r="B500" s="100" t="s">
        <v>2140</v>
      </c>
      <c r="C500" s="100" t="s">
        <v>1685</v>
      </c>
      <c r="D500" s="100" t="s">
        <v>1686</v>
      </c>
      <c r="E500" s="198">
        <v>134.0</v>
      </c>
      <c r="F500" s="199" t="s">
        <v>2141</v>
      </c>
    </row>
    <row r="501" ht="22.5" customHeight="1">
      <c r="A501" s="197">
        <v>46006.85612251157</v>
      </c>
      <c r="B501" s="100" t="s">
        <v>2140</v>
      </c>
      <c r="C501" s="100" t="s">
        <v>1688</v>
      </c>
      <c r="D501" s="100" t="s">
        <v>1689</v>
      </c>
      <c r="E501" s="198">
        <v>160.0</v>
      </c>
      <c r="F501" s="199" t="s">
        <v>2142</v>
      </c>
    </row>
    <row r="502" ht="22.5" customHeight="1">
      <c r="A502" s="197">
        <v>46006.85612283565</v>
      </c>
      <c r="B502" s="100" t="s">
        <v>2143</v>
      </c>
      <c r="C502" s="100" t="s">
        <v>1685</v>
      </c>
      <c r="D502" s="100" t="s">
        <v>1686</v>
      </c>
      <c r="E502" s="198">
        <v>17.5</v>
      </c>
      <c r="F502" s="199" t="s">
        <v>2137</v>
      </c>
    </row>
    <row r="503" ht="22.5" customHeight="1">
      <c r="A503" s="197">
        <v>46006.85612283565</v>
      </c>
      <c r="B503" s="100" t="s">
        <v>2143</v>
      </c>
      <c r="C503" s="100" t="s">
        <v>1688</v>
      </c>
      <c r="D503" s="100" t="s">
        <v>1689</v>
      </c>
      <c r="E503" s="198">
        <v>20.0</v>
      </c>
      <c r="F503" s="199" t="s">
        <v>2138</v>
      </c>
    </row>
    <row r="504" ht="22.5" customHeight="1">
      <c r="A504" s="197">
        <v>46006.85612322917</v>
      </c>
      <c r="B504" s="100" t="s">
        <v>2144</v>
      </c>
      <c r="C504" s="100" t="s">
        <v>1685</v>
      </c>
      <c r="D504" s="100" t="s">
        <v>1686</v>
      </c>
      <c r="E504" s="198">
        <v>11.13</v>
      </c>
      <c r="F504" s="100" t="s">
        <v>2123</v>
      </c>
    </row>
    <row r="505" ht="22.5" customHeight="1">
      <c r="A505" s="197">
        <v>46006.85612322917</v>
      </c>
      <c r="B505" s="100" t="s">
        <v>2144</v>
      </c>
      <c r="C505" s="100" t="s">
        <v>1688</v>
      </c>
      <c r="D505" s="100" t="s">
        <v>1689</v>
      </c>
      <c r="E505" s="198">
        <v>20.0</v>
      </c>
      <c r="F505" s="100" t="s">
        <v>2124</v>
      </c>
    </row>
    <row r="506" ht="22.5" customHeight="1">
      <c r="A506" s="197">
        <v>46006.85612353009</v>
      </c>
      <c r="B506" s="100" t="s">
        <v>2145</v>
      </c>
      <c r="C506" s="100" t="s">
        <v>1685</v>
      </c>
      <c r="D506" s="100" t="s">
        <v>1686</v>
      </c>
      <c r="E506" s="198">
        <v>28.2</v>
      </c>
      <c r="F506" s="199" t="s">
        <v>1753</v>
      </c>
    </row>
    <row r="507" ht="22.5" customHeight="1">
      <c r="A507" s="197">
        <v>46006.85612353009</v>
      </c>
      <c r="B507" s="100" t="s">
        <v>2145</v>
      </c>
      <c r="C507" s="100" t="s">
        <v>1688</v>
      </c>
      <c r="D507" s="100" t="s">
        <v>1689</v>
      </c>
      <c r="E507" s="198">
        <v>40.0</v>
      </c>
      <c r="F507" s="199" t="s">
        <v>1754</v>
      </c>
    </row>
    <row r="508" ht="22.5" customHeight="1">
      <c r="A508" s="197">
        <v>46006.856123854166</v>
      </c>
      <c r="B508" s="100" t="s">
        <v>2146</v>
      </c>
      <c r="C508" s="100" t="s">
        <v>1685</v>
      </c>
      <c r="D508" s="100" t="s">
        <v>1686</v>
      </c>
      <c r="E508" s="198">
        <v>48.0</v>
      </c>
      <c r="F508" s="199" t="s">
        <v>1986</v>
      </c>
    </row>
    <row r="509" ht="22.5" customHeight="1">
      <c r="A509" s="197">
        <v>46006.856123854166</v>
      </c>
      <c r="B509" s="100" t="s">
        <v>2146</v>
      </c>
      <c r="C509" s="100" t="s">
        <v>1688</v>
      </c>
      <c r="D509" s="100" t="s">
        <v>1689</v>
      </c>
      <c r="E509" s="198">
        <v>60.0</v>
      </c>
      <c r="F509" s="199" t="s">
        <v>1987</v>
      </c>
    </row>
    <row r="510" ht="22.5" customHeight="1">
      <c r="A510" s="197">
        <v>46008.85695369213</v>
      </c>
      <c r="B510" s="100" t="s">
        <v>2147</v>
      </c>
      <c r="C510" s="100" t="s">
        <v>1685</v>
      </c>
      <c r="D510" s="100" t="s">
        <v>1686</v>
      </c>
      <c r="E510" s="198">
        <v>54.0</v>
      </c>
      <c r="F510" s="100" t="s">
        <v>1856</v>
      </c>
    </row>
    <row r="511" ht="22.5" customHeight="1">
      <c r="A511" s="197">
        <v>46008.85695369213</v>
      </c>
      <c r="B511" s="100" t="s">
        <v>2147</v>
      </c>
      <c r="C511" s="100" t="s">
        <v>1688</v>
      </c>
      <c r="D511" s="100" t="s">
        <v>1689</v>
      </c>
      <c r="E511" s="198">
        <v>75.0</v>
      </c>
      <c r="F511" s="100" t="s">
        <v>1857</v>
      </c>
    </row>
    <row r="512" ht="22.5" customHeight="1">
      <c r="A512" s="197">
        <v>46008.85695403935</v>
      </c>
      <c r="B512" s="100" t="s">
        <v>2148</v>
      </c>
      <c r="C512" s="100" t="s">
        <v>1685</v>
      </c>
      <c r="D512" s="100" t="s">
        <v>1686</v>
      </c>
      <c r="E512" s="198">
        <v>90.0</v>
      </c>
      <c r="F512" s="100" t="s">
        <v>1856</v>
      </c>
    </row>
    <row r="513" ht="22.5" customHeight="1">
      <c r="A513" s="197">
        <v>46008.85695403935</v>
      </c>
      <c r="B513" s="100" t="s">
        <v>2148</v>
      </c>
      <c r="C513" s="100" t="s">
        <v>1688</v>
      </c>
      <c r="D513" s="100" t="s">
        <v>1689</v>
      </c>
      <c r="E513" s="198">
        <v>125.0</v>
      </c>
      <c r="F513" s="100" t="s">
        <v>1857</v>
      </c>
    </row>
    <row r="514" ht="22.5" customHeight="1">
      <c r="A514" s="197">
        <v>46008.856954386574</v>
      </c>
      <c r="B514" s="100" t="s">
        <v>2149</v>
      </c>
      <c r="C514" s="100" t="s">
        <v>1685</v>
      </c>
      <c r="D514" s="100" t="s">
        <v>1686</v>
      </c>
      <c r="E514" s="198">
        <v>65.0</v>
      </c>
      <c r="F514" s="100" t="s">
        <v>1937</v>
      </c>
    </row>
    <row r="515" ht="22.5" customHeight="1">
      <c r="A515" s="197">
        <v>46008.856954386574</v>
      </c>
      <c r="B515" s="100" t="s">
        <v>2149</v>
      </c>
      <c r="C515" s="100" t="s">
        <v>1688</v>
      </c>
      <c r="D515" s="100" t="s">
        <v>1689</v>
      </c>
      <c r="E515" s="198">
        <v>95.0</v>
      </c>
      <c r="F515" s="100" t="s">
        <v>1938</v>
      </c>
    </row>
    <row r="516" ht="22.5" customHeight="1">
      <c r="A516" s="197">
        <v>46008.85695475695</v>
      </c>
      <c r="B516" s="100" t="s">
        <v>2150</v>
      </c>
      <c r="C516" s="100" t="s">
        <v>1685</v>
      </c>
      <c r="D516" s="100" t="s">
        <v>1686</v>
      </c>
      <c r="E516" s="198">
        <v>105.0</v>
      </c>
      <c r="F516" s="199" t="s">
        <v>2007</v>
      </c>
    </row>
    <row r="517" ht="22.5" customHeight="1">
      <c r="A517" s="197">
        <v>46008.85695475695</v>
      </c>
      <c r="B517" s="100" t="s">
        <v>2150</v>
      </c>
      <c r="C517" s="100" t="s">
        <v>1688</v>
      </c>
      <c r="D517" s="100" t="s">
        <v>1689</v>
      </c>
      <c r="E517" s="198">
        <v>125.0</v>
      </c>
      <c r="F517" s="199" t="s">
        <v>2008</v>
      </c>
    </row>
    <row r="518" ht="22.5" customHeight="1">
      <c r="A518" s="197">
        <v>46008.85695502315</v>
      </c>
      <c r="B518" s="100" t="s">
        <v>2151</v>
      </c>
      <c r="C518" s="100" t="s">
        <v>1685</v>
      </c>
      <c r="D518" s="100" t="s">
        <v>1686</v>
      </c>
      <c r="E518" s="198">
        <v>35.0</v>
      </c>
      <c r="F518" s="199" t="s">
        <v>1805</v>
      </c>
    </row>
    <row r="519" ht="22.5" customHeight="1">
      <c r="A519" s="197">
        <v>46008.85695502315</v>
      </c>
      <c r="B519" s="100" t="s">
        <v>2151</v>
      </c>
      <c r="C519" s="100" t="s">
        <v>1688</v>
      </c>
      <c r="D519" s="100" t="s">
        <v>1689</v>
      </c>
      <c r="E519" s="198">
        <v>50.0</v>
      </c>
      <c r="F519" s="199" t="s">
        <v>1806</v>
      </c>
    </row>
    <row r="520" ht="22.5" customHeight="1">
      <c r="A520" s="197">
        <v>46008.85695526621</v>
      </c>
      <c r="B520" s="100" t="s">
        <v>2152</v>
      </c>
      <c r="C520" s="100" t="s">
        <v>1685</v>
      </c>
      <c r="D520" s="100" t="s">
        <v>1686</v>
      </c>
      <c r="E520" s="198">
        <v>75.0</v>
      </c>
      <c r="F520" s="199" t="s">
        <v>1853</v>
      </c>
    </row>
    <row r="521" ht="22.5" customHeight="1">
      <c r="A521" s="197">
        <v>46008.85695526621</v>
      </c>
      <c r="B521" s="100" t="s">
        <v>2152</v>
      </c>
      <c r="C521" s="100" t="s">
        <v>1688</v>
      </c>
      <c r="D521" s="100" t="s">
        <v>1689</v>
      </c>
      <c r="E521" s="198">
        <v>90.0</v>
      </c>
      <c r="F521" s="199" t="s">
        <v>1854</v>
      </c>
    </row>
    <row r="522" ht="22.5" customHeight="1">
      <c r="A522" s="197">
        <v>46008.85695553241</v>
      </c>
      <c r="B522" s="100" t="s">
        <v>2153</v>
      </c>
      <c r="C522" s="100" t="s">
        <v>1685</v>
      </c>
      <c r="D522" s="100" t="s">
        <v>1686</v>
      </c>
      <c r="E522" s="198">
        <v>28.2</v>
      </c>
      <c r="F522" s="199" t="s">
        <v>1753</v>
      </c>
    </row>
    <row r="523" ht="22.5" customHeight="1">
      <c r="A523" s="197">
        <v>46008.85695553241</v>
      </c>
      <c r="B523" s="100" t="s">
        <v>2153</v>
      </c>
      <c r="C523" s="100" t="s">
        <v>1688</v>
      </c>
      <c r="D523" s="100" t="s">
        <v>1689</v>
      </c>
      <c r="E523" s="198">
        <v>40.0</v>
      </c>
      <c r="F523" s="199" t="s">
        <v>1754</v>
      </c>
    </row>
    <row r="524" ht="22.5" customHeight="1">
      <c r="A524" s="197">
        <v>46008.85695579861</v>
      </c>
      <c r="B524" s="100" t="s">
        <v>2154</v>
      </c>
      <c r="C524" s="100" t="s">
        <v>1685</v>
      </c>
      <c r="D524" s="100" t="s">
        <v>1686</v>
      </c>
      <c r="E524" s="198">
        <v>11.13</v>
      </c>
      <c r="F524" s="100" t="s">
        <v>2123</v>
      </c>
    </row>
    <row r="525" ht="22.5" customHeight="1">
      <c r="A525" s="197">
        <v>46008.85695579861</v>
      </c>
      <c r="B525" s="100" t="s">
        <v>2154</v>
      </c>
      <c r="C525" s="100" t="s">
        <v>1688</v>
      </c>
      <c r="D525" s="100" t="s">
        <v>1689</v>
      </c>
      <c r="E525" s="198">
        <v>20.0</v>
      </c>
      <c r="F525" s="100" t="s">
        <v>2124</v>
      </c>
    </row>
    <row r="526" ht="22.5" customHeight="1">
      <c r="A526" s="197">
        <v>46009.88280715278</v>
      </c>
      <c r="B526" s="100" t="s">
        <v>2155</v>
      </c>
      <c r="C526" s="100" t="s">
        <v>1685</v>
      </c>
      <c r="D526" s="100" t="s">
        <v>1686</v>
      </c>
      <c r="E526" s="198">
        <v>28.2</v>
      </c>
      <c r="F526" s="199" t="s">
        <v>1753</v>
      </c>
    </row>
    <row r="527" ht="22.5" customHeight="1">
      <c r="A527" s="197">
        <v>46009.88280715278</v>
      </c>
      <c r="B527" s="100" t="s">
        <v>2155</v>
      </c>
      <c r="C527" s="100" t="s">
        <v>1688</v>
      </c>
      <c r="D527" s="100" t="s">
        <v>1689</v>
      </c>
      <c r="E527" s="198">
        <v>40.0</v>
      </c>
      <c r="F527" s="199" t="s">
        <v>1754</v>
      </c>
    </row>
    <row r="528" ht="22.5" customHeight="1">
      <c r="A528" s="197">
        <v>46009.883401747684</v>
      </c>
      <c r="B528" s="100" t="s">
        <v>2156</v>
      </c>
      <c r="C528" s="100" t="s">
        <v>1685</v>
      </c>
      <c r="D528" s="100" t="s">
        <v>1686</v>
      </c>
      <c r="E528" s="198">
        <v>28.2</v>
      </c>
      <c r="F528" s="199" t="s">
        <v>1753</v>
      </c>
    </row>
    <row r="529" ht="22.5" customHeight="1">
      <c r="A529" s="197">
        <v>46009.883401747684</v>
      </c>
      <c r="B529" s="100" t="s">
        <v>2156</v>
      </c>
      <c r="C529" s="100" t="s">
        <v>1688</v>
      </c>
      <c r="D529" s="100" t="s">
        <v>1689</v>
      </c>
      <c r="E529" s="198">
        <v>40.0</v>
      </c>
      <c r="F529" s="199" t="s">
        <v>1754</v>
      </c>
    </row>
    <row r="530" ht="22.5" customHeight="1">
      <c r="A530" s="197">
        <v>46009.91540060185</v>
      </c>
      <c r="B530" s="100" t="s">
        <v>2157</v>
      </c>
      <c r="C530" s="100" t="s">
        <v>1685</v>
      </c>
      <c r="D530" s="100" t="s">
        <v>1686</v>
      </c>
      <c r="E530" s="198">
        <v>151.0</v>
      </c>
      <c r="F530" s="199" t="s">
        <v>2158</v>
      </c>
    </row>
    <row r="531" ht="22.5" customHeight="1">
      <c r="A531" s="197">
        <v>46009.91540060185</v>
      </c>
      <c r="B531" s="100" t="s">
        <v>2157</v>
      </c>
      <c r="C531" s="100" t="s">
        <v>1688</v>
      </c>
      <c r="D531" s="100" t="s">
        <v>1689</v>
      </c>
      <c r="E531" s="198">
        <v>180.0</v>
      </c>
      <c r="F531" s="199" t="s">
        <v>2159</v>
      </c>
    </row>
    <row r="532" ht="22.5" customHeight="1">
      <c r="A532" s="197">
        <v>46009.91540092592</v>
      </c>
      <c r="B532" s="100" t="s">
        <v>2160</v>
      </c>
      <c r="C532" s="100" t="s">
        <v>1685</v>
      </c>
      <c r="D532" s="100" t="s">
        <v>1686</v>
      </c>
      <c r="E532" s="198">
        <v>375.0</v>
      </c>
      <c r="F532" s="199" t="s">
        <v>2161</v>
      </c>
    </row>
    <row r="533" ht="22.5" customHeight="1">
      <c r="A533" s="197">
        <v>46009.91540092592</v>
      </c>
      <c r="B533" s="100" t="s">
        <v>2160</v>
      </c>
      <c r="C533" s="100" t="s">
        <v>1688</v>
      </c>
      <c r="D533" s="100" t="s">
        <v>1689</v>
      </c>
      <c r="E533" s="198">
        <v>450.0</v>
      </c>
      <c r="F533" s="199" t="s">
        <v>2162</v>
      </c>
    </row>
    <row r="534" ht="22.5" customHeight="1">
      <c r="A534" s="197">
        <v>46009.9154012963</v>
      </c>
      <c r="B534" s="100" t="s">
        <v>2163</v>
      </c>
      <c r="C534" s="100" t="s">
        <v>1685</v>
      </c>
      <c r="D534" s="100" t="s">
        <v>1686</v>
      </c>
      <c r="E534" s="198">
        <v>56.4</v>
      </c>
      <c r="F534" s="199" t="s">
        <v>1753</v>
      </c>
    </row>
    <row r="535" ht="22.5" customHeight="1">
      <c r="A535" s="197">
        <v>46009.9154012963</v>
      </c>
      <c r="B535" s="100" t="s">
        <v>2163</v>
      </c>
      <c r="C535" s="100" t="s">
        <v>1688</v>
      </c>
      <c r="D535" s="100" t="s">
        <v>1689</v>
      </c>
      <c r="E535" s="198">
        <v>80.0</v>
      </c>
      <c r="F535" s="199" t="s">
        <v>1754</v>
      </c>
    </row>
    <row r="536" ht="22.5" customHeight="1">
      <c r="A536" s="197">
        <v>46011.92672484954</v>
      </c>
      <c r="B536" s="100" t="s">
        <v>2164</v>
      </c>
      <c r="C536" s="100" t="s">
        <v>1685</v>
      </c>
      <c r="D536" s="100" t="s">
        <v>1686</v>
      </c>
      <c r="E536" s="198">
        <v>195.0</v>
      </c>
      <c r="F536" s="199" t="s">
        <v>2165</v>
      </c>
    </row>
    <row r="537" ht="22.5" customHeight="1">
      <c r="A537" s="197">
        <v>46011.92672484954</v>
      </c>
      <c r="B537" s="100" t="s">
        <v>2164</v>
      </c>
      <c r="C537" s="100" t="s">
        <v>1688</v>
      </c>
      <c r="D537" s="100" t="s">
        <v>1689</v>
      </c>
      <c r="E537" s="198">
        <v>200.0</v>
      </c>
      <c r="F537" s="199" t="s">
        <v>2166</v>
      </c>
    </row>
    <row r="538" ht="22.5" customHeight="1">
      <c r="A538" s="197">
        <v>46011.92672517362</v>
      </c>
      <c r="B538" s="100" t="s">
        <v>2167</v>
      </c>
      <c r="C538" s="100" t="s">
        <v>1685</v>
      </c>
      <c r="D538" s="100" t="s">
        <v>1686</v>
      </c>
      <c r="E538" s="198">
        <v>115.0</v>
      </c>
      <c r="F538" s="199" t="s">
        <v>2168</v>
      </c>
    </row>
    <row r="539" ht="22.5" customHeight="1">
      <c r="A539" s="197">
        <v>46011.92672517362</v>
      </c>
      <c r="B539" s="100" t="s">
        <v>2167</v>
      </c>
      <c r="C539" s="100" t="s">
        <v>1688</v>
      </c>
      <c r="D539" s="100" t="s">
        <v>1689</v>
      </c>
      <c r="E539" s="198">
        <v>140.0</v>
      </c>
      <c r="F539" s="199" t="s">
        <v>2169</v>
      </c>
    </row>
    <row r="540" ht="22.5" customHeight="1">
      <c r="A540" s="197">
        <v>46011.926725474535</v>
      </c>
      <c r="B540" s="100" t="s">
        <v>2170</v>
      </c>
      <c r="C540" s="100" t="s">
        <v>1685</v>
      </c>
      <c r="D540" s="100" t="s">
        <v>1686</v>
      </c>
      <c r="E540" s="198">
        <v>35.0</v>
      </c>
      <c r="F540" s="199" t="s">
        <v>1805</v>
      </c>
    </row>
    <row r="541" ht="22.5" customHeight="1">
      <c r="A541" s="197">
        <v>46011.926725474535</v>
      </c>
      <c r="B541" s="100" t="s">
        <v>2170</v>
      </c>
      <c r="C541" s="100" t="s">
        <v>1688</v>
      </c>
      <c r="D541" s="100" t="s">
        <v>1689</v>
      </c>
      <c r="E541" s="198">
        <v>40.0</v>
      </c>
      <c r="F541" s="199" t="s">
        <v>1806</v>
      </c>
    </row>
    <row r="542" ht="22.5" customHeight="1">
      <c r="A542" s="197">
        <v>46011.92672578704</v>
      </c>
      <c r="B542" s="100" t="s">
        <v>2171</v>
      </c>
      <c r="C542" s="100" t="s">
        <v>1685</v>
      </c>
      <c r="D542" s="100" t="s">
        <v>1686</v>
      </c>
      <c r="E542" s="198">
        <v>15.0</v>
      </c>
      <c r="F542" s="199" t="s">
        <v>1904</v>
      </c>
    </row>
    <row r="543" ht="22.5" customHeight="1">
      <c r="A543" s="197">
        <v>46011.92672578704</v>
      </c>
      <c r="B543" s="100" t="s">
        <v>2171</v>
      </c>
      <c r="C543" s="100" t="s">
        <v>1688</v>
      </c>
      <c r="D543" s="100" t="s">
        <v>1689</v>
      </c>
      <c r="E543" s="198">
        <v>20.0</v>
      </c>
      <c r="F543" s="199" t="s">
        <v>1906</v>
      </c>
    </row>
    <row r="544" ht="22.5" customHeight="1">
      <c r="A544" s="197">
        <v>46011.926726087964</v>
      </c>
      <c r="B544" s="100" t="s">
        <v>2172</v>
      </c>
      <c r="C544" s="100" t="s">
        <v>1685</v>
      </c>
      <c r="D544" s="100" t="s">
        <v>1686</v>
      </c>
      <c r="E544" s="198">
        <v>170.0</v>
      </c>
      <c r="F544" s="199" t="s">
        <v>1817</v>
      </c>
    </row>
    <row r="545" ht="22.5" customHeight="1">
      <c r="A545" s="197">
        <v>46011.926726087964</v>
      </c>
      <c r="B545" s="100" t="s">
        <v>2172</v>
      </c>
      <c r="C545" s="100" t="s">
        <v>1688</v>
      </c>
      <c r="D545" s="100" t="s">
        <v>1689</v>
      </c>
      <c r="E545" s="198">
        <v>200.0</v>
      </c>
      <c r="F545" s="199" t="s">
        <v>1819</v>
      </c>
    </row>
    <row r="546" ht="22.5" customHeight="1">
      <c r="A546" s="197">
        <v>46013.78346634259</v>
      </c>
      <c r="B546" s="100" t="s">
        <v>2173</v>
      </c>
      <c r="C546" s="100" t="s">
        <v>1685</v>
      </c>
      <c r="D546" s="100" t="s">
        <v>1686</v>
      </c>
      <c r="E546" s="198">
        <v>51.0</v>
      </c>
      <c r="F546" s="100" t="s">
        <v>2174</v>
      </c>
    </row>
    <row r="547" ht="22.5" customHeight="1">
      <c r="A547" s="197">
        <v>46013.78346634259</v>
      </c>
      <c r="B547" s="100" t="s">
        <v>2173</v>
      </c>
      <c r="C547" s="100" t="s">
        <v>1688</v>
      </c>
      <c r="D547" s="100" t="s">
        <v>1689</v>
      </c>
      <c r="E547" s="198">
        <v>70.0</v>
      </c>
      <c r="F547" s="100" t="s">
        <v>2175</v>
      </c>
    </row>
    <row r="548" ht="22.5" customHeight="1">
      <c r="A548" s="197">
        <v>46013.78346653935</v>
      </c>
      <c r="B548" s="100" t="s">
        <v>2176</v>
      </c>
      <c r="C548" s="100" t="s">
        <v>1685</v>
      </c>
      <c r="D548" s="100" t="s">
        <v>1686</v>
      </c>
      <c r="E548" s="198">
        <v>44.52</v>
      </c>
      <c r="F548" s="100" t="s">
        <v>2123</v>
      </c>
    </row>
    <row r="549" ht="22.5" customHeight="1">
      <c r="A549" s="197">
        <v>46013.78346653935</v>
      </c>
      <c r="B549" s="100" t="s">
        <v>2176</v>
      </c>
      <c r="C549" s="100" t="s">
        <v>1688</v>
      </c>
      <c r="D549" s="100" t="s">
        <v>1689</v>
      </c>
      <c r="E549" s="198">
        <v>80.0</v>
      </c>
      <c r="F549" s="100" t="s">
        <v>2124</v>
      </c>
    </row>
    <row r="550" ht="22.5" customHeight="1">
      <c r="A550" s="197">
        <v>46013.78346668981</v>
      </c>
      <c r="B550" s="100" t="s">
        <v>2177</v>
      </c>
      <c r="C550" s="100" t="s">
        <v>1685</v>
      </c>
      <c r="D550" s="100" t="s">
        <v>1686</v>
      </c>
      <c r="E550" s="198">
        <v>8.76</v>
      </c>
      <c r="F550" s="100" t="s">
        <v>2178</v>
      </c>
    </row>
    <row r="551" ht="22.5" customHeight="1">
      <c r="A551" s="197">
        <v>46013.78346668981</v>
      </c>
      <c r="B551" s="100" t="s">
        <v>2177</v>
      </c>
      <c r="C551" s="100" t="s">
        <v>1688</v>
      </c>
      <c r="D551" s="100" t="s">
        <v>1689</v>
      </c>
      <c r="E551" s="198">
        <v>20.0</v>
      </c>
      <c r="F551" s="100" t="s">
        <v>2179</v>
      </c>
    </row>
    <row r="552" ht="22.5" customHeight="1">
      <c r="A552" s="197">
        <v>46014.81306458333</v>
      </c>
      <c r="B552" s="100" t="s">
        <v>2180</v>
      </c>
      <c r="C552" s="100" t="s">
        <v>1685</v>
      </c>
      <c r="D552" s="100" t="s">
        <v>1686</v>
      </c>
      <c r="E552" s="198">
        <v>4.38</v>
      </c>
      <c r="F552" s="100" t="s">
        <v>2178</v>
      </c>
    </row>
    <row r="553" ht="22.5" customHeight="1">
      <c r="A553" s="197">
        <v>46014.81306458333</v>
      </c>
      <c r="B553" s="100" t="s">
        <v>2180</v>
      </c>
      <c r="C553" s="100" t="s">
        <v>1688</v>
      </c>
      <c r="D553" s="100" t="s">
        <v>1689</v>
      </c>
      <c r="E553" s="198">
        <v>10.0</v>
      </c>
      <c r="F553" s="100" t="s">
        <v>2179</v>
      </c>
    </row>
    <row r="554" ht="22.5" customHeight="1">
      <c r="A554" s="197">
        <v>46014.81306493055</v>
      </c>
      <c r="B554" s="100" t="s">
        <v>2181</v>
      </c>
      <c r="C554" s="100" t="s">
        <v>1685</v>
      </c>
      <c r="D554" s="100" t="s">
        <v>1686</v>
      </c>
      <c r="E554" s="198">
        <v>13.5</v>
      </c>
      <c r="F554" s="199" t="s">
        <v>2182</v>
      </c>
    </row>
    <row r="555" ht="22.5" customHeight="1">
      <c r="A555" s="197">
        <v>46014.81306493055</v>
      </c>
      <c r="B555" s="100" t="s">
        <v>2181</v>
      </c>
      <c r="C555" s="100" t="s">
        <v>1688</v>
      </c>
      <c r="D555" s="100" t="s">
        <v>1689</v>
      </c>
      <c r="E555" s="198">
        <v>30.0</v>
      </c>
      <c r="F555" s="199" t="s">
        <v>2183</v>
      </c>
    </row>
    <row r="556" ht="22.5" customHeight="1">
      <c r="A556" s="197">
        <v>46014.81306518518</v>
      </c>
      <c r="B556" s="100" t="s">
        <v>2184</v>
      </c>
      <c r="C556" s="100" t="s">
        <v>1685</v>
      </c>
      <c r="D556" s="100" t="s">
        <v>1686</v>
      </c>
      <c r="E556" s="198">
        <v>22.26</v>
      </c>
      <c r="F556" s="100" t="s">
        <v>2123</v>
      </c>
    </row>
    <row r="557" ht="22.5" customHeight="1">
      <c r="A557" s="197">
        <v>46014.81306518518</v>
      </c>
      <c r="B557" s="100" t="s">
        <v>2184</v>
      </c>
      <c r="C557" s="100" t="s">
        <v>1688</v>
      </c>
      <c r="D557" s="100" t="s">
        <v>1689</v>
      </c>
      <c r="E557" s="198">
        <v>40.0</v>
      </c>
      <c r="F557" s="100" t="s">
        <v>2124</v>
      </c>
    </row>
    <row r="558" ht="22.5" customHeight="1">
      <c r="A558" s="197">
        <v>46016.46855921297</v>
      </c>
      <c r="B558" s="100" t="s">
        <v>2185</v>
      </c>
      <c r="C558" s="100" t="s">
        <v>1685</v>
      </c>
      <c r="D558" s="100" t="s">
        <v>1686</v>
      </c>
      <c r="E558" s="198">
        <v>43.75</v>
      </c>
      <c r="F558" s="100" t="s">
        <v>2186</v>
      </c>
    </row>
    <row r="559" ht="22.5" customHeight="1">
      <c r="A559" s="197">
        <v>46016.46855921297</v>
      </c>
      <c r="B559" s="100" t="s">
        <v>2185</v>
      </c>
      <c r="C559" s="100" t="s">
        <v>1688</v>
      </c>
      <c r="D559" s="100" t="s">
        <v>1689</v>
      </c>
      <c r="E559" s="198">
        <v>75.0</v>
      </c>
      <c r="F559" s="100" t="s">
        <v>2187</v>
      </c>
    </row>
    <row r="560" ht="22.5" customHeight="1">
      <c r="A560" s="197">
        <v>46016.46855954861</v>
      </c>
      <c r="B560" s="100" t="s">
        <v>2188</v>
      </c>
      <c r="C560" s="100" t="s">
        <v>1685</v>
      </c>
      <c r="D560" s="100" t="s">
        <v>1686</v>
      </c>
      <c r="E560" s="198">
        <v>4.5</v>
      </c>
      <c r="F560" s="199" t="s">
        <v>2182</v>
      </c>
    </row>
    <row r="561" ht="22.5" customHeight="1">
      <c r="A561" s="197">
        <v>46016.46855954861</v>
      </c>
      <c r="B561" s="100" t="s">
        <v>2188</v>
      </c>
      <c r="C561" s="100" t="s">
        <v>1688</v>
      </c>
      <c r="D561" s="100" t="s">
        <v>1689</v>
      </c>
      <c r="E561" s="198">
        <v>10.0</v>
      </c>
      <c r="F561" s="199" t="s">
        <v>2183</v>
      </c>
    </row>
    <row r="562" ht="22.5" customHeight="1">
      <c r="A562" s="197">
        <v>46016.46855976852</v>
      </c>
      <c r="B562" s="100" t="s">
        <v>2189</v>
      </c>
      <c r="C562" s="100" t="s">
        <v>1685</v>
      </c>
      <c r="D562" s="100" t="s">
        <v>1686</v>
      </c>
      <c r="E562" s="198">
        <v>145.0</v>
      </c>
      <c r="F562" s="199" t="s">
        <v>2029</v>
      </c>
    </row>
    <row r="563" ht="22.5" customHeight="1">
      <c r="A563" s="197">
        <v>46016.46855976852</v>
      </c>
      <c r="B563" s="100" t="s">
        <v>2189</v>
      </c>
      <c r="C563" s="100" t="s">
        <v>1688</v>
      </c>
      <c r="D563" s="100" t="s">
        <v>1689</v>
      </c>
      <c r="E563" s="198">
        <v>190.0</v>
      </c>
      <c r="F563" s="199" t="s">
        <v>2030</v>
      </c>
    </row>
    <row r="564" ht="22.5" customHeight="1">
      <c r="A564" s="197">
        <v>46016.46856</v>
      </c>
      <c r="B564" s="100" t="s">
        <v>2190</v>
      </c>
      <c r="C564" s="100" t="s">
        <v>1685</v>
      </c>
      <c r="D564" s="100" t="s">
        <v>1686</v>
      </c>
      <c r="E564" s="198">
        <v>89.07</v>
      </c>
      <c r="F564" s="199" t="s">
        <v>1833</v>
      </c>
    </row>
    <row r="565" ht="22.5" customHeight="1">
      <c r="A565" s="197">
        <v>46016.46856</v>
      </c>
      <c r="B565" s="100" t="s">
        <v>2190</v>
      </c>
      <c r="C565" s="100" t="s">
        <v>1688</v>
      </c>
      <c r="D565" s="100" t="s">
        <v>1689</v>
      </c>
      <c r="E565" s="198">
        <v>120.0</v>
      </c>
      <c r="F565" s="199" t="s">
        <v>1834</v>
      </c>
    </row>
    <row r="566" ht="22.5" customHeight="1">
      <c r="A566" s="197">
        <v>46016.468560277775</v>
      </c>
      <c r="B566" s="100" t="s">
        <v>2191</v>
      </c>
      <c r="C566" s="100" t="s">
        <v>1685</v>
      </c>
      <c r="D566" s="100" t="s">
        <v>1686</v>
      </c>
      <c r="E566" s="198">
        <v>12.0</v>
      </c>
      <c r="F566" s="199" t="s">
        <v>1859</v>
      </c>
    </row>
    <row r="567" ht="22.5" customHeight="1">
      <c r="A567" s="197">
        <v>46016.468560277775</v>
      </c>
      <c r="B567" s="100" t="s">
        <v>2191</v>
      </c>
      <c r="C567" s="100" t="s">
        <v>1688</v>
      </c>
      <c r="D567" s="100" t="s">
        <v>1689</v>
      </c>
      <c r="E567" s="198">
        <v>25.0</v>
      </c>
      <c r="F567" s="199" t="s">
        <v>1860</v>
      </c>
    </row>
    <row r="568" ht="22.5" customHeight="1">
      <c r="A568" s="197">
        <v>46016.84011041667</v>
      </c>
      <c r="B568" s="100" t="s">
        <v>2192</v>
      </c>
      <c r="C568" s="100" t="s">
        <v>1685</v>
      </c>
      <c r="D568" s="100" t="s">
        <v>1686</v>
      </c>
      <c r="E568" s="198">
        <v>10.0</v>
      </c>
      <c r="F568" s="199" t="s">
        <v>2193</v>
      </c>
    </row>
    <row r="569" ht="22.5" customHeight="1">
      <c r="A569" s="197">
        <v>46016.84011041667</v>
      </c>
      <c r="B569" s="100" t="s">
        <v>2192</v>
      </c>
      <c r="C569" s="100" t="s">
        <v>1688</v>
      </c>
      <c r="D569" s="100" t="s">
        <v>1689</v>
      </c>
      <c r="E569" s="198">
        <v>20.0</v>
      </c>
      <c r="F569" s="199" t="s">
        <v>2194</v>
      </c>
    </row>
    <row r="570" ht="22.5" customHeight="1">
      <c r="A570" s="197">
        <v>46020.924484097224</v>
      </c>
      <c r="B570" s="100" t="s">
        <v>2195</v>
      </c>
      <c r="C570" s="100" t="s">
        <v>1685</v>
      </c>
      <c r="D570" s="100" t="s">
        <v>1686</v>
      </c>
      <c r="E570" s="198">
        <v>115.0</v>
      </c>
      <c r="F570" s="199" t="s">
        <v>2196</v>
      </c>
    </row>
    <row r="571" ht="22.5" customHeight="1">
      <c r="A571" s="197">
        <v>46020.924484097224</v>
      </c>
      <c r="B571" s="100" t="s">
        <v>2195</v>
      </c>
      <c r="C571" s="100" t="s">
        <v>1688</v>
      </c>
      <c r="D571" s="100" t="s">
        <v>1689</v>
      </c>
      <c r="E571" s="198">
        <v>140.0</v>
      </c>
      <c r="F571" s="199" t="s">
        <v>2197</v>
      </c>
    </row>
    <row r="572" ht="22.5" customHeight="1">
      <c r="A572" s="197">
        <v>46020.92448443287</v>
      </c>
      <c r="B572" s="100" t="s">
        <v>2198</v>
      </c>
      <c r="C572" s="100" t="s">
        <v>1685</v>
      </c>
      <c r="D572" s="100" t="s">
        <v>1686</v>
      </c>
      <c r="E572" s="198">
        <v>390.0</v>
      </c>
      <c r="F572" s="199" t="s">
        <v>2199</v>
      </c>
    </row>
    <row r="573" ht="22.5" customHeight="1">
      <c r="A573" s="197">
        <v>46020.92448443287</v>
      </c>
      <c r="B573" s="100" t="s">
        <v>2198</v>
      </c>
      <c r="C573" s="100" t="s">
        <v>1688</v>
      </c>
      <c r="D573" s="100" t="s">
        <v>1689</v>
      </c>
      <c r="E573" s="198">
        <v>460.0</v>
      </c>
      <c r="F573" s="199" t="s">
        <v>2200</v>
      </c>
    </row>
    <row r="574" ht="22.5" customHeight="1">
      <c r="A574" s="197">
        <v>46020.9244846875</v>
      </c>
      <c r="B574" s="100" t="s">
        <v>2201</v>
      </c>
      <c r="C574" s="100" t="s">
        <v>1685</v>
      </c>
      <c r="D574" s="100" t="s">
        <v>1686</v>
      </c>
      <c r="E574" s="198">
        <v>17.92</v>
      </c>
      <c r="F574" s="199" t="s">
        <v>2202</v>
      </c>
    </row>
    <row r="575" ht="22.5" customHeight="1">
      <c r="A575" s="197">
        <v>46020.9244846875</v>
      </c>
      <c r="B575" s="100" t="s">
        <v>2201</v>
      </c>
      <c r="C575" s="100" t="s">
        <v>1688</v>
      </c>
      <c r="D575" s="100" t="s">
        <v>1689</v>
      </c>
      <c r="E575" s="198">
        <v>25.0</v>
      </c>
      <c r="F575" s="199" t="s">
        <v>2203</v>
      </c>
    </row>
    <row r="576" ht="22.5" customHeight="1">
      <c r="A576" s="197">
        <v>46020.92448494213</v>
      </c>
      <c r="B576" s="100" t="s">
        <v>2204</v>
      </c>
      <c r="C576" s="100" t="s">
        <v>1685</v>
      </c>
      <c r="D576" s="100" t="s">
        <v>1686</v>
      </c>
      <c r="E576" s="198">
        <v>17.92</v>
      </c>
      <c r="F576" s="199" t="s">
        <v>2205</v>
      </c>
    </row>
    <row r="577" ht="22.5" customHeight="1">
      <c r="A577" s="197">
        <v>46020.92448494213</v>
      </c>
      <c r="B577" s="100" t="s">
        <v>2204</v>
      </c>
      <c r="C577" s="100" t="s">
        <v>1688</v>
      </c>
      <c r="D577" s="100" t="s">
        <v>1689</v>
      </c>
      <c r="E577" s="198">
        <v>30.0</v>
      </c>
      <c r="F577" s="199" t="s">
        <v>2206</v>
      </c>
    </row>
    <row r="578" ht="22.5" customHeight="1">
      <c r="A578" s="197">
        <v>46020.92448519676</v>
      </c>
      <c r="B578" s="100" t="s">
        <v>2207</v>
      </c>
      <c r="C578" s="100" t="s">
        <v>1685</v>
      </c>
      <c r="D578" s="100" t="s">
        <v>1686</v>
      </c>
      <c r="E578" s="198">
        <v>16.0</v>
      </c>
      <c r="F578" s="199" t="s">
        <v>1986</v>
      </c>
    </row>
    <row r="579" ht="22.5" customHeight="1">
      <c r="A579" s="197">
        <v>46020.92448519676</v>
      </c>
      <c r="B579" s="100" t="s">
        <v>2207</v>
      </c>
      <c r="C579" s="100" t="s">
        <v>1688</v>
      </c>
      <c r="D579" s="100" t="s">
        <v>1689</v>
      </c>
      <c r="E579" s="198">
        <v>20.0</v>
      </c>
      <c r="F579" s="199" t="s">
        <v>1987</v>
      </c>
    </row>
    <row r="580" ht="22.5" customHeight="1">
      <c r="A580" s="197">
        <v>46021.67684752315</v>
      </c>
      <c r="B580" s="100" t="s">
        <v>2208</v>
      </c>
      <c r="C580" s="100" t="s">
        <v>1685</v>
      </c>
      <c r="D580" s="100" t="s">
        <v>1686</v>
      </c>
      <c r="E580" s="198">
        <v>29.0</v>
      </c>
      <c r="F580" s="100" t="s">
        <v>2209</v>
      </c>
    </row>
    <row r="581" ht="22.5" customHeight="1">
      <c r="A581" s="197">
        <v>46021.67684752315</v>
      </c>
      <c r="B581" s="100" t="s">
        <v>2208</v>
      </c>
      <c r="C581" s="100" t="s">
        <v>1688</v>
      </c>
      <c r="D581" s="100" t="s">
        <v>1689</v>
      </c>
      <c r="E581" s="198">
        <v>50.0</v>
      </c>
      <c r="F581" s="100" t="s">
        <v>2210</v>
      </c>
    </row>
    <row r="582" ht="22.5" customHeight="1">
      <c r="A582" s="197">
        <v>46021.67684774306</v>
      </c>
      <c r="B582" s="100" t="s">
        <v>2211</v>
      </c>
      <c r="C582" s="100" t="s">
        <v>1685</v>
      </c>
      <c r="D582" s="100" t="s">
        <v>1686</v>
      </c>
      <c r="E582" s="198">
        <v>78.0</v>
      </c>
      <c r="F582" s="199" t="s">
        <v>2212</v>
      </c>
    </row>
    <row r="583" ht="22.5" customHeight="1">
      <c r="A583" s="197">
        <v>46021.67684774306</v>
      </c>
      <c r="B583" s="100" t="s">
        <v>2211</v>
      </c>
      <c r="C583" s="100" t="s">
        <v>1688</v>
      </c>
      <c r="D583" s="100" t="s">
        <v>1689</v>
      </c>
      <c r="E583" s="198">
        <v>100.0</v>
      </c>
      <c r="F583" s="199" t="s">
        <v>2213</v>
      </c>
    </row>
    <row r="584" ht="22.5" customHeight="1">
      <c r="A584" s="197">
        <v>46021.67684799769</v>
      </c>
      <c r="B584" s="100" t="s">
        <v>2214</v>
      </c>
      <c r="C584" s="100" t="s">
        <v>1685</v>
      </c>
      <c r="D584" s="100" t="s">
        <v>1686</v>
      </c>
      <c r="E584" s="198">
        <v>63.0</v>
      </c>
      <c r="F584" s="100" t="s">
        <v>1701</v>
      </c>
    </row>
    <row r="585" ht="22.5" customHeight="1">
      <c r="A585" s="197">
        <v>46021.67684799769</v>
      </c>
      <c r="B585" s="100" t="s">
        <v>2214</v>
      </c>
      <c r="C585" s="100" t="s">
        <v>1688</v>
      </c>
      <c r="D585" s="100" t="s">
        <v>1689</v>
      </c>
      <c r="E585" s="198">
        <v>100.0</v>
      </c>
      <c r="F585" s="100" t="s">
        <v>1702</v>
      </c>
    </row>
    <row r="586" ht="22.5" customHeight="1">
      <c r="A586" s="197">
        <v>46021.67684824074</v>
      </c>
      <c r="B586" s="100" t="s">
        <v>2216</v>
      </c>
      <c r="C586" s="100" t="s">
        <v>1685</v>
      </c>
      <c r="D586" s="100" t="s">
        <v>1686</v>
      </c>
      <c r="E586" s="198">
        <v>28.2</v>
      </c>
      <c r="F586" s="199" t="s">
        <v>1753</v>
      </c>
    </row>
    <row r="587" ht="22.5" customHeight="1">
      <c r="A587" s="197">
        <v>46021.67684824074</v>
      </c>
      <c r="B587" s="100" t="s">
        <v>2216</v>
      </c>
      <c r="C587" s="100" t="s">
        <v>1688</v>
      </c>
      <c r="D587" s="100" t="s">
        <v>1689</v>
      </c>
      <c r="E587" s="198">
        <v>40.0</v>
      </c>
      <c r="F587" s="199" t="s">
        <v>1754</v>
      </c>
    </row>
    <row r="588" ht="22.5" customHeight="1">
      <c r="A588" s="197">
        <v>46021.676848460644</v>
      </c>
      <c r="B588" s="100" t="s">
        <v>2218</v>
      </c>
      <c r="C588" s="100" t="s">
        <v>1685</v>
      </c>
      <c r="D588" s="100" t="s">
        <v>1686</v>
      </c>
      <c r="E588" s="198">
        <v>48.0</v>
      </c>
      <c r="F588" s="199" t="s">
        <v>1986</v>
      </c>
    </row>
    <row r="589" ht="22.5" customHeight="1">
      <c r="A589" s="197">
        <v>46021.676848460644</v>
      </c>
      <c r="B589" s="100" t="s">
        <v>2218</v>
      </c>
      <c r="C589" s="100" t="s">
        <v>1688</v>
      </c>
      <c r="D589" s="100" t="s">
        <v>1689</v>
      </c>
      <c r="E589" s="198">
        <v>60.0</v>
      </c>
      <c r="F589" s="199" t="s">
        <v>1987</v>
      </c>
    </row>
    <row r="590" ht="22.5" customHeight="1">
      <c r="A590" s="197">
        <v>46021.67684868055</v>
      </c>
      <c r="B590" s="100" t="s">
        <v>2224</v>
      </c>
      <c r="C590" s="100" t="s">
        <v>1685</v>
      </c>
      <c r="D590" s="100" t="s">
        <v>1686</v>
      </c>
      <c r="E590" s="198">
        <v>120.0</v>
      </c>
      <c r="F590" s="199" t="s">
        <v>1710</v>
      </c>
    </row>
    <row r="591" ht="22.5" customHeight="1">
      <c r="A591" s="197">
        <v>46021.67684868055</v>
      </c>
      <c r="B591" s="100" t="s">
        <v>2224</v>
      </c>
      <c r="C591" s="100" t="s">
        <v>1688</v>
      </c>
      <c r="D591" s="100" t="s">
        <v>1689</v>
      </c>
      <c r="E591" s="198">
        <v>150.0</v>
      </c>
      <c r="F591" s="199" t="s">
        <v>1711</v>
      </c>
    </row>
    <row r="592" ht="22.5" customHeight="1">
      <c r="A592" s="197">
        <v>46021.67684893518</v>
      </c>
      <c r="B592" s="100" t="s">
        <v>2226</v>
      </c>
      <c r="C592" s="100" t="s">
        <v>1685</v>
      </c>
      <c r="D592" s="100" t="s">
        <v>1686</v>
      </c>
      <c r="E592" s="198">
        <v>141.0</v>
      </c>
      <c r="F592" s="199" t="s">
        <v>2229</v>
      </c>
    </row>
    <row r="593" ht="22.5" customHeight="1">
      <c r="A593" s="197">
        <v>46021.67684893518</v>
      </c>
      <c r="B593" s="100" t="s">
        <v>2226</v>
      </c>
      <c r="C593" s="100" t="s">
        <v>1688</v>
      </c>
      <c r="D593" s="100" t="s">
        <v>1689</v>
      </c>
      <c r="E593" s="198">
        <v>180.0</v>
      </c>
      <c r="F593" s="199" t="s">
        <v>2231</v>
      </c>
    </row>
    <row r="594" ht="22.5" customHeight="1">
      <c r="A594" s="197">
        <v>46021.67858636574</v>
      </c>
      <c r="B594" s="100" t="s">
        <v>2232</v>
      </c>
      <c r="C594" s="100" t="s">
        <v>1685</v>
      </c>
      <c r="D594" s="100" t="s">
        <v>1686</v>
      </c>
      <c r="E594" s="198">
        <v>112.5</v>
      </c>
      <c r="F594" s="199" t="s">
        <v>2233</v>
      </c>
    </row>
    <row r="595" ht="22.5" customHeight="1">
      <c r="A595" s="197">
        <v>46021.67858636574</v>
      </c>
      <c r="B595" s="100" t="s">
        <v>2232</v>
      </c>
      <c r="C595" s="100" t="s">
        <v>1688</v>
      </c>
      <c r="D595" s="100" t="s">
        <v>1689</v>
      </c>
      <c r="E595" s="198">
        <v>150.0</v>
      </c>
      <c r="F595" s="199" t="s">
        <v>2235</v>
      </c>
    </row>
    <row r="596" ht="22.5" customHeight="1">
      <c r="A596" s="197">
        <v>46021.86427164351</v>
      </c>
      <c r="B596" s="100" t="s">
        <v>2236</v>
      </c>
      <c r="C596" s="100" t="s">
        <v>1685</v>
      </c>
      <c r="D596" s="100" t="s">
        <v>1686</v>
      </c>
      <c r="E596" s="198">
        <v>32.0</v>
      </c>
      <c r="F596" s="199" t="s">
        <v>1986</v>
      </c>
    </row>
    <row r="597" ht="22.5" customHeight="1">
      <c r="A597" s="197">
        <v>46021.86427164351</v>
      </c>
      <c r="B597" s="100" t="s">
        <v>2236</v>
      </c>
      <c r="C597" s="100" t="s">
        <v>1688</v>
      </c>
      <c r="D597" s="100" t="s">
        <v>1689</v>
      </c>
      <c r="E597" s="198">
        <v>40.0</v>
      </c>
      <c r="F597" s="199" t="s">
        <v>1987</v>
      </c>
    </row>
    <row r="598" ht="22.5" customHeight="1">
      <c r="A598" s="197">
        <v>46023.76002327546</v>
      </c>
      <c r="B598" s="100" t="s">
        <v>2238</v>
      </c>
      <c r="C598" s="100" t="s">
        <v>1685</v>
      </c>
      <c r="D598" s="100" t="s">
        <v>1686</v>
      </c>
      <c r="E598" s="198">
        <v>15.0</v>
      </c>
      <c r="F598" s="199" t="s">
        <v>2193</v>
      </c>
    </row>
    <row r="599" ht="22.5" customHeight="1">
      <c r="A599" s="197">
        <v>46023.76002327546</v>
      </c>
      <c r="B599" s="100" t="s">
        <v>2238</v>
      </c>
      <c r="C599" s="100" t="s">
        <v>1688</v>
      </c>
      <c r="D599" s="100" t="s">
        <v>1689</v>
      </c>
      <c r="E599" s="198">
        <v>30.0</v>
      </c>
      <c r="F599" s="199" t="s">
        <v>2194</v>
      </c>
    </row>
    <row r="600" ht="22.5" customHeight="1">
      <c r="A600" s="197">
        <v>46023.760023738425</v>
      </c>
      <c r="B600" s="100" t="s">
        <v>2239</v>
      </c>
      <c r="C600" s="100" t="s">
        <v>1685</v>
      </c>
      <c r="D600" s="100" t="s">
        <v>1686</v>
      </c>
      <c r="E600" s="198">
        <v>160.0</v>
      </c>
      <c r="F600" s="199" t="s">
        <v>2240</v>
      </c>
    </row>
    <row r="601" ht="22.5" customHeight="1">
      <c r="A601" s="197">
        <v>46023.760023738425</v>
      </c>
      <c r="B601" s="100" t="s">
        <v>2239</v>
      </c>
      <c r="C601" s="100" t="s">
        <v>1688</v>
      </c>
      <c r="D601" s="100" t="s">
        <v>1689</v>
      </c>
      <c r="E601" s="198">
        <v>200.0</v>
      </c>
      <c r="F601" s="199" t="s">
        <v>2241</v>
      </c>
    </row>
    <row r="602" ht="22.5" customHeight="1">
      <c r="A602" s="197">
        <v>46023.76002417824</v>
      </c>
      <c r="B602" s="100" t="s">
        <v>2242</v>
      </c>
      <c r="C602" s="100" t="s">
        <v>1685</v>
      </c>
      <c r="D602" s="100" t="s">
        <v>1686</v>
      </c>
      <c r="E602" s="198">
        <v>128.0</v>
      </c>
      <c r="F602" s="199" t="s">
        <v>2243</v>
      </c>
    </row>
    <row r="603" ht="22.5" customHeight="1">
      <c r="A603" s="197">
        <v>46023.76002417824</v>
      </c>
      <c r="B603" s="100" t="s">
        <v>2242</v>
      </c>
      <c r="C603" s="100" t="s">
        <v>1688</v>
      </c>
      <c r="D603" s="100" t="s">
        <v>1689</v>
      </c>
      <c r="E603" s="198">
        <v>170.0</v>
      </c>
      <c r="F603" s="199" t="s">
        <v>2244</v>
      </c>
    </row>
    <row r="604" ht="22.5" customHeight="1">
      <c r="A604" s="197">
        <v>46023.83748299768</v>
      </c>
      <c r="B604" s="100" t="s">
        <v>2246</v>
      </c>
      <c r="C604" s="100" t="s">
        <v>1685</v>
      </c>
      <c r="D604" s="100" t="s">
        <v>1686</v>
      </c>
      <c r="E604" s="198">
        <v>44.25</v>
      </c>
      <c r="F604" s="100" t="s">
        <v>2247</v>
      </c>
    </row>
    <row r="605" ht="22.5" customHeight="1">
      <c r="A605" s="197">
        <v>46023.83748299768</v>
      </c>
      <c r="B605" s="100" t="s">
        <v>2246</v>
      </c>
      <c r="C605" s="100" t="s">
        <v>1688</v>
      </c>
      <c r="D605" s="100" t="s">
        <v>1689</v>
      </c>
      <c r="E605" s="198">
        <v>75.0</v>
      </c>
      <c r="F605" s="100" t="s">
        <v>2250</v>
      </c>
    </row>
    <row r="606" ht="22.5" customHeight="1">
      <c r="A606" s="197">
        <v>46023.83748376157</v>
      </c>
      <c r="B606" s="100" t="s">
        <v>2251</v>
      </c>
      <c r="C606" s="100" t="s">
        <v>1685</v>
      </c>
      <c r="D606" s="100" t="s">
        <v>1686</v>
      </c>
      <c r="E606" s="198">
        <v>75.0</v>
      </c>
      <c r="F606" s="199" t="s">
        <v>2011</v>
      </c>
    </row>
    <row r="607" ht="22.5" customHeight="1">
      <c r="A607" s="197">
        <v>46023.83748376157</v>
      </c>
      <c r="B607" s="100" t="s">
        <v>2251</v>
      </c>
      <c r="C607" s="100" t="s">
        <v>1688</v>
      </c>
      <c r="D607" s="100" t="s">
        <v>1689</v>
      </c>
      <c r="E607" s="198">
        <v>90.0</v>
      </c>
      <c r="F607" s="199" t="s">
        <v>2012</v>
      </c>
    </row>
    <row r="608" ht="22.5" customHeight="1">
      <c r="A608" s="197">
        <v>46023.837483958334</v>
      </c>
      <c r="B608" s="100" t="s">
        <v>2253</v>
      </c>
      <c r="C608" s="100" t="s">
        <v>1685</v>
      </c>
      <c r="D608" s="100" t="s">
        <v>1686</v>
      </c>
      <c r="E608" s="198">
        <v>195.0</v>
      </c>
      <c r="F608" s="199" t="s">
        <v>2036</v>
      </c>
    </row>
    <row r="609" ht="22.5" customHeight="1">
      <c r="A609" s="197">
        <v>46023.837483958334</v>
      </c>
      <c r="B609" s="100" t="s">
        <v>2253</v>
      </c>
      <c r="C609" s="100" t="s">
        <v>1688</v>
      </c>
      <c r="D609" s="100" t="s">
        <v>1689</v>
      </c>
      <c r="E609" s="198">
        <v>250.0</v>
      </c>
      <c r="F609" s="199" t="s">
        <v>2037</v>
      </c>
    </row>
    <row r="610" ht="22.5" customHeight="1">
      <c r="A610" s="197">
        <v>46023.837484143514</v>
      </c>
      <c r="B610" s="100" t="s">
        <v>2254</v>
      </c>
      <c r="C610" s="100" t="s">
        <v>1685</v>
      </c>
      <c r="D610" s="100" t="s">
        <v>1686</v>
      </c>
      <c r="E610" s="198">
        <v>30.0</v>
      </c>
      <c r="F610" s="199" t="s">
        <v>1958</v>
      </c>
    </row>
    <row r="611" ht="22.5" customHeight="1">
      <c r="A611" s="197">
        <v>46023.837484143514</v>
      </c>
      <c r="B611" s="100" t="s">
        <v>2254</v>
      </c>
      <c r="C611" s="100" t="s">
        <v>1688</v>
      </c>
      <c r="D611" s="100" t="s">
        <v>1689</v>
      </c>
      <c r="E611" s="198">
        <v>50.0</v>
      </c>
      <c r="F611" s="199" t="s">
        <v>1959</v>
      </c>
    </row>
    <row r="612" ht="22.5" customHeight="1">
      <c r="A612" s="197">
        <v>46023.837484398144</v>
      </c>
      <c r="B612" s="100" t="s">
        <v>2255</v>
      </c>
      <c r="C612" s="100" t="s">
        <v>1685</v>
      </c>
      <c r="D612" s="100" t="s">
        <v>1686</v>
      </c>
      <c r="E612" s="198">
        <v>56.4</v>
      </c>
      <c r="F612" s="199" t="s">
        <v>1753</v>
      </c>
    </row>
    <row r="613" ht="22.5" customHeight="1">
      <c r="A613" s="197">
        <v>46023.837484398144</v>
      </c>
      <c r="B613" s="100" t="s">
        <v>2255</v>
      </c>
      <c r="C613" s="100" t="s">
        <v>1688</v>
      </c>
      <c r="D613" s="100" t="s">
        <v>1689</v>
      </c>
      <c r="E613" s="198">
        <v>80.0</v>
      </c>
      <c r="F613" s="199" t="s">
        <v>1754</v>
      </c>
    </row>
    <row r="614" ht="22.5" customHeight="1">
      <c r="A614" s="197">
        <v>46023.83748457176</v>
      </c>
      <c r="B614" s="100" t="s">
        <v>2256</v>
      </c>
      <c r="C614" s="100" t="s">
        <v>1685</v>
      </c>
      <c r="D614" s="100" t="s">
        <v>1686</v>
      </c>
      <c r="E614" s="198">
        <v>75.0</v>
      </c>
      <c r="F614" s="199" t="s">
        <v>1950</v>
      </c>
    </row>
    <row r="615" ht="22.5" customHeight="1">
      <c r="A615" s="197">
        <v>46023.83748457176</v>
      </c>
      <c r="B615" s="100" t="s">
        <v>2256</v>
      </c>
      <c r="C615" s="100" t="s">
        <v>1688</v>
      </c>
      <c r="D615" s="100" t="s">
        <v>1689</v>
      </c>
      <c r="E615" s="198">
        <v>100.0</v>
      </c>
      <c r="F615" s="199" t="s">
        <v>1951</v>
      </c>
    </row>
    <row r="616" ht="22.5" customHeight="1">
      <c r="A616" s="197">
        <v>46023.83748478009</v>
      </c>
      <c r="B616" s="100" t="s">
        <v>2257</v>
      </c>
      <c r="C616" s="100" t="s">
        <v>1685</v>
      </c>
      <c r="D616" s="100" t="s">
        <v>1686</v>
      </c>
      <c r="E616" s="198">
        <v>225.0</v>
      </c>
      <c r="F616" s="199" t="s">
        <v>1901</v>
      </c>
    </row>
    <row r="617" ht="22.5" customHeight="1">
      <c r="A617" s="197">
        <v>46023.83748478009</v>
      </c>
      <c r="B617" s="100" t="s">
        <v>2257</v>
      </c>
      <c r="C617" s="100" t="s">
        <v>1688</v>
      </c>
      <c r="D617" s="100" t="s">
        <v>1689</v>
      </c>
      <c r="E617" s="198">
        <v>350.0</v>
      </c>
      <c r="F617" s="199" t="s">
        <v>1902</v>
      </c>
    </row>
    <row r="618" ht="22.5" customHeight="1">
      <c r="A618" s="197">
        <v>46023.8374850463</v>
      </c>
      <c r="B618" s="100" t="s">
        <v>2258</v>
      </c>
      <c r="C618" s="100" t="s">
        <v>1685</v>
      </c>
      <c r="D618" s="100" t="s">
        <v>1686</v>
      </c>
      <c r="E618" s="198">
        <v>30.0</v>
      </c>
      <c r="F618" s="199" t="s">
        <v>1904</v>
      </c>
    </row>
    <row r="619" ht="22.5" customHeight="1">
      <c r="A619" s="197">
        <v>46023.8374850463</v>
      </c>
      <c r="B619" s="100" t="s">
        <v>2258</v>
      </c>
      <c r="C619" s="100" t="s">
        <v>1688</v>
      </c>
      <c r="D619" s="100" t="s">
        <v>1689</v>
      </c>
      <c r="E619" s="198">
        <v>30.0</v>
      </c>
      <c r="F619" s="199" t="s">
        <v>1906</v>
      </c>
    </row>
    <row r="620" ht="22.5" customHeight="1">
      <c r="A620" s="197">
        <v>46023.837485358796</v>
      </c>
      <c r="B620" s="100" t="s">
        <v>2260</v>
      </c>
      <c r="C620" s="100" t="s">
        <v>1685</v>
      </c>
      <c r="D620" s="100" t="s">
        <v>1686</v>
      </c>
      <c r="E620" s="198">
        <v>165.0</v>
      </c>
      <c r="F620" s="199" t="s">
        <v>2045</v>
      </c>
    </row>
    <row r="621" ht="22.5" customHeight="1">
      <c r="A621" s="197">
        <v>46023.837485358796</v>
      </c>
      <c r="B621" s="100" t="s">
        <v>2260</v>
      </c>
      <c r="C621" s="100" t="s">
        <v>1688</v>
      </c>
      <c r="D621" s="100" t="s">
        <v>1689</v>
      </c>
      <c r="E621" s="198">
        <v>175.0</v>
      </c>
      <c r="F621" s="199" t="s">
        <v>2046</v>
      </c>
    </row>
    <row r="622" ht="22.5" customHeight="1">
      <c r="A622" s="197">
        <v>46023.838586134254</v>
      </c>
      <c r="B622" s="100" t="s">
        <v>2261</v>
      </c>
      <c r="C622" s="100" t="s">
        <v>1685</v>
      </c>
      <c r="D622" s="100" t="s">
        <v>1686</v>
      </c>
      <c r="E622" s="198">
        <v>60.0</v>
      </c>
      <c r="F622" s="100" t="s">
        <v>2083</v>
      </c>
    </row>
    <row r="623" ht="22.5" customHeight="1">
      <c r="A623" s="197">
        <v>46023.838586134254</v>
      </c>
      <c r="B623" s="100" t="s">
        <v>2261</v>
      </c>
      <c r="C623" s="100" t="s">
        <v>1688</v>
      </c>
      <c r="D623" s="100" t="s">
        <v>1689</v>
      </c>
      <c r="E623" s="198">
        <v>75.0</v>
      </c>
      <c r="F623" s="100" t="s">
        <v>2084</v>
      </c>
    </row>
    <row r="624" ht="22.5" customHeight="1">
      <c r="A624" s="197">
        <v>46023.94337674769</v>
      </c>
      <c r="B624" s="100" t="s">
        <v>2263</v>
      </c>
      <c r="C624" s="100" t="s">
        <v>1685</v>
      </c>
      <c r="D624" s="100" t="s">
        <v>1686</v>
      </c>
      <c r="E624" s="198">
        <v>51.0</v>
      </c>
      <c r="F624" s="100" t="s">
        <v>2174</v>
      </c>
    </row>
    <row r="625" ht="22.5" customHeight="1">
      <c r="A625" s="197">
        <v>46023.94337674769</v>
      </c>
      <c r="B625" s="100" t="s">
        <v>2263</v>
      </c>
      <c r="C625" s="100" t="s">
        <v>1688</v>
      </c>
      <c r="D625" s="100" t="s">
        <v>1689</v>
      </c>
      <c r="E625" s="198">
        <v>75.0</v>
      </c>
      <c r="F625" s="100" t="s">
        <v>2175</v>
      </c>
    </row>
    <row r="626" ht="22.5" customHeight="1">
      <c r="A626" s="197">
        <v>46026.88503870371</v>
      </c>
      <c r="B626" s="100" t="s">
        <v>2265</v>
      </c>
      <c r="C626" s="100" t="s">
        <v>1685</v>
      </c>
      <c r="D626" s="100" t="s">
        <v>1686</v>
      </c>
      <c r="E626" s="198">
        <v>19.5</v>
      </c>
      <c r="F626" s="199" t="s">
        <v>2266</v>
      </c>
    </row>
    <row r="627" ht="22.5" customHeight="1">
      <c r="A627" s="197">
        <v>46026.88503870371</v>
      </c>
      <c r="B627" s="100" t="s">
        <v>2265</v>
      </c>
      <c r="C627" s="100" t="s">
        <v>1688</v>
      </c>
      <c r="D627" s="100" t="s">
        <v>1689</v>
      </c>
      <c r="E627" s="198">
        <v>30.0</v>
      </c>
      <c r="F627" s="199" t="s">
        <v>2268</v>
      </c>
    </row>
    <row r="628" ht="22.5" customHeight="1">
      <c r="A628" s="197">
        <v>46026.8850390625</v>
      </c>
      <c r="B628" s="100" t="s">
        <v>2269</v>
      </c>
      <c r="C628" s="100" t="s">
        <v>1685</v>
      </c>
      <c r="D628" s="100" t="s">
        <v>1686</v>
      </c>
      <c r="E628" s="198">
        <v>16.0</v>
      </c>
      <c r="F628" s="199" t="s">
        <v>1986</v>
      </c>
    </row>
    <row r="629" ht="22.5" customHeight="1">
      <c r="A629" s="197">
        <v>46026.8850390625</v>
      </c>
      <c r="B629" s="100" t="s">
        <v>2269</v>
      </c>
      <c r="C629" s="100" t="s">
        <v>1688</v>
      </c>
      <c r="D629" s="100" t="s">
        <v>1689</v>
      </c>
      <c r="E629" s="198">
        <v>20.0</v>
      </c>
      <c r="F629" s="199" t="s">
        <v>1987</v>
      </c>
    </row>
    <row r="630" ht="22.5" customHeight="1">
      <c r="A630" s="197">
        <v>46026.885039375</v>
      </c>
      <c r="B630" s="100" t="s">
        <v>2271</v>
      </c>
      <c r="C630" s="100" t="s">
        <v>1685</v>
      </c>
      <c r="D630" s="100" t="s">
        <v>1686</v>
      </c>
      <c r="E630" s="198">
        <v>170.0</v>
      </c>
      <c r="F630" s="199" t="s">
        <v>1817</v>
      </c>
    </row>
    <row r="631" ht="22.5" customHeight="1">
      <c r="A631" s="197">
        <v>46026.885039375</v>
      </c>
      <c r="B631" s="100" t="s">
        <v>2271</v>
      </c>
      <c r="C631" s="100" t="s">
        <v>1688</v>
      </c>
      <c r="D631" s="100" t="s">
        <v>1689</v>
      </c>
      <c r="E631" s="198">
        <v>200.0</v>
      </c>
      <c r="F631" s="199" t="s">
        <v>1819</v>
      </c>
    </row>
    <row r="632" ht="22.5" customHeight="1">
      <c r="A632" s="197">
        <v>46026.8850396875</v>
      </c>
      <c r="B632" s="100" t="s">
        <v>2273</v>
      </c>
      <c r="C632" s="100" t="s">
        <v>1685</v>
      </c>
      <c r="D632" s="100" t="s">
        <v>1686</v>
      </c>
      <c r="E632" s="198">
        <v>35.0</v>
      </c>
      <c r="F632" s="199" t="s">
        <v>1805</v>
      </c>
    </row>
    <row r="633" ht="22.5" customHeight="1">
      <c r="A633" s="197">
        <v>46026.8850396875</v>
      </c>
      <c r="B633" s="100" t="s">
        <v>2273</v>
      </c>
      <c r="C633" s="100" t="s">
        <v>1688</v>
      </c>
      <c r="D633" s="100" t="s">
        <v>1689</v>
      </c>
      <c r="E633" s="198">
        <v>50.0</v>
      </c>
      <c r="F633" s="199" t="s">
        <v>1806</v>
      </c>
    </row>
    <row r="634" ht="22.5" customHeight="1">
      <c r="A634" s="197">
        <v>46026.885040023146</v>
      </c>
      <c r="B634" s="100" t="s">
        <v>2274</v>
      </c>
      <c r="C634" s="100" t="s">
        <v>1685</v>
      </c>
      <c r="D634" s="100" t="s">
        <v>1686</v>
      </c>
      <c r="E634" s="198">
        <v>100.0</v>
      </c>
      <c r="F634" s="199" t="s">
        <v>2275</v>
      </c>
    </row>
    <row r="635" ht="22.5" customHeight="1">
      <c r="A635" s="197">
        <v>46026.885040023146</v>
      </c>
      <c r="B635" s="100" t="s">
        <v>2274</v>
      </c>
      <c r="C635" s="100" t="s">
        <v>1688</v>
      </c>
      <c r="D635" s="100" t="s">
        <v>1689</v>
      </c>
      <c r="E635" s="198">
        <v>130.0</v>
      </c>
      <c r="F635" s="199" t="s">
        <v>2276</v>
      </c>
    </row>
    <row r="636" ht="22.5" customHeight="1">
      <c r="A636" s="197">
        <v>46037.85650847222</v>
      </c>
      <c r="B636" s="100" t="s">
        <v>2277</v>
      </c>
      <c r="C636" s="100" t="s">
        <v>1685</v>
      </c>
      <c r="D636" s="100" t="s">
        <v>1686</v>
      </c>
      <c r="E636" s="198">
        <v>85.0</v>
      </c>
      <c r="F636" s="199" t="s">
        <v>2278</v>
      </c>
    </row>
    <row r="637" ht="22.5" customHeight="1">
      <c r="A637" s="197">
        <v>46037.85650847222</v>
      </c>
      <c r="B637" s="100" t="s">
        <v>2277</v>
      </c>
      <c r="C637" s="100" t="s">
        <v>1688</v>
      </c>
      <c r="D637" s="100" t="s">
        <v>1689</v>
      </c>
      <c r="E637" s="198">
        <v>100.0</v>
      </c>
      <c r="F637" s="199" t="s">
        <v>2279</v>
      </c>
    </row>
    <row r="638" ht="22.5" customHeight="1">
      <c r="A638" s="197">
        <v>46037.856508819445</v>
      </c>
      <c r="B638" s="100" t="s">
        <v>2280</v>
      </c>
      <c r="C638" s="100" t="s">
        <v>1685</v>
      </c>
      <c r="D638" s="100" t="s">
        <v>1686</v>
      </c>
      <c r="E638" s="198">
        <v>135.0</v>
      </c>
      <c r="F638" s="199" t="s">
        <v>2002</v>
      </c>
    </row>
    <row r="639" ht="22.5" customHeight="1">
      <c r="A639" s="197">
        <v>46037.856508819445</v>
      </c>
      <c r="B639" s="100" t="s">
        <v>2280</v>
      </c>
      <c r="C639" s="100" t="s">
        <v>1688</v>
      </c>
      <c r="D639" s="100" t="s">
        <v>1689</v>
      </c>
      <c r="E639" s="198">
        <v>135.0</v>
      </c>
      <c r="F639" s="199" t="s">
        <v>2003</v>
      </c>
    </row>
    <row r="640" ht="22.5" customHeight="1">
      <c r="A640" s="197">
        <v>46037.856509108795</v>
      </c>
      <c r="B640" s="100" t="s">
        <v>2281</v>
      </c>
      <c r="C640" s="100" t="s">
        <v>1685</v>
      </c>
      <c r="D640" s="100" t="s">
        <v>1686</v>
      </c>
      <c r="E640" s="198">
        <v>164.17</v>
      </c>
      <c r="F640" s="199" t="s">
        <v>1767</v>
      </c>
    </row>
    <row r="641" ht="22.5" customHeight="1">
      <c r="A641" s="197">
        <v>46037.856509108795</v>
      </c>
      <c r="B641" s="100" t="s">
        <v>2281</v>
      </c>
      <c r="C641" s="100" t="s">
        <v>1688</v>
      </c>
      <c r="D641" s="100" t="s">
        <v>1689</v>
      </c>
      <c r="E641" s="198">
        <v>185.0</v>
      </c>
      <c r="F641" s="199" t="s">
        <v>1768</v>
      </c>
    </row>
    <row r="642" ht="22.5" customHeight="1">
      <c r="A642" s="197">
        <v>46037.856509398145</v>
      </c>
      <c r="B642" s="100" t="s">
        <v>2283</v>
      </c>
      <c r="C642" s="100" t="s">
        <v>1685</v>
      </c>
      <c r="D642" s="100" t="s">
        <v>1686</v>
      </c>
      <c r="E642" s="198">
        <v>108.0</v>
      </c>
      <c r="F642" s="100" t="s">
        <v>1856</v>
      </c>
    </row>
    <row r="643" ht="22.5" customHeight="1">
      <c r="A643" s="197">
        <v>46037.856509398145</v>
      </c>
      <c r="B643" s="100" t="s">
        <v>2283</v>
      </c>
      <c r="C643" s="100" t="s">
        <v>1688</v>
      </c>
      <c r="D643" s="100" t="s">
        <v>1689</v>
      </c>
      <c r="E643" s="198">
        <v>150.0</v>
      </c>
      <c r="F643" s="100" t="s">
        <v>1857</v>
      </c>
    </row>
    <row r="644" ht="22.5" customHeight="1">
      <c r="A644" s="197">
        <v>46037.856509652775</v>
      </c>
      <c r="B644" s="100" t="s">
        <v>2285</v>
      </c>
      <c r="C644" s="100" t="s">
        <v>1685</v>
      </c>
      <c r="D644" s="100" t="s">
        <v>1686</v>
      </c>
      <c r="E644" s="198">
        <v>34.0</v>
      </c>
      <c r="F644" s="199" t="s">
        <v>2286</v>
      </c>
    </row>
    <row r="645" ht="22.5" customHeight="1">
      <c r="A645" s="197">
        <v>46037.856509652775</v>
      </c>
      <c r="B645" s="100" t="s">
        <v>2285</v>
      </c>
      <c r="C645" s="100" t="s">
        <v>1688</v>
      </c>
      <c r="D645" s="100" t="s">
        <v>1689</v>
      </c>
      <c r="E645" s="198">
        <v>50.0</v>
      </c>
      <c r="F645" s="199" t="s">
        <v>2288</v>
      </c>
    </row>
    <row r="646" ht="22.5" customHeight="1">
      <c r="A646" s="197">
        <v>46037.85650991898</v>
      </c>
      <c r="B646" s="100" t="s">
        <v>2289</v>
      </c>
      <c r="C646" s="100" t="s">
        <v>1685</v>
      </c>
      <c r="D646" s="100" t="s">
        <v>1686</v>
      </c>
      <c r="E646" s="198">
        <v>124.0</v>
      </c>
      <c r="F646" s="199" t="s">
        <v>2290</v>
      </c>
    </row>
    <row r="647" ht="22.5" customHeight="1">
      <c r="A647" s="197">
        <v>46037.85650991898</v>
      </c>
      <c r="B647" s="100" t="s">
        <v>2289</v>
      </c>
      <c r="C647" s="100" t="s">
        <v>1688</v>
      </c>
      <c r="D647" s="100" t="s">
        <v>1689</v>
      </c>
      <c r="E647" s="198">
        <v>150.0</v>
      </c>
      <c r="F647" s="199" t="s">
        <v>2291</v>
      </c>
    </row>
    <row r="648" ht="22.5" customHeight="1">
      <c r="A648" s="197">
        <v>46037.85651017361</v>
      </c>
      <c r="B648" s="100" t="s">
        <v>2292</v>
      </c>
      <c r="C648" s="100" t="s">
        <v>1685</v>
      </c>
      <c r="D648" s="100" t="s">
        <v>1686</v>
      </c>
      <c r="E648" s="198">
        <v>575.0</v>
      </c>
      <c r="F648" s="199" t="s">
        <v>2293</v>
      </c>
    </row>
    <row r="649" ht="22.5" customHeight="1">
      <c r="A649" s="197">
        <v>46037.85651017361</v>
      </c>
      <c r="B649" s="100" t="s">
        <v>2292</v>
      </c>
      <c r="C649" s="100" t="s">
        <v>1688</v>
      </c>
      <c r="D649" s="100" t="s">
        <v>1689</v>
      </c>
      <c r="E649" s="198">
        <v>600.0</v>
      </c>
      <c r="F649" s="199" t="s">
        <v>2294</v>
      </c>
    </row>
    <row r="650" ht="22.5" customHeight="1">
      <c r="A650" s="197">
        <v>46037.856510439815</v>
      </c>
      <c r="B650" s="100" t="s">
        <v>2295</v>
      </c>
      <c r="C650" s="100" t="s">
        <v>1685</v>
      </c>
      <c r="D650" s="100" t="s">
        <v>1686</v>
      </c>
      <c r="E650" s="198">
        <v>175.0</v>
      </c>
      <c r="F650" s="199" t="s">
        <v>2296</v>
      </c>
    </row>
    <row r="651" ht="22.5" customHeight="1">
      <c r="A651" s="197">
        <v>46037.856510439815</v>
      </c>
      <c r="B651" s="100" t="s">
        <v>2295</v>
      </c>
      <c r="C651" s="100" t="s">
        <v>1688</v>
      </c>
      <c r="D651" s="100" t="s">
        <v>1689</v>
      </c>
      <c r="E651" s="198">
        <v>200.0</v>
      </c>
      <c r="F651" s="199" t="s">
        <v>2297</v>
      </c>
    </row>
    <row r="652" ht="22.5" customHeight="1">
      <c r="A652" s="197">
        <v>46037.856510949074</v>
      </c>
      <c r="B652" s="100" t="s">
        <v>2298</v>
      </c>
      <c r="C652" s="100" t="s">
        <v>1685</v>
      </c>
      <c r="D652" s="100" t="s">
        <v>1686</v>
      </c>
      <c r="E652" s="198">
        <v>130.0</v>
      </c>
      <c r="F652" s="199" t="s">
        <v>2299</v>
      </c>
    </row>
    <row r="653" ht="22.5" customHeight="1">
      <c r="A653" s="197">
        <v>46037.856510949074</v>
      </c>
      <c r="B653" s="100" t="s">
        <v>2298</v>
      </c>
      <c r="C653" s="100" t="s">
        <v>1688</v>
      </c>
      <c r="D653" s="100" t="s">
        <v>1689</v>
      </c>
      <c r="E653" s="198">
        <v>160.0</v>
      </c>
      <c r="F653" s="199" t="s">
        <v>2300</v>
      </c>
    </row>
    <row r="654" ht="22.5" customHeight="1">
      <c r="A654" s="197">
        <v>46037.8565112963</v>
      </c>
      <c r="B654" s="100" t="s">
        <v>2301</v>
      </c>
      <c r="C654" s="100" t="s">
        <v>1685</v>
      </c>
      <c r="D654" s="100" t="s">
        <v>1686</v>
      </c>
      <c r="E654" s="198">
        <v>17.5</v>
      </c>
      <c r="F654" s="199" t="s">
        <v>2137</v>
      </c>
    </row>
    <row r="655" ht="22.5" customHeight="1">
      <c r="A655" s="197">
        <v>46037.8565112963</v>
      </c>
      <c r="B655" s="100" t="s">
        <v>2301</v>
      </c>
      <c r="C655" s="100" t="s">
        <v>1688</v>
      </c>
      <c r="D655" s="100" t="s">
        <v>1689</v>
      </c>
      <c r="E655" s="198">
        <v>25.0</v>
      </c>
      <c r="F655" s="199" t="s">
        <v>2138</v>
      </c>
    </row>
    <row r="656" ht="22.5" customHeight="1">
      <c r="A656" s="197">
        <v>46037.8565116088</v>
      </c>
      <c r="B656" s="100" t="s">
        <v>2302</v>
      </c>
      <c r="C656" s="100" t="s">
        <v>1685</v>
      </c>
      <c r="D656" s="100" t="s">
        <v>1686</v>
      </c>
      <c r="E656" s="198">
        <v>103.75</v>
      </c>
      <c r="F656" s="199" t="s">
        <v>2303</v>
      </c>
    </row>
    <row r="657" ht="22.5" customHeight="1">
      <c r="A657" s="197">
        <v>46037.8565116088</v>
      </c>
      <c r="B657" s="100" t="s">
        <v>2302</v>
      </c>
      <c r="C657" s="100" t="s">
        <v>1688</v>
      </c>
      <c r="D657" s="100" t="s">
        <v>1689</v>
      </c>
      <c r="E657" s="198">
        <v>250.0</v>
      </c>
      <c r="F657" s="199" t="s">
        <v>2304</v>
      </c>
    </row>
    <row r="658" ht="22.5" customHeight="1">
      <c r="A658" s="197">
        <v>46037.856512025464</v>
      </c>
      <c r="B658" s="100" t="s">
        <v>2305</v>
      </c>
      <c r="C658" s="100" t="s">
        <v>1685</v>
      </c>
      <c r="D658" s="100" t="s">
        <v>1686</v>
      </c>
      <c r="E658" s="198">
        <v>68.0</v>
      </c>
      <c r="F658" s="199" t="s">
        <v>2286</v>
      </c>
    </row>
    <row r="659" ht="22.5" customHeight="1">
      <c r="A659" s="197">
        <v>46037.856512025464</v>
      </c>
      <c r="B659" s="100" t="s">
        <v>2305</v>
      </c>
      <c r="C659" s="100" t="s">
        <v>1688</v>
      </c>
      <c r="D659" s="100" t="s">
        <v>1689</v>
      </c>
      <c r="E659" s="198">
        <v>100.0</v>
      </c>
      <c r="F659" s="199" t="s">
        <v>2288</v>
      </c>
    </row>
    <row r="660" ht="22.5" customHeight="1">
      <c r="A660" s="197">
        <v>46037.85651239583</v>
      </c>
      <c r="B660" s="100" t="s">
        <v>2306</v>
      </c>
      <c r="C660" s="100" t="s">
        <v>1685</v>
      </c>
      <c r="D660" s="100" t="s">
        <v>1686</v>
      </c>
      <c r="E660" s="198">
        <v>90.0</v>
      </c>
      <c r="F660" s="199" t="s">
        <v>1838</v>
      </c>
    </row>
    <row r="661" ht="22.5" customHeight="1">
      <c r="A661" s="197">
        <v>46037.85651239583</v>
      </c>
      <c r="B661" s="100" t="s">
        <v>2306</v>
      </c>
      <c r="C661" s="100" t="s">
        <v>1688</v>
      </c>
      <c r="D661" s="100" t="s">
        <v>1689</v>
      </c>
      <c r="E661" s="198">
        <v>100.0</v>
      </c>
      <c r="F661" s="199" t="s">
        <v>1839</v>
      </c>
    </row>
    <row r="662" ht="22.5" customHeight="1">
      <c r="A662" s="197">
        <v>46037.85651277778</v>
      </c>
      <c r="B662" s="100" t="s">
        <v>2308</v>
      </c>
      <c r="C662" s="100" t="s">
        <v>1685</v>
      </c>
      <c r="D662" s="100" t="s">
        <v>1686</v>
      </c>
      <c r="E662" s="198">
        <v>68.0</v>
      </c>
      <c r="F662" s="199" t="s">
        <v>2286</v>
      </c>
    </row>
    <row r="663" ht="22.5" customHeight="1">
      <c r="A663" s="197">
        <v>46037.85651277778</v>
      </c>
      <c r="B663" s="100" t="s">
        <v>2308</v>
      </c>
      <c r="C663" s="100" t="s">
        <v>1688</v>
      </c>
      <c r="D663" s="100" t="s">
        <v>1689</v>
      </c>
      <c r="E663" s="198">
        <v>100.0</v>
      </c>
      <c r="F663" s="199" t="s">
        <v>2288</v>
      </c>
    </row>
    <row r="664" ht="22.5" customHeight="1">
      <c r="A664" s="197">
        <v>46037.856513252314</v>
      </c>
      <c r="B664" s="100" t="s">
        <v>2310</v>
      </c>
      <c r="C664" s="100" t="s">
        <v>1685</v>
      </c>
      <c r="D664" s="100" t="s">
        <v>1686</v>
      </c>
      <c r="E664" s="198">
        <v>16.0</v>
      </c>
      <c r="F664" s="199" t="s">
        <v>1986</v>
      </c>
    </row>
    <row r="665" ht="22.5" customHeight="1">
      <c r="A665" s="197">
        <v>46037.856513252314</v>
      </c>
      <c r="B665" s="100" t="s">
        <v>2310</v>
      </c>
      <c r="C665" s="100" t="s">
        <v>1688</v>
      </c>
      <c r="D665" s="100" t="s">
        <v>1689</v>
      </c>
      <c r="E665" s="198">
        <v>20.0</v>
      </c>
      <c r="F665" s="199" t="s">
        <v>1987</v>
      </c>
    </row>
    <row r="666" ht="22.5" customHeight="1">
      <c r="A666" s="197">
        <v>46037.85651373843</v>
      </c>
      <c r="B666" s="100" t="s">
        <v>2311</v>
      </c>
      <c r="C666" s="100" t="s">
        <v>1685</v>
      </c>
      <c r="D666" s="100" t="s">
        <v>1686</v>
      </c>
      <c r="E666" s="198">
        <v>120.0</v>
      </c>
      <c r="F666" s="199" t="s">
        <v>1895</v>
      </c>
    </row>
    <row r="667" ht="22.5" customHeight="1">
      <c r="A667" s="197">
        <v>46037.85651373843</v>
      </c>
      <c r="B667" s="100" t="s">
        <v>2311</v>
      </c>
      <c r="C667" s="100" t="s">
        <v>1688</v>
      </c>
      <c r="D667" s="100" t="s">
        <v>1689</v>
      </c>
      <c r="E667" s="198">
        <v>150.0</v>
      </c>
      <c r="F667" s="199" t="s">
        <v>1896</v>
      </c>
    </row>
    <row r="668" ht="22.5" customHeight="1">
      <c r="A668" s="197">
        <v>46037.85651405093</v>
      </c>
      <c r="B668" s="100" t="s">
        <v>2312</v>
      </c>
      <c r="C668" s="100" t="s">
        <v>1685</v>
      </c>
      <c r="D668" s="100" t="s">
        <v>1686</v>
      </c>
      <c r="E668" s="198">
        <v>126.0</v>
      </c>
      <c r="F668" s="199" t="s">
        <v>2313</v>
      </c>
    </row>
    <row r="669" ht="22.5" customHeight="1">
      <c r="A669" s="197">
        <v>46037.85651405093</v>
      </c>
      <c r="B669" s="100" t="s">
        <v>2312</v>
      </c>
      <c r="C669" s="100" t="s">
        <v>1688</v>
      </c>
      <c r="D669" s="100" t="s">
        <v>1689</v>
      </c>
      <c r="E669" s="198">
        <v>150.0</v>
      </c>
      <c r="F669" s="199" t="s">
        <v>2314</v>
      </c>
    </row>
    <row r="670" ht="22.5" customHeight="1">
      <c r="A670" s="197">
        <v>46037.85651429398</v>
      </c>
      <c r="B670" s="100" t="s">
        <v>2315</v>
      </c>
      <c r="C670" s="100" t="s">
        <v>1685</v>
      </c>
      <c r="D670" s="100" t="s">
        <v>1686</v>
      </c>
      <c r="E670" s="198">
        <v>48.0</v>
      </c>
      <c r="F670" s="199" t="s">
        <v>1859</v>
      </c>
    </row>
    <row r="671" ht="22.5" customHeight="1">
      <c r="A671" s="197">
        <v>46037.85651429398</v>
      </c>
      <c r="B671" s="100" t="s">
        <v>2315</v>
      </c>
      <c r="C671" s="100" t="s">
        <v>1688</v>
      </c>
      <c r="D671" s="100" t="s">
        <v>1689</v>
      </c>
      <c r="E671" s="198">
        <v>100.0</v>
      </c>
      <c r="F671" s="199" t="s">
        <v>1860</v>
      </c>
    </row>
    <row r="672" ht="22.5" customHeight="1">
      <c r="A672" s="197">
        <v>46037.85651457176</v>
      </c>
      <c r="B672" s="100" t="s">
        <v>2316</v>
      </c>
      <c r="C672" s="100" t="s">
        <v>1685</v>
      </c>
      <c r="D672" s="100" t="s">
        <v>1686</v>
      </c>
      <c r="E672" s="198">
        <v>4.5</v>
      </c>
      <c r="F672" s="199" t="s">
        <v>2182</v>
      </c>
    </row>
    <row r="673" ht="22.5" customHeight="1">
      <c r="A673" s="197">
        <v>46037.85651457176</v>
      </c>
      <c r="B673" s="100" t="s">
        <v>2316</v>
      </c>
      <c r="C673" s="100" t="s">
        <v>1688</v>
      </c>
      <c r="D673" s="100" t="s">
        <v>1689</v>
      </c>
      <c r="E673" s="198">
        <v>10.0</v>
      </c>
      <c r="F673" s="199" t="s">
        <v>2183</v>
      </c>
    </row>
    <row r="674" ht="22.5" customHeight="1">
      <c r="A674" s="197">
        <v>46037.856514803236</v>
      </c>
      <c r="B674" s="100" t="s">
        <v>2318</v>
      </c>
      <c r="C674" s="100" t="s">
        <v>1685</v>
      </c>
      <c r="D674" s="100" t="s">
        <v>1686</v>
      </c>
      <c r="E674" s="198">
        <v>290.0</v>
      </c>
      <c r="F674" s="199" t="s">
        <v>2319</v>
      </c>
    </row>
    <row r="675" ht="22.5" customHeight="1">
      <c r="A675" s="197">
        <v>46037.856514803236</v>
      </c>
      <c r="B675" s="100" t="s">
        <v>2318</v>
      </c>
      <c r="C675" s="100" t="s">
        <v>1688</v>
      </c>
      <c r="D675" s="100" t="s">
        <v>1689</v>
      </c>
      <c r="E675" s="198">
        <v>400.0</v>
      </c>
      <c r="F675" s="199" t="s">
        <v>2320</v>
      </c>
    </row>
    <row r="676" ht="22.5" customHeight="1">
      <c r="A676" s="197">
        <v>46037.856515</v>
      </c>
      <c r="B676" s="100" t="s">
        <v>2322</v>
      </c>
      <c r="C676" s="100" t="s">
        <v>1685</v>
      </c>
      <c r="D676" s="100" t="s">
        <v>1686</v>
      </c>
      <c r="E676" s="198">
        <v>164.17</v>
      </c>
      <c r="F676" s="199" t="s">
        <v>1767</v>
      </c>
    </row>
    <row r="677" ht="22.5" customHeight="1">
      <c r="A677" s="197">
        <v>46037.856515</v>
      </c>
      <c r="B677" s="100" t="s">
        <v>2322</v>
      </c>
      <c r="C677" s="100" t="s">
        <v>1688</v>
      </c>
      <c r="D677" s="100" t="s">
        <v>1689</v>
      </c>
      <c r="E677" s="198">
        <v>200.0</v>
      </c>
      <c r="F677" s="199" t="s">
        <v>1768</v>
      </c>
    </row>
    <row r="678" ht="22.5" customHeight="1">
      <c r="A678" s="197">
        <v>46041.756257141205</v>
      </c>
      <c r="B678" s="100" t="s">
        <v>2324</v>
      </c>
      <c r="C678" s="100" t="s">
        <v>1685</v>
      </c>
      <c r="D678" s="100" t="s">
        <v>1686</v>
      </c>
      <c r="E678" s="198">
        <v>134.24</v>
      </c>
      <c r="F678" s="199" t="s">
        <v>2325</v>
      </c>
    </row>
    <row r="679" ht="22.5" customHeight="1">
      <c r="A679" s="197">
        <v>46041.756257141205</v>
      </c>
      <c r="B679" s="100" t="s">
        <v>2324</v>
      </c>
      <c r="C679" s="100" t="s">
        <v>1688</v>
      </c>
      <c r="D679" s="100" t="s">
        <v>1689</v>
      </c>
      <c r="E679" s="198">
        <v>300.0</v>
      </c>
      <c r="F679" s="199" t="s">
        <v>2327</v>
      </c>
    </row>
    <row r="680" ht="22.5" customHeight="1">
      <c r="A680" s="197">
        <v>46041.75625747685</v>
      </c>
      <c r="B680" s="100" t="s">
        <v>2328</v>
      </c>
      <c r="C680" s="100" t="s">
        <v>1685</v>
      </c>
      <c r="D680" s="100" t="s">
        <v>1686</v>
      </c>
      <c r="E680" s="198">
        <v>160.0</v>
      </c>
      <c r="F680" s="199" t="s">
        <v>2240</v>
      </c>
    </row>
    <row r="681" ht="22.5" customHeight="1">
      <c r="A681" s="197">
        <v>46041.75625747685</v>
      </c>
      <c r="B681" s="100" t="s">
        <v>2328</v>
      </c>
      <c r="C681" s="100" t="s">
        <v>1688</v>
      </c>
      <c r="D681" s="100" t="s">
        <v>1689</v>
      </c>
      <c r="E681" s="198">
        <v>200.0</v>
      </c>
      <c r="F681" s="199" t="s">
        <v>2241</v>
      </c>
    </row>
    <row r="682" ht="22.5" customHeight="1">
      <c r="A682" s="197">
        <v>46041.75625795139</v>
      </c>
      <c r="B682" s="100" t="s">
        <v>2330</v>
      </c>
      <c r="C682" s="100" t="s">
        <v>1685</v>
      </c>
      <c r="D682" s="100" t="s">
        <v>1686</v>
      </c>
      <c r="E682" s="198">
        <v>6.75</v>
      </c>
      <c r="F682" s="100" t="s">
        <v>2331</v>
      </c>
    </row>
    <row r="683" ht="22.5" customHeight="1">
      <c r="A683" s="197">
        <v>46041.75625795139</v>
      </c>
      <c r="B683" s="100" t="s">
        <v>2330</v>
      </c>
      <c r="C683" s="100" t="s">
        <v>1688</v>
      </c>
      <c r="D683" s="100" t="s">
        <v>1689</v>
      </c>
      <c r="E683" s="198">
        <v>15.0</v>
      </c>
      <c r="F683" s="100" t="s">
        <v>2333</v>
      </c>
    </row>
    <row r="684" ht="22.5" customHeight="1">
      <c r="A684" s="197">
        <v>46041.76820236111</v>
      </c>
      <c r="B684" s="100" t="s">
        <v>2334</v>
      </c>
      <c r="C684" s="100" t="s">
        <v>1685</v>
      </c>
      <c r="D684" s="100" t="s">
        <v>1686</v>
      </c>
      <c r="E684" s="198">
        <v>27.5</v>
      </c>
      <c r="F684" s="199" t="s">
        <v>2335</v>
      </c>
    </row>
    <row r="685" ht="22.5" customHeight="1">
      <c r="A685" s="197">
        <v>46041.76820236111</v>
      </c>
      <c r="B685" s="100" t="s">
        <v>2334</v>
      </c>
      <c r="C685" s="100" t="s">
        <v>1688</v>
      </c>
      <c r="D685" s="100" t="s">
        <v>1689</v>
      </c>
      <c r="E685" s="198">
        <v>45.0</v>
      </c>
      <c r="F685" s="199" t="s">
        <v>2337</v>
      </c>
    </row>
    <row r="686" ht="22.5" customHeight="1">
      <c r="A686" s="197">
        <v>46041.77366222222</v>
      </c>
      <c r="B686" s="100" t="s">
        <v>2338</v>
      </c>
      <c r="C686" s="100" t="s">
        <v>1685</v>
      </c>
      <c r="D686" s="100" t="s">
        <v>1686</v>
      </c>
      <c r="E686" s="198">
        <v>126.0</v>
      </c>
      <c r="F686" s="199" t="s">
        <v>2339</v>
      </c>
    </row>
    <row r="687" ht="22.5" customHeight="1">
      <c r="A687" s="197">
        <v>46041.77366222222</v>
      </c>
      <c r="B687" s="100" t="s">
        <v>2338</v>
      </c>
      <c r="C687" s="100" t="s">
        <v>1688</v>
      </c>
      <c r="D687" s="100" t="s">
        <v>1689</v>
      </c>
      <c r="E687" s="198">
        <v>170.0</v>
      </c>
      <c r="F687" s="199" t="s">
        <v>2340</v>
      </c>
    </row>
    <row r="688" ht="22.5" customHeight="1">
      <c r="A688" s="197">
        <v>46041.77366245371</v>
      </c>
      <c r="B688" s="100" t="s">
        <v>2342</v>
      </c>
      <c r="C688" s="100" t="s">
        <v>1685</v>
      </c>
      <c r="D688" s="100" t="s">
        <v>1686</v>
      </c>
      <c r="E688" s="198">
        <v>120.0</v>
      </c>
      <c r="F688" s="199" t="s">
        <v>2343</v>
      </c>
    </row>
    <row r="689" ht="22.5" customHeight="1">
      <c r="A689" s="197">
        <v>46041.77366245371</v>
      </c>
      <c r="B689" s="100" t="s">
        <v>2342</v>
      </c>
      <c r="C689" s="100" t="s">
        <v>1688</v>
      </c>
      <c r="D689" s="100" t="s">
        <v>1689</v>
      </c>
      <c r="E689" s="198">
        <v>140.0</v>
      </c>
      <c r="F689" s="199" t="s">
        <v>2344</v>
      </c>
    </row>
    <row r="690" ht="22.5" customHeight="1">
      <c r="A690" s="197">
        <v>46041.77366274306</v>
      </c>
      <c r="B690" s="100" t="s">
        <v>2345</v>
      </c>
      <c r="C690" s="100" t="s">
        <v>1685</v>
      </c>
      <c r="D690" s="100" t="s">
        <v>1686</v>
      </c>
      <c r="E690" s="198">
        <v>106.0</v>
      </c>
      <c r="F690" s="199" t="s">
        <v>2347</v>
      </c>
    </row>
    <row r="691" ht="22.5" customHeight="1">
      <c r="A691" s="197">
        <v>46041.77366274306</v>
      </c>
      <c r="B691" s="100" t="s">
        <v>2345</v>
      </c>
      <c r="C691" s="100" t="s">
        <v>1688</v>
      </c>
      <c r="D691" s="100" t="s">
        <v>1689</v>
      </c>
      <c r="E691" s="198">
        <v>135.0</v>
      </c>
      <c r="F691" s="199" t="s">
        <v>2348</v>
      </c>
    </row>
    <row r="692" ht="22.5" customHeight="1">
      <c r="A692" s="197">
        <v>46041.773663182874</v>
      </c>
      <c r="B692" s="100" t="s">
        <v>2349</v>
      </c>
      <c r="C692" s="100" t="s">
        <v>1685</v>
      </c>
      <c r="D692" s="100" t="s">
        <v>1686</v>
      </c>
      <c r="E692" s="198">
        <v>81.0</v>
      </c>
      <c r="F692" s="199" t="s">
        <v>2350</v>
      </c>
    </row>
    <row r="693" ht="22.5" customHeight="1">
      <c r="A693" s="197">
        <v>46041.773663182874</v>
      </c>
      <c r="B693" s="100" t="s">
        <v>2349</v>
      </c>
      <c r="C693" s="100" t="s">
        <v>1688</v>
      </c>
      <c r="D693" s="100" t="s">
        <v>1689</v>
      </c>
      <c r="E693" s="198">
        <v>110.0</v>
      </c>
      <c r="F693" s="199" t="s">
        <v>2351</v>
      </c>
    </row>
    <row r="694" ht="22.5" customHeight="1">
      <c r="A694" s="197">
        <v>46041.7736635301</v>
      </c>
      <c r="B694" s="100" t="s">
        <v>2352</v>
      </c>
      <c r="C694" s="100" t="s">
        <v>1685</v>
      </c>
      <c r="D694" s="100" t="s">
        <v>1686</v>
      </c>
      <c r="E694" s="198">
        <v>106.0</v>
      </c>
      <c r="F694" s="199" t="s">
        <v>2353</v>
      </c>
    </row>
    <row r="695" ht="22.5" customHeight="1">
      <c r="A695" s="197">
        <v>46041.7736635301</v>
      </c>
      <c r="B695" s="100" t="s">
        <v>2352</v>
      </c>
      <c r="C695" s="100" t="s">
        <v>1688</v>
      </c>
      <c r="D695" s="100" t="s">
        <v>1689</v>
      </c>
      <c r="E695" s="198">
        <v>130.0</v>
      </c>
      <c r="F695" s="199" t="s">
        <v>2354</v>
      </c>
    </row>
    <row r="696" ht="22.5" customHeight="1">
      <c r="A696" s="197">
        <v>46042.89569509259</v>
      </c>
      <c r="B696" s="100" t="s">
        <v>2355</v>
      </c>
      <c r="C696" s="100" t="s">
        <v>1685</v>
      </c>
      <c r="D696" s="100" t="s">
        <v>1686</v>
      </c>
      <c r="E696" s="198">
        <v>40.0</v>
      </c>
      <c r="F696" s="199" t="s">
        <v>2356</v>
      </c>
    </row>
    <row r="697" ht="22.5" customHeight="1">
      <c r="A697" s="197">
        <v>46042.89569509259</v>
      </c>
      <c r="B697" s="100" t="s">
        <v>2355</v>
      </c>
      <c r="C697" s="100" t="s">
        <v>1688</v>
      </c>
      <c r="D697" s="100" t="s">
        <v>1689</v>
      </c>
      <c r="E697" s="198">
        <v>100.0</v>
      </c>
      <c r="F697" s="199" t="s">
        <v>2357</v>
      </c>
    </row>
    <row r="698" ht="22.5" customHeight="1">
      <c r="A698" s="197">
        <v>46042.895695451385</v>
      </c>
      <c r="B698" s="100" t="s">
        <v>2358</v>
      </c>
      <c r="C698" s="100" t="s">
        <v>1685</v>
      </c>
      <c r="D698" s="100" t="s">
        <v>1686</v>
      </c>
      <c r="E698" s="198">
        <v>30.0</v>
      </c>
      <c r="F698" s="199" t="s">
        <v>2360</v>
      </c>
    </row>
    <row r="699" ht="22.5" customHeight="1">
      <c r="A699" s="197">
        <v>46042.895695451385</v>
      </c>
      <c r="B699" s="100" t="s">
        <v>2358</v>
      </c>
      <c r="C699" s="100" t="s">
        <v>1688</v>
      </c>
      <c r="D699" s="100" t="s">
        <v>1689</v>
      </c>
      <c r="E699" s="198">
        <v>60.0</v>
      </c>
      <c r="F699" s="199" t="s">
        <v>2361</v>
      </c>
    </row>
    <row r="700" ht="22.5" customHeight="1">
      <c r="A700" s="197">
        <v>46043.78770359953</v>
      </c>
      <c r="B700" s="100" t="s">
        <v>2362</v>
      </c>
      <c r="C700" s="100" t="s">
        <v>1685</v>
      </c>
      <c r="D700" s="100" t="s">
        <v>1686</v>
      </c>
      <c r="E700" s="198">
        <v>390.0</v>
      </c>
      <c r="F700" s="199" t="s">
        <v>2199</v>
      </c>
    </row>
    <row r="701" ht="22.5" customHeight="1">
      <c r="A701" s="197">
        <v>46043.78770359953</v>
      </c>
      <c r="B701" s="100" t="s">
        <v>2362</v>
      </c>
      <c r="C701" s="100" t="s">
        <v>1688</v>
      </c>
      <c r="D701" s="100" t="s">
        <v>1689</v>
      </c>
      <c r="E701" s="198">
        <v>460.0</v>
      </c>
      <c r="F701" s="199" t="s">
        <v>2200</v>
      </c>
    </row>
    <row r="702" ht="22.5" customHeight="1">
      <c r="A702" s="197">
        <v>46043.78770398148</v>
      </c>
      <c r="B702" s="100" t="s">
        <v>2364</v>
      </c>
      <c r="C702" s="100" t="s">
        <v>1685</v>
      </c>
      <c r="D702" s="100" t="s">
        <v>1686</v>
      </c>
      <c r="E702" s="198">
        <v>125.0</v>
      </c>
      <c r="F702" s="199" t="s">
        <v>1867</v>
      </c>
    </row>
    <row r="703" ht="22.5" customHeight="1">
      <c r="A703" s="197">
        <v>46043.78770398148</v>
      </c>
      <c r="B703" s="100" t="s">
        <v>2364</v>
      </c>
      <c r="C703" s="100" t="s">
        <v>1688</v>
      </c>
      <c r="D703" s="100" t="s">
        <v>1689</v>
      </c>
      <c r="E703" s="198">
        <v>170.0</v>
      </c>
      <c r="F703" s="199" t="s">
        <v>1868</v>
      </c>
    </row>
    <row r="704" ht="22.5" customHeight="1">
      <c r="A704" s="197">
        <v>46043.78770444445</v>
      </c>
      <c r="B704" s="100" t="s">
        <v>2366</v>
      </c>
      <c r="C704" s="100" t="s">
        <v>1685</v>
      </c>
      <c r="D704" s="100" t="s">
        <v>1686</v>
      </c>
      <c r="E704" s="198">
        <v>390.0</v>
      </c>
      <c r="F704" s="199" t="s">
        <v>2199</v>
      </c>
    </row>
    <row r="705" ht="22.5" customHeight="1">
      <c r="A705" s="197">
        <v>46043.78770444445</v>
      </c>
      <c r="B705" s="100" t="s">
        <v>2366</v>
      </c>
      <c r="C705" s="100" t="s">
        <v>1688</v>
      </c>
      <c r="D705" s="100" t="s">
        <v>1689</v>
      </c>
      <c r="E705" s="198">
        <v>460.0</v>
      </c>
      <c r="F705" s="199" t="s">
        <v>2200</v>
      </c>
    </row>
    <row r="706" ht="22.5" customHeight="1">
      <c r="A706" s="197">
        <v>46043.866025208335</v>
      </c>
      <c r="B706" s="100" t="s">
        <v>2368</v>
      </c>
      <c r="C706" s="100" t="s">
        <v>1685</v>
      </c>
      <c r="D706" s="100" t="s">
        <v>1686</v>
      </c>
      <c r="E706" s="198">
        <v>59.0</v>
      </c>
      <c r="F706" s="199" t="s">
        <v>2370</v>
      </c>
    </row>
    <row r="707" ht="22.5" customHeight="1">
      <c r="A707" s="197">
        <v>46043.866025208335</v>
      </c>
      <c r="B707" s="100" t="s">
        <v>2368</v>
      </c>
      <c r="C707" s="100" t="s">
        <v>1688</v>
      </c>
      <c r="D707" s="100" t="s">
        <v>1689</v>
      </c>
      <c r="E707" s="198">
        <v>90.0</v>
      </c>
      <c r="F707" s="199" t="s">
        <v>2371</v>
      </c>
    </row>
    <row r="708" ht="22.5" customHeight="1">
      <c r="A708" s="197">
        <v>46043.906355196756</v>
      </c>
      <c r="B708" s="100" t="s">
        <v>2372</v>
      </c>
      <c r="C708" s="100" t="s">
        <v>1685</v>
      </c>
      <c r="D708" s="100" t="s">
        <v>1686</v>
      </c>
      <c r="E708" s="198">
        <v>145.0</v>
      </c>
      <c r="F708" s="199" t="s">
        <v>2029</v>
      </c>
    </row>
    <row r="709" ht="22.5" customHeight="1">
      <c r="A709" s="197">
        <v>46043.906355196756</v>
      </c>
      <c r="B709" s="100" t="s">
        <v>2372</v>
      </c>
      <c r="C709" s="100" t="s">
        <v>1688</v>
      </c>
      <c r="D709" s="100" t="s">
        <v>1689</v>
      </c>
      <c r="E709" s="198">
        <v>180.0</v>
      </c>
      <c r="F709" s="199" t="s">
        <v>2030</v>
      </c>
    </row>
    <row r="710" ht="22.5" customHeight="1">
      <c r="A710" s="197">
        <v>46043.9063555787</v>
      </c>
      <c r="B710" s="100" t="s">
        <v>2374</v>
      </c>
      <c r="C710" s="100" t="s">
        <v>1685</v>
      </c>
      <c r="D710" s="100" t="s">
        <v>1686</v>
      </c>
      <c r="E710" s="198">
        <v>35.0</v>
      </c>
      <c r="F710" s="199" t="s">
        <v>1805</v>
      </c>
    </row>
    <row r="711" ht="22.5" customHeight="1">
      <c r="A711" s="197">
        <v>46043.9063555787</v>
      </c>
      <c r="B711" s="100" t="s">
        <v>2374</v>
      </c>
      <c r="C711" s="100" t="s">
        <v>1688</v>
      </c>
      <c r="D711" s="100" t="s">
        <v>1689</v>
      </c>
      <c r="E711" s="198">
        <v>50.0</v>
      </c>
      <c r="F711" s="199" t="s">
        <v>1806</v>
      </c>
    </row>
    <row r="712" ht="22.5" customHeight="1">
      <c r="A712" s="197">
        <v>46043.90635584491</v>
      </c>
      <c r="B712" s="100" t="s">
        <v>2376</v>
      </c>
      <c r="C712" s="100" t="s">
        <v>1685</v>
      </c>
      <c r="D712" s="100" t="s">
        <v>1686</v>
      </c>
      <c r="E712" s="198">
        <v>92.5</v>
      </c>
      <c r="F712" s="199" t="s">
        <v>2378</v>
      </c>
    </row>
    <row r="713" ht="22.5" customHeight="1">
      <c r="A713" s="197">
        <v>46043.90635584491</v>
      </c>
      <c r="B713" s="100" t="s">
        <v>2376</v>
      </c>
      <c r="C713" s="100" t="s">
        <v>1688</v>
      </c>
      <c r="D713" s="100" t="s">
        <v>1689</v>
      </c>
      <c r="E713" s="198">
        <v>220.0</v>
      </c>
      <c r="F713" s="199" t="s">
        <v>2379</v>
      </c>
    </row>
    <row r="714" ht="22.5" customHeight="1">
      <c r="A714" s="197">
        <v>46043.90635612269</v>
      </c>
      <c r="B714" s="100" t="s">
        <v>2380</v>
      </c>
      <c r="C714" s="100" t="s">
        <v>1685</v>
      </c>
      <c r="D714" s="100" t="s">
        <v>1686</v>
      </c>
      <c r="E714" s="198">
        <v>27.5</v>
      </c>
      <c r="F714" s="199" t="s">
        <v>2335</v>
      </c>
    </row>
    <row r="715" ht="22.5" customHeight="1">
      <c r="A715" s="197">
        <v>46043.90635612269</v>
      </c>
      <c r="B715" s="100" t="s">
        <v>2380</v>
      </c>
      <c r="C715" s="100" t="s">
        <v>1688</v>
      </c>
      <c r="D715" s="100" t="s">
        <v>1689</v>
      </c>
      <c r="E715" s="198">
        <v>50.0</v>
      </c>
      <c r="F715" s="199" t="s">
        <v>2337</v>
      </c>
    </row>
    <row r="716" ht="22.5" customHeight="1">
      <c r="A716" s="197">
        <v>46044.78636267361</v>
      </c>
      <c r="B716" s="100" t="s">
        <v>2383</v>
      </c>
      <c r="C716" s="100" t="s">
        <v>1685</v>
      </c>
      <c r="D716" s="100" t="s">
        <v>1686</v>
      </c>
      <c r="E716" s="198">
        <v>48.0</v>
      </c>
      <c r="F716" s="199" t="s">
        <v>1859</v>
      </c>
    </row>
    <row r="717" ht="22.5" customHeight="1">
      <c r="A717" s="197">
        <v>46044.78636267361</v>
      </c>
      <c r="B717" s="100" t="s">
        <v>2383</v>
      </c>
      <c r="C717" s="100" t="s">
        <v>1688</v>
      </c>
      <c r="D717" s="100" t="s">
        <v>1689</v>
      </c>
      <c r="E717" s="198">
        <v>100.0</v>
      </c>
      <c r="F717" s="199" t="s">
        <v>1860</v>
      </c>
    </row>
    <row r="718" ht="22.5" customHeight="1">
      <c r="A718" s="197">
        <v>46047.770103125</v>
      </c>
      <c r="B718" s="100" t="s">
        <v>2384</v>
      </c>
      <c r="C718" s="100" t="s">
        <v>1685</v>
      </c>
      <c r="D718" s="100" t="s">
        <v>1686</v>
      </c>
      <c r="E718" s="198">
        <v>40.0</v>
      </c>
      <c r="F718" s="199" t="s">
        <v>2356</v>
      </c>
    </row>
    <row r="719" ht="22.5" customHeight="1">
      <c r="A719" s="197">
        <v>46047.770103125</v>
      </c>
      <c r="B719" s="100" t="s">
        <v>2384</v>
      </c>
      <c r="C719" s="100" t="s">
        <v>1688</v>
      </c>
      <c r="D719" s="100" t="s">
        <v>1689</v>
      </c>
      <c r="E719" s="198">
        <v>100.0</v>
      </c>
      <c r="F719" s="199" t="s">
        <v>2357</v>
      </c>
    </row>
    <row r="720" ht="22.5" customHeight="1">
      <c r="A720" s="197">
        <v>46047.78526885417</v>
      </c>
      <c r="B720" s="100" t="s">
        <v>2386</v>
      </c>
      <c r="C720" s="100" t="s">
        <v>1685</v>
      </c>
      <c r="D720" s="100" t="s">
        <v>1686</v>
      </c>
      <c r="E720" s="198">
        <v>13.5</v>
      </c>
      <c r="F720" s="199" t="s">
        <v>2182</v>
      </c>
    </row>
    <row r="721" ht="22.5" customHeight="1">
      <c r="A721" s="197">
        <v>46047.78526885417</v>
      </c>
      <c r="B721" s="100" t="s">
        <v>2386</v>
      </c>
      <c r="C721" s="100" t="s">
        <v>1688</v>
      </c>
      <c r="D721" s="100" t="s">
        <v>1689</v>
      </c>
      <c r="E721" s="198">
        <v>30.0</v>
      </c>
      <c r="F721" s="199" t="s">
        <v>2183</v>
      </c>
    </row>
    <row r="722" ht="22.5" customHeight="1">
      <c r="A722" s="197">
        <v>46047.78526954861</v>
      </c>
      <c r="B722" s="100" t="s">
        <v>2388</v>
      </c>
      <c r="C722" s="100" t="s">
        <v>1685</v>
      </c>
      <c r="D722" s="100" t="s">
        <v>1686</v>
      </c>
      <c r="E722" s="198">
        <v>13.14</v>
      </c>
      <c r="F722" s="100" t="s">
        <v>2178</v>
      </c>
    </row>
    <row r="723" ht="22.5" customHeight="1">
      <c r="A723" s="197">
        <v>46047.78526954861</v>
      </c>
      <c r="B723" s="100" t="s">
        <v>2388</v>
      </c>
      <c r="C723" s="100" t="s">
        <v>1688</v>
      </c>
      <c r="D723" s="100" t="s">
        <v>1689</v>
      </c>
      <c r="E723" s="198">
        <v>30.0</v>
      </c>
      <c r="F723" s="100" t="s">
        <v>2179</v>
      </c>
    </row>
    <row r="724" ht="22.5" customHeight="1">
      <c r="A724" s="197">
        <v>46047.785270127315</v>
      </c>
      <c r="B724" s="100" t="s">
        <v>2390</v>
      </c>
      <c r="C724" s="100" t="s">
        <v>1685</v>
      </c>
      <c r="D724" s="100" t="s">
        <v>1686</v>
      </c>
      <c r="E724" s="198">
        <v>7.0</v>
      </c>
      <c r="F724" s="199" t="s">
        <v>2391</v>
      </c>
    </row>
    <row r="725" ht="22.5" customHeight="1">
      <c r="A725" s="197">
        <v>46047.785270127315</v>
      </c>
      <c r="B725" s="100" t="s">
        <v>2390</v>
      </c>
      <c r="C725" s="100" t="s">
        <v>1688</v>
      </c>
      <c r="D725" s="100" t="s">
        <v>1689</v>
      </c>
      <c r="E725" s="198">
        <v>20.0</v>
      </c>
      <c r="F725" s="199" t="s">
        <v>2392</v>
      </c>
    </row>
    <row r="726" ht="22.5" customHeight="1">
      <c r="A726" s="197">
        <v>46047.84467978009</v>
      </c>
      <c r="B726" s="100" t="s">
        <v>2393</v>
      </c>
      <c r="C726" s="100" t="s">
        <v>1685</v>
      </c>
      <c r="D726" s="100" t="s">
        <v>1686</v>
      </c>
      <c r="E726" s="198">
        <v>29.0</v>
      </c>
      <c r="F726" s="100" t="s">
        <v>2209</v>
      </c>
    </row>
    <row r="727" ht="22.5" customHeight="1">
      <c r="A727" s="197">
        <v>46047.84467978009</v>
      </c>
      <c r="B727" s="100" t="s">
        <v>2393</v>
      </c>
      <c r="C727" s="100" t="s">
        <v>1688</v>
      </c>
      <c r="D727" s="100" t="s">
        <v>1689</v>
      </c>
      <c r="E727" s="198">
        <v>50.0</v>
      </c>
      <c r="F727" s="100" t="s">
        <v>2210</v>
      </c>
    </row>
    <row r="728" ht="22.5" customHeight="1">
      <c r="A728" s="197">
        <v>46047.844680752314</v>
      </c>
      <c r="B728" s="100" t="s">
        <v>2395</v>
      </c>
      <c r="C728" s="100" t="s">
        <v>1685</v>
      </c>
      <c r="D728" s="100" t="s">
        <v>1686</v>
      </c>
      <c r="E728" s="198">
        <v>36.0</v>
      </c>
      <c r="F728" s="199" t="s">
        <v>1859</v>
      </c>
    </row>
    <row r="729" ht="22.5" customHeight="1">
      <c r="A729" s="197">
        <v>46047.844680752314</v>
      </c>
      <c r="B729" s="100" t="s">
        <v>2395</v>
      </c>
      <c r="C729" s="100" t="s">
        <v>1688</v>
      </c>
      <c r="D729" s="100" t="s">
        <v>1689</v>
      </c>
      <c r="E729" s="198">
        <v>75.0</v>
      </c>
      <c r="F729" s="199" t="s">
        <v>1860</v>
      </c>
    </row>
    <row r="730" ht="22.5" customHeight="1">
      <c r="A730" s="197">
        <v>46047.84468155092</v>
      </c>
      <c r="B730" s="100" t="s">
        <v>2397</v>
      </c>
      <c r="C730" s="100" t="s">
        <v>1685</v>
      </c>
      <c r="D730" s="100" t="s">
        <v>1686</v>
      </c>
      <c r="E730" s="198">
        <v>80.0</v>
      </c>
      <c r="F730" s="199" t="s">
        <v>2398</v>
      </c>
    </row>
    <row r="731" ht="22.5" customHeight="1">
      <c r="A731" s="197">
        <v>46047.84468155092</v>
      </c>
      <c r="B731" s="100" t="s">
        <v>2397</v>
      </c>
      <c r="C731" s="100" t="s">
        <v>1688</v>
      </c>
      <c r="D731" s="100" t="s">
        <v>1689</v>
      </c>
      <c r="E731" s="198">
        <v>150.0</v>
      </c>
      <c r="F731" s="199" t="s">
        <v>2400</v>
      </c>
    </row>
    <row r="732" ht="22.5" customHeight="1">
      <c r="A732" s="197">
        <v>46047.84468243056</v>
      </c>
      <c r="B732" s="100" t="s">
        <v>2401</v>
      </c>
      <c r="C732" s="100" t="s">
        <v>1685</v>
      </c>
      <c r="D732" s="100" t="s">
        <v>1686</v>
      </c>
      <c r="E732" s="198">
        <v>55.0</v>
      </c>
      <c r="F732" s="199" t="s">
        <v>2402</v>
      </c>
    </row>
    <row r="733" ht="22.5" customHeight="1">
      <c r="A733" s="197">
        <v>46047.84468243056</v>
      </c>
      <c r="B733" s="100" t="s">
        <v>2401</v>
      </c>
      <c r="C733" s="100" t="s">
        <v>1688</v>
      </c>
      <c r="D733" s="100" t="s">
        <v>1689</v>
      </c>
      <c r="E733" s="198">
        <v>75.0</v>
      </c>
      <c r="F733" s="199" t="s">
        <v>2403</v>
      </c>
    </row>
    <row r="734" ht="22.5" customHeight="1">
      <c r="A734" s="197">
        <v>46047.844683240735</v>
      </c>
      <c r="B734" s="100" t="s">
        <v>2404</v>
      </c>
      <c r="C734" s="100" t="s">
        <v>1685</v>
      </c>
      <c r="D734" s="100" t="s">
        <v>1686</v>
      </c>
      <c r="E734" s="198">
        <v>125.0</v>
      </c>
      <c r="F734" s="199" t="s">
        <v>2161</v>
      </c>
    </row>
    <row r="735" ht="22.5" customHeight="1">
      <c r="A735" s="197">
        <v>46047.844683240735</v>
      </c>
      <c r="B735" s="100" t="s">
        <v>2404</v>
      </c>
      <c r="C735" s="100" t="s">
        <v>1688</v>
      </c>
      <c r="D735" s="100" t="s">
        <v>1689</v>
      </c>
      <c r="E735" s="198">
        <v>150.0</v>
      </c>
      <c r="F735" s="199" t="s">
        <v>2162</v>
      </c>
    </row>
    <row r="736" ht="22.5" customHeight="1">
      <c r="A736" s="197">
        <v>46047.87442049768</v>
      </c>
      <c r="B736" s="100" t="s">
        <v>2406</v>
      </c>
      <c r="C736" s="100" t="s">
        <v>1685</v>
      </c>
      <c r="D736" s="100" t="s">
        <v>1686</v>
      </c>
      <c r="E736" s="198">
        <v>56.4</v>
      </c>
      <c r="F736" s="199" t="s">
        <v>1753</v>
      </c>
    </row>
    <row r="737" ht="22.5" customHeight="1">
      <c r="A737" s="197">
        <v>46047.87442049768</v>
      </c>
      <c r="B737" s="100" t="s">
        <v>2406</v>
      </c>
      <c r="C737" s="100" t="s">
        <v>1688</v>
      </c>
      <c r="D737" s="100" t="s">
        <v>1689</v>
      </c>
      <c r="E737" s="198">
        <v>70.0</v>
      </c>
      <c r="F737" s="199" t="s">
        <v>1754</v>
      </c>
    </row>
    <row r="738" ht="22.5" customHeight="1">
      <c r="A738" s="197">
        <v>46047.87442126157</v>
      </c>
      <c r="B738" s="100" t="s">
        <v>2408</v>
      </c>
      <c r="C738" s="100" t="s">
        <v>1685</v>
      </c>
      <c r="D738" s="100" t="s">
        <v>1686</v>
      </c>
      <c r="E738" s="198">
        <v>35.0</v>
      </c>
      <c r="F738" s="199" t="s">
        <v>2409</v>
      </c>
    </row>
    <row r="739" ht="22.5" customHeight="1">
      <c r="A739" s="197">
        <v>46047.87442127315</v>
      </c>
      <c r="B739" s="100" t="s">
        <v>2408</v>
      </c>
      <c r="C739" s="100" t="s">
        <v>1688</v>
      </c>
      <c r="D739" s="100" t="s">
        <v>1689</v>
      </c>
      <c r="E739" s="198">
        <v>50.0</v>
      </c>
      <c r="F739" s="199" t="s">
        <v>2411</v>
      </c>
    </row>
    <row r="740" ht="22.5" customHeight="1">
      <c r="A740" s="197">
        <v>46047.87442202546</v>
      </c>
      <c r="B740" s="100" t="s">
        <v>2412</v>
      </c>
      <c r="C740" s="100" t="s">
        <v>1685</v>
      </c>
      <c r="D740" s="100" t="s">
        <v>1686</v>
      </c>
      <c r="E740" s="198">
        <v>17.0</v>
      </c>
      <c r="F740" s="199" t="s">
        <v>2286</v>
      </c>
    </row>
    <row r="741" ht="22.5" customHeight="1">
      <c r="A741" s="197">
        <v>46047.87442202546</v>
      </c>
      <c r="B741" s="100" t="s">
        <v>2412</v>
      </c>
      <c r="C741" s="100" t="s">
        <v>1688</v>
      </c>
      <c r="D741" s="100" t="s">
        <v>1689</v>
      </c>
      <c r="E741" s="198">
        <v>20.0</v>
      </c>
      <c r="F741" s="199" t="s">
        <v>2288</v>
      </c>
    </row>
    <row r="742" ht="22.5" customHeight="1">
      <c r="A742" s="197">
        <v>46047.942097430554</v>
      </c>
      <c r="B742" s="100" t="s">
        <v>2413</v>
      </c>
      <c r="C742" s="100" t="s">
        <v>1685</v>
      </c>
      <c r="D742" s="100" t="s">
        <v>1686</v>
      </c>
      <c r="E742" s="198">
        <v>174.3</v>
      </c>
      <c r="F742" s="199" t="s">
        <v>2414</v>
      </c>
    </row>
    <row r="743" ht="22.5" customHeight="1">
      <c r="A743" s="197">
        <v>46047.942097430554</v>
      </c>
      <c r="B743" s="100" t="s">
        <v>2413</v>
      </c>
      <c r="C743" s="100" t="s">
        <v>1688</v>
      </c>
      <c r="D743" s="100" t="s">
        <v>1689</v>
      </c>
      <c r="E743" s="198">
        <v>350.0</v>
      </c>
      <c r="F743" s="199" t="s">
        <v>2416</v>
      </c>
    </row>
    <row r="744" ht="22.5" customHeight="1">
      <c r="A744" s="197">
        <v>46051.35128236111</v>
      </c>
      <c r="B744" s="100" t="s">
        <v>2417</v>
      </c>
      <c r="C744" s="100" t="s">
        <v>1685</v>
      </c>
      <c r="D744" s="100" t="s">
        <v>1686</v>
      </c>
      <c r="E744" s="198">
        <v>20.0</v>
      </c>
      <c r="F744" s="199" t="s">
        <v>2356</v>
      </c>
    </row>
    <row r="745" ht="22.5" customHeight="1">
      <c r="A745" s="197">
        <v>46051.35128236111</v>
      </c>
      <c r="B745" s="100" t="s">
        <v>2417</v>
      </c>
      <c r="C745" s="100" t="s">
        <v>1688</v>
      </c>
      <c r="D745" s="100" t="s">
        <v>1689</v>
      </c>
      <c r="E745" s="198">
        <v>50.0</v>
      </c>
      <c r="F745" s="199" t="s">
        <v>2357</v>
      </c>
    </row>
    <row r="746" ht="22.5" customHeight="1">
      <c r="A746" s="197">
        <v>46052.95216361111</v>
      </c>
      <c r="B746" s="100" t="s">
        <v>2419</v>
      </c>
      <c r="C746" s="100" t="s">
        <v>1685</v>
      </c>
      <c r="D746" s="100" t="s">
        <v>1686</v>
      </c>
      <c r="E746" s="198">
        <v>11.25</v>
      </c>
      <c r="F746" s="199" t="s">
        <v>2120</v>
      </c>
    </row>
    <row r="747" ht="22.5" customHeight="1">
      <c r="A747" s="197">
        <v>46052.95216361111</v>
      </c>
      <c r="B747" s="100" t="s">
        <v>2419</v>
      </c>
      <c r="C747" s="100" t="s">
        <v>1688</v>
      </c>
      <c r="D747" s="100" t="s">
        <v>1689</v>
      </c>
      <c r="E747" s="198">
        <v>20.0</v>
      </c>
      <c r="F747" s="199" t="s">
        <v>2121</v>
      </c>
    </row>
    <row r="748" ht="22.5" customHeight="1">
      <c r="A748" s="197">
        <v>46052.95216443287</v>
      </c>
      <c r="B748" s="100" t="s">
        <v>2421</v>
      </c>
      <c r="C748" s="100" t="s">
        <v>1685</v>
      </c>
      <c r="D748" s="100" t="s">
        <v>1686</v>
      </c>
      <c r="E748" s="198">
        <v>17.5</v>
      </c>
      <c r="F748" s="199" t="s">
        <v>2137</v>
      </c>
    </row>
    <row r="749" ht="22.5" customHeight="1">
      <c r="A749" s="197">
        <v>46052.95216443287</v>
      </c>
      <c r="B749" s="100" t="s">
        <v>2421</v>
      </c>
      <c r="C749" s="100" t="s">
        <v>1688</v>
      </c>
      <c r="D749" s="100" t="s">
        <v>1689</v>
      </c>
      <c r="E749" s="198">
        <v>25.0</v>
      </c>
      <c r="F749" s="199" t="s">
        <v>2138</v>
      </c>
    </row>
    <row r="750" ht="22.5" customHeight="1">
      <c r="A750" s="197">
        <v>46052.952165532406</v>
      </c>
      <c r="B750" s="100" t="s">
        <v>2423</v>
      </c>
      <c r="C750" s="100" t="s">
        <v>1685</v>
      </c>
      <c r="D750" s="100" t="s">
        <v>1686</v>
      </c>
      <c r="E750" s="198">
        <v>52.0</v>
      </c>
      <c r="F750" s="199" t="s">
        <v>2424</v>
      </c>
    </row>
    <row r="751" ht="22.5" customHeight="1">
      <c r="A751" s="197">
        <v>46052.952165532406</v>
      </c>
      <c r="B751" s="100" t="s">
        <v>2423</v>
      </c>
      <c r="C751" s="100" t="s">
        <v>1688</v>
      </c>
      <c r="D751" s="100" t="s">
        <v>1689</v>
      </c>
      <c r="E751" s="198">
        <v>80.0</v>
      </c>
      <c r="F751" s="199" t="s">
        <v>2425</v>
      </c>
    </row>
    <row r="752" ht="22.5" customHeight="1">
      <c r="A752" s="197">
        <v>46052.952166874995</v>
      </c>
      <c r="B752" s="100" t="s">
        <v>2426</v>
      </c>
      <c r="C752" s="100" t="s">
        <v>1685</v>
      </c>
      <c r="D752" s="100" t="s">
        <v>1686</v>
      </c>
      <c r="E752" s="198">
        <v>275.0</v>
      </c>
      <c r="F752" s="199" t="s">
        <v>2427</v>
      </c>
    </row>
    <row r="753" ht="22.5" customHeight="1">
      <c r="A753" s="197">
        <v>46052.952166874995</v>
      </c>
      <c r="B753" s="100" t="s">
        <v>2426</v>
      </c>
      <c r="C753" s="100" t="s">
        <v>1688</v>
      </c>
      <c r="D753" s="100" t="s">
        <v>1689</v>
      </c>
      <c r="E753" s="198">
        <v>300.0</v>
      </c>
      <c r="F753" s="199" t="s">
        <v>2428</v>
      </c>
    </row>
    <row r="754" ht="22.5" customHeight="1">
      <c r="A754" s="197">
        <v>46052.952167766205</v>
      </c>
      <c r="B754" s="100" t="s">
        <v>2429</v>
      </c>
      <c r="C754" s="100" t="s">
        <v>1685</v>
      </c>
      <c r="D754" s="100" t="s">
        <v>1686</v>
      </c>
      <c r="E754" s="198">
        <v>89.07</v>
      </c>
      <c r="F754" s="199" t="s">
        <v>1833</v>
      </c>
    </row>
    <row r="755" ht="22.5" customHeight="1">
      <c r="A755" s="197">
        <v>46052.952167766205</v>
      </c>
      <c r="B755" s="100" t="s">
        <v>2429</v>
      </c>
      <c r="C755" s="100" t="s">
        <v>1688</v>
      </c>
      <c r="D755" s="100" t="s">
        <v>1689</v>
      </c>
      <c r="E755" s="198">
        <v>100.0</v>
      </c>
      <c r="F755" s="199" t="s">
        <v>1834</v>
      </c>
    </row>
    <row r="756" ht="22.5" customHeight="1">
      <c r="A756" s="197">
        <v>46052.95216864583</v>
      </c>
      <c r="B756" s="100" t="s">
        <v>2431</v>
      </c>
      <c r="C756" s="100" t="s">
        <v>1685</v>
      </c>
      <c r="D756" s="100" t="s">
        <v>1686</v>
      </c>
      <c r="E756" s="198">
        <v>150.0</v>
      </c>
      <c r="F756" s="199" t="s">
        <v>2432</v>
      </c>
    </row>
    <row r="757" ht="22.5" customHeight="1">
      <c r="A757" s="197">
        <v>46052.95216864583</v>
      </c>
      <c r="B757" s="100" t="s">
        <v>2431</v>
      </c>
      <c r="C757" s="100" t="s">
        <v>1688</v>
      </c>
      <c r="D757" s="100" t="s">
        <v>1689</v>
      </c>
      <c r="E757" s="198">
        <v>200.0</v>
      </c>
      <c r="F757" s="199" t="s">
        <v>2433</v>
      </c>
    </row>
    <row r="758" ht="22.5" customHeight="1">
      <c r="A758" s="197">
        <v>46052.952169502314</v>
      </c>
      <c r="B758" s="100" t="s">
        <v>2435</v>
      </c>
      <c r="C758" s="100" t="s">
        <v>1685</v>
      </c>
      <c r="D758" s="100" t="s">
        <v>1686</v>
      </c>
      <c r="E758" s="198">
        <v>137.5</v>
      </c>
      <c r="F758" s="199" t="s">
        <v>2436</v>
      </c>
    </row>
    <row r="759" ht="22.5" customHeight="1">
      <c r="A759" s="197">
        <v>46052.952169502314</v>
      </c>
      <c r="B759" s="100" t="s">
        <v>2435</v>
      </c>
      <c r="C759" s="100" t="s">
        <v>1688</v>
      </c>
      <c r="D759" s="100" t="s">
        <v>1689</v>
      </c>
      <c r="E759" s="198">
        <v>175.0</v>
      </c>
      <c r="F759" s="199" t="s">
        <v>2437</v>
      </c>
    </row>
    <row r="760" ht="22.5" customHeight="1">
      <c r="A760" s="197">
        <v>46052.95217052083</v>
      </c>
      <c r="B760" s="100" t="s">
        <v>2438</v>
      </c>
      <c r="C760" s="100" t="s">
        <v>1685</v>
      </c>
      <c r="D760" s="100" t="s">
        <v>1686</v>
      </c>
      <c r="E760" s="198">
        <v>180.0</v>
      </c>
      <c r="F760" s="199" t="s">
        <v>2440</v>
      </c>
    </row>
    <row r="761" ht="22.5" customHeight="1">
      <c r="A761" s="197">
        <v>46052.95217052083</v>
      </c>
      <c r="B761" s="100" t="s">
        <v>2438</v>
      </c>
      <c r="C761" s="100" t="s">
        <v>1688</v>
      </c>
      <c r="D761" s="100" t="s">
        <v>1689</v>
      </c>
      <c r="E761" s="198">
        <v>180.0</v>
      </c>
      <c r="F761" s="199" t="s">
        <v>2441</v>
      </c>
    </row>
    <row r="762" ht="22.5" customHeight="1">
      <c r="A762" s="197">
        <v>46052.95217153935</v>
      </c>
      <c r="B762" s="100" t="s">
        <v>2442</v>
      </c>
      <c r="C762" s="100" t="s">
        <v>1685</v>
      </c>
      <c r="D762" s="100" t="s">
        <v>1686</v>
      </c>
      <c r="E762" s="198">
        <v>60.0</v>
      </c>
      <c r="F762" s="199" t="s">
        <v>2444</v>
      </c>
    </row>
    <row r="763" ht="22.5" customHeight="1">
      <c r="A763" s="197">
        <v>46052.95217153935</v>
      </c>
      <c r="B763" s="100" t="s">
        <v>2442</v>
      </c>
      <c r="C763" s="100" t="s">
        <v>1688</v>
      </c>
      <c r="D763" s="100" t="s">
        <v>1689</v>
      </c>
      <c r="E763" s="198">
        <v>60.0</v>
      </c>
      <c r="F763" s="199" t="s">
        <v>2445</v>
      </c>
    </row>
    <row r="764" ht="22.5" customHeight="1">
      <c r="A764" s="197">
        <v>46052.952172881945</v>
      </c>
      <c r="B764" s="100" t="s">
        <v>2446</v>
      </c>
      <c r="C764" s="100" t="s">
        <v>1685</v>
      </c>
      <c r="D764" s="100" t="s">
        <v>1686</v>
      </c>
      <c r="E764" s="198">
        <v>21.25</v>
      </c>
      <c r="F764" s="100" t="s">
        <v>2083</v>
      </c>
    </row>
    <row r="765" ht="22.5" customHeight="1">
      <c r="A765" s="197">
        <v>46052.952172881945</v>
      </c>
      <c r="B765" s="100" t="s">
        <v>2446</v>
      </c>
      <c r="C765" s="100" t="s">
        <v>1688</v>
      </c>
      <c r="D765" s="100" t="s">
        <v>1689</v>
      </c>
      <c r="E765" s="198">
        <v>30.0</v>
      </c>
      <c r="F765" s="100" t="s">
        <v>2084</v>
      </c>
    </row>
    <row r="766" ht="22.5" customHeight="1">
      <c r="A766" s="197">
        <v>46052.95217392361</v>
      </c>
      <c r="B766" s="100" t="s">
        <v>2448</v>
      </c>
      <c r="C766" s="100" t="s">
        <v>1685</v>
      </c>
      <c r="D766" s="100" t="s">
        <v>1686</v>
      </c>
      <c r="E766" s="198">
        <v>180.0</v>
      </c>
      <c r="F766" s="199" t="s">
        <v>2440</v>
      </c>
    </row>
    <row r="767" ht="22.5" customHeight="1">
      <c r="A767" s="197">
        <v>46052.95217392361</v>
      </c>
      <c r="B767" s="100" t="s">
        <v>2448</v>
      </c>
      <c r="C767" s="100" t="s">
        <v>1688</v>
      </c>
      <c r="D767" s="100" t="s">
        <v>1689</v>
      </c>
      <c r="E767" s="198">
        <v>180.0</v>
      </c>
      <c r="F767" s="199" t="s">
        <v>2441</v>
      </c>
    </row>
    <row r="768" ht="22.5" customHeight="1">
      <c r="A768" s="197">
        <v>46052.95217495371</v>
      </c>
      <c r="B768" s="100" t="s">
        <v>2450</v>
      </c>
      <c r="C768" s="100" t="s">
        <v>1685</v>
      </c>
      <c r="D768" s="100" t="s">
        <v>1686</v>
      </c>
      <c r="E768" s="198">
        <v>60.0</v>
      </c>
      <c r="F768" s="199" t="s">
        <v>2444</v>
      </c>
    </row>
    <row r="769" ht="22.5" customHeight="1">
      <c r="A769" s="197">
        <v>46052.95217495371</v>
      </c>
      <c r="B769" s="100" t="s">
        <v>2450</v>
      </c>
      <c r="C769" s="100" t="s">
        <v>1688</v>
      </c>
      <c r="D769" s="100" t="s">
        <v>1689</v>
      </c>
      <c r="E769" s="198">
        <v>50.0</v>
      </c>
      <c r="F769" s="199" t="s">
        <v>2445</v>
      </c>
    </row>
    <row r="770" ht="22.5" customHeight="1">
      <c r="A770" s="197">
        <v>46052.95217616898</v>
      </c>
      <c r="B770" s="100" t="s">
        <v>2452</v>
      </c>
      <c r="C770" s="100" t="s">
        <v>1685</v>
      </c>
      <c r="D770" s="100" t="s">
        <v>1686</v>
      </c>
      <c r="E770" s="198">
        <v>21.25</v>
      </c>
      <c r="F770" s="100" t="s">
        <v>2083</v>
      </c>
    </row>
    <row r="771" ht="22.5" customHeight="1">
      <c r="A771" s="197">
        <v>46052.95217616898</v>
      </c>
      <c r="B771" s="100" t="s">
        <v>2452</v>
      </c>
      <c r="C771" s="100" t="s">
        <v>1688</v>
      </c>
      <c r="D771" s="100" t="s">
        <v>1689</v>
      </c>
      <c r="E771" s="198">
        <v>30.0</v>
      </c>
      <c r="F771" s="100" t="s">
        <v>2084</v>
      </c>
    </row>
    <row r="772" ht="22.5" customHeight="1">
      <c r="A772" s="197">
        <v>46052.952177141204</v>
      </c>
      <c r="B772" s="100" t="s">
        <v>2454</v>
      </c>
      <c r="C772" s="100" t="s">
        <v>1685</v>
      </c>
      <c r="D772" s="100" t="s">
        <v>1686</v>
      </c>
      <c r="E772" s="198">
        <v>26.0</v>
      </c>
      <c r="F772" s="199" t="s">
        <v>2424</v>
      </c>
    </row>
    <row r="773" ht="22.5" customHeight="1">
      <c r="A773" s="197">
        <v>46052.952177141204</v>
      </c>
      <c r="B773" s="100" t="s">
        <v>2454</v>
      </c>
      <c r="C773" s="100" t="s">
        <v>1688</v>
      </c>
      <c r="D773" s="100" t="s">
        <v>1689</v>
      </c>
      <c r="E773" s="198">
        <v>40.0</v>
      </c>
      <c r="F773" s="199" t="s">
        <v>2425</v>
      </c>
    </row>
    <row r="774" ht="22.5" customHeight="1">
      <c r="A774" s="197">
        <v>46052.955075034726</v>
      </c>
      <c r="B774" s="100" t="s">
        <v>2455</v>
      </c>
      <c r="C774" s="100" t="s">
        <v>1685</v>
      </c>
      <c r="D774" s="100" t="s">
        <v>1686</v>
      </c>
      <c r="E774" s="198">
        <v>31.5</v>
      </c>
      <c r="F774" s="100" t="s">
        <v>1701</v>
      </c>
    </row>
    <row r="775" ht="22.5" customHeight="1">
      <c r="A775" s="197">
        <v>46052.955075034726</v>
      </c>
      <c r="B775" s="100" t="s">
        <v>2455</v>
      </c>
      <c r="C775" s="100" t="s">
        <v>1688</v>
      </c>
      <c r="D775" s="100" t="s">
        <v>1689</v>
      </c>
      <c r="E775" s="198">
        <v>50.0</v>
      </c>
      <c r="F775" s="100" t="s">
        <v>1702</v>
      </c>
    </row>
    <row r="776" ht="22.5" customHeight="1">
      <c r="A776" s="197">
        <v>46053.73182984954</v>
      </c>
      <c r="B776" s="100" t="s">
        <v>2457</v>
      </c>
      <c r="C776" s="100" t="s">
        <v>1685</v>
      </c>
      <c r="D776" s="100" t="s">
        <v>1686</v>
      </c>
      <c r="E776" s="198">
        <v>164.17</v>
      </c>
      <c r="F776" s="199" t="s">
        <v>1767</v>
      </c>
    </row>
    <row r="777" ht="22.5" customHeight="1">
      <c r="A777" s="197">
        <v>46053.73182984954</v>
      </c>
      <c r="B777" s="100" t="s">
        <v>2457</v>
      </c>
      <c r="C777" s="100" t="s">
        <v>1688</v>
      </c>
      <c r="D777" s="100" t="s">
        <v>1689</v>
      </c>
      <c r="E777" s="198">
        <v>200.0</v>
      </c>
      <c r="F777" s="199" t="s">
        <v>1768</v>
      </c>
    </row>
    <row r="778" ht="22.5" customHeight="1">
      <c r="A778" s="197">
        <v>46053.73183048611</v>
      </c>
      <c r="B778" s="100" t="s">
        <v>2459</v>
      </c>
      <c r="C778" s="100" t="s">
        <v>1685</v>
      </c>
      <c r="D778" s="100" t="s">
        <v>1686</v>
      </c>
      <c r="E778" s="198">
        <v>170.0</v>
      </c>
      <c r="F778" s="199" t="s">
        <v>2278</v>
      </c>
    </row>
    <row r="779" ht="22.5" customHeight="1">
      <c r="A779" s="197">
        <v>46053.73183048611</v>
      </c>
      <c r="B779" s="100" t="s">
        <v>2459</v>
      </c>
      <c r="C779" s="100" t="s">
        <v>1688</v>
      </c>
      <c r="D779" s="100" t="s">
        <v>1689</v>
      </c>
      <c r="E779" s="198">
        <v>220.0</v>
      </c>
      <c r="F779" s="199" t="s">
        <v>2279</v>
      </c>
    </row>
    <row r="780" ht="22.5" customHeight="1">
      <c r="A780" s="197">
        <v>46053.855128634255</v>
      </c>
      <c r="B780" s="100" t="s">
        <v>2461</v>
      </c>
      <c r="C780" s="100" t="s">
        <v>1685</v>
      </c>
      <c r="D780" s="100" t="s">
        <v>1686</v>
      </c>
      <c r="E780" s="198">
        <v>195.0</v>
      </c>
      <c r="F780" s="199" t="s">
        <v>2199</v>
      </c>
    </row>
    <row r="781" ht="22.5" customHeight="1">
      <c r="A781" s="197">
        <v>46053.855128634255</v>
      </c>
      <c r="B781" s="100" t="s">
        <v>2461</v>
      </c>
      <c r="C781" s="100" t="s">
        <v>1688</v>
      </c>
      <c r="D781" s="100" t="s">
        <v>1689</v>
      </c>
      <c r="E781" s="198">
        <v>250.0</v>
      </c>
      <c r="F781" s="199" t="s">
        <v>2200</v>
      </c>
    </row>
    <row r="782" ht="22.5" customHeight="1">
      <c r="A782" s="197">
        <v>46053.88330555556</v>
      </c>
      <c r="B782" s="100" t="s">
        <v>2463</v>
      </c>
      <c r="C782" s="100" t="s">
        <v>1685</v>
      </c>
      <c r="D782" s="100" t="s">
        <v>1686</v>
      </c>
      <c r="E782" s="198">
        <v>230.0</v>
      </c>
      <c r="F782" s="199" t="s">
        <v>2196</v>
      </c>
    </row>
    <row r="783" ht="22.5" customHeight="1">
      <c r="A783" s="197">
        <v>46053.88330555556</v>
      </c>
      <c r="B783" s="100" t="s">
        <v>2463</v>
      </c>
      <c r="C783" s="100" t="s">
        <v>1688</v>
      </c>
      <c r="D783" s="100" t="s">
        <v>1689</v>
      </c>
      <c r="E783" s="198">
        <v>250.0</v>
      </c>
      <c r="F783" s="199" t="s">
        <v>2197</v>
      </c>
    </row>
    <row r="784" ht="22.5" customHeight="1">
      <c r="A784" s="197">
        <v>46056.78966821759</v>
      </c>
      <c r="B784" s="100" t="s">
        <v>2465</v>
      </c>
      <c r="C784" s="100" t="s">
        <v>1685</v>
      </c>
      <c r="D784" s="100" t="s">
        <v>1686</v>
      </c>
      <c r="E784" s="198">
        <v>135.0</v>
      </c>
      <c r="F784" s="199" t="s">
        <v>1947</v>
      </c>
    </row>
    <row r="785" ht="22.5" customHeight="1">
      <c r="A785" s="197">
        <v>46056.78966821759</v>
      </c>
      <c r="B785" s="100" t="s">
        <v>2465</v>
      </c>
      <c r="C785" s="100" t="s">
        <v>1688</v>
      </c>
      <c r="D785" s="100" t="s">
        <v>1689</v>
      </c>
      <c r="E785" s="198">
        <v>225.0</v>
      </c>
      <c r="F785" s="199" t="s">
        <v>1948</v>
      </c>
    </row>
    <row r="786" ht="22.5" customHeight="1">
      <c r="A786" s="197">
        <v>46056.78966890046</v>
      </c>
      <c r="B786" s="100" t="s">
        <v>2467</v>
      </c>
      <c r="C786" s="100" t="s">
        <v>1685</v>
      </c>
      <c r="D786" s="100" t="s">
        <v>1686</v>
      </c>
      <c r="E786" s="198">
        <v>30.0</v>
      </c>
      <c r="F786" s="199" t="s">
        <v>2468</v>
      </c>
    </row>
    <row r="787" ht="22.5" customHeight="1">
      <c r="A787" s="197">
        <v>46056.78966890046</v>
      </c>
      <c r="B787" s="100" t="s">
        <v>2467</v>
      </c>
      <c r="C787" s="100" t="s">
        <v>1688</v>
      </c>
      <c r="D787" s="100" t="s">
        <v>1689</v>
      </c>
      <c r="E787" s="198">
        <v>75.0</v>
      </c>
      <c r="F787" s="199" t="s">
        <v>2470</v>
      </c>
    </row>
    <row r="788" ht="22.5" customHeight="1">
      <c r="A788" s="197">
        <v>46056.78966962963</v>
      </c>
      <c r="B788" s="100" t="s">
        <v>2471</v>
      </c>
      <c r="C788" s="100" t="s">
        <v>1685</v>
      </c>
      <c r="D788" s="100" t="s">
        <v>1686</v>
      </c>
      <c r="E788" s="198">
        <v>125.0</v>
      </c>
      <c r="F788" s="199" t="s">
        <v>2161</v>
      </c>
    </row>
    <row r="789" ht="22.5" customHeight="1">
      <c r="A789" s="197">
        <v>46056.78966962963</v>
      </c>
      <c r="B789" s="100" t="s">
        <v>2471</v>
      </c>
      <c r="C789" s="100" t="s">
        <v>1688</v>
      </c>
      <c r="D789" s="100" t="s">
        <v>1689</v>
      </c>
      <c r="E789" s="198">
        <v>150.0</v>
      </c>
      <c r="F789" s="199" t="s">
        <v>2162</v>
      </c>
    </row>
    <row r="790" ht="22.5" customHeight="1">
      <c r="A790" s="197">
        <v>46056.789670196755</v>
      </c>
      <c r="B790" s="100" t="s">
        <v>2473</v>
      </c>
      <c r="C790" s="100" t="s">
        <v>1685</v>
      </c>
      <c r="D790" s="100" t="s">
        <v>1686</v>
      </c>
      <c r="E790" s="198">
        <v>60.0</v>
      </c>
      <c r="F790" s="199" t="s">
        <v>1713</v>
      </c>
    </row>
    <row r="791" ht="22.5" customHeight="1">
      <c r="A791" s="197">
        <v>46056.789670196755</v>
      </c>
      <c r="B791" s="100" t="s">
        <v>2473</v>
      </c>
      <c r="C791" s="100" t="s">
        <v>1688</v>
      </c>
      <c r="D791" s="100" t="s">
        <v>1689</v>
      </c>
      <c r="E791" s="198">
        <v>75.0</v>
      </c>
      <c r="F791" s="199" t="s">
        <v>1714</v>
      </c>
    </row>
    <row r="792" ht="22.5" customHeight="1">
      <c r="A792" s="197">
        <v>46057.7099710301</v>
      </c>
      <c r="B792" s="100" t="s">
        <v>2475</v>
      </c>
      <c r="C792" s="100" t="s">
        <v>1685</v>
      </c>
      <c r="D792" s="100" t="s">
        <v>1686</v>
      </c>
      <c r="E792" s="198">
        <v>134.24</v>
      </c>
      <c r="F792" s="199" t="s">
        <v>2325</v>
      </c>
    </row>
    <row r="793" ht="22.5" customHeight="1">
      <c r="A793" s="197">
        <v>46057.7099710301</v>
      </c>
      <c r="B793" s="100" t="s">
        <v>2475</v>
      </c>
      <c r="C793" s="100" t="s">
        <v>1688</v>
      </c>
      <c r="D793" s="100" t="s">
        <v>1689</v>
      </c>
      <c r="E793" s="198">
        <v>300.0</v>
      </c>
      <c r="F793" s="199" t="s">
        <v>2327</v>
      </c>
    </row>
    <row r="794" ht="22.5" customHeight="1">
      <c r="A794" s="197">
        <v>46057.70997181713</v>
      </c>
      <c r="B794" s="100" t="s">
        <v>2477</v>
      </c>
      <c r="C794" s="100" t="s">
        <v>1685</v>
      </c>
      <c r="D794" s="100" t="s">
        <v>1686</v>
      </c>
      <c r="E794" s="198">
        <v>72.0</v>
      </c>
      <c r="F794" s="100" t="s">
        <v>1856</v>
      </c>
    </row>
    <row r="795" ht="22.5" customHeight="1">
      <c r="A795" s="197">
        <v>46057.70997181713</v>
      </c>
      <c r="B795" s="100" t="s">
        <v>2477</v>
      </c>
      <c r="C795" s="100" t="s">
        <v>1688</v>
      </c>
      <c r="D795" s="100" t="s">
        <v>1689</v>
      </c>
      <c r="E795" s="198">
        <v>100.0</v>
      </c>
      <c r="F795" s="100" t="s">
        <v>1857</v>
      </c>
    </row>
    <row r="796" ht="22.5" customHeight="1">
      <c r="A796" s="197">
        <v>46057.70997296296</v>
      </c>
      <c r="B796" s="100" t="s">
        <v>2478</v>
      </c>
      <c r="C796" s="100" t="s">
        <v>1685</v>
      </c>
      <c r="D796" s="100" t="s">
        <v>1686</v>
      </c>
      <c r="E796" s="198">
        <v>68.0</v>
      </c>
      <c r="F796" s="199" t="s">
        <v>2286</v>
      </c>
    </row>
    <row r="797" ht="22.5" customHeight="1">
      <c r="A797" s="197">
        <v>46057.70997296296</v>
      </c>
      <c r="B797" s="100" t="s">
        <v>2478</v>
      </c>
      <c r="C797" s="100" t="s">
        <v>1688</v>
      </c>
      <c r="D797" s="100" t="s">
        <v>1689</v>
      </c>
      <c r="E797" s="198">
        <v>100.0</v>
      </c>
      <c r="F797" s="199" t="s">
        <v>2288</v>
      </c>
    </row>
    <row r="798" ht="22.5" customHeight="1">
      <c r="A798" s="197">
        <v>46057.75442914352</v>
      </c>
      <c r="B798" s="100" t="s">
        <v>2480</v>
      </c>
      <c r="C798" s="100" t="s">
        <v>1685</v>
      </c>
      <c r="D798" s="100" t="s">
        <v>1686</v>
      </c>
      <c r="E798" s="198">
        <v>55.0</v>
      </c>
      <c r="F798" s="199" t="s">
        <v>2402</v>
      </c>
    </row>
    <row r="799" ht="22.5" customHeight="1">
      <c r="A799" s="197">
        <v>46057.75442914352</v>
      </c>
      <c r="B799" s="100" t="s">
        <v>2480</v>
      </c>
      <c r="C799" s="100" t="s">
        <v>1688</v>
      </c>
      <c r="D799" s="100" t="s">
        <v>1689</v>
      </c>
      <c r="E799" s="198">
        <v>75.0</v>
      </c>
      <c r="F799" s="199" t="s">
        <v>2403</v>
      </c>
    </row>
    <row r="800" ht="22.5" customHeight="1">
      <c r="A800" s="197">
        <v>46057.75442976852</v>
      </c>
      <c r="B800" s="100" t="s">
        <v>2481</v>
      </c>
      <c r="C800" s="100" t="s">
        <v>1685</v>
      </c>
      <c r="D800" s="100" t="s">
        <v>1686</v>
      </c>
      <c r="E800" s="198">
        <v>26.0</v>
      </c>
      <c r="F800" s="199" t="s">
        <v>2424</v>
      </c>
    </row>
    <row r="801" ht="22.5" customHeight="1">
      <c r="A801" s="197">
        <v>46057.75442976852</v>
      </c>
      <c r="B801" s="100" t="s">
        <v>2481</v>
      </c>
      <c r="C801" s="100" t="s">
        <v>1688</v>
      </c>
      <c r="D801" s="100" t="s">
        <v>1689</v>
      </c>
      <c r="E801" s="198">
        <v>40.0</v>
      </c>
      <c r="F801" s="199" t="s">
        <v>2425</v>
      </c>
    </row>
    <row r="802" ht="22.5" customHeight="1">
      <c r="A802" s="197">
        <v>46057.78413840278</v>
      </c>
      <c r="B802" s="100" t="s">
        <v>2483</v>
      </c>
      <c r="C802" s="100" t="s">
        <v>1685</v>
      </c>
      <c r="D802" s="100" t="s">
        <v>1686</v>
      </c>
      <c r="E802" s="198">
        <v>275.0</v>
      </c>
      <c r="F802" s="199" t="s">
        <v>2484</v>
      </c>
    </row>
    <row r="803" ht="22.5" customHeight="1">
      <c r="A803" s="197">
        <v>46057.78413840278</v>
      </c>
      <c r="B803" s="100" t="s">
        <v>2483</v>
      </c>
      <c r="C803" s="100" t="s">
        <v>1688</v>
      </c>
      <c r="D803" s="100" t="s">
        <v>1689</v>
      </c>
      <c r="E803" s="198">
        <v>300.0</v>
      </c>
      <c r="F803" s="199" t="s">
        <v>2486</v>
      </c>
    </row>
    <row r="804" ht="22.5" customHeight="1">
      <c r="A804" s="197">
        <v>46057.84879275463</v>
      </c>
      <c r="B804" s="100" t="s">
        <v>2487</v>
      </c>
      <c r="C804" s="100" t="s">
        <v>1685</v>
      </c>
      <c r="D804" s="100" t="s">
        <v>1686</v>
      </c>
      <c r="E804" s="198">
        <v>75.0</v>
      </c>
      <c r="F804" s="199" t="s">
        <v>1914</v>
      </c>
    </row>
    <row r="805" ht="22.5" customHeight="1">
      <c r="A805" s="197">
        <v>46057.84879275463</v>
      </c>
      <c r="B805" s="100" t="s">
        <v>2487</v>
      </c>
      <c r="C805" s="100" t="s">
        <v>1688</v>
      </c>
      <c r="D805" s="100" t="s">
        <v>1689</v>
      </c>
      <c r="E805" s="198">
        <v>100.0</v>
      </c>
      <c r="F805" s="199" t="s">
        <v>1915</v>
      </c>
    </row>
    <row r="806" ht="22.5" customHeight="1">
      <c r="A806" s="197">
        <v>46057.848793287034</v>
      </c>
      <c r="B806" s="100" t="s">
        <v>2489</v>
      </c>
      <c r="C806" s="100" t="s">
        <v>1685</v>
      </c>
      <c r="D806" s="100" t="s">
        <v>1686</v>
      </c>
      <c r="E806" s="198">
        <v>21.25</v>
      </c>
      <c r="F806" s="100" t="s">
        <v>2083</v>
      </c>
    </row>
    <row r="807" ht="22.5" customHeight="1">
      <c r="A807" s="197">
        <v>46057.848793287034</v>
      </c>
      <c r="B807" s="100" t="s">
        <v>2489</v>
      </c>
      <c r="C807" s="100" t="s">
        <v>1688</v>
      </c>
      <c r="D807" s="100" t="s">
        <v>1689</v>
      </c>
      <c r="E807" s="198">
        <v>60.0</v>
      </c>
      <c r="F807" s="100" t="s">
        <v>2084</v>
      </c>
    </row>
    <row r="808" ht="22.5" customHeight="1">
      <c r="A808" s="197">
        <v>46057.84879375</v>
      </c>
      <c r="B808" s="100" t="s">
        <v>2491</v>
      </c>
      <c r="C808" s="100" t="s">
        <v>1685</v>
      </c>
      <c r="D808" s="100" t="s">
        <v>1686</v>
      </c>
      <c r="E808" s="198">
        <v>30.0</v>
      </c>
      <c r="F808" s="199" t="s">
        <v>1904</v>
      </c>
    </row>
    <row r="809" ht="22.5" customHeight="1">
      <c r="A809" s="197">
        <v>46057.84879375</v>
      </c>
      <c r="B809" s="100" t="s">
        <v>2491</v>
      </c>
      <c r="C809" s="100" t="s">
        <v>1688</v>
      </c>
      <c r="D809" s="100" t="s">
        <v>1689</v>
      </c>
      <c r="E809" s="198">
        <v>90.0</v>
      </c>
      <c r="F809" s="199" t="s">
        <v>1906</v>
      </c>
    </row>
    <row r="810" ht="22.5" customHeight="1">
      <c r="A810" s="197">
        <v>46057.848794143516</v>
      </c>
      <c r="B810" s="100" t="s">
        <v>2493</v>
      </c>
      <c r="C810" s="100" t="s">
        <v>1685</v>
      </c>
      <c r="D810" s="100" t="s">
        <v>1686</v>
      </c>
      <c r="E810" s="198">
        <v>195.0</v>
      </c>
      <c r="F810" s="199" t="s">
        <v>2036</v>
      </c>
    </row>
    <row r="811" ht="22.5" customHeight="1">
      <c r="A811" s="197">
        <v>46057.848794143516</v>
      </c>
      <c r="B811" s="100" t="s">
        <v>2493</v>
      </c>
      <c r="C811" s="100" t="s">
        <v>1688</v>
      </c>
      <c r="D811" s="100" t="s">
        <v>1689</v>
      </c>
      <c r="E811" s="198">
        <v>235.0</v>
      </c>
      <c r="F811" s="199" t="s">
        <v>2037</v>
      </c>
    </row>
    <row r="812" ht="22.5" customHeight="1">
      <c r="A812" s="197">
        <v>46057.848794502315</v>
      </c>
      <c r="B812" s="100" t="s">
        <v>2495</v>
      </c>
      <c r="C812" s="100" t="s">
        <v>1685</v>
      </c>
      <c r="D812" s="100" t="s">
        <v>1686</v>
      </c>
      <c r="E812" s="198">
        <v>145.0</v>
      </c>
      <c r="F812" s="199" t="s">
        <v>2496</v>
      </c>
    </row>
    <row r="813" ht="22.5" customHeight="1">
      <c r="A813" s="197">
        <v>46057.848794502315</v>
      </c>
      <c r="B813" s="100" t="s">
        <v>2495</v>
      </c>
      <c r="C813" s="100" t="s">
        <v>1688</v>
      </c>
      <c r="D813" s="100" t="s">
        <v>1689</v>
      </c>
      <c r="E813" s="198">
        <v>175.0</v>
      </c>
      <c r="F813" s="199" t="s">
        <v>2497</v>
      </c>
    </row>
    <row r="814" ht="22.5" customHeight="1">
      <c r="A814" s="197">
        <v>46057.848794930556</v>
      </c>
      <c r="B814" s="100" t="s">
        <v>2499</v>
      </c>
      <c r="C814" s="100" t="s">
        <v>1685</v>
      </c>
      <c r="D814" s="100" t="s">
        <v>1686</v>
      </c>
      <c r="E814" s="198">
        <v>75.0</v>
      </c>
      <c r="F814" s="199" t="s">
        <v>2088</v>
      </c>
    </row>
    <row r="815" ht="22.5" customHeight="1">
      <c r="A815" s="197">
        <v>46057.848794930556</v>
      </c>
      <c r="B815" s="100" t="s">
        <v>2499</v>
      </c>
      <c r="C815" s="100" t="s">
        <v>1688</v>
      </c>
      <c r="D815" s="100" t="s">
        <v>1689</v>
      </c>
      <c r="E815" s="198">
        <v>90.0</v>
      </c>
      <c r="F815" s="199" t="s">
        <v>2089</v>
      </c>
    </row>
    <row r="816" ht="22.5" customHeight="1">
      <c r="A816" s="197">
        <v>46058.815752939816</v>
      </c>
      <c r="B816" s="100" t="s">
        <v>2500</v>
      </c>
      <c r="C816" s="100" t="s">
        <v>1685</v>
      </c>
      <c r="D816" s="100" t="s">
        <v>1686</v>
      </c>
      <c r="E816" s="198">
        <v>136.5</v>
      </c>
      <c r="F816" s="100" t="s">
        <v>2502</v>
      </c>
    </row>
    <row r="817" ht="22.5" customHeight="1">
      <c r="A817" s="197">
        <v>46058.815752939816</v>
      </c>
      <c r="B817" s="100" t="s">
        <v>2500</v>
      </c>
      <c r="C817" s="100" t="s">
        <v>1688</v>
      </c>
      <c r="D817" s="100" t="s">
        <v>1689</v>
      </c>
      <c r="E817" s="198">
        <v>175.0</v>
      </c>
      <c r="F817" s="100" t="s">
        <v>2503</v>
      </c>
    </row>
    <row r="818" ht="22.5" customHeight="1">
      <c r="A818" s="197">
        <v>46058.81575365741</v>
      </c>
      <c r="B818" s="100" t="s">
        <v>2504</v>
      </c>
      <c r="C818" s="100" t="s">
        <v>1685</v>
      </c>
      <c r="D818" s="100" t="s">
        <v>1686</v>
      </c>
      <c r="E818" s="198">
        <v>5.0</v>
      </c>
      <c r="F818" s="199" t="s">
        <v>2193</v>
      </c>
    </row>
    <row r="819" ht="22.5" customHeight="1">
      <c r="A819" s="197">
        <v>46058.81575365741</v>
      </c>
      <c r="B819" s="100" t="s">
        <v>2504</v>
      </c>
      <c r="C819" s="100" t="s">
        <v>1688</v>
      </c>
      <c r="D819" s="100" t="s">
        <v>1689</v>
      </c>
      <c r="E819" s="198">
        <v>10.0</v>
      </c>
      <c r="F819" s="199" t="s">
        <v>2194</v>
      </c>
    </row>
    <row r="820" ht="22.5" customHeight="1">
      <c r="A820" s="197">
        <v>46058.8157541088</v>
      </c>
      <c r="B820" s="100" t="s">
        <v>2506</v>
      </c>
      <c r="C820" s="100" t="s">
        <v>1685</v>
      </c>
      <c r="D820" s="100" t="s">
        <v>1686</v>
      </c>
      <c r="E820" s="198">
        <v>16.0</v>
      </c>
      <c r="F820" s="199" t="s">
        <v>1986</v>
      </c>
    </row>
    <row r="821" ht="22.5" customHeight="1">
      <c r="A821" s="197">
        <v>46058.8157541088</v>
      </c>
      <c r="B821" s="100" t="s">
        <v>2506</v>
      </c>
      <c r="C821" s="100" t="s">
        <v>1688</v>
      </c>
      <c r="D821" s="100" t="s">
        <v>1689</v>
      </c>
      <c r="E821" s="198">
        <v>20.0</v>
      </c>
      <c r="F821" s="199" t="s">
        <v>1987</v>
      </c>
    </row>
    <row r="822" ht="22.5" customHeight="1">
      <c r="A822" s="197">
        <v>46058.81670435185</v>
      </c>
      <c r="B822" s="100" t="s">
        <v>2508</v>
      </c>
      <c r="C822" s="100" t="s">
        <v>1685</v>
      </c>
      <c r="D822" s="100" t="s">
        <v>1686</v>
      </c>
      <c r="E822" s="198">
        <v>150.0</v>
      </c>
      <c r="F822" s="199" t="s">
        <v>2509</v>
      </c>
    </row>
    <row r="823" ht="22.5" customHeight="1">
      <c r="A823" s="197">
        <v>46058.81670435185</v>
      </c>
      <c r="B823" s="100" t="s">
        <v>2508</v>
      </c>
      <c r="C823" s="100" t="s">
        <v>1688</v>
      </c>
      <c r="D823" s="100" t="s">
        <v>1689</v>
      </c>
      <c r="E823" s="198">
        <v>190.0</v>
      </c>
      <c r="F823" s="199" t="s">
        <v>2511</v>
      </c>
    </row>
    <row r="824" ht="22.5" customHeight="1">
      <c r="A824" s="197">
        <v>46058.8770922338</v>
      </c>
      <c r="B824" s="100" t="s">
        <v>2512</v>
      </c>
      <c r="C824" s="100" t="s">
        <v>1685</v>
      </c>
      <c r="D824" s="100" t="s">
        <v>1686</v>
      </c>
      <c r="E824" s="198">
        <v>370.0</v>
      </c>
      <c r="F824" s="199" t="s">
        <v>2513</v>
      </c>
    </row>
    <row r="825" ht="22.5" customHeight="1">
      <c r="A825" s="197">
        <v>46058.8770922338</v>
      </c>
      <c r="B825" s="100" t="s">
        <v>2512</v>
      </c>
      <c r="C825" s="100" t="s">
        <v>1688</v>
      </c>
      <c r="D825" s="100" t="s">
        <v>1689</v>
      </c>
      <c r="E825" s="198">
        <v>500.0</v>
      </c>
      <c r="F825" s="199" t="s">
        <v>2514</v>
      </c>
    </row>
    <row r="826" ht="22.5" customHeight="1">
      <c r="A826" s="197">
        <v>46058.877092615745</v>
      </c>
      <c r="B826" s="100" t="s">
        <v>2515</v>
      </c>
      <c r="C826" s="100" t="s">
        <v>1685</v>
      </c>
      <c r="D826" s="100" t="s">
        <v>1686</v>
      </c>
      <c r="E826" s="198">
        <v>150.0</v>
      </c>
      <c r="F826" s="199" t="s">
        <v>1914</v>
      </c>
    </row>
    <row r="827" ht="22.5" customHeight="1">
      <c r="A827" s="197">
        <v>46058.877092615745</v>
      </c>
      <c r="B827" s="100" t="s">
        <v>2515</v>
      </c>
      <c r="C827" s="100" t="s">
        <v>1688</v>
      </c>
      <c r="D827" s="100" t="s">
        <v>1689</v>
      </c>
      <c r="E827" s="198">
        <v>260.0</v>
      </c>
      <c r="F827" s="199" t="s">
        <v>1915</v>
      </c>
    </row>
    <row r="828" ht="22.5" customHeight="1">
      <c r="A828" s="197">
        <v>46058.877093020834</v>
      </c>
      <c r="B828" s="100" t="s">
        <v>2516</v>
      </c>
      <c r="C828" s="100" t="s">
        <v>1685</v>
      </c>
      <c r="D828" s="100" t="s">
        <v>1686</v>
      </c>
      <c r="E828" s="198">
        <v>340.0</v>
      </c>
      <c r="F828" s="199" t="s">
        <v>1817</v>
      </c>
    </row>
    <row r="829" ht="22.5" customHeight="1">
      <c r="A829" s="197">
        <v>46058.877093020834</v>
      </c>
      <c r="B829" s="100" t="s">
        <v>2516</v>
      </c>
      <c r="C829" s="100" t="s">
        <v>1688</v>
      </c>
      <c r="D829" s="100" t="s">
        <v>1689</v>
      </c>
      <c r="E829" s="198">
        <v>400.0</v>
      </c>
      <c r="F829" s="199" t="s">
        <v>1819</v>
      </c>
    </row>
    <row r="830" ht="22.5" customHeight="1">
      <c r="A830" s="197">
        <v>46058.87709336806</v>
      </c>
      <c r="B830" s="100" t="s">
        <v>2517</v>
      </c>
      <c r="C830" s="100" t="s">
        <v>1685</v>
      </c>
      <c r="D830" s="100" t="s">
        <v>1686</v>
      </c>
      <c r="E830" s="198">
        <v>110.0</v>
      </c>
      <c r="F830" s="199" t="s">
        <v>1739</v>
      </c>
    </row>
    <row r="831" ht="22.5" customHeight="1">
      <c r="A831" s="197">
        <v>46058.87709336806</v>
      </c>
      <c r="B831" s="100" t="s">
        <v>2517</v>
      </c>
      <c r="C831" s="100" t="s">
        <v>1688</v>
      </c>
      <c r="D831" s="100" t="s">
        <v>1689</v>
      </c>
      <c r="E831" s="198">
        <v>150.0</v>
      </c>
      <c r="F831" s="199" t="s">
        <v>1740</v>
      </c>
    </row>
    <row r="832" ht="22.5" customHeight="1">
      <c r="A832" s="197">
        <v>46058.87709386574</v>
      </c>
      <c r="B832" s="100" t="s">
        <v>2518</v>
      </c>
      <c r="C832" s="100" t="s">
        <v>1685</v>
      </c>
      <c r="D832" s="100" t="s">
        <v>1686</v>
      </c>
      <c r="E832" s="198">
        <v>225.0</v>
      </c>
      <c r="F832" s="199" t="s">
        <v>2519</v>
      </c>
    </row>
    <row r="833" ht="22.5" customHeight="1">
      <c r="A833" s="197">
        <v>46058.87709386574</v>
      </c>
      <c r="B833" s="100" t="s">
        <v>2518</v>
      </c>
      <c r="C833" s="100" t="s">
        <v>1688</v>
      </c>
      <c r="D833" s="100" t="s">
        <v>1689</v>
      </c>
      <c r="E833" s="198">
        <v>270.0</v>
      </c>
      <c r="F833" s="199" t="s">
        <v>2520</v>
      </c>
    </row>
    <row r="834" ht="22.5" customHeight="1">
      <c r="A834" s="197">
        <v>46058.92350041667</v>
      </c>
      <c r="B834" s="100" t="s">
        <v>2521</v>
      </c>
      <c r="C834" s="100" t="s">
        <v>1685</v>
      </c>
      <c r="D834" s="100" t="s">
        <v>1686</v>
      </c>
      <c r="E834" s="198">
        <v>128.0</v>
      </c>
      <c r="F834" s="199" t="s">
        <v>2243</v>
      </c>
    </row>
    <row r="835" ht="22.5" customHeight="1">
      <c r="A835" s="197">
        <v>46058.92350041667</v>
      </c>
      <c r="B835" s="100" t="s">
        <v>2521</v>
      </c>
      <c r="C835" s="100" t="s">
        <v>1688</v>
      </c>
      <c r="D835" s="100" t="s">
        <v>1689</v>
      </c>
      <c r="E835" s="198">
        <v>170.0</v>
      </c>
      <c r="F835" s="199" t="s">
        <v>2244</v>
      </c>
    </row>
    <row r="836" ht="22.5" customHeight="1">
      <c r="A836" s="197">
        <v>46064.91450383102</v>
      </c>
      <c r="B836" s="100" t="s">
        <v>2523</v>
      </c>
      <c r="C836" s="100" t="s">
        <v>1685</v>
      </c>
      <c r="D836" s="100" t="s">
        <v>1686</v>
      </c>
      <c r="E836" s="198">
        <v>26.0</v>
      </c>
      <c r="F836" s="199" t="s">
        <v>2424</v>
      </c>
    </row>
    <row r="837" ht="22.5" customHeight="1">
      <c r="A837" s="197">
        <v>46064.91450383102</v>
      </c>
      <c r="B837" s="100" t="s">
        <v>2523</v>
      </c>
      <c r="C837" s="100" t="s">
        <v>1688</v>
      </c>
      <c r="D837" s="100" t="s">
        <v>1689</v>
      </c>
      <c r="E837" s="198">
        <v>40.0</v>
      </c>
      <c r="F837" s="199" t="s">
        <v>2425</v>
      </c>
    </row>
    <row r="838" ht="22.5" customHeight="1">
      <c r="A838" s="197">
        <v>46064.91450456018</v>
      </c>
      <c r="B838" s="100" t="s">
        <v>2524</v>
      </c>
      <c r="C838" s="100" t="s">
        <v>1685</v>
      </c>
      <c r="D838" s="100" t="s">
        <v>1686</v>
      </c>
      <c r="E838" s="198">
        <v>34.0</v>
      </c>
      <c r="F838" s="199" t="s">
        <v>2286</v>
      </c>
    </row>
    <row r="839" ht="22.5" customHeight="1">
      <c r="A839" s="197">
        <v>46064.91450456018</v>
      </c>
      <c r="B839" s="100" t="s">
        <v>2524</v>
      </c>
      <c r="C839" s="100" t="s">
        <v>1688</v>
      </c>
      <c r="D839" s="100" t="s">
        <v>1689</v>
      </c>
      <c r="E839" s="198">
        <v>50.0</v>
      </c>
      <c r="F839" s="199" t="s">
        <v>2288</v>
      </c>
    </row>
    <row r="840" ht="22.5" customHeight="1">
      <c r="A840" s="197">
        <v>46064.91450525463</v>
      </c>
      <c r="B840" s="100" t="s">
        <v>2525</v>
      </c>
      <c r="C840" s="100" t="s">
        <v>1685</v>
      </c>
      <c r="D840" s="100" t="s">
        <v>1686</v>
      </c>
      <c r="E840" s="198">
        <v>8.76</v>
      </c>
      <c r="F840" s="100" t="s">
        <v>2178</v>
      </c>
    </row>
    <row r="841" ht="22.5" customHeight="1">
      <c r="A841" s="197">
        <v>46064.91450525463</v>
      </c>
      <c r="B841" s="100" t="s">
        <v>2525</v>
      </c>
      <c r="C841" s="100" t="s">
        <v>1688</v>
      </c>
      <c r="D841" s="100" t="s">
        <v>1689</v>
      </c>
      <c r="E841" s="198">
        <v>20.0</v>
      </c>
      <c r="F841" s="100" t="s">
        <v>2179</v>
      </c>
    </row>
    <row r="842" ht="22.5" customHeight="1">
      <c r="A842" s="197">
        <v>46064.91450569444</v>
      </c>
      <c r="B842" s="100" t="s">
        <v>2526</v>
      </c>
      <c r="C842" s="100" t="s">
        <v>1685</v>
      </c>
      <c r="D842" s="100" t="s">
        <v>1686</v>
      </c>
      <c r="E842" s="198">
        <v>17.92</v>
      </c>
      <c r="F842" s="199" t="s">
        <v>2202</v>
      </c>
    </row>
    <row r="843" ht="22.5" customHeight="1">
      <c r="A843" s="197">
        <v>46064.91450569444</v>
      </c>
      <c r="B843" s="100" t="s">
        <v>2526</v>
      </c>
      <c r="C843" s="100" t="s">
        <v>1688</v>
      </c>
      <c r="D843" s="100" t="s">
        <v>1689</v>
      </c>
      <c r="E843" s="198">
        <v>25.0</v>
      </c>
      <c r="F843" s="199" t="s">
        <v>2203</v>
      </c>
    </row>
    <row r="844" ht="22.5" customHeight="1">
      <c r="A844" s="197">
        <v>46064.91450641204</v>
      </c>
      <c r="B844" s="100" t="s">
        <v>2527</v>
      </c>
      <c r="C844" s="100" t="s">
        <v>1685</v>
      </c>
      <c r="D844" s="100" t="s">
        <v>1686</v>
      </c>
      <c r="E844" s="198">
        <v>36.0</v>
      </c>
      <c r="F844" s="100" t="s">
        <v>1856</v>
      </c>
    </row>
    <row r="845" ht="22.5" customHeight="1">
      <c r="A845" s="197">
        <v>46064.91450641204</v>
      </c>
      <c r="B845" s="100" t="s">
        <v>2527</v>
      </c>
      <c r="C845" s="100" t="s">
        <v>1688</v>
      </c>
      <c r="D845" s="100" t="s">
        <v>1689</v>
      </c>
      <c r="E845" s="198">
        <v>50.0</v>
      </c>
      <c r="F845" s="100" t="s">
        <v>1857</v>
      </c>
    </row>
    <row r="846" ht="22.5" customHeight="1">
      <c r="A846" s="197">
        <v>46064.914507118054</v>
      </c>
      <c r="B846" s="100" t="s">
        <v>2528</v>
      </c>
      <c r="C846" s="100" t="s">
        <v>1685</v>
      </c>
      <c r="D846" s="100" t="s">
        <v>1686</v>
      </c>
      <c r="E846" s="198">
        <v>26.0</v>
      </c>
      <c r="F846" s="199" t="s">
        <v>2424</v>
      </c>
    </row>
    <row r="847" ht="22.5" customHeight="1">
      <c r="A847" s="197">
        <v>46064.914507118054</v>
      </c>
      <c r="B847" s="100" t="s">
        <v>2528</v>
      </c>
      <c r="C847" s="100" t="s">
        <v>1688</v>
      </c>
      <c r="D847" s="100" t="s">
        <v>1689</v>
      </c>
      <c r="E847" s="198">
        <v>40.0</v>
      </c>
      <c r="F847" s="199" t="s">
        <v>2425</v>
      </c>
    </row>
    <row r="848" ht="22.5" customHeight="1">
      <c r="A848" s="197">
        <v>46064.91450775463</v>
      </c>
      <c r="B848" s="100" t="s">
        <v>2529</v>
      </c>
      <c r="C848" s="100" t="s">
        <v>1685</v>
      </c>
      <c r="D848" s="100" t="s">
        <v>1686</v>
      </c>
      <c r="E848" s="198">
        <v>34.0</v>
      </c>
      <c r="F848" s="199" t="s">
        <v>2286</v>
      </c>
    </row>
    <row r="849" ht="22.5" customHeight="1">
      <c r="A849" s="197">
        <v>46064.91450775463</v>
      </c>
      <c r="B849" s="100" t="s">
        <v>2529</v>
      </c>
      <c r="C849" s="100" t="s">
        <v>1688</v>
      </c>
      <c r="D849" s="100" t="s">
        <v>1689</v>
      </c>
      <c r="E849" s="198">
        <v>50.0</v>
      </c>
      <c r="F849" s="199" t="s">
        <v>2288</v>
      </c>
    </row>
    <row r="850" ht="22.5" customHeight="1">
      <c r="A850" s="197">
        <v>46064.91451166666</v>
      </c>
      <c r="B850" s="100" t="s">
        <v>2530</v>
      </c>
      <c r="C850" s="100" t="s">
        <v>1685</v>
      </c>
      <c r="D850" s="100" t="s">
        <v>1686</v>
      </c>
      <c r="E850" s="198">
        <v>94.0</v>
      </c>
      <c r="F850" s="199" t="s">
        <v>2531</v>
      </c>
    </row>
    <row r="851" ht="22.5" customHeight="1">
      <c r="A851" s="197">
        <v>46064.91451166666</v>
      </c>
      <c r="B851" s="100" t="s">
        <v>2530</v>
      </c>
      <c r="C851" s="100" t="s">
        <v>1688</v>
      </c>
      <c r="D851" s="100" t="s">
        <v>1689</v>
      </c>
      <c r="E851" s="198">
        <v>125.0</v>
      </c>
      <c r="F851" s="199" t="s">
        <v>2532</v>
      </c>
    </row>
    <row r="852" ht="22.5" customHeight="1">
      <c r="A852" s="197">
        <v>46064.914514131946</v>
      </c>
      <c r="B852" s="100" t="s">
        <v>2533</v>
      </c>
      <c r="C852" s="100" t="s">
        <v>1685</v>
      </c>
      <c r="D852" s="100" t="s">
        <v>1686</v>
      </c>
      <c r="E852" s="198">
        <v>100.0</v>
      </c>
      <c r="F852" s="199" t="s">
        <v>2534</v>
      </c>
    </row>
    <row r="853" ht="22.5" customHeight="1">
      <c r="A853" s="197">
        <v>46064.914514131946</v>
      </c>
      <c r="B853" s="100" t="s">
        <v>2533</v>
      </c>
      <c r="C853" s="100" t="s">
        <v>1688</v>
      </c>
      <c r="D853" s="100" t="s">
        <v>1689</v>
      </c>
      <c r="E853" s="198">
        <v>125.0</v>
      </c>
      <c r="F853" s="199" t="s">
        <v>2536</v>
      </c>
    </row>
    <row r="854" ht="22.5" customHeight="1">
      <c r="A854" s="197">
        <v>46064.91451609954</v>
      </c>
      <c r="B854" s="100" t="s">
        <v>2537</v>
      </c>
      <c r="C854" s="100" t="s">
        <v>1685</v>
      </c>
      <c r="D854" s="100" t="s">
        <v>1686</v>
      </c>
      <c r="E854" s="198">
        <v>115.0</v>
      </c>
      <c r="F854" s="199" t="s">
        <v>2196</v>
      </c>
    </row>
    <row r="855" ht="22.5" customHeight="1">
      <c r="A855" s="197">
        <v>46064.91451609954</v>
      </c>
      <c r="B855" s="100" t="s">
        <v>2537</v>
      </c>
      <c r="C855" s="100" t="s">
        <v>1688</v>
      </c>
      <c r="D855" s="100" t="s">
        <v>1689</v>
      </c>
      <c r="E855" s="198">
        <v>150.0</v>
      </c>
      <c r="F855" s="199" t="s">
        <v>2197</v>
      </c>
    </row>
    <row r="856" ht="22.5" customHeight="1">
      <c r="A856" s="197">
        <v>46064.914517337966</v>
      </c>
      <c r="B856" s="100" t="s">
        <v>2538</v>
      </c>
      <c r="C856" s="100" t="s">
        <v>1685</v>
      </c>
      <c r="D856" s="100" t="s">
        <v>1686</v>
      </c>
      <c r="E856" s="198">
        <v>35.0</v>
      </c>
      <c r="F856" s="199" t="s">
        <v>1805</v>
      </c>
    </row>
    <row r="857" ht="22.5" customHeight="1">
      <c r="A857" s="197">
        <v>46064.914517337966</v>
      </c>
      <c r="B857" s="100" t="s">
        <v>2538</v>
      </c>
      <c r="C857" s="100" t="s">
        <v>1688</v>
      </c>
      <c r="D857" s="100" t="s">
        <v>1689</v>
      </c>
      <c r="E857" s="198">
        <v>50.0</v>
      </c>
      <c r="F857" s="199" t="s">
        <v>1806</v>
      </c>
    </row>
    <row r="858" ht="22.5" customHeight="1">
      <c r="A858" s="197">
        <v>46064.91451887731</v>
      </c>
      <c r="B858" s="100" t="s">
        <v>2539</v>
      </c>
      <c r="C858" s="100" t="s">
        <v>1685</v>
      </c>
      <c r="D858" s="100" t="s">
        <v>1686</v>
      </c>
      <c r="E858" s="198">
        <v>170.0</v>
      </c>
      <c r="F858" s="199" t="s">
        <v>2540</v>
      </c>
    </row>
    <row r="859" ht="22.5" customHeight="1">
      <c r="A859" s="197">
        <v>46064.91451887731</v>
      </c>
      <c r="B859" s="100" t="s">
        <v>2539</v>
      </c>
      <c r="C859" s="100" t="s">
        <v>1688</v>
      </c>
      <c r="D859" s="100" t="s">
        <v>1689</v>
      </c>
      <c r="E859" s="198">
        <v>290.0</v>
      </c>
      <c r="F859" s="199" t="s">
        <v>2541</v>
      </c>
    </row>
    <row r="860" ht="22.5" customHeight="1">
      <c r="A860" s="197">
        <v>46064.914522384264</v>
      </c>
      <c r="B860" s="100" t="s">
        <v>2542</v>
      </c>
      <c r="C860" s="100" t="s">
        <v>1685</v>
      </c>
      <c r="D860" s="100" t="s">
        <v>1686</v>
      </c>
      <c r="E860" s="198">
        <v>42.5</v>
      </c>
      <c r="F860" s="100" t="s">
        <v>2083</v>
      </c>
    </row>
    <row r="861" ht="22.5" customHeight="1">
      <c r="A861" s="197">
        <v>46064.914522384264</v>
      </c>
      <c r="B861" s="100" t="s">
        <v>2542</v>
      </c>
      <c r="C861" s="100" t="s">
        <v>1688</v>
      </c>
      <c r="D861" s="100" t="s">
        <v>1689</v>
      </c>
      <c r="E861" s="198">
        <v>60.0</v>
      </c>
      <c r="F861" s="100" t="s">
        <v>2084</v>
      </c>
    </row>
    <row r="862" ht="22.5" customHeight="1">
      <c r="A862" s="197">
        <v>46064.914523935186</v>
      </c>
      <c r="B862" s="100" t="s">
        <v>2543</v>
      </c>
      <c r="C862" s="100" t="s">
        <v>1685</v>
      </c>
      <c r="D862" s="100" t="s">
        <v>1686</v>
      </c>
      <c r="E862" s="198">
        <v>63.0</v>
      </c>
      <c r="F862" s="199" t="s">
        <v>2544</v>
      </c>
    </row>
    <row r="863" ht="22.5" customHeight="1">
      <c r="A863" s="197">
        <v>46064.914523935186</v>
      </c>
      <c r="B863" s="100" t="s">
        <v>2543</v>
      </c>
      <c r="C863" s="100" t="s">
        <v>1688</v>
      </c>
      <c r="D863" s="100" t="s">
        <v>1689</v>
      </c>
      <c r="E863" s="198">
        <v>90.0</v>
      </c>
      <c r="F863" s="199" t="s">
        <v>2545</v>
      </c>
    </row>
    <row r="864" ht="22.5" customHeight="1">
      <c r="A864" s="197">
        <v>46064.91452508102</v>
      </c>
      <c r="B864" s="100" t="s">
        <v>2547</v>
      </c>
      <c r="C864" s="100" t="s">
        <v>1685</v>
      </c>
      <c r="D864" s="100" t="s">
        <v>1686</v>
      </c>
      <c r="E864" s="198">
        <v>80.0</v>
      </c>
      <c r="F864" s="199" t="s">
        <v>2059</v>
      </c>
    </row>
    <row r="865" ht="22.5" customHeight="1">
      <c r="A865" s="197">
        <v>46064.91452508102</v>
      </c>
      <c r="B865" s="100" t="s">
        <v>2547</v>
      </c>
      <c r="C865" s="100" t="s">
        <v>1688</v>
      </c>
      <c r="D865" s="100" t="s">
        <v>1689</v>
      </c>
      <c r="E865" s="198">
        <v>100.0</v>
      </c>
      <c r="F865" s="199" t="s">
        <v>2060</v>
      </c>
    </row>
    <row r="866" ht="22.5" customHeight="1">
      <c r="A866" s="197">
        <v>46064.91452633102</v>
      </c>
      <c r="B866" s="100" t="s">
        <v>2549</v>
      </c>
      <c r="C866" s="100" t="s">
        <v>1685</v>
      </c>
      <c r="D866" s="100" t="s">
        <v>1686</v>
      </c>
      <c r="E866" s="198">
        <v>210.0</v>
      </c>
      <c r="F866" s="199" t="s">
        <v>1989</v>
      </c>
    </row>
    <row r="867" ht="22.5" customHeight="1">
      <c r="A867" s="197">
        <v>46064.91452633102</v>
      </c>
      <c r="B867" s="100" t="s">
        <v>2549</v>
      </c>
      <c r="C867" s="100" t="s">
        <v>1688</v>
      </c>
      <c r="D867" s="100" t="s">
        <v>1689</v>
      </c>
      <c r="E867" s="198">
        <v>260.0</v>
      </c>
      <c r="F867" s="199" t="s">
        <v>1990</v>
      </c>
    </row>
    <row r="868" ht="22.5" customHeight="1">
      <c r="A868" s="197">
        <v>46066.81583703704</v>
      </c>
      <c r="B868" s="100" t="s">
        <v>2550</v>
      </c>
      <c r="C868" s="100" t="s">
        <v>1685</v>
      </c>
      <c r="D868" s="100" t="s">
        <v>1686</v>
      </c>
      <c r="E868" s="198">
        <v>135.0</v>
      </c>
      <c r="F868" s="199" t="s">
        <v>2551</v>
      </c>
    </row>
    <row r="869" ht="22.5" customHeight="1">
      <c r="A869" s="197">
        <v>46066.81583703704</v>
      </c>
      <c r="B869" s="100" t="s">
        <v>2550</v>
      </c>
      <c r="C869" s="100" t="s">
        <v>1688</v>
      </c>
      <c r="D869" s="100" t="s">
        <v>1689</v>
      </c>
      <c r="E869" s="198">
        <v>170.0</v>
      </c>
      <c r="F869" s="199" t="s">
        <v>2552</v>
      </c>
    </row>
    <row r="870" ht="22.5" customHeight="1">
      <c r="A870" s="197">
        <v>46066.815837372684</v>
      </c>
      <c r="B870" s="100" t="s">
        <v>2553</v>
      </c>
      <c r="C870" s="100" t="s">
        <v>1685</v>
      </c>
      <c r="D870" s="100" t="s">
        <v>1686</v>
      </c>
      <c r="E870" s="198">
        <v>78.0</v>
      </c>
      <c r="F870" s="199" t="s">
        <v>2212</v>
      </c>
    </row>
    <row r="871" ht="22.5" customHeight="1">
      <c r="A871" s="197">
        <v>46066.815837372684</v>
      </c>
      <c r="B871" s="100" t="s">
        <v>2553</v>
      </c>
      <c r="C871" s="100" t="s">
        <v>1688</v>
      </c>
      <c r="D871" s="100" t="s">
        <v>1689</v>
      </c>
      <c r="E871" s="198">
        <v>100.0</v>
      </c>
      <c r="F871" s="199" t="s">
        <v>2213</v>
      </c>
    </row>
    <row r="872" ht="22.5" customHeight="1">
      <c r="A872" s="197">
        <v>46066.81583763889</v>
      </c>
      <c r="B872" s="100" t="s">
        <v>2555</v>
      </c>
      <c r="C872" s="100" t="s">
        <v>1685</v>
      </c>
      <c r="D872" s="100" t="s">
        <v>1686</v>
      </c>
      <c r="E872" s="198">
        <v>6.75</v>
      </c>
      <c r="F872" s="100" t="s">
        <v>2331</v>
      </c>
    </row>
    <row r="873" ht="22.5" customHeight="1">
      <c r="A873" s="197">
        <v>46066.81583763889</v>
      </c>
      <c r="B873" s="100" t="s">
        <v>2555</v>
      </c>
      <c r="C873" s="100" t="s">
        <v>1688</v>
      </c>
      <c r="D873" s="100" t="s">
        <v>1689</v>
      </c>
      <c r="E873" s="198">
        <v>10.0</v>
      </c>
      <c r="F873" s="100" t="s">
        <v>2333</v>
      </c>
    </row>
    <row r="874" ht="22.5" customHeight="1">
      <c r="A874" s="197">
        <v>46066.81583788195</v>
      </c>
      <c r="B874" s="100" t="s">
        <v>2557</v>
      </c>
      <c r="C874" s="100" t="s">
        <v>1685</v>
      </c>
      <c r="D874" s="100" t="s">
        <v>1686</v>
      </c>
      <c r="E874" s="198">
        <v>15.0</v>
      </c>
      <c r="F874" s="199" t="s">
        <v>2193</v>
      </c>
    </row>
    <row r="875" ht="22.5" customHeight="1">
      <c r="A875" s="197">
        <v>46066.81583788195</v>
      </c>
      <c r="B875" s="100" t="s">
        <v>2557</v>
      </c>
      <c r="C875" s="100" t="s">
        <v>1688</v>
      </c>
      <c r="D875" s="100" t="s">
        <v>1689</v>
      </c>
      <c r="E875" s="198">
        <v>30.0</v>
      </c>
      <c r="F875" s="199" t="s">
        <v>2194</v>
      </c>
    </row>
    <row r="876" ht="22.5" customHeight="1">
      <c r="A876" s="197">
        <v>46066.81583811343</v>
      </c>
      <c r="B876" s="100" t="s">
        <v>2558</v>
      </c>
      <c r="C876" s="100" t="s">
        <v>1685</v>
      </c>
      <c r="D876" s="100" t="s">
        <v>1686</v>
      </c>
      <c r="E876" s="198">
        <v>135.0</v>
      </c>
      <c r="F876" s="199" t="s">
        <v>2559</v>
      </c>
    </row>
    <row r="877" ht="22.5" customHeight="1">
      <c r="A877" s="197">
        <v>46066.81583811343</v>
      </c>
      <c r="B877" s="100" t="s">
        <v>2558</v>
      </c>
      <c r="C877" s="100" t="s">
        <v>1688</v>
      </c>
      <c r="D877" s="100" t="s">
        <v>1689</v>
      </c>
      <c r="E877" s="198">
        <v>175.0</v>
      </c>
      <c r="F877" s="199" t="s">
        <v>2561</v>
      </c>
    </row>
    <row r="878" ht="22.5" customHeight="1">
      <c r="A878" s="197">
        <v>46066.815838298615</v>
      </c>
      <c r="B878" s="100" t="s">
        <v>2562</v>
      </c>
      <c r="C878" s="100" t="s">
        <v>1685</v>
      </c>
      <c r="D878" s="100" t="s">
        <v>1686</v>
      </c>
      <c r="E878" s="198">
        <v>165.0</v>
      </c>
      <c r="F878" s="199" t="s">
        <v>2045</v>
      </c>
    </row>
    <row r="879" ht="22.5" customHeight="1">
      <c r="A879" s="197">
        <v>46066.815838298615</v>
      </c>
      <c r="B879" s="100" t="s">
        <v>2562</v>
      </c>
      <c r="C879" s="100" t="s">
        <v>1688</v>
      </c>
      <c r="D879" s="100" t="s">
        <v>1689</v>
      </c>
      <c r="E879" s="198">
        <v>175.0</v>
      </c>
      <c r="F879" s="199" t="s">
        <v>2046</v>
      </c>
    </row>
    <row r="880" ht="22.5" customHeight="1">
      <c r="A880" s="197">
        <v>46066.81583853009</v>
      </c>
      <c r="B880" s="100" t="s">
        <v>2564</v>
      </c>
      <c r="C880" s="100" t="s">
        <v>1685</v>
      </c>
      <c r="D880" s="100" t="s">
        <v>1686</v>
      </c>
      <c r="E880" s="198">
        <v>75.0</v>
      </c>
      <c r="F880" s="199" t="s">
        <v>2509</v>
      </c>
    </row>
    <row r="881" ht="22.5" customHeight="1">
      <c r="A881" s="197">
        <v>46066.81583853009</v>
      </c>
      <c r="B881" s="100" t="s">
        <v>2564</v>
      </c>
      <c r="C881" s="100" t="s">
        <v>1688</v>
      </c>
      <c r="D881" s="100" t="s">
        <v>1689</v>
      </c>
      <c r="E881" s="198">
        <v>95.0</v>
      </c>
      <c r="F881" s="199" t="s">
        <v>2511</v>
      </c>
    </row>
    <row r="882" ht="22.5" customHeight="1">
      <c r="A882" s="197">
        <v>46066.81583878472</v>
      </c>
      <c r="B882" s="100" t="s">
        <v>2566</v>
      </c>
      <c r="C882" s="100" t="s">
        <v>1685</v>
      </c>
      <c r="D882" s="100" t="s">
        <v>1686</v>
      </c>
      <c r="E882" s="198">
        <v>180.0</v>
      </c>
      <c r="F882" s="199" t="s">
        <v>2019</v>
      </c>
    </row>
    <row r="883" ht="22.5" customHeight="1">
      <c r="A883" s="197">
        <v>46066.81583878472</v>
      </c>
      <c r="B883" s="100" t="s">
        <v>2566</v>
      </c>
      <c r="C883" s="100" t="s">
        <v>1688</v>
      </c>
      <c r="D883" s="100" t="s">
        <v>1689</v>
      </c>
      <c r="E883" s="198">
        <v>260.0</v>
      </c>
      <c r="F883" s="199" t="s">
        <v>2020</v>
      </c>
    </row>
    <row r="884" ht="22.5" customHeight="1">
      <c r="A884" s="197">
        <v>46066.81583896991</v>
      </c>
      <c r="B884" s="100" t="s">
        <v>2567</v>
      </c>
      <c r="C884" s="100" t="s">
        <v>1685</v>
      </c>
      <c r="D884" s="100" t="s">
        <v>1686</v>
      </c>
      <c r="E884" s="198">
        <v>252.0</v>
      </c>
      <c r="F884" s="199" t="s">
        <v>2568</v>
      </c>
    </row>
    <row r="885" ht="22.5" customHeight="1">
      <c r="A885" s="197">
        <v>46066.81583896991</v>
      </c>
      <c r="B885" s="100" t="s">
        <v>2567</v>
      </c>
      <c r="C885" s="100" t="s">
        <v>1688</v>
      </c>
      <c r="D885" s="100" t="s">
        <v>1689</v>
      </c>
      <c r="E885" s="198">
        <v>300.0</v>
      </c>
      <c r="F885" s="199" t="s">
        <v>2569</v>
      </c>
    </row>
    <row r="886" ht="22.5" customHeight="1">
      <c r="A886" s="197">
        <v>46066.81583917824</v>
      </c>
      <c r="B886" s="100" t="s">
        <v>2570</v>
      </c>
      <c r="C886" s="100" t="s">
        <v>1685</v>
      </c>
      <c r="D886" s="100" t="s">
        <v>1686</v>
      </c>
      <c r="E886" s="198">
        <v>180.0</v>
      </c>
      <c r="F886" s="199" t="s">
        <v>2571</v>
      </c>
    </row>
    <row r="887" ht="22.5" customHeight="1">
      <c r="A887" s="197">
        <v>46066.81583917824</v>
      </c>
      <c r="B887" s="100" t="s">
        <v>2570</v>
      </c>
      <c r="C887" s="100" t="s">
        <v>1688</v>
      </c>
      <c r="D887" s="100" t="s">
        <v>1689</v>
      </c>
      <c r="E887" s="198">
        <v>220.0</v>
      </c>
      <c r="F887" s="199" t="s">
        <v>2572</v>
      </c>
    </row>
    <row r="888" ht="22.5" customHeight="1">
      <c r="A888" s="197">
        <v>46066.81583939814</v>
      </c>
      <c r="B888" s="100" t="s">
        <v>2573</v>
      </c>
      <c r="C888" s="100" t="s">
        <v>1685</v>
      </c>
      <c r="D888" s="100" t="s">
        <v>1686</v>
      </c>
      <c r="E888" s="198">
        <v>195.0</v>
      </c>
      <c r="F888" s="199" t="s">
        <v>2036</v>
      </c>
    </row>
    <row r="889" ht="22.5" customHeight="1">
      <c r="A889" s="197">
        <v>46066.81583939814</v>
      </c>
      <c r="B889" s="100" t="s">
        <v>2573</v>
      </c>
      <c r="C889" s="100" t="s">
        <v>1688</v>
      </c>
      <c r="D889" s="100" t="s">
        <v>1689</v>
      </c>
      <c r="E889" s="198">
        <v>250.0</v>
      </c>
      <c r="F889" s="199" t="s">
        <v>2037</v>
      </c>
    </row>
    <row r="890" ht="22.5" customHeight="1">
      <c r="A890" s="197">
        <v>46066.81583960648</v>
      </c>
      <c r="B890" s="100" t="s">
        <v>2574</v>
      </c>
      <c r="C890" s="100" t="s">
        <v>1685</v>
      </c>
      <c r="D890" s="100" t="s">
        <v>1686</v>
      </c>
      <c r="E890" s="198">
        <v>154.0</v>
      </c>
      <c r="F890" s="199" t="s">
        <v>2575</v>
      </c>
    </row>
    <row r="891" ht="22.5" customHeight="1">
      <c r="A891" s="197">
        <v>46066.81583960648</v>
      </c>
      <c r="B891" s="100" t="s">
        <v>2574</v>
      </c>
      <c r="C891" s="100" t="s">
        <v>1688</v>
      </c>
      <c r="D891" s="100" t="s">
        <v>1689</v>
      </c>
      <c r="E891" s="198">
        <v>180.0</v>
      </c>
      <c r="F891" s="199" t="s">
        <v>2576</v>
      </c>
    </row>
    <row r="892" ht="22.5" customHeight="1">
      <c r="A892" s="197">
        <v>46066.81583994213</v>
      </c>
      <c r="B892" s="100" t="s">
        <v>2577</v>
      </c>
      <c r="C892" s="100" t="s">
        <v>1685</v>
      </c>
      <c r="D892" s="100" t="s">
        <v>1686</v>
      </c>
      <c r="E892" s="198">
        <v>100.0</v>
      </c>
      <c r="F892" s="199" t="s">
        <v>2275</v>
      </c>
    </row>
    <row r="893" ht="22.5" customHeight="1">
      <c r="A893" s="197">
        <v>46066.81583994213</v>
      </c>
      <c r="B893" s="100" t="s">
        <v>2577</v>
      </c>
      <c r="C893" s="100" t="s">
        <v>1688</v>
      </c>
      <c r="D893" s="100" t="s">
        <v>1689</v>
      </c>
      <c r="E893" s="198">
        <v>150.0</v>
      </c>
      <c r="F893" s="199" t="s">
        <v>2276</v>
      </c>
    </row>
    <row r="894" ht="22.5" customHeight="1">
      <c r="A894" s="197">
        <v>46066.815840208335</v>
      </c>
      <c r="B894" s="100" t="s">
        <v>2578</v>
      </c>
      <c r="C894" s="100" t="s">
        <v>1685</v>
      </c>
      <c r="D894" s="100" t="s">
        <v>1686</v>
      </c>
      <c r="E894" s="198">
        <v>17.5</v>
      </c>
      <c r="F894" s="199" t="s">
        <v>2137</v>
      </c>
    </row>
    <row r="895" ht="22.5" customHeight="1">
      <c r="A895" s="197">
        <v>46066.815840208335</v>
      </c>
      <c r="B895" s="100" t="s">
        <v>2578</v>
      </c>
      <c r="C895" s="100" t="s">
        <v>1688</v>
      </c>
      <c r="D895" s="100" t="s">
        <v>1689</v>
      </c>
      <c r="E895" s="198">
        <v>25.0</v>
      </c>
      <c r="F895" s="199" t="s">
        <v>2138</v>
      </c>
    </row>
    <row r="896" ht="22.5" customHeight="1">
      <c r="A896" s="197">
        <v>46066.81584048611</v>
      </c>
      <c r="B896" s="100" t="s">
        <v>2579</v>
      </c>
      <c r="C896" s="100" t="s">
        <v>1685</v>
      </c>
      <c r="D896" s="100" t="s">
        <v>1686</v>
      </c>
      <c r="E896" s="198">
        <v>11.25</v>
      </c>
      <c r="F896" s="199" t="s">
        <v>2580</v>
      </c>
    </row>
    <row r="897" ht="22.5" customHeight="1">
      <c r="A897" s="197">
        <v>46066.81584048611</v>
      </c>
      <c r="B897" s="100" t="s">
        <v>2579</v>
      </c>
      <c r="C897" s="100" t="s">
        <v>1688</v>
      </c>
      <c r="D897" s="100" t="s">
        <v>1689</v>
      </c>
      <c r="E897" s="198">
        <v>20.0</v>
      </c>
      <c r="F897" s="199" t="s">
        <v>2582</v>
      </c>
    </row>
    <row r="898" ht="22.5" customHeight="1">
      <c r="A898" s="197">
        <v>46066.81584072916</v>
      </c>
      <c r="B898" s="100" t="s">
        <v>2583</v>
      </c>
      <c r="C898" s="100" t="s">
        <v>1685</v>
      </c>
      <c r="D898" s="100" t="s">
        <v>1686</v>
      </c>
      <c r="E898" s="198">
        <v>225.0</v>
      </c>
      <c r="F898" s="199" t="s">
        <v>2519</v>
      </c>
    </row>
    <row r="899" ht="22.5" customHeight="1">
      <c r="A899" s="197">
        <v>46066.81584072916</v>
      </c>
      <c r="B899" s="100" t="s">
        <v>2583</v>
      </c>
      <c r="C899" s="100" t="s">
        <v>1688</v>
      </c>
      <c r="D899" s="100" t="s">
        <v>1689</v>
      </c>
      <c r="E899" s="198">
        <v>275.0</v>
      </c>
      <c r="F899" s="199" t="s">
        <v>2520</v>
      </c>
    </row>
    <row r="900" ht="22.5" customHeight="1">
      <c r="A900" s="197">
        <v>46066.90288376158</v>
      </c>
      <c r="B900" s="100" t="s">
        <v>2585</v>
      </c>
      <c r="C900" s="100" t="s">
        <v>1685</v>
      </c>
      <c r="D900" s="100" t="s">
        <v>1686</v>
      </c>
      <c r="E900" s="198">
        <v>56.4</v>
      </c>
      <c r="F900" s="199" t="s">
        <v>1753</v>
      </c>
    </row>
    <row r="901" ht="22.5" customHeight="1">
      <c r="A901" s="197">
        <v>46066.90288376158</v>
      </c>
      <c r="B901" s="100" t="s">
        <v>2585</v>
      </c>
      <c r="C901" s="100" t="s">
        <v>1688</v>
      </c>
      <c r="D901" s="100" t="s">
        <v>1689</v>
      </c>
      <c r="E901" s="198">
        <v>80.0</v>
      </c>
      <c r="F901" s="199" t="s">
        <v>1754</v>
      </c>
    </row>
    <row r="902" ht="22.5" customHeight="1">
      <c r="A902" s="197">
        <v>46066.90288408565</v>
      </c>
      <c r="B902" s="100" t="s">
        <v>2587</v>
      </c>
      <c r="C902" s="100" t="s">
        <v>1685</v>
      </c>
      <c r="D902" s="100" t="s">
        <v>1686</v>
      </c>
      <c r="E902" s="198">
        <v>135.0</v>
      </c>
      <c r="F902" s="199" t="s">
        <v>2131</v>
      </c>
    </row>
    <row r="903" ht="22.5" customHeight="1">
      <c r="A903" s="197">
        <v>46066.90288408565</v>
      </c>
      <c r="B903" s="100" t="s">
        <v>2587</v>
      </c>
      <c r="C903" s="100" t="s">
        <v>1688</v>
      </c>
      <c r="D903" s="100" t="s">
        <v>1689</v>
      </c>
      <c r="E903" s="198">
        <v>165.0</v>
      </c>
      <c r="F903" s="199" t="s">
        <v>2132</v>
      </c>
    </row>
    <row r="904" ht="22.5" customHeight="1">
      <c r="A904" s="197">
        <v>46066.90288447917</v>
      </c>
      <c r="B904" s="100" t="s">
        <v>2589</v>
      </c>
      <c r="C904" s="100" t="s">
        <v>1685</v>
      </c>
      <c r="D904" s="100" t="s">
        <v>1686</v>
      </c>
      <c r="E904" s="198">
        <v>7.0</v>
      </c>
      <c r="F904" s="199" t="s">
        <v>2391</v>
      </c>
    </row>
    <row r="905" ht="22.5" customHeight="1">
      <c r="A905" s="197">
        <v>46066.90288447917</v>
      </c>
      <c r="B905" s="100" t="s">
        <v>2589</v>
      </c>
      <c r="C905" s="100" t="s">
        <v>1688</v>
      </c>
      <c r="D905" s="100" t="s">
        <v>1689</v>
      </c>
      <c r="E905" s="198">
        <v>20.0</v>
      </c>
      <c r="F905" s="199" t="s">
        <v>2392</v>
      </c>
    </row>
    <row r="906" ht="22.5" customHeight="1">
      <c r="A906" s="197">
        <v>46066.902884849536</v>
      </c>
      <c r="B906" s="100" t="s">
        <v>2590</v>
      </c>
      <c r="C906" s="100" t="s">
        <v>1685</v>
      </c>
      <c r="D906" s="100" t="s">
        <v>1686</v>
      </c>
      <c r="E906" s="198">
        <v>150.0</v>
      </c>
      <c r="F906" s="199" t="s">
        <v>1853</v>
      </c>
    </row>
    <row r="907" ht="22.5" customHeight="1">
      <c r="A907" s="197">
        <v>46066.902884849536</v>
      </c>
      <c r="B907" s="100" t="s">
        <v>2590</v>
      </c>
      <c r="C907" s="100" t="s">
        <v>1688</v>
      </c>
      <c r="D907" s="100" t="s">
        <v>1689</v>
      </c>
      <c r="E907" s="198">
        <v>200.0</v>
      </c>
      <c r="F907" s="199" t="s">
        <v>1854</v>
      </c>
    </row>
    <row r="908" ht="22.5" customHeight="1">
      <c r="A908" s="197">
        <v>46066.907108784726</v>
      </c>
      <c r="B908" s="100" t="s">
        <v>2591</v>
      </c>
      <c r="C908" s="100" t="s">
        <v>1685</v>
      </c>
      <c r="D908" s="100" t="s">
        <v>1686</v>
      </c>
      <c r="E908" s="198">
        <v>20.0</v>
      </c>
      <c r="F908" s="199" t="s">
        <v>2356</v>
      </c>
    </row>
    <row r="909" ht="22.5" customHeight="1">
      <c r="A909" s="197">
        <v>46066.907108784726</v>
      </c>
      <c r="B909" s="100" t="s">
        <v>2591</v>
      </c>
      <c r="C909" s="100" t="s">
        <v>1688</v>
      </c>
      <c r="D909" s="100" t="s">
        <v>1689</v>
      </c>
      <c r="E909" s="198">
        <v>100.0</v>
      </c>
      <c r="F909" s="199" t="s">
        <v>2357</v>
      </c>
    </row>
    <row r="910" ht="22.5" customHeight="1">
      <c r="A910" s="197">
        <v>46069.91922996528</v>
      </c>
      <c r="B910" s="100" t="s">
        <v>2592</v>
      </c>
      <c r="C910" s="100" t="s">
        <v>1685</v>
      </c>
      <c r="D910" s="100" t="s">
        <v>1686</v>
      </c>
      <c r="E910" s="198">
        <v>53.33</v>
      </c>
      <c r="F910" s="199" t="s">
        <v>2593</v>
      </c>
    </row>
    <row r="911" ht="22.5" customHeight="1">
      <c r="A911" s="197">
        <v>46069.91922996528</v>
      </c>
      <c r="B911" s="100" t="s">
        <v>2592</v>
      </c>
      <c r="C911" s="100" t="s">
        <v>1688</v>
      </c>
      <c r="D911" s="100" t="s">
        <v>1689</v>
      </c>
      <c r="E911" s="198">
        <v>70.0</v>
      </c>
      <c r="F911" s="199" t="s">
        <v>2594</v>
      </c>
    </row>
    <row r="912" ht="22.5" customHeight="1">
      <c r="A912" s="197">
        <v>46069.91923021991</v>
      </c>
      <c r="B912" s="100" t="s">
        <v>2595</v>
      </c>
      <c r="C912" s="100" t="s">
        <v>1685</v>
      </c>
      <c r="D912" s="100" t="s">
        <v>1686</v>
      </c>
      <c r="E912" s="198">
        <v>17.5</v>
      </c>
      <c r="F912" s="199" t="s">
        <v>2137</v>
      </c>
    </row>
    <row r="913" ht="22.5" customHeight="1">
      <c r="A913" s="197">
        <v>46069.91923021991</v>
      </c>
      <c r="B913" s="100" t="s">
        <v>2595</v>
      </c>
      <c r="C913" s="100" t="s">
        <v>1688</v>
      </c>
      <c r="D913" s="100" t="s">
        <v>1689</v>
      </c>
      <c r="E913" s="198">
        <v>25.0</v>
      </c>
      <c r="F913" s="199" t="s">
        <v>2138</v>
      </c>
    </row>
    <row r="914" ht="22.5" customHeight="1">
      <c r="A914" s="197">
        <v>46069.91923047454</v>
      </c>
      <c r="B914" s="100" t="s">
        <v>2597</v>
      </c>
      <c r="C914" s="100" t="s">
        <v>1685</v>
      </c>
      <c r="D914" s="100" t="s">
        <v>1686</v>
      </c>
      <c r="E914" s="198">
        <v>45.0</v>
      </c>
      <c r="F914" s="199" t="s">
        <v>1838</v>
      </c>
    </row>
    <row r="915" ht="22.5" customHeight="1">
      <c r="A915" s="197">
        <v>46069.91923047454</v>
      </c>
      <c r="B915" s="100" t="s">
        <v>2597</v>
      </c>
      <c r="C915" s="100" t="s">
        <v>1688</v>
      </c>
      <c r="D915" s="100" t="s">
        <v>1689</v>
      </c>
      <c r="E915" s="198">
        <v>65.0</v>
      </c>
      <c r="F915" s="199" t="s">
        <v>1839</v>
      </c>
    </row>
    <row r="916" ht="22.5" customHeight="1">
      <c r="A916" s="197">
        <v>46069.91923075232</v>
      </c>
      <c r="B916" s="100" t="s">
        <v>2598</v>
      </c>
      <c r="C916" s="100" t="s">
        <v>1685</v>
      </c>
      <c r="D916" s="100" t="s">
        <v>1686</v>
      </c>
      <c r="E916" s="198">
        <v>90.0</v>
      </c>
      <c r="F916" s="199" t="s">
        <v>2019</v>
      </c>
    </row>
    <row r="917" ht="22.5" customHeight="1">
      <c r="A917" s="197">
        <v>46069.91923075232</v>
      </c>
      <c r="B917" s="100" t="s">
        <v>2598</v>
      </c>
      <c r="C917" s="100" t="s">
        <v>1688</v>
      </c>
      <c r="D917" s="100" t="s">
        <v>1689</v>
      </c>
      <c r="E917" s="198">
        <v>135.0</v>
      </c>
      <c r="F917" s="199" t="s">
        <v>2020</v>
      </c>
    </row>
    <row r="918" ht="22.5" customHeight="1">
      <c r="A918" s="197">
        <v>46069.919230983796</v>
      </c>
      <c r="B918" s="100" t="s">
        <v>2599</v>
      </c>
      <c r="C918" s="100" t="s">
        <v>1685</v>
      </c>
      <c r="D918" s="100" t="s">
        <v>1686</v>
      </c>
      <c r="E918" s="198">
        <v>165.5</v>
      </c>
      <c r="F918" s="199" t="s">
        <v>2600</v>
      </c>
    </row>
    <row r="919" ht="22.5" customHeight="1">
      <c r="A919" s="197">
        <v>46069.919230983796</v>
      </c>
      <c r="B919" s="100" t="s">
        <v>2599</v>
      </c>
      <c r="C919" s="100" t="s">
        <v>1688</v>
      </c>
      <c r="D919" s="100" t="s">
        <v>1689</v>
      </c>
      <c r="E919" s="198">
        <v>210.0</v>
      </c>
      <c r="F919" s="199" t="s">
        <v>2601</v>
      </c>
    </row>
    <row r="920" ht="22.5" customHeight="1">
      <c r="A920" s="197">
        <v>46069.92369577546</v>
      </c>
      <c r="B920" s="100" t="s">
        <v>2602</v>
      </c>
      <c r="C920" s="100" t="s">
        <v>1685</v>
      </c>
      <c r="D920" s="100" t="s">
        <v>1686</v>
      </c>
      <c r="E920" s="198">
        <v>126.0</v>
      </c>
      <c r="F920" s="199" t="s">
        <v>2603</v>
      </c>
    </row>
    <row r="921" ht="22.5" customHeight="1">
      <c r="A921" s="197">
        <v>46069.92369577546</v>
      </c>
      <c r="B921" s="100" t="s">
        <v>2602</v>
      </c>
      <c r="C921" s="100" t="s">
        <v>1688</v>
      </c>
      <c r="D921" s="100" t="s">
        <v>1689</v>
      </c>
      <c r="E921" s="198">
        <v>180.0</v>
      </c>
      <c r="F921" s="199" t="s">
        <v>2604</v>
      </c>
    </row>
    <row r="922" ht="22.5" customHeight="1">
      <c r="A922" s="197">
        <v>46070.910374444444</v>
      </c>
      <c r="B922" s="100" t="s">
        <v>2605</v>
      </c>
      <c r="C922" s="100" t="s">
        <v>1685</v>
      </c>
      <c r="D922" s="100" t="s">
        <v>1686</v>
      </c>
      <c r="E922" s="198">
        <v>450.0</v>
      </c>
      <c r="F922" s="199" t="s">
        <v>2519</v>
      </c>
    </row>
    <row r="923" ht="22.5" customHeight="1">
      <c r="A923" s="197">
        <v>46070.910374444444</v>
      </c>
      <c r="B923" s="100" t="s">
        <v>2605</v>
      </c>
      <c r="C923" s="100" t="s">
        <v>1688</v>
      </c>
      <c r="D923" s="100" t="s">
        <v>1689</v>
      </c>
      <c r="E923" s="198">
        <v>550.0</v>
      </c>
      <c r="F923" s="199" t="s">
        <v>2520</v>
      </c>
    </row>
    <row r="924" ht="22.5" customHeight="1">
      <c r="A924" s="197">
        <v>46072.86489712963</v>
      </c>
      <c r="B924" s="100" t="s">
        <v>2606</v>
      </c>
      <c r="C924" s="100" t="s">
        <v>1685</v>
      </c>
      <c r="D924" s="100" t="s">
        <v>1686</v>
      </c>
      <c r="E924" s="198">
        <v>134.24</v>
      </c>
      <c r="F924" s="199" t="s">
        <v>2325</v>
      </c>
    </row>
    <row r="925" ht="22.5" customHeight="1">
      <c r="A925" s="197">
        <v>46072.86489712963</v>
      </c>
      <c r="B925" s="100" t="s">
        <v>2606</v>
      </c>
      <c r="C925" s="100" t="s">
        <v>1688</v>
      </c>
      <c r="D925" s="100" t="s">
        <v>1689</v>
      </c>
      <c r="E925" s="198">
        <v>280.0</v>
      </c>
      <c r="F925" s="199" t="s">
        <v>2327</v>
      </c>
    </row>
    <row r="926" ht="22.5" customHeight="1">
      <c r="A926" s="197">
        <v>46072.864897499996</v>
      </c>
      <c r="B926" s="100" t="s">
        <v>2608</v>
      </c>
      <c r="C926" s="100" t="s">
        <v>1685</v>
      </c>
      <c r="D926" s="100" t="s">
        <v>1686</v>
      </c>
      <c r="E926" s="198">
        <v>60.0</v>
      </c>
      <c r="F926" s="199" t="s">
        <v>2609</v>
      </c>
    </row>
    <row r="927" ht="22.5" customHeight="1">
      <c r="A927" s="197">
        <v>46072.864897499996</v>
      </c>
      <c r="B927" s="100" t="s">
        <v>2608</v>
      </c>
      <c r="C927" s="100" t="s">
        <v>1688</v>
      </c>
      <c r="D927" s="100" t="s">
        <v>1689</v>
      </c>
      <c r="E927" s="198">
        <v>100.0</v>
      </c>
      <c r="F927" s="199" t="s">
        <v>2610</v>
      </c>
    </row>
    <row r="928" ht="22.5" customHeight="1">
      <c r="A928" s="197">
        <v>46072.86489783565</v>
      </c>
      <c r="B928" s="100" t="s">
        <v>2611</v>
      </c>
      <c r="C928" s="100" t="s">
        <v>1685</v>
      </c>
      <c r="D928" s="100" t="s">
        <v>1686</v>
      </c>
      <c r="E928" s="198">
        <v>137.0</v>
      </c>
      <c r="F928" s="199" t="s">
        <v>2612</v>
      </c>
    </row>
    <row r="929" ht="22.5" customHeight="1">
      <c r="A929" s="197">
        <v>46072.86489783565</v>
      </c>
      <c r="B929" s="100" t="s">
        <v>2611</v>
      </c>
      <c r="C929" s="100" t="s">
        <v>1688</v>
      </c>
      <c r="D929" s="100" t="s">
        <v>1689</v>
      </c>
      <c r="E929" s="198">
        <v>180.0</v>
      </c>
      <c r="F929" s="199" t="s">
        <v>2613</v>
      </c>
    </row>
    <row r="930" ht="22.5" customHeight="1">
      <c r="A930" s="197">
        <v>46072.864898252315</v>
      </c>
      <c r="B930" s="100" t="s">
        <v>2614</v>
      </c>
      <c r="C930" s="100" t="s">
        <v>1685</v>
      </c>
      <c r="D930" s="100" t="s">
        <v>1686</v>
      </c>
      <c r="E930" s="198">
        <v>145.0</v>
      </c>
      <c r="F930" s="199" t="s">
        <v>2615</v>
      </c>
    </row>
    <row r="931" ht="22.5" customHeight="1">
      <c r="A931" s="197">
        <v>46072.864898252315</v>
      </c>
      <c r="B931" s="100" t="s">
        <v>2614</v>
      </c>
      <c r="C931" s="100" t="s">
        <v>1688</v>
      </c>
      <c r="D931" s="100" t="s">
        <v>1689</v>
      </c>
      <c r="E931" s="198">
        <v>200.0</v>
      </c>
      <c r="F931" s="199" t="s">
        <v>2616</v>
      </c>
    </row>
    <row r="932" ht="22.5" customHeight="1">
      <c r="A932" s="197">
        <v>46072.86489863426</v>
      </c>
      <c r="B932" s="100" t="s">
        <v>2617</v>
      </c>
      <c r="C932" s="100" t="s">
        <v>1685</v>
      </c>
      <c r="D932" s="100" t="s">
        <v>1686</v>
      </c>
      <c r="E932" s="198">
        <v>126.0</v>
      </c>
      <c r="F932" s="199" t="s">
        <v>2618</v>
      </c>
    </row>
    <row r="933" ht="22.5" customHeight="1">
      <c r="A933" s="197">
        <v>46072.86489863426</v>
      </c>
      <c r="B933" s="100" t="s">
        <v>2617</v>
      </c>
      <c r="C933" s="100" t="s">
        <v>1688</v>
      </c>
      <c r="D933" s="100" t="s">
        <v>1689</v>
      </c>
      <c r="E933" s="198">
        <v>160.0</v>
      </c>
      <c r="F933" s="199" t="s">
        <v>2619</v>
      </c>
    </row>
    <row r="934" ht="22.5" customHeight="1">
      <c r="A934" s="197">
        <v>46072.86489902777</v>
      </c>
      <c r="B934" s="100" t="s">
        <v>2620</v>
      </c>
      <c r="C934" s="100" t="s">
        <v>1685</v>
      </c>
      <c r="D934" s="100" t="s">
        <v>1686</v>
      </c>
      <c r="E934" s="198">
        <v>141.0</v>
      </c>
      <c r="F934" s="199" t="s">
        <v>2621</v>
      </c>
    </row>
    <row r="935" ht="22.5" customHeight="1">
      <c r="A935" s="197">
        <v>46072.86489902777</v>
      </c>
      <c r="B935" s="100" t="s">
        <v>2620</v>
      </c>
      <c r="C935" s="100" t="s">
        <v>1688</v>
      </c>
      <c r="D935" s="100" t="s">
        <v>1689</v>
      </c>
      <c r="E935" s="198">
        <v>195.0</v>
      </c>
      <c r="F935" s="199" t="s">
        <v>2622</v>
      </c>
    </row>
    <row r="936" ht="22.5" customHeight="1">
      <c r="A936" s="197">
        <v>46072.86489946759</v>
      </c>
      <c r="B936" s="100" t="s">
        <v>2623</v>
      </c>
      <c r="C936" s="100" t="s">
        <v>1685</v>
      </c>
      <c r="D936" s="100" t="s">
        <v>1686</v>
      </c>
      <c r="E936" s="198">
        <v>128.0</v>
      </c>
      <c r="F936" s="199" t="s">
        <v>2243</v>
      </c>
    </row>
    <row r="937" ht="22.5" customHeight="1">
      <c r="A937" s="197">
        <v>46072.86489946759</v>
      </c>
      <c r="B937" s="100" t="s">
        <v>2623</v>
      </c>
      <c r="C937" s="100" t="s">
        <v>1688</v>
      </c>
      <c r="D937" s="100" t="s">
        <v>1689</v>
      </c>
      <c r="E937" s="198">
        <v>170.0</v>
      </c>
      <c r="F937" s="199" t="s">
        <v>2244</v>
      </c>
    </row>
    <row r="938" ht="22.5" customHeight="1">
      <c r="A938" s="197">
        <v>46072.86489993056</v>
      </c>
      <c r="B938" s="100" t="s">
        <v>2624</v>
      </c>
      <c r="C938" s="100" t="s">
        <v>1685</v>
      </c>
      <c r="D938" s="100" t="s">
        <v>1686</v>
      </c>
      <c r="E938" s="198">
        <v>135.0</v>
      </c>
      <c r="F938" s="199" t="s">
        <v>2551</v>
      </c>
    </row>
    <row r="939" ht="22.5" customHeight="1">
      <c r="A939" s="197">
        <v>46072.86489993056</v>
      </c>
      <c r="B939" s="100" t="s">
        <v>2624</v>
      </c>
      <c r="C939" s="100" t="s">
        <v>1688</v>
      </c>
      <c r="D939" s="100" t="s">
        <v>1689</v>
      </c>
      <c r="E939" s="198">
        <v>170.0</v>
      </c>
      <c r="F939" s="199" t="s">
        <v>2552</v>
      </c>
    </row>
    <row r="940" ht="22.5" customHeight="1">
      <c r="A940" s="197">
        <v>46072.864900347224</v>
      </c>
      <c r="B940" s="100" t="s">
        <v>2625</v>
      </c>
      <c r="C940" s="100" t="s">
        <v>1685</v>
      </c>
      <c r="D940" s="100" t="s">
        <v>1686</v>
      </c>
      <c r="E940" s="198">
        <v>145.0</v>
      </c>
      <c r="F940" s="199" t="s">
        <v>2615</v>
      </c>
    </row>
    <row r="941" ht="22.5" customHeight="1">
      <c r="A941" s="197">
        <v>46072.864900347224</v>
      </c>
      <c r="B941" s="100" t="s">
        <v>2625</v>
      </c>
      <c r="C941" s="100" t="s">
        <v>1688</v>
      </c>
      <c r="D941" s="100" t="s">
        <v>1689</v>
      </c>
      <c r="E941" s="198">
        <v>200.0</v>
      </c>
      <c r="F941" s="199" t="s">
        <v>2616</v>
      </c>
    </row>
    <row r="942" ht="22.5" customHeight="1">
      <c r="A942" s="197">
        <v>46072.86490075232</v>
      </c>
      <c r="B942" s="100" t="s">
        <v>2626</v>
      </c>
      <c r="C942" s="100" t="s">
        <v>1685</v>
      </c>
      <c r="D942" s="100" t="s">
        <v>1686</v>
      </c>
      <c r="E942" s="198">
        <v>130.0</v>
      </c>
      <c r="F942" s="199" t="s">
        <v>2627</v>
      </c>
    </row>
    <row r="943" ht="22.5" customHeight="1">
      <c r="A943" s="197">
        <v>46072.86490075232</v>
      </c>
      <c r="B943" s="100" t="s">
        <v>2626</v>
      </c>
      <c r="C943" s="100" t="s">
        <v>1688</v>
      </c>
      <c r="D943" s="100" t="s">
        <v>1689</v>
      </c>
      <c r="E943" s="198">
        <v>180.0</v>
      </c>
      <c r="F943" s="199" t="s">
        <v>2628</v>
      </c>
    </row>
    <row r="944" ht="22.5" customHeight="1">
      <c r="A944" s="197">
        <v>46072.86490112268</v>
      </c>
      <c r="B944" s="100" t="s">
        <v>2629</v>
      </c>
      <c r="C944" s="100" t="s">
        <v>1685</v>
      </c>
      <c r="D944" s="100" t="s">
        <v>1686</v>
      </c>
      <c r="E944" s="198">
        <v>5.0</v>
      </c>
      <c r="F944" s="199" t="s">
        <v>2193</v>
      </c>
    </row>
    <row r="945" ht="22.5" customHeight="1">
      <c r="A945" s="197">
        <v>46072.86490112268</v>
      </c>
      <c r="B945" s="100" t="s">
        <v>2629</v>
      </c>
      <c r="C945" s="100" t="s">
        <v>1688</v>
      </c>
      <c r="D945" s="100" t="s">
        <v>1689</v>
      </c>
      <c r="E945" s="198">
        <v>10.0</v>
      </c>
      <c r="F945" s="199" t="s">
        <v>2194</v>
      </c>
    </row>
    <row r="946" ht="22.5" customHeight="1">
      <c r="A946" s="197">
        <v>46072.94327128472</v>
      </c>
      <c r="B946" s="100" t="s">
        <v>2630</v>
      </c>
      <c r="C946" s="100" t="s">
        <v>1685</v>
      </c>
      <c r="D946" s="100" t="s">
        <v>1686</v>
      </c>
      <c r="E946" s="198">
        <v>150.0</v>
      </c>
      <c r="F946" s="199" t="s">
        <v>1914</v>
      </c>
    </row>
    <row r="947" ht="22.5" customHeight="1">
      <c r="A947" s="197">
        <v>46072.94327128472</v>
      </c>
      <c r="B947" s="100" t="s">
        <v>2630</v>
      </c>
      <c r="C947" s="100" t="s">
        <v>1688</v>
      </c>
      <c r="D947" s="100" t="s">
        <v>1689</v>
      </c>
      <c r="E947" s="198">
        <v>220.0</v>
      </c>
      <c r="F947" s="199" t="s">
        <v>1915</v>
      </c>
    </row>
    <row r="948" ht="22.5" customHeight="1">
      <c r="A948" s="197">
        <v>46072.94327149306</v>
      </c>
      <c r="B948" s="100" t="s">
        <v>2632</v>
      </c>
      <c r="C948" s="100" t="s">
        <v>1685</v>
      </c>
      <c r="D948" s="100" t="s">
        <v>1686</v>
      </c>
      <c r="E948" s="198">
        <v>95.0</v>
      </c>
      <c r="F948" s="199" t="s">
        <v>2633</v>
      </c>
    </row>
    <row r="949" ht="22.5" customHeight="1">
      <c r="A949" s="197">
        <v>46072.94327149306</v>
      </c>
      <c r="B949" s="100" t="s">
        <v>2632</v>
      </c>
      <c r="C949" s="100" t="s">
        <v>1688</v>
      </c>
      <c r="D949" s="100" t="s">
        <v>1689</v>
      </c>
      <c r="E949" s="198">
        <v>125.0</v>
      </c>
      <c r="F949" s="199" t="s">
        <v>2634</v>
      </c>
    </row>
    <row r="950" ht="22.5" customHeight="1">
      <c r="A950" s="197">
        <v>46072.94327171297</v>
      </c>
      <c r="B950" s="100" t="s">
        <v>2635</v>
      </c>
      <c r="C950" s="100" t="s">
        <v>1685</v>
      </c>
      <c r="D950" s="100" t="s">
        <v>1686</v>
      </c>
      <c r="E950" s="198">
        <v>125.0</v>
      </c>
      <c r="F950" s="199" t="s">
        <v>2636</v>
      </c>
    </row>
    <row r="951" ht="22.5" customHeight="1">
      <c r="A951" s="197">
        <v>46072.94327171297</v>
      </c>
      <c r="B951" s="100" t="s">
        <v>2635</v>
      </c>
      <c r="C951" s="100" t="s">
        <v>1688</v>
      </c>
      <c r="D951" s="100" t="s">
        <v>1689</v>
      </c>
      <c r="E951" s="198">
        <v>150.0</v>
      </c>
      <c r="F951" s="199" t="s">
        <v>2637</v>
      </c>
    </row>
    <row r="952" ht="22.5" customHeight="1">
      <c r="A952" s="197">
        <v>46072.94327195601</v>
      </c>
      <c r="B952" s="100" t="s">
        <v>2639</v>
      </c>
      <c r="C952" s="100" t="s">
        <v>1685</v>
      </c>
      <c r="D952" s="100" t="s">
        <v>1686</v>
      </c>
      <c r="E952" s="198">
        <v>34.0</v>
      </c>
      <c r="F952" s="199" t="s">
        <v>2640</v>
      </c>
    </row>
    <row r="953" ht="22.5" customHeight="1">
      <c r="A953" s="197">
        <v>46072.94327195601</v>
      </c>
      <c r="B953" s="100" t="s">
        <v>2639</v>
      </c>
      <c r="C953" s="100" t="s">
        <v>1688</v>
      </c>
      <c r="D953" s="100" t="s">
        <v>1689</v>
      </c>
      <c r="E953" s="198">
        <v>50.0</v>
      </c>
      <c r="F953" s="199" t="s">
        <v>2641</v>
      </c>
    </row>
    <row r="954" ht="22.5" customHeight="1">
      <c r="A954" s="197">
        <v>46072.94327216435</v>
      </c>
      <c r="B954" s="100" t="s">
        <v>2642</v>
      </c>
      <c r="C954" s="100" t="s">
        <v>1685</v>
      </c>
      <c r="D954" s="100" t="s">
        <v>1686</v>
      </c>
      <c r="E954" s="198">
        <v>95.0</v>
      </c>
      <c r="F954" s="199" t="s">
        <v>2633</v>
      </c>
    </row>
    <row r="955" ht="22.5" customHeight="1">
      <c r="A955" s="197">
        <v>46072.94327216435</v>
      </c>
      <c r="B955" s="100" t="s">
        <v>2642</v>
      </c>
      <c r="C955" s="100" t="s">
        <v>1688</v>
      </c>
      <c r="D955" s="100" t="s">
        <v>1689</v>
      </c>
      <c r="E955" s="198">
        <v>125.0</v>
      </c>
      <c r="F955" s="199" t="s">
        <v>2634</v>
      </c>
    </row>
    <row r="956" ht="22.5" customHeight="1">
      <c r="A956" s="197">
        <v>46072.943272372686</v>
      </c>
      <c r="B956" s="100" t="s">
        <v>2644</v>
      </c>
      <c r="C956" s="100" t="s">
        <v>1685</v>
      </c>
      <c r="D956" s="100" t="s">
        <v>1686</v>
      </c>
      <c r="E956" s="198">
        <v>125.0</v>
      </c>
      <c r="F956" s="199" t="s">
        <v>2636</v>
      </c>
    </row>
    <row r="957" ht="22.5" customHeight="1">
      <c r="A957" s="197">
        <v>46072.943272372686</v>
      </c>
      <c r="B957" s="100" t="s">
        <v>2644</v>
      </c>
      <c r="C957" s="100" t="s">
        <v>1688</v>
      </c>
      <c r="D957" s="100" t="s">
        <v>1689</v>
      </c>
      <c r="E957" s="198">
        <v>150.0</v>
      </c>
      <c r="F957" s="199" t="s">
        <v>2637</v>
      </c>
    </row>
    <row r="958" ht="22.5" customHeight="1">
      <c r="A958" s="197">
        <v>46074.01785878472</v>
      </c>
      <c r="B958" s="100" t="s">
        <v>2646</v>
      </c>
      <c r="C958" s="100" t="s">
        <v>1685</v>
      </c>
      <c r="D958" s="100" t="s">
        <v>1686</v>
      </c>
      <c r="E958" s="198">
        <v>90.0</v>
      </c>
      <c r="F958" s="199" t="s">
        <v>1838</v>
      </c>
    </row>
    <row r="959" ht="22.5" customHeight="1">
      <c r="A959" s="197">
        <v>46074.01785878472</v>
      </c>
      <c r="B959" s="100" t="s">
        <v>2646</v>
      </c>
      <c r="C959" s="100" t="s">
        <v>1688</v>
      </c>
      <c r="D959" s="100" t="s">
        <v>1689</v>
      </c>
      <c r="E959" s="198">
        <v>130.0</v>
      </c>
      <c r="F959" s="199" t="s">
        <v>1839</v>
      </c>
    </row>
    <row r="960" ht="22.5" customHeight="1">
      <c r="A960" s="197">
        <v>46074.01785900463</v>
      </c>
      <c r="B960" s="100" t="s">
        <v>2647</v>
      </c>
      <c r="C960" s="100" t="s">
        <v>1685</v>
      </c>
      <c r="D960" s="100" t="s">
        <v>1686</v>
      </c>
      <c r="E960" s="198">
        <v>15.0</v>
      </c>
      <c r="F960" s="199" t="s">
        <v>2648</v>
      </c>
    </row>
    <row r="961" ht="22.5" customHeight="1">
      <c r="A961" s="197">
        <v>46074.01785900463</v>
      </c>
      <c r="B961" s="100" t="s">
        <v>2647</v>
      </c>
      <c r="C961" s="100" t="s">
        <v>1688</v>
      </c>
      <c r="D961" s="100" t="s">
        <v>1689</v>
      </c>
      <c r="E961" s="198">
        <v>40.0</v>
      </c>
      <c r="F961" s="199" t="s">
        <v>2649</v>
      </c>
    </row>
    <row r="962" ht="22.5" customHeight="1">
      <c r="A962" s="197">
        <v>46075.022858171295</v>
      </c>
      <c r="B962" s="100" t="s">
        <v>2650</v>
      </c>
      <c r="C962" s="100" t="s">
        <v>1685</v>
      </c>
      <c r="D962" s="100" t="s">
        <v>1686</v>
      </c>
      <c r="E962" s="198">
        <v>315.0</v>
      </c>
      <c r="F962" s="199" t="s">
        <v>2427</v>
      </c>
    </row>
    <row r="963" ht="22.5" customHeight="1">
      <c r="A963" s="197">
        <v>46075.022858171295</v>
      </c>
      <c r="B963" s="100" t="s">
        <v>2650</v>
      </c>
      <c r="C963" s="100" t="s">
        <v>1688</v>
      </c>
      <c r="D963" s="100" t="s">
        <v>1689</v>
      </c>
      <c r="E963" s="198">
        <v>430.0</v>
      </c>
      <c r="F963" s="199" t="s">
        <v>2428</v>
      </c>
    </row>
    <row r="964" ht="22.5" customHeight="1">
      <c r="A964" s="197">
        <v>46075.0251931713</v>
      </c>
      <c r="B964" s="100" t="s">
        <v>2651</v>
      </c>
      <c r="C964" s="100" t="s">
        <v>1685</v>
      </c>
      <c r="D964" s="100" t="s">
        <v>1686</v>
      </c>
      <c r="E964" s="198">
        <v>128.0</v>
      </c>
      <c r="F964" s="199" t="s">
        <v>2243</v>
      </c>
    </row>
    <row r="965" ht="22.5" customHeight="1">
      <c r="A965" s="197">
        <v>46075.0251931713</v>
      </c>
      <c r="B965" s="100" t="s">
        <v>2651</v>
      </c>
      <c r="C965" s="100" t="s">
        <v>1688</v>
      </c>
      <c r="D965" s="100" t="s">
        <v>1689</v>
      </c>
      <c r="E965" s="198">
        <v>170.0</v>
      </c>
      <c r="F965" s="199" t="s">
        <v>2244</v>
      </c>
    </row>
    <row r="966" ht="22.5" customHeight="1">
      <c r="A966" s="197">
        <v>46075.98743336806</v>
      </c>
      <c r="B966" s="100" t="s">
        <v>2652</v>
      </c>
      <c r="C966" s="100" t="s">
        <v>1685</v>
      </c>
      <c r="D966" s="100" t="s">
        <v>1686</v>
      </c>
      <c r="E966" s="198">
        <v>150.0</v>
      </c>
      <c r="F966" s="199" t="s">
        <v>1853</v>
      </c>
    </row>
    <row r="967" ht="22.5" customHeight="1">
      <c r="A967" s="197">
        <v>46075.98743336806</v>
      </c>
      <c r="B967" s="100" t="s">
        <v>2652</v>
      </c>
      <c r="C967" s="100" t="s">
        <v>1688</v>
      </c>
      <c r="D967" s="100" t="s">
        <v>1689</v>
      </c>
      <c r="E967" s="198">
        <v>180.0</v>
      </c>
      <c r="F967" s="199" t="s">
        <v>1854</v>
      </c>
    </row>
    <row r="968" ht="22.5" customHeight="1">
      <c r="A968" s="197">
        <v>46075.98743365741</v>
      </c>
      <c r="B968" s="100" t="s">
        <v>2653</v>
      </c>
      <c r="C968" s="100" t="s">
        <v>1685</v>
      </c>
      <c r="D968" s="100" t="s">
        <v>1686</v>
      </c>
      <c r="E968" s="198">
        <v>140.0</v>
      </c>
      <c r="F968" s="199" t="s">
        <v>1742</v>
      </c>
    </row>
    <row r="969" ht="22.5" customHeight="1">
      <c r="A969" s="197">
        <v>46075.98743365741</v>
      </c>
      <c r="B969" s="100" t="s">
        <v>2653</v>
      </c>
      <c r="C969" s="100" t="s">
        <v>1688</v>
      </c>
      <c r="D969" s="100" t="s">
        <v>1689</v>
      </c>
      <c r="E969" s="198">
        <v>165.0</v>
      </c>
      <c r="F969" s="199" t="s">
        <v>1743</v>
      </c>
    </row>
    <row r="970" ht="22.5" customHeight="1">
      <c r="A970" s="197">
        <v>46075.98743390046</v>
      </c>
      <c r="B970" s="100" t="s">
        <v>2654</v>
      </c>
      <c r="C970" s="100" t="s">
        <v>1685</v>
      </c>
      <c r="D970" s="100" t="s">
        <v>1686</v>
      </c>
      <c r="E970" s="198">
        <v>115.0</v>
      </c>
      <c r="F970" s="199" t="s">
        <v>2655</v>
      </c>
    </row>
    <row r="971" ht="22.5" customHeight="1">
      <c r="A971" s="197">
        <v>46075.98743390046</v>
      </c>
      <c r="B971" s="100" t="s">
        <v>2654</v>
      </c>
      <c r="C971" s="100" t="s">
        <v>1688</v>
      </c>
      <c r="D971" s="100" t="s">
        <v>1689</v>
      </c>
      <c r="E971" s="198">
        <v>145.0</v>
      </c>
      <c r="F971" s="199" t="s">
        <v>2656</v>
      </c>
    </row>
    <row r="972" ht="22.5" customHeight="1">
      <c r="A972" s="197">
        <v>46075.98762829861</v>
      </c>
      <c r="B972" s="100" t="s">
        <v>2657</v>
      </c>
      <c r="C972" s="100" t="s">
        <v>1685</v>
      </c>
      <c r="D972" s="100" t="s">
        <v>1686</v>
      </c>
      <c r="E972" s="198">
        <v>300.0</v>
      </c>
      <c r="F972" s="199" t="s">
        <v>2658</v>
      </c>
    </row>
    <row r="973" ht="22.5" customHeight="1">
      <c r="A973" s="197">
        <v>46075.98762829861</v>
      </c>
      <c r="B973" s="100" t="s">
        <v>2657</v>
      </c>
      <c r="C973" s="100" t="s">
        <v>1688</v>
      </c>
      <c r="D973" s="100" t="s">
        <v>1689</v>
      </c>
      <c r="E973" s="198">
        <v>300.0</v>
      </c>
      <c r="F973" s="199" t="s">
        <v>2660</v>
      </c>
    </row>
    <row r="974" ht="22.5" customHeight="1">
      <c r="A974" s="197">
        <v>46077.927203495376</v>
      </c>
      <c r="B974" s="100" t="s">
        <v>2661</v>
      </c>
      <c r="C974" s="100" t="s">
        <v>1685</v>
      </c>
      <c r="D974" s="100" t="s">
        <v>1686</v>
      </c>
      <c r="E974" s="198">
        <v>60.0</v>
      </c>
      <c r="F974" s="199" t="s">
        <v>2444</v>
      </c>
    </row>
    <row r="975" ht="22.5" customHeight="1">
      <c r="A975" s="197">
        <v>46077.927203495376</v>
      </c>
      <c r="B975" s="100" t="s">
        <v>2661</v>
      </c>
      <c r="C975" s="100" t="s">
        <v>1688</v>
      </c>
      <c r="D975" s="100" t="s">
        <v>1689</v>
      </c>
      <c r="E975" s="198">
        <v>80.0</v>
      </c>
      <c r="F975" s="199" t="s">
        <v>2445</v>
      </c>
    </row>
    <row r="976" ht="22.5" customHeight="1">
      <c r="A976" s="197">
        <v>46077.92772150463</v>
      </c>
      <c r="B976" s="100" t="s">
        <v>2663</v>
      </c>
      <c r="C976" s="100" t="s">
        <v>1685</v>
      </c>
      <c r="D976" s="100" t="s">
        <v>1686</v>
      </c>
      <c r="E976" s="198">
        <v>75.0</v>
      </c>
      <c r="F976" s="199" t="s">
        <v>1950</v>
      </c>
    </row>
    <row r="977" ht="22.5" customHeight="1">
      <c r="A977" s="197">
        <v>46077.92772150463</v>
      </c>
      <c r="B977" s="100" t="s">
        <v>2663</v>
      </c>
      <c r="C977" s="100" t="s">
        <v>1688</v>
      </c>
      <c r="D977" s="100" t="s">
        <v>1689</v>
      </c>
      <c r="E977" s="198">
        <v>100.0</v>
      </c>
      <c r="F977" s="199" t="s">
        <v>1951</v>
      </c>
    </row>
    <row r="978" ht="22.5" customHeight="1">
      <c r="A978" s="197">
        <v>46079.74089961806</v>
      </c>
      <c r="B978" s="100" t="s">
        <v>2664</v>
      </c>
      <c r="C978" s="100" t="s">
        <v>1685</v>
      </c>
      <c r="D978" s="100" t="s">
        <v>1686</v>
      </c>
      <c r="E978" s="198">
        <v>700.0</v>
      </c>
      <c r="F978" s="199" t="s">
        <v>1742</v>
      </c>
    </row>
    <row r="979" ht="22.5" customHeight="1">
      <c r="A979" s="197">
        <v>46079.74089961806</v>
      </c>
      <c r="B979" s="100" t="s">
        <v>2664</v>
      </c>
      <c r="C979" s="100" t="s">
        <v>1688</v>
      </c>
      <c r="D979" s="100" t="s">
        <v>1689</v>
      </c>
      <c r="E979" s="198">
        <v>750.0</v>
      </c>
      <c r="F979" s="199" t="s">
        <v>1743</v>
      </c>
    </row>
    <row r="980" ht="22.5" customHeight="1">
      <c r="A980" s="197">
        <v>46079.74089976852</v>
      </c>
      <c r="B980" s="100" t="s">
        <v>2666</v>
      </c>
      <c r="C980" s="100" t="s">
        <v>1685</v>
      </c>
      <c r="D980" s="100" t="s">
        <v>1686</v>
      </c>
      <c r="E980" s="198">
        <v>120.0</v>
      </c>
      <c r="F980" s="199" t="s">
        <v>2667</v>
      </c>
    </row>
    <row r="981" ht="22.5" customHeight="1">
      <c r="A981" s="197">
        <v>46079.74089976852</v>
      </c>
      <c r="B981" s="100" t="s">
        <v>2666</v>
      </c>
      <c r="C981" s="100" t="s">
        <v>1688</v>
      </c>
      <c r="D981" s="100" t="s">
        <v>1689</v>
      </c>
      <c r="E981" s="198">
        <v>160.0</v>
      </c>
      <c r="F981" s="199" t="s">
        <v>2669</v>
      </c>
    </row>
    <row r="982" ht="22.5" customHeight="1">
      <c r="A982" s="197">
        <v>46079.740899965276</v>
      </c>
      <c r="B982" s="100" t="s">
        <v>2670</v>
      </c>
      <c r="C982" s="100" t="s">
        <v>1685</v>
      </c>
      <c r="D982" s="100" t="s">
        <v>1686</v>
      </c>
      <c r="E982" s="198">
        <v>90.0</v>
      </c>
      <c r="F982" s="199" t="s">
        <v>2011</v>
      </c>
    </row>
    <row r="983" ht="22.5" customHeight="1">
      <c r="A983" s="197">
        <v>46079.740899965276</v>
      </c>
      <c r="B983" s="100" t="s">
        <v>2670</v>
      </c>
      <c r="C983" s="100" t="s">
        <v>1688</v>
      </c>
      <c r="D983" s="100" t="s">
        <v>1689</v>
      </c>
      <c r="E983" s="198">
        <v>180.0</v>
      </c>
      <c r="F983" s="199" t="s">
        <v>2012</v>
      </c>
    </row>
    <row r="984" ht="22.5" customHeight="1">
      <c r="A984" s="197">
        <v>46079.740900150464</v>
      </c>
      <c r="B984" s="100" t="s">
        <v>2672</v>
      </c>
      <c r="C984" s="100" t="s">
        <v>1685</v>
      </c>
      <c r="D984" s="100" t="s">
        <v>1686</v>
      </c>
      <c r="E984" s="198">
        <v>20.0</v>
      </c>
      <c r="F984" s="199" t="s">
        <v>2673</v>
      </c>
    </row>
    <row r="985" ht="22.5" customHeight="1">
      <c r="A985" s="197">
        <v>46079.740900150464</v>
      </c>
      <c r="B985" s="100" t="s">
        <v>2672</v>
      </c>
      <c r="C985" s="100" t="s">
        <v>1688</v>
      </c>
      <c r="D985" s="100" t="s">
        <v>1689</v>
      </c>
      <c r="E985" s="198">
        <v>30.0</v>
      </c>
      <c r="F985" s="199" t="s">
        <v>2675</v>
      </c>
    </row>
    <row r="986" ht="22.5" customHeight="1">
      <c r="A986" s="197">
        <v>46081.93887421297</v>
      </c>
      <c r="B986" s="100" t="s">
        <v>2676</v>
      </c>
      <c r="C986" s="100" t="s">
        <v>1685</v>
      </c>
      <c r="D986" s="100" t="s">
        <v>1686</v>
      </c>
      <c r="E986" s="198">
        <v>18.32</v>
      </c>
      <c r="F986" s="199" t="s">
        <v>2678</v>
      </c>
    </row>
    <row r="987" ht="22.5" customHeight="1">
      <c r="A987" s="197">
        <v>46081.938874224536</v>
      </c>
      <c r="B987" s="100" t="s">
        <v>2676</v>
      </c>
      <c r="C987" s="100" t="s">
        <v>1688</v>
      </c>
      <c r="D987" s="100" t="s">
        <v>1689</v>
      </c>
      <c r="E987" s="198">
        <v>60.0</v>
      </c>
      <c r="F987" s="199" t="s">
        <v>2679</v>
      </c>
    </row>
    <row r="988" ht="22.5" customHeight="1">
      <c r="A988" s="197">
        <v>46081.938874513886</v>
      </c>
      <c r="B988" s="100" t="s">
        <v>2680</v>
      </c>
      <c r="C988" s="100" t="s">
        <v>1685</v>
      </c>
      <c r="D988" s="100" t="s">
        <v>1686</v>
      </c>
      <c r="E988" s="198">
        <v>4.5</v>
      </c>
      <c r="F988" s="199" t="s">
        <v>2182</v>
      </c>
    </row>
    <row r="989" ht="22.5" customHeight="1">
      <c r="A989" s="197">
        <v>46081.938874513886</v>
      </c>
      <c r="B989" s="100" t="s">
        <v>2680</v>
      </c>
      <c r="C989" s="100" t="s">
        <v>1688</v>
      </c>
      <c r="D989" s="100" t="s">
        <v>1689</v>
      </c>
      <c r="E989" s="198">
        <v>10.0</v>
      </c>
      <c r="F989" s="199" t="s">
        <v>2183</v>
      </c>
    </row>
    <row r="990" ht="22.5" customHeight="1">
      <c r="A990" s="197">
        <v>46081.93887484954</v>
      </c>
      <c r="B990" s="100" t="s">
        <v>2682</v>
      </c>
      <c r="C990" s="100" t="s">
        <v>1685</v>
      </c>
      <c r="D990" s="100" t="s">
        <v>1686</v>
      </c>
      <c r="E990" s="198">
        <v>53.33</v>
      </c>
      <c r="F990" s="199" t="s">
        <v>2593</v>
      </c>
    </row>
    <row r="991" ht="22.5" customHeight="1">
      <c r="A991" s="197">
        <v>46081.93887484954</v>
      </c>
      <c r="B991" s="100" t="s">
        <v>2682</v>
      </c>
      <c r="C991" s="100" t="s">
        <v>1688</v>
      </c>
      <c r="D991" s="100" t="s">
        <v>1689</v>
      </c>
      <c r="E991" s="198">
        <v>70.0</v>
      </c>
      <c r="F991" s="199" t="s">
        <v>2594</v>
      </c>
    </row>
    <row r="992" ht="22.5" customHeight="1">
      <c r="A992" s="197">
        <v>46081.93887525463</v>
      </c>
      <c r="B992" s="100" t="s">
        <v>2684</v>
      </c>
      <c r="C992" s="100" t="s">
        <v>1685</v>
      </c>
      <c r="D992" s="100" t="s">
        <v>1686</v>
      </c>
      <c r="E992" s="198">
        <v>30.33</v>
      </c>
      <c r="F992" s="199" t="s">
        <v>2685</v>
      </c>
    </row>
    <row r="993" ht="22.5" customHeight="1">
      <c r="A993" s="197">
        <v>46081.93887525463</v>
      </c>
      <c r="B993" s="100" t="s">
        <v>2684</v>
      </c>
      <c r="C993" s="100" t="s">
        <v>1688</v>
      </c>
      <c r="D993" s="100" t="s">
        <v>1689</v>
      </c>
      <c r="E993" s="198">
        <v>50.0</v>
      </c>
      <c r="F993" s="199" t="s">
        <v>2687</v>
      </c>
    </row>
    <row r="994" ht="22.5" customHeight="1">
      <c r="A994" s="197">
        <v>46081.93887554399</v>
      </c>
      <c r="B994" s="100" t="s">
        <v>2688</v>
      </c>
      <c r="C994" s="100" t="s">
        <v>1685</v>
      </c>
      <c r="D994" s="100" t="s">
        <v>1686</v>
      </c>
      <c r="E994" s="198">
        <v>280.0</v>
      </c>
      <c r="F994" s="199" t="s">
        <v>1742</v>
      </c>
    </row>
    <row r="995" ht="22.5" customHeight="1">
      <c r="A995" s="197">
        <v>46081.93887554399</v>
      </c>
      <c r="B995" s="100" t="s">
        <v>2688</v>
      </c>
      <c r="C995" s="100" t="s">
        <v>1688</v>
      </c>
      <c r="D995" s="100" t="s">
        <v>1689</v>
      </c>
      <c r="E995" s="198">
        <v>320.0</v>
      </c>
      <c r="F995" s="199" t="s">
        <v>1743</v>
      </c>
    </row>
    <row r="996" ht="22.5" customHeight="1">
      <c r="A996" s="197">
        <v>46081.93887592593</v>
      </c>
      <c r="B996" s="100" t="s">
        <v>2690</v>
      </c>
      <c r="C996" s="100" t="s">
        <v>1685</v>
      </c>
      <c r="D996" s="100" t="s">
        <v>1686</v>
      </c>
      <c r="E996" s="198">
        <v>23.33</v>
      </c>
      <c r="F996" s="199" t="s">
        <v>2691</v>
      </c>
    </row>
    <row r="997" ht="22.5" customHeight="1">
      <c r="A997" s="197">
        <v>46081.93887592593</v>
      </c>
      <c r="B997" s="100" t="s">
        <v>2690</v>
      </c>
      <c r="C997" s="100" t="s">
        <v>1688</v>
      </c>
      <c r="D997" s="100" t="s">
        <v>1689</v>
      </c>
      <c r="E997" s="198">
        <v>35.0</v>
      </c>
      <c r="F997" s="199" t="s">
        <v>2692</v>
      </c>
    </row>
    <row r="998" ht="22.5" customHeight="1">
      <c r="A998" s="197">
        <v>46081.95361548611</v>
      </c>
      <c r="B998" s="100" t="s">
        <v>2694</v>
      </c>
      <c r="C998" s="100" t="s">
        <v>1685</v>
      </c>
      <c r="D998" s="100" t="s">
        <v>1686</v>
      </c>
      <c r="E998" s="198">
        <v>60.67</v>
      </c>
      <c r="F998" s="199" t="s">
        <v>2685</v>
      </c>
    </row>
    <row r="999" ht="22.5" customHeight="1">
      <c r="A999" s="197">
        <v>46081.95361548611</v>
      </c>
      <c r="B999" s="100" t="s">
        <v>2694</v>
      </c>
      <c r="C999" s="100" t="s">
        <v>1688</v>
      </c>
      <c r="D999" s="100" t="s">
        <v>1689</v>
      </c>
      <c r="E999" s="198">
        <v>100.0</v>
      </c>
      <c r="F999" s="199" t="s">
        <v>2687</v>
      </c>
    </row>
    <row r="1000" ht="22.5" customHeight="1">
      <c r="A1000" s="197">
        <v>46083.00771145833</v>
      </c>
      <c r="B1000" s="100" t="s">
        <v>2695</v>
      </c>
      <c r="C1000" s="100" t="s">
        <v>1685</v>
      </c>
      <c r="D1000" s="100" t="s">
        <v>1686</v>
      </c>
      <c r="E1000" s="198">
        <v>170.0</v>
      </c>
      <c r="F1000" s="199" t="s">
        <v>1817</v>
      </c>
    </row>
    <row r="1001" ht="22.5" customHeight="1">
      <c r="A1001" s="197">
        <v>46083.00771145833</v>
      </c>
      <c r="B1001" s="100" t="s">
        <v>2695</v>
      </c>
      <c r="C1001" s="100" t="s">
        <v>1688</v>
      </c>
      <c r="D1001" s="100" t="s">
        <v>1689</v>
      </c>
      <c r="E1001" s="198">
        <v>200.0</v>
      </c>
      <c r="F1001" s="199" t="s">
        <v>1819</v>
      </c>
    </row>
    <row r="1002" ht="22.5" customHeight="1">
      <c r="A1002" s="197">
        <v>46083.00771230324</v>
      </c>
      <c r="B1002" s="100" t="s">
        <v>2697</v>
      </c>
      <c r="C1002" s="100" t="s">
        <v>1685</v>
      </c>
      <c r="D1002" s="100" t="s">
        <v>1686</v>
      </c>
      <c r="E1002" s="198">
        <v>34.0</v>
      </c>
      <c r="F1002" s="199" t="s">
        <v>2286</v>
      </c>
    </row>
    <row r="1003" ht="22.5" customHeight="1">
      <c r="A1003" s="197">
        <v>46083.00771230324</v>
      </c>
      <c r="B1003" s="100" t="s">
        <v>2697</v>
      </c>
      <c r="C1003" s="100" t="s">
        <v>1688</v>
      </c>
      <c r="D1003" s="100" t="s">
        <v>1689</v>
      </c>
      <c r="E1003" s="198">
        <v>50.0</v>
      </c>
      <c r="F1003" s="199" t="s">
        <v>2288</v>
      </c>
    </row>
    <row r="1004" ht="22.5" customHeight="1">
      <c r="A1004" s="197">
        <v>46083.00771314815</v>
      </c>
      <c r="B1004" s="100" t="s">
        <v>2699</v>
      </c>
      <c r="C1004" s="100" t="s">
        <v>1685</v>
      </c>
      <c r="D1004" s="100" t="s">
        <v>1686</v>
      </c>
      <c r="E1004" s="198">
        <v>55.0</v>
      </c>
      <c r="F1004" s="199" t="s">
        <v>2402</v>
      </c>
    </row>
    <row r="1005" ht="22.5" customHeight="1">
      <c r="A1005" s="197">
        <v>46083.00771314815</v>
      </c>
      <c r="B1005" s="100" t="s">
        <v>2699</v>
      </c>
      <c r="C1005" s="100" t="s">
        <v>1688</v>
      </c>
      <c r="D1005" s="100" t="s">
        <v>1689</v>
      </c>
      <c r="E1005" s="198">
        <v>70.0</v>
      </c>
      <c r="F1005" s="199" t="s">
        <v>2403</v>
      </c>
    </row>
    <row r="1006" ht="22.5" customHeight="1">
      <c r="A1006" s="197">
        <v>46083.007713645835</v>
      </c>
      <c r="B1006" s="100" t="s">
        <v>2701</v>
      </c>
      <c r="C1006" s="100" t="s">
        <v>1685</v>
      </c>
      <c r="D1006" s="100" t="s">
        <v>1686</v>
      </c>
      <c r="E1006" s="198">
        <v>60.0</v>
      </c>
      <c r="F1006" s="199" t="s">
        <v>1713</v>
      </c>
    </row>
    <row r="1007" ht="22.5" customHeight="1">
      <c r="A1007" s="197">
        <v>46083.007713645835</v>
      </c>
      <c r="B1007" s="100" t="s">
        <v>2701</v>
      </c>
      <c r="C1007" s="100" t="s">
        <v>1688</v>
      </c>
      <c r="D1007" s="100" t="s">
        <v>1689</v>
      </c>
      <c r="E1007" s="198">
        <v>80.0</v>
      </c>
      <c r="F1007" s="199" t="s">
        <v>1714</v>
      </c>
    </row>
    <row r="1008" ht="22.5" customHeight="1">
      <c r="A1008" s="197">
        <v>46083.0077141088</v>
      </c>
      <c r="B1008" s="100" t="s">
        <v>2703</v>
      </c>
      <c r="C1008" s="100" t="s">
        <v>1685</v>
      </c>
      <c r="D1008" s="100" t="s">
        <v>1686</v>
      </c>
      <c r="E1008" s="198">
        <v>30.0</v>
      </c>
      <c r="F1008" s="199" t="s">
        <v>2704</v>
      </c>
    </row>
    <row r="1009" ht="22.5" customHeight="1">
      <c r="A1009" s="197">
        <v>46083.0077141088</v>
      </c>
      <c r="B1009" s="100" t="s">
        <v>2703</v>
      </c>
      <c r="C1009" s="100" t="s">
        <v>1688</v>
      </c>
      <c r="D1009" s="100" t="s">
        <v>1689</v>
      </c>
      <c r="E1009" s="198">
        <v>70.0</v>
      </c>
      <c r="F1009" s="199" t="s">
        <v>2706</v>
      </c>
    </row>
    <row r="1010" ht="22.5" customHeight="1">
      <c r="A1010" s="197">
        <v>46083.00771456018</v>
      </c>
      <c r="B1010" s="100" t="s">
        <v>2707</v>
      </c>
      <c r="C1010" s="100" t="s">
        <v>1685</v>
      </c>
      <c r="D1010" s="100" t="s">
        <v>1686</v>
      </c>
      <c r="E1010" s="198">
        <v>26.0</v>
      </c>
      <c r="F1010" s="199" t="s">
        <v>2424</v>
      </c>
    </row>
    <row r="1011" ht="22.5" customHeight="1">
      <c r="A1011" s="197">
        <v>46083.00771456018</v>
      </c>
      <c r="B1011" s="100" t="s">
        <v>2707</v>
      </c>
      <c r="C1011" s="100" t="s">
        <v>1688</v>
      </c>
      <c r="D1011" s="100" t="s">
        <v>1689</v>
      </c>
      <c r="E1011" s="198">
        <v>40.0</v>
      </c>
      <c r="F1011" s="199" t="s">
        <v>2425</v>
      </c>
    </row>
    <row r="1012" ht="22.5" customHeight="1">
      <c r="A1012" s="197">
        <v>46083.00771509259</v>
      </c>
      <c r="B1012" s="100" t="s">
        <v>2709</v>
      </c>
      <c r="C1012" s="100" t="s">
        <v>1685</v>
      </c>
      <c r="D1012" s="100" t="s">
        <v>1686</v>
      </c>
      <c r="E1012" s="198">
        <v>60.0</v>
      </c>
      <c r="F1012" s="199" t="s">
        <v>1713</v>
      </c>
    </row>
    <row r="1013" ht="22.5" customHeight="1">
      <c r="A1013" s="197">
        <v>46083.00771509259</v>
      </c>
      <c r="B1013" s="100" t="s">
        <v>2709</v>
      </c>
      <c r="C1013" s="100" t="s">
        <v>1688</v>
      </c>
      <c r="D1013" s="100" t="s">
        <v>1689</v>
      </c>
      <c r="E1013" s="198">
        <v>85.0</v>
      </c>
      <c r="F1013" s="199" t="s">
        <v>1714</v>
      </c>
    </row>
    <row r="1014" ht="22.5" customHeight="1">
      <c r="A1014" s="197">
        <v>46083.007716527776</v>
      </c>
      <c r="B1014" s="100" t="s">
        <v>2711</v>
      </c>
      <c r="C1014" s="100" t="s">
        <v>1685</v>
      </c>
      <c r="D1014" s="100" t="s">
        <v>1686</v>
      </c>
      <c r="E1014" s="198">
        <v>170.0</v>
      </c>
      <c r="F1014" s="199" t="s">
        <v>1817</v>
      </c>
    </row>
    <row r="1015" ht="22.5" customHeight="1">
      <c r="A1015" s="197">
        <v>46083.007716527776</v>
      </c>
      <c r="B1015" s="100" t="s">
        <v>2711</v>
      </c>
      <c r="C1015" s="100" t="s">
        <v>1688</v>
      </c>
      <c r="D1015" s="100" t="s">
        <v>1689</v>
      </c>
      <c r="E1015" s="198">
        <v>215.0</v>
      </c>
      <c r="F1015" s="199" t="s">
        <v>1819</v>
      </c>
    </row>
    <row r="1016" ht="22.5" customHeight="1">
      <c r="A1016" s="197">
        <v>46083.00771725694</v>
      </c>
      <c r="B1016" s="100" t="s">
        <v>2713</v>
      </c>
      <c r="C1016" s="100" t="s">
        <v>1685</v>
      </c>
      <c r="D1016" s="100" t="s">
        <v>1686</v>
      </c>
      <c r="E1016" s="198">
        <v>90.0</v>
      </c>
      <c r="F1016" s="199" t="s">
        <v>2019</v>
      </c>
    </row>
    <row r="1017" ht="22.5" customHeight="1">
      <c r="A1017" s="197">
        <v>46083.00771725694</v>
      </c>
      <c r="B1017" s="100" t="s">
        <v>2713</v>
      </c>
      <c r="C1017" s="100" t="s">
        <v>1688</v>
      </c>
      <c r="D1017" s="100" t="s">
        <v>1689</v>
      </c>
      <c r="E1017" s="198">
        <v>135.0</v>
      </c>
      <c r="F1017" s="199" t="s">
        <v>2020</v>
      </c>
    </row>
    <row r="1018" ht="22.5" customHeight="1">
      <c r="A1018" s="197">
        <v>46083.00771767361</v>
      </c>
      <c r="B1018" s="100" t="s">
        <v>2715</v>
      </c>
      <c r="C1018" s="100" t="s">
        <v>1685</v>
      </c>
      <c r="D1018" s="100" t="s">
        <v>1686</v>
      </c>
      <c r="E1018" s="198">
        <v>34.0</v>
      </c>
      <c r="F1018" s="100" t="s">
        <v>2716</v>
      </c>
    </row>
    <row r="1019" ht="22.5" customHeight="1">
      <c r="A1019" s="197">
        <v>46083.00771767361</v>
      </c>
      <c r="B1019" s="100" t="s">
        <v>2715</v>
      </c>
      <c r="C1019" s="100" t="s">
        <v>1688</v>
      </c>
      <c r="D1019" s="100" t="s">
        <v>1689</v>
      </c>
      <c r="E1019" s="198">
        <v>35.0</v>
      </c>
      <c r="F1019" s="100" t="s">
        <v>2717</v>
      </c>
    </row>
    <row r="1020" ht="22.5" customHeight="1">
      <c r="A1020" s="197">
        <v>46083.00889244213</v>
      </c>
      <c r="B1020" s="100" t="s">
        <v>2718</v>
      </c>
      <c r="C1020" s="100" t="s">
        <v>1685</v>
      </c>
      <c r="D1020" s="100" t="s">
        <v>1686</v>
      </c>
      <c r="E1020" s="198">
        <v>125.0</v>
      </c>
      <c r="F1020" s="199" t="s">
        <v>2720</v>
      </c>
    </row>
    <row r="1021" ht="22.5" customHeight="1">
      <c r="A1021" s="197">
        <v>46083.00889244213</v>
      </c>
      <c r="B1021" s="100" t="s">
        <v>2718</v>
      </c>
      <c r="C1021" s="100" t="s">
        <v>1688</v>
      </c>
      <c r="D1021" s="100" t="s">
        <v>1689</v>
      </c>
      <c r="E1021" s="198">
        <v>200.0</v>
      </c>
      <c r="F1021" s="199" t="s">
        <v>2721</v>
      </c>
    </row>
    <row r="1022" ht="22.5" customHeight="1">
      <c r="A1022" s="197">
        <v>46085.95425328704</v>
      </c>
      <c r="B1022" s="100" t="s">
        <v>2722</v>
      </c>
      <c r="C1022" s="100" t="s">
        <v>1685</v>
      </c>
      <c r="D1022" s="100" t="s">
        <v>1686</v>
      </c>
      <c r="E1022" s="198">
        <v>15.0</v>
      </c>
      <c r="F1022" s="199" t="s">
        <v>2648</v>
      </c>
    </row>
    <row r="1023" ht="22.5" customHeight="1">
      <c r="A1023" s="197">
        <v>46085.95425328704</v>
      </c>
      <c r="B1023" s="100" t="s">
        <v>2722</v>
      </c>
      <c r="C1023" s="100" t="s">
        <v>1688</v>
      </c>
      <c r="D1023" s="100" t="s">
        <v>1689</v>
      </c>
      <c r="E1023" s="198">
        <v>40.0</v>
      </c>
      <c r="F1023" s="199" t="s">
        <v>2649</v>
      </c>
    </row>
    <row r="1024" ht="22.5" customHeight="1">
      <c r="A1024" s="197">
        <v>46085.954253449076</v>
      </c>
      <c r="B1024" s="100" t="s">
        <v>2725</v>
      </c>
      <c r="C1024" s="100" t="s">
        <v>1685</v>
      </c>
      <c r="D1024" s="100" t="s">
        <v>1686</v>
      </c>
      <c r="E1024" s="198">
        <v>90.0</v>
      </c>
      <c r="F1024" s="199" t="s">
        <v>2726</v>
      </c>
    </row>
    <row r="1025" ht="22.5" customHeight="1">
      <c r="A1025" s="197">
        <v>46085.954253449076</v>
      </c>
      <c r="B1025" s="100" t="s">
        <v>2725</v>
      </c>
      <c r="C1025" s="100" t="s">
        <v>1688</v>
      </c>
      <c r="D1025" s="100" t="s">
        <v>1689</v>
      </c>
      <c r="E1025" s="198">
        <v>100.0</v>
      </c>
      <c r="F1025" s="199" t="s">
        <v>2727</v>
      </c>
    </row>
    <row r="1026" ht="22.5" customHeight="1">
      <c r="A1026" s="197">
        <v>46085.95425363426</v>
      </c>
      <c r="B1026" s="100" t="s">
        <v>2728</v>
      </c>
      <c r="C1026" s="100" t="s">
        <v>1685</v>
      </c>
      <c r="D1026" s="100" t="s">
        <v>1686</v>
      </c>
      <c r="E1026" s="198">
        <v>65.0</v>
      </c>
      <c r="F1026" s="100" t="s">
        <v>1937</v>
      </c>
    </row>
    <row r="1027" ht="22.5" customHeight="1">
      <c r="A1027" s="197">
        <v>46085.95425363426</v>
      </c>
      <c r="B1027" s="100" t="s">
        <v>2728</v>
      </c>
      <c r="C1027" s="100" t="s">
        <v>1688</v>
      </c>
      <c r="D1027" s="100" t="s">
        <v>1689</v>
      </c>
      <c r="E1027" s="198">
        <v>85.0</v>
      </c>
      <c r="F1027" s="100" t="s">
        <v>1938</v>
      </c>
    </row>
    <row r="1028" ht="22.5" customHeight="1">
      <c r="A1028" s="197">
        <v>46085.95425383102</v>
      </c>
      <c r="B1028" s="100" t="s">
        <v>2730</v>
      </c>
      <c r="C1028" s="100" t="s">
        <v>1685</v>
      </c>
      <c r="D1028" s="100" t="s">
        <v>1686</v>
      </c>
      <c r="E1028" s="198">
        <v>85.0</v>
      </c>
      <c r="F1028" s="199" t="s">
        <v>2732</v>
      </c>
    </row>
    <row r="1029" ht="22.5" customHeight="1">
      <c r="A1029" s="197">
        <v>46085.95425383102</v>
      </c>
      <c r="B1029" s="100" t="s">
        <v>2730</v>
      </c>
      <c r="C1029" s="100" t="s">
        <v>1688</v>
      </c>
      <c r="D1029" s="100" t="s">
        <v>1689</v>
      </c>
      <c r="E1029" s="198">
        <v>130.0</v>
      </c>
      <c r="F1029" s="199" t="s">
        <v>2733</v>
      </c>
    </row>
    <row r="1030" ht="22.5" customHeight="1">
      <c r="A1030" s="197">
        <v>46085.954254027776</v>
      </c>
      <c r="B1030" s="100" t="s">
        <v>2734</v>
      </c>
      <c r="C1030" s="100" t="s">
        <v>1685</v>
      </c>
      <c r="D1030" s="100" t="s">
        <v>1686</v>
      </c>
      <c r="E1030" s="198">
        <v>85.0</v>
      </c>
      <c r="F1030" s="199" t="s">
        <v>2540</v>
      </c>
    </row>
    <row r="1031" ht="22.5" customHeight="1">
      <c r="A1031" s="197">
        <v>46085.954254027776</v>
      </c>
      <c r="B1031" s="100" t="s">
        <v>2734</v>
      </c>
      <c r="C1031" s="100" t="s">
        <v>1688</v>
      </c>
      <c r="D1031" s="100" t="s">
        <v>1689</v>
      </c>
      <c r="E1031" s="198">
        <v>150.0</v>
      </c>
      <c r="F1031" s="199" t="s">
        <v>2541</v>
      </c>
    </row>
    <row r="1032" ht="22.5" customHeight="1">
      <c r="A1032" s="197">
        <v>46085.954254247685</v>
      </c>
      <c r="B1032" s="100" t="s">
        <v>2736</v>
      </c>
      <c r="C1032" s="100" t="s">
        <v>1685</v>
      </c>
      <c r="D1032" s="100" t="s">
        <v>1686</v>
      </c>
      <c r="E1032" s="198">
        <v>35.0</v>
      </c>
      <c r="F1032" s="199" t="s">
        <v>1805</v>
      </c>
    </row>
    <row r="1033" ht="22.5" customHeight="1">
      <c r="A1033" s="197">
        <v>46085.954254247685</v>
      </c>
      <c r="B1033" s="100" t="s">
        <v>2736</v>
      </c>
      <c r="C1033" s="100" t="s">
        <v>1688</v>
      </c>
      <c r="D1033" s="100" t="s">
        <v>1689</v>
      </c>
      <c r="E1033" s="198">
        <v>50.0</v>
      </c>
      <c r="F1033" s="199" t="s">
        <v>1806</v>
      </c>
    </row>
    <row r="1034" ht="22.5" customHeight="1">
      <c r="A1034" s="197">
        <v>46085.95425454861</v>
      </c>
      <c r="B1034" s="100" t="s">
        <v>2738</v>
      </c>
      <c r="C1034" s="100" t="s">
        <v>1685</v>
      </c>
      <c r="D1034" s="100" t="s">
        <v>1686</v>
      </c>
      <c r="E1034" s="198">
        <v>6.5</v>
      </c>
      <c r="F1034" s="199" t="s">
        <v>2739</v>
      </c>
    </row>
    <row r="1035" ht="22.5" customHeight="1">
      <c r="A1035" s="197">
        <v>46085.95425454861</v>
      </c>
      <c r="B1035" s="100" t="s">
        <v>2738</v>
      </c>
      <c r="C1035" s="100" t="s">
        <v>1688</v>
      </c>
      <c r="D1035" s="100" t="s">
        <v>1689</v>
      </c>
      <c r="E1035" s="198">
        <v>10.0</v>
      </c>
      <c r="F1035" s="199" t="s">
        <v>2741</v>
      </c>
    </row>
    <row r="1036" ht="22.5" customHeight="1">
      <c r="A1036" s="197">
        <v>46085.95425475694</v>
      </c>
      <c r="B1036" s="100" t="s">
        <v>2742</v>
      </c>
      <c r="C1036" s="100" t="s">
        <v>1685</v>
      </c>
      <c r="D1036" s="100" t="s">
        <v>1686</v>
      </c>
      <c r="E1036" s="198">
        <v>12.5</v>
      </c>
      <c r="F1036" s="199" t="s">
        <v>2743</v>
      </c>
    </row>
    <row r="1037" ht="22.5" customHeight="1">
      <c r="A1037" s="197">
        <v>46085.95425475694</v>
      </c>
      <c r="B1037" s="100" t="s">
        <v>2742</v>
      </c>
      <c r="C1037" s="100" t="s">
        <v>1688</v>
      </c>
      <c r="D1037" s="100" t="s">
        <v>1689</v>
      </c>
      <c r="E1037" s="198">
        <v>15.0</v>
      </c>
      <c r="F1037" s="199" t="s">
        <v>2745</v>
      </c>
    </row>
    <row r="1038" ht="22.5" customHeight="1">
      <c r="A1038" s="197">
        <v>46085.955495092596</v>
      </c>
      <c r="B1038" s="100" t="s">
        <v>2746</v>
      </c>
      <c r="C1038" s="100" t="s">
        <v>1685</v>
      </c>
      <c r="D1038" s="100" t="s">
        <v>1686</v>
      </c>
      <c r="E1038" s="198">
        <v>160.0</v>
      </c>
      <c r="F1038" s="199" t="s">
        <v>2747</v>
      </c>
    </row>
    <row r="1039" ht="22.5" customHeight="1">
      <c r="A1039" s="197">
        <v>46085.955495092596</v>
      </c>
      <c r="B1039" s="100" t="s">
        <v>2746</v>
      </c>
      <c r="C1039" s="100" t="s">
        <v>1688</v>
      </c>
      <c r="D1039" s="100" t="s">
        <v>1689</v>
      </c>
      <c r="E1039" s="198">
        <v>200.0</v>
      </c>
      <c r="F1039" s="199" t="s">
        <v>2749</v>
      </c>
    </row>
    <row r="1040" ht="22.5" customHeight="1">
      <c r="A1040" s="197">
        <v>46085.95631208333</v>
      </c>
      <c r="B1040" s="100" t="s">
        <v>2750</v>
      </c>
      <c r="C1040" s="100" t="s">
        <v>1685</v>
      </c>
      <c r="D1040" s="100" t="s">
        <v>1686</v>
      </c>
      <c r="E1040" s="198">
        <v>56.33</v>
      </c>
      <c r="F1040" s="199" t="s">
        <v>2685</v>
      </c>
    </row>
    <row r="1041" ht="22.5" customHeight="1">
      <c r="A1041" s="197">
        <v>46085.95631208333</v>
      </c>
      <c r="B1041" s="100" t="s">
        <v>2750</v>
      </c>
      <c r="C1041" s="100" t="s">
        <v>1688</v>
      </c>
      <c r="D1041" s="100" t="s">
        <v>1689</v>
      </c>
      <c r="E1041" s="198">
        <v>100.0</v>
      </c>
      <c r="F1041" s="199" t="s">
        <v>2687</v>
      </c>
    </row>
    <row r="1042" ht="22.5" customHeight="1">
      <c r="A1042" s="197">
        <v>46088.87641890046</v>
      </c>
      <c r="B1042" s="100" t="s">
        <v>2752</v>
      </c>
      <c r="C1042" s="100" t="s">
        <v>1685</v>
      </c>
      <c r="D1042" s="100" t="s">
        <v>1686</v>
      </c>
      <c r="E1042" s="198">
        <v>135.0</v>
      </c>
      <c r="F1042" s="199" t="s">
        <v>2753</v>
      </c>
    </row>
    <row r="1043" ht="22.5" customHeight="1">
      <c r="A1043" s="197">
        <v>46088.87641890046</v>
      </c>
      <c r="B1043" s="100" t="s">
        <v>2752</v>
      </c>
      <c r="C1043" s="100" t="s">
        <v>1688</v>
      </c>
      <c r="D1043" s="100" t="s">
        <v>1689</v>
      </c>
      <c r="E1043" s="198">
        <v>180.0</v>
      </c>
      <c r="F1043" s="199" t="s">
        <v>2755</v>
      </c>
    </row>
    <row r="1044" ht="22.5" customHeight="1">
      <c r="A1044" s="197">
        <v>46088.876419085645</v>
      </c>
      <c r="B1044" s="100" t="s">
        <v>2756</v>
      </c>
      <c r="C1044" s="100" t="s">
        <v>1685</v>
      </c>
      <c r="D1044" s="100" t="s">
        <v>1686</v>
      </c>
      <c r="E1044" s="198">
        <v>35.0</v>
      </c>
      <c r="F1044" s="199" t="s">
        <v>1805</v>
      </c>
    </row>
    <row r="1045" ht="22.5" customHeight="1">
      <c r="A1045" s="197">
        <v>46088.876419085645</v>
      </c>
      <c r="B1045" s="100" t="s">
        <v>2756</v>
      </c>
      <c r="C1045" s="100" t="s">
        <v>1688</v>
      </c>
      <c r="D1045" s="100" t="s">
        <v>1689</v>
      </c>
      <c r="E1045" s="198">
        <v>50.0</v>
      </c>
      <c r="F1045" s="199" t="s">
        <v>1806</v>
      </c>
    </row>
    <row r="1046" ht="22.5" customHeight="1">
      <c r="A1046" s="197">
        <v>46088.87641927083</v>
      </c>
      <c r="B1046" s="100" t="s">
        <v>2758</v>
      </c>
      <c r="C1046" s="100" t="s">
        <v>1685</v>
      </c>
      <c r="D1046" s="100" t="s">
        <v>1686</v>
      </c>
      <c r="E1046" s="198">
        <v>175.0</v>
      </c>
      <c r="F1046" s="199" t="s">
        <v>1817</v>
      </c>
    </row>
    <row r="1047" ht="22.5" customHeight="1">
      <c r="A1047" s="197">
        <v>46088.87641927083</v>
      </c>
      <c r="B1047" s="100" t="s">
        <v>2758</v>
      </c>
      <c r="C1047" s="100" t="s">
        <v>1688</v>
      </c>
      <c r="D1047" s="100" t="s">
        <v>1689</v>
      </c>
      <c r="E1047" s="198">
        <v>225.0</v>
      </c>
      <c r="F1047" s="199" t="s">
        <v>1819</v>
      </c>
    </row>
    <row r="1048" ht="22.5" customHeight="1">
      <c r="A1048" s="197">
        <v>46088.87641945602</v>
      </c>
      <c r="B1048" s="100" t="s">
        <v>2760</v>
      </c>
      <c r="C1048" s="100" t="s">
        <v>1685</v>
      </c>
      <c r="D1048" s="100" t="s">
        <v>1686</v>
      </c>
      <c r="E1048" s="198">
        <v>27.5</v>
      </c>
      <c r="F1048" s="199" t="s">
        <v>2335</v>
      </c>
    </row>
    <row r="1049" ht="22.5" customHeight="1">
      <c r="A1049" s="197">
        <v>46088.87641945602</v>
      </c>
      <c r="B1049" s="100" t="s">
        <v>2760</v>
      </c>
      <c r="C1049" s="100" t="s">
        <v>1688</v>
      </c>
      <c r="D1049" s="100" t="s">
        <v>1689</v>
      </c>
      <c r="E1049" s="198">
        <v>45.0</v>
      </c>
      <c r="F1049" s="199" t="s">
        <v>2337</v>
      </c>
    </row>
    <row r="1050" ht="22.5" customHeight="1">
      <c r="A1050" s="197">
        <v>46088.87641966435</v>
      </c>
      <c r="B1050" s="100" t="s">
        <v>2762</v>
      </c>
      <c r="C1050" s="100" t="s">
        <v>1685</v>
      </c>
      <c r="D1050" s="100" t="s">
        <v>1686</v>
      </c>
      <c r="E1050" s="198">
        <v>129.0</v>
      </c>
      <c r="F1050" s="199" t="s">
        <v>2763</v>
      </c>
    </row>
    <row r="1051" ht="22.5" customHeight="1">
      <c r="A1051" s="197">
        <v>46088.87641966435</v>
      </c>
      <c r="B1051" s="100" t="s">
        <v>2762</v>
      </c>
      <c r="C1051" s="100" t="s">
        <v>1688</v>
      </c>
      <c r="D1051" s="100" t="s">
        <v>1689</v>
      </c>
      <c r="E1051" s="198">
        <v>190.0</v>
      </c>
      <c r="F1051" s="199" t="s">
        <v>2764</v>
      </c>
    </row>
    <row r="1052" ht="22.5" customHeight="1">
      <c r="A1052" s="197">
        <v>46088.876419872686</v>
      </c>
      <c r="B1052" s="100" t="s">
        <v>2766</v>
      </c>
      <c r="C1052" s="100" t="s">
        <v>1685</v>
      </c>
      <c r="D1052" s="100" t="s">
        <v>1686</v>
      </c>
      <c r="E1052" s="198">
        <v>150.0</v>
      </c>
      <c r="F1052" s="100" t="s">
        <v>2767</v>
      </c>
    </row>
    <row r="1053" ht="22.5" customHeight="1">
      <c r="A1053" s="197">
        <v>46088.876419872686</v>
      </c>
      <c r="B1053" s="100" t="s">
        <v>2766</v>
      </c>
      <c r="C1053" s="100" t="s">
        <v>1688</v>
      </c>
      <c r="D1053" s="100" t="s">
        <v>1689</v>
      </c>
      <c r="E1053" s="198">
        <v>180.0</v>
      </c>
      <c r="F1053" s="100" t="s">
        <v>2768</v>
      </c>
    </row>
    <row r="1054" ht="22.5" customHeight="1">
      <c r="A1054" s="197">
        <v>46088.876420092594</v>
      </c>
      <c r="B1054" s="100" t="s">
        <v>2770</v>
      </c>
      <c r="C1054" s="100" t="s">
        <v>1685</v>
      </c>
      <c r="D1054" s="100" t="s">
        <v>1686</v>
      </c>
      <c r="E1054" s="198">
        <v>40.0</v>
      </c>
      <c r="F1054" s="199" t="s">
        <v>2059</v>
      </c>
    </row>
    <row r="1055" ht="22.5" customHeight="1">
      <c r="A1055" s="197">
        <v>46088.876420092594</v>
      </c>
      <c r="B1055" s="100" t="s">
        <v>2770</v>
      </c>
      <c r="C1055" s="100" t="s">
        <v>1688</v>
      </c>
      <c r="D1055" s="100" t="s">
        <v>1689</v>
      </c>
      <c r="E1055" s="198">
        <v>80.0</v>
      </c>
      <c r="F1055" s="199" t="s">
        <v>2060</v>
      </c>
    </row>
    <row r="1056" ht="22.5" customHeight="1">
      <c r="A1056" s="197">
        <v>46088.876420347224</v>
      </c>
      <c r="B1056" s="100" t="s">
        <v>2771</v>
      </c>
      <c r="C1056" s="100" t="s">
        <v>1685</v>
      </c>
      <c r="D1056" s="100" t="s">
        <v>1686</v>
      </c>
      <c r="E1056" s="198">
        <v>75.0</v>
      </c>
      <c r="F1056" s="199" t="s">
        <v>2088</v>
      </c>
    </row>
    <row r="1057" ht="22.5" customHeight="1">
      <c r="A1057" s="197">
        <v>46088.876420347224</v>
      </c>
      <c r="B1057" s="100" t="s">
        <v>2771</v>
      </c>
      <c r="C1057" s="100" t="s">
        <v>1688</v>
      </c>
      <c r="D1057" s="100" t="s">
        <v>1689</v>
      </c>
      <c r="E1057" s="198">
        <v>100.0</v>
      </c>
      <c r="F1057" s="199" t="s">
        <v>2089</v>
      </c>
    </row>
    <row r="1058" ht="22.5" customHeight="1">
      <c r="A1058" s="197">
        <v>46088.8764205787</v>
      </c>
      <c r="B1058" s="100" t="s">
        <v>2773</v>
      </c>
      <c r="C1058" s="100" t="s">
        <v>1685</v>
      </c>
      <c r="D1058" s="100" t="s">
        <v>1686</v>
      </c>
      <c r="E1058" s="198">
        <v>17.5</v>
      </c>
      <c r="F1058" s="199" t="s">
        <v>2137</v>
      </c>
    </row>
    <row r="1059" ht="22.5" customHeight="1">
      <c r="A1059" s="197">
        <v>46088.8764205787</v>
      </c>
      <c r="B1059" s="100" t="s">
        <v>2773</v>
      </c>
      <c r="C1059" s="100" t="s">
        <v>1688</v>
      </c>
      <c r="D1059" s="100" t="s">
        <v>1689</v>
      </c>
      <c r="E1059" s="198">
        <v>25.0</v>
      </c>
      <c r="F1059" s="199" t="s">
        <v>2138</v>
      </c>
    </row>
    <row r="1060" ht="22.5" customHeight="1">
      <c r="A1060" s="197">
        <v>46088.87747733796</v>
      </c>
      <c r="B1060" s="100" t="s">
        <v>2775</v>
      </c>
      <c r="C1060" s="100" t="s">
        <v>1685</v>
      </c>
      <c r="D1060" s="100" t="s">
        <v>1686</v>
      </c>
      <c r="E1060" s="198">
        <v>28.17</v>
      </c>
      <c r="F1060" s="199" t="s">
        <v>2685</v>
      </c>
    </row>
    <row r="1061" ht="22.5" customHeight="1">
      <c r="A1061" s="197">
        <v>46088.87747733796</v>
      </c>
      <c r="B1061" s="100" t="s">
        <v>2775</v>
      </c>
      <c r="C1061" s="100" t="s">
        <v>1688</v>
      </c>
      <c r="D1061" s="100" t="s">
        <v>1689</v>
      </c>
      <c r="E1061" s="198">
        <v>50.0</v>
      </c>
      <c r="F1061" s="199" t="s">
        <v>2687</v>
      </c>
    </row>
    <row r="1062" ht="22.5" customHeight="1">
      <c r="A1062" s="197">
        <v>46088.87747762731</v>
      </c>
      <c r="B1062" s="100" t="s">
        <v>2777</v>
      </c>
      <c r="C1062" s="100" t="s">
        <v>1685</v>
      </c>
      <c r="D1062" s="100" t="s">
        <v>1686</v>
      </c>
      <c r="E1062" s="198">
        <v>90.0</v>
      </c>
      <c r="F1062" s="199" t="s">
        <v>2019</v>
      </c>
    </row>
    <row r="1063" ht="22.5" customHeight="1">
      <c r="A1063" s="197">
        <v>46088.87747762731</v>
      </c>
      <c r="B1063" s="100" t="s">
        <v>2777</v>
      </c>
      <c r="C1063" s="100" t="s">
        <v>1688</v>
      </c>
      <c r="D1063" s="100" t="s">
        <v>1689</v>
      </c>
      <c r="E1063" s="198">
        <v>135.0</v>
      </c>
      <c r="F1063" s="199" t="s">
        <v>2020</v>
      </c>
    </row>
    <row r="1064" ht="22.5" customHeight="1">
      <c r="A1064" s="197">
        <v>46088.877477939815</v>
      </c>
      <c r="B1064" s="100" t="s">
        <v>2779</v>
      </c>
      <c r="C1064" s="100" t="s">
        <v>1685</v>
      </c>
      <c r="D1064" s="100" t="s">
        <v>1686</v>
      </c>
      <c r="E1064" s="198">
        <v>45.0</v>
      </c>
      <c r="F1064" s="199" t="s">
        <v>1838</v>
      </c>
    </row>
    <row r="1065" ht="22.5" customHeight="1">
      <c r="A1065" s="197">
        <v>46088.877477939815</v>
      </c>
      <c r="B1065" s="100" t="s">
        <v>2779</v>
      </c>
      <c r="C1065" s="100" t="s">
        <v>1688</v>
      </c>
      <c r="D1065" s="100" t="s">
        <v>1689</v>
      </c>
      <c r="E1065" s="198">
        <v>65.0</v>
      </c>
      <c r="F1065" s="199" t="s">
        <v>1839</v>
      </c>
    </row>
    <row r="1066" ht="22.5" customHeight="1">
      <c r="A1066" s="197">
        <v>46089.91281001158</v>
      </c>
      <c r="B1066" s="100" t="s">
        <v>2781</v>
      </c>
      <c r="C1066" s="100" t="s">
        <v>1685</v>
      </c>
      <c r="D1066" s="100" t="s">
        <v>1686</v>
      </c>
      <c r="E1066" s="198">
        <v>325.0</v>
      </c>
      <c r="F1066" s="199" t="s">
        <v>1928</v>
      </c>
    </row>
    <row r="1067" ht="22.5" customHeight="1">
      <c r="A1067" s="197">
        <v>46089.91281001158</v>
      </c>
      <c r="B1067" s="100" t="s">
        <v>2781</v>
      </c>
      <c r="C1067" s="100" t="s">
        <v>1688</v>
      </c>
      <c r="D1067" s="100" t="s">
        <v>1689</v>
      </c>
      <c r="E1067" s="198">
        <v>350.0</v>
      </c>
      <c r="F1067" s="199" t="s">
        <v>1929</v>
      </c>
    </row>
    <row r="1068" ht="22.5" customHeight="1">
      <c r="A1068" s="197">
        <v>46089.9128103588</v>
      </c>
      <c r="B1068" s="100" t="s">
        <v>2783</v>
      </c>
      <c r="C1068" s="100" t="s">
        <v>1685</v>
      </c>
      <c r="D1068" s="100" t="s">
        <v>1686</v>
      </c>
      <c r="E1068" s="198">
        <v>275.0</v>
      </c>
      <c r="F1068" s="199" t="s">
        <v>2784</v>
      </c>
    </row>
    <row r="1069" ht="22.5" customHeight="1">
      <c r="A1069" s="197">
        <v>46089.9128103588</v>
      </c>
      <c r="B1069" s="100" t="s">
        <v>2783</v>
      </c>
      <c r="C1069" s="100" t="s">
        <v>1688</v>
      </c>
      <c r="D1069" s="100" t="s">
        <v>1689</v>
      </c>
      <c r="E1069" s="198">
        <v>330.0</v>
      </c>
      <c r="F1069" s="199" t="s">
        <v>2785</v>
      </c>
    </row>
    <row r="1070" ht="22.5" customHeight="1">
      <c r="A1070" s="197">
        <v>46089.91281071759</v>
      </c>
      <c r="B1070" s="100" t="s">
        <v>2787</v>
      </c>
      <c r="C1070" s="100" t="s">
        <v>1685</v>
      </c>
      <c r="D1070" s="100" t="s">
        <v>1686</v>
      </c>
      <c r="E1070" s="198">
        <v>195.0</v>
      </c>
      <c r="F1070" s="199" t="s">
        <v>2036</v>
      </c>
    </row>
    <row r="1071" ht="22.5" customHeight="1">
      <c r="A1071" s="197">
        <v>46089.91281071759</v>
      </c>
      <c r="B1071" s="100" t="s">
        <v>2787</v>
      </c>
      <c r="C1071" s="100" t="s">
        <v>1688</v>
      </c>
      <c r="D1071" s="100" t="s">
        <v>1689</v>
      </c>
      <c r="E1071" s="198">
        <v>240.0</v>
      </c>
      <c r="F1071" s="199" t="s">
        <v>2037</v>
      </c>
    </row>
    <row r="1072" ht="22.5" customHeight="1">
      <c r="A1072" s="197">
        <v>46089.912811064816</v>
      </c>
      <c r="B1072" s="100" t="s">
        <v>2789</v>
      </c>
      <c r="C1072" s="100" t="s">
        <v>1685</v>
      </c>
      <c r="D1072" s="100" t="s">
        <v>1686</v>
      </c>
      <c r="E1072" s="198">
        <v>85.0</v>
      </c>
      <c r="F1072" s="199" t="s">
        <v>2540</v>
      </c>
    </row>
    <row r="1073" ht="22.5" customHeight="1">
      <c r="A1073" s="197">
        <v>46089.912811064816</v>
      </c>
      <c r="B1073" s="100" t="s">
        <v>2789</v>
      </c>
      <c r="C1073" s="100" t="s">
        <v>1688</v>
      </c>
      <c r="D1073" s="100" t="s">
        <v>1689</v>
      </c>
      <c r="E1073" s="198">
        <v>140.0</v>
      </c>
      <c r="F1073" s="199" t="s">
        <v>2541</v>
      </c>
    </row>
    <row r="1074" ht="22.5" customHeight="1">
      <c r="A1074" s="197">
        <v>46089.91281135417</v>
      </c>
      <c r="B1074" s="100" t="s">
        <v>2790</v>
      </c>
      <c r="C1074" s="100" t="s">
        <v>1685</v>
      </c>
      <c r="D1074" s="100" t="s">
        <v>1686</v>
      </c>
      <c r="E1074" s="198">
        <v>34.0</v>
      </c>
      <c r="F1074" s="199" t="s">
        <v>2640</v>
      </c>
    </row>
    <row r="1075" ht="22.5" customHeight="1">
      <c r="A1075" s="197">
        <v>46089.91281135417</v>
      </c>
      <c r="B1075" s="100" t="s">
        <v>2790</v>
      </c>
      <c r="C1075" s="100" t="s">
        <v>1688</v>
      </c>
      <c r="D1075" s="100" t="s">
        <v>1689</v>
      </c>
      <c r="E1075" s="198">
        <v>40.0</v>
      </c>
      <c r="F1075" s="199" t="s">
        <v>2641</v>
      </c>
    </row>
    <row r="1076" ht="22.5" customHeight="1">
      <c r="A1076" s="197">
        <v>46089.91281163195</v>
      </c>
      <c r="B1076" s="100" t="s">
        <v>2791</v>
      </c>
      <c r="C1076" s="100" t="s">
        <v>1685</v>
      </c>
      <c r="D1076" s="100" t="s">
        <v>1686</v>
      </c>
      <c r="E1076" s="198">
        <v>68.0</v>
      </c>
      <c r="F1076" s="199" t="s">
        <v>2286</v>
      </c>
    </row>
    <row r="1077" ht="22.5" customHeight="1">
      <c r="A1077" s="197">
        <v>46089.91281163195</v>
      </c>
      <c r="B1077" s="100" t="s">
        <v>2791</v>
      </c>
      <c r="C1077" s="100" t="s">
        <v>1688</v>
      </c>
      <c r="D1077" s="100" t="s">
        <v>1689</v>
      </c>
      <c r="E1077" s="198">
        <v>100.0</v>
      </c>
      <c r="F1077" s="199" t="s">
        <v>2288</v>
      </c>
    </row>
    <row r="1078" ht="22.5" customHeight="1">
      <c r="A1078" s="197">
        <v>46089.912811875</v>
      </c>
      <c r="B1078" s="100" t="s">
        <v>2793</v>
      </c>
      <c r="C1078" s="100" t="s">
        <v>1685</v>
      </c>
      <c r="D1078" s="100" t="s">
        <v>1686</v>
      </c>
      <c r="E1078" s="198">
        <v>45.0</v>
      </c>
      <c r="F1078" s="199" t="s">
        <v>1838</v>
      </c>
    </row>
    <row r="1079" ht="22.5" customHeight="1">
      <c r="A1079" s="197">
        <v>46089.912811875</v>
      </c>
      <c r="B1079" s="100" t="s">
        <v>2793</v>
      </c>
      <c r="C1079" s="100" t="s">
        <v>1688</v>
      </c>
      <c r="D1079" s="100" t="s">
        <v>1689</v>
      </c>
      <c r="E1079" s="198">
        <v>60.0</v>
      </c>
      <c r="F1079" s="199" t="s">
        <v>1839</v>
      </c>
    </row>
    <row r="1080" ht="22.5" customHeight="1">
      <c r="A1080" s="197">
        <v>46089.91281214121</v>
      </c>
      <c r="B1080" s="100" t="s">
        <v>2794</v>
      </c>
      <c r="C1080" s="100" t="s">
        <v>1685</v>
      </c>
      <c r="D1080" s="100" t="s">
        <v>1686</v>
      </c>
      <c r="E1080" s="198">
        <v>34.0</v>
      </c>
      <c r="F1080" s="199" t="s">
        <v>2286</v>
      </c>
    </row>
    <row r="1081" ht="22.5" customHeight="1">
      <c r="A1081" s="197">
        <v>46089.91281214121</v>
      </c>
      <c r="B1081" s="100" t="s">
        <v>2794</v>
      </c>
      <c r="C1081" s="100" t="s">
        <v>1688</v>
      </c>
      <c r="D1081" s="100" t="s">
        <v>1689</v>
      </c>
      <c r="E1081" s="198">
        <v>40.0</v>
      </c>
      <c r="F1081" s="199" t="s">
        <v>2288</v>
      </c>
    </row>
    <row r="1082" ht="22.5" customHeight="1">
      <c r="A1082" s="197">
        <v>46089.912812372684</v>
      </c>
      <c r="B1082" s="100" t="s">
        <v>2796</v>
      </c>
      <c r="C1082" s="100" t="s">
        <v>1685</v>
      </c>
      <c r="D1082" s="100" t="s">
        <v>1686</v>
      </c>
      <c r="E1082" s="198">
        <v>100.0</v>
      </c>
      <c r="F1082" s="199" t="s">
        <v>2797</v>
      </c>
    </row>
    <row r="1083" ht="22.5" customHeight="1">
      <c r="A1083" s="197">
        <v>46089.912812372684</v>
      </c>
      <c r="B1083" s="100" t="s">
        <v>2796</v>
      </c>
      <c r="C1083" s="100" t="s">
        <v>1688</v>
      </c>
      <c r="D1083" s="100" t="s">
        <v>1689</v>
      </c>
      <c r="E1083" s="198">
        <v>150.0</v>
      </c>
      <c r="F1083" s="199" t="s">
        <v>2798</v>
      </c>
    </row>
    <row r="1084" ht="22.5" customHeight="1">
      <c r="A1084" s="197">
        <v>46089.91281275463</v>
      </c>
      <c r="B1084" s="100" t="s">
        <v>2799</v>
      </c>
      <c r="C1084" s="100" t="s">
        <v>1685</v>
      </c>
      <c r="D1084" s="100" t="s">
        <v>1686</v>
      </c>
      <c r="E1084" s="198">
        <v>90.0</v>
      </c>
      <c r="F1084" s="199" t="s">
        <v>2800</v>
      </c>
    </row>
    <row r="1085" ht="22.5" customHeight="1">
      <c r="A1085" s="197">
        <v>46089.91281275463</v>
      </c>
      <c r="B1085" s="100" t="s">
        <v>2799</v>
      </c>
      <c r="C1085" s="100" t="s">
        <v>1688</v>
      </c>
      <c r="D1085" s="100" t="s">
        <v>1689</v>
      </c>
      <c r="E1085" s="198">
        <v>150.0</v>
      </c>
      <c r="F1085" s="199" t="s">
        <v>2801</v>
      </c>
    </row>
    <row r="1086" ht="22.5" customHeight="1">
      <c r="A1086" s="197">
        <v>46089.912813414354</v>
      </c>
      <c r="B1086" s="100" t="s">
        <v>2802</v>
      </c>
      <c r="C1086" s="100" t="s">
        <v>1685</v>
      </c>
      <c r="D1086" s="100" t="s">
        <v>1686</v>
      </c>
      <c r="E1086" s="198">
        <v>80.0</v>
      </c>
      <c r="F1086" s="199" t="s">
        <v>2059</v>
      </c>
    </row>
    <row r="1087" ht="22.5" customHeight="1">
      <c r="A1087" s="197">
        <v>46089.912813414354</v>
      </c>
      <c r="B1087" s="100" t="s">
        <v>2802</v>
      </c>
      <c r="C1087" s="100" t="s">
        <v>1688</v>
      </c>
      <c r="D1087" s="100" t="s">
        <v>1689</v>
      </c>
      <c r="E1087" s="198">
        <v>170.0</v>
      </c>
      <c r="F1087" s="199" t="s">
        <v>2060</v>
      </c>
    </row>
    <row r="1088" ht="22.5" customHeight="1">
      <c r="A1088" s="197">
        <v>46089.91281390046</v>
      </c>
      <c r="B1088" s="100" t="s">
        <v>2803</v>
      </c>
      <c r="C1088" s="100" t="s">
        <v>1685</v>
      </c>
      <c r="D1088" s="100" t="s">
        <v>1686</v>
      </c>
      <c r="E1088" s="198">
        <v>28.2</v>
      </c>
      <c r="F1088" s="199" t="s">
        <v>1753</v>
      </c>
    </row>
    <row r="1089" ht="22.5" customHeight="1">
      <c r="A1089" s="197">
        <v>46089.91281390046</v>
      </c>
      <c r="B1089" s="100" t="s">
        <v>2803</v>
      </c>
      <c r="C1089" s="100" t="s">
        <v>1688</v>
      </c>
      <c r="D1089" s="100" t="s">
        <v>1689</v>
      </c>
      <c r="E1089" s="198">
        <v>40.0</v>
      </c>
      <c r="F1089" s="199" t="s">
        <v>1754</v>
      </c>
    </row>
    <row r="1090" ht="22.5" customHeight="1">
      <c r="A1090" s="197">
        <v>46089.91281430556</v>
      </c>
      <c r="B1090" s="100" t="s">
        <v>2804</v>
      </c>
      <c r="C1090" s="100" t="s">
        <v>1685</v>
      </c>
      <c r="D1090" s="100" t="s">
        <v>1686</v>
      </c>
      <c r="E1090" s="198">
        <v>75.0</v>
      </c>
      <c r="F1090" s="199" t="s">
        <v>2805</v>
      </c>
    </row>
    <row r="1091" ht="22.5" customHeight="1">
      <c r="A1091" s="197">
        <v>46089.91281430556</v>
      </c>
      <c r="B1091" s="100" t="s">
        <v>2804</v>
      </c>
      <c r="C1091" s="100" t="s">
        <v>1688</v>
      </c>
      <c r="D1091" s="100" t="s">
        <v>1689</v>
      </c>
      <c r="E1091" s="198">
        <v>100.0</v>
      </c>
      <c r="F1091" s="199" t="s">
        <v>2806</v>
      </c>
    </row>
    <row r="1092" ht="22.5" customHeight="1">
      <c r="A1092" s="197">
        <v>46089.912814641204</v>
      </c>
      <c r="B1092" s="100" t="s">
        <v>2807</v>
      </c>
      <c r="C1092" s="100" t="s">
        <v>1685</v>
      </c>
      <c r="D1092" s="100" t="s">
        <v>1686</v>
      </c>
      <c r="E1092" s="198">
        <v>5.0</v>
      </c>
      <c r="F1092" s="199" t="s">
        <v>2808</v>
      </c>
    </row>
    <row r="1093" ht="22.5" customHeight="1">
      <c r="A1093" s="197">
        <v>46089.912814641204</v>
      </c>
      <c r="B1093" s="100" t="s">
        <v>2807</v>
      </c>
      <c r="C1093" s="100" t="s">
        <v>1688</v>
      </c>
      <c r="D1093" s="100" t="s">
        <v>1689</v>
      </c>
      <c r="E1093" s="198">
        <v>10.0</v>
      </c>
      <c r="F1093" s="199" t="s">
        <v>2809</v>
      </c>
    </row>
    <row r="1094" ht="22.5" customHeight="1">
      <c r="A1094" s="197">
        <v>46089.91281512732</v>
      </c>
      <c r="B1094" s="100" t="s">
        <v>2810</v>
      </c>
      <c r="C1094" s="100" t="s">
        <v>1685</v>
      </c>
      <c r="D1094" s="100" t="s">
        <v>1686</v>
      </c>
      <c r="E1094" s="198">
        <v>14.0</v>
      </c>
      <c r="F1094" s="199" t="s">
        <v>2811</v>
      </c>
    </row>
    <row r="1095" ht="22.5" customHeight="1">
      <c r="A1095" s="197">
        <v>46089.91281512732</v>
      </c>
      <c r="B1095" s="100" t="s">
        <v>2810</v>
      </c>
      <c r="C1095" s="100" t="s">
        <v>1688</v>
      </c>
      <c r="D1095" s="100" t="s">
        <v>1689</v>
      </c>
      <c r="E1095" s="198">
        <v>20.0</v>
      </c>
      <c r="F1095" s="199" t="s">
        <v>2812</v>
      </c>
    </row>
    <row r="1096" ht="22.5" customHeight="1">
      <c r="A1096" s="197">
        <v>46089.912815625</v>
      </c>
      <c r="B1096" s="100" t="s">
        <v>2813</v>
      </c>
      <c r="C1096" s="100" t="s">
        <v>1685</v>
      </c>
      <c r="D1096" s="100" t="s">
        <v>1686</v>
      </c>
      <c r="E1096" s="198">
        <v>260.0</v>
      </c>
      <c r="F1096" s="100" t="s">
        <v>2814</v>
      </c>
    </row>
    <row r="1097" ht="22.5" customHeight="1">
      <c r="A1097" s="197">
        <v>46089.912815625</v>
      </c>
      <c r="B1097" s="100" t="s">
        <v>2813</v>
      </c>
      <c r="C1097" s="100" t="s">
        <v>1688</v>
      </c>
      <c r="D1097" s="100" t="s">
        <v>1689</v>
      </c>
      <c r="E1097" s="198">
        <v>340.0</v>
      </c>
      <c r="F1097" s="100" t="s">
        <v>2815</v>
      </c>
    </row>
    <row r="1098" ht="22.5" customHeight="1">
      <c r="A1098" s="197">
        <v>46091.73201695602</v>
      </c>
      <c r="B1098" s="100" t="s">
        <v>2816</v>
      </c>
      <c r="C1098" s="100" t="s">
        <v>1685</v>
      </c>
      <c r="D1098" s="100" t="s">
        <v>1686</v>
      </c>
      <c r="E1098" s="198">
        <v>77.5</v>
      </c>
      <c r="F1098" s="199" t="s">
        <v>2817</v>
      </c>
    </row>
    <row r="1099" ht="22.5" customHeight="1">
      <c r="A1099" s="197">
        <v>46091.73201695602</v>
      </c>
      <c r="B1099" s="100" t="s">
        <v>2816</v>
      </c>
      <c r="C1099" s="100" t="s">
        <v>1688</v>
      </c>
      <c r="D1099" s="100" t="s">
        <v>1689</v>
      </c>
      <c r="E1099" s="198">
        <v>150.0</v>
      </c>
      <c r="F1099" s="199" t="s">
        <v>2819</v>
      </c>
    </row>
    <row r="1100" ht="22.5" customHeight="1">
      <c r="A1100" s="197">
        <v>46091.73201738426</v>
      </c>
      <c r="B1100" s="100" t="s">
        <v>2820</v>
      </c>
      <c r="C1100" s="100" t="s">
        <v>1685</v>
      </c>
      <c r="D1100" s="100" t="s">
        <v>1686</v>
      </c>
      <c r="E1100" s="198">
        <v>170.0</v>
      </c>
      <c r="F1100" s="199" t="s">
        <v>2278</v>
      </c>
    </row>
    <row r="1101" ht="22.5" customHeight="1">
      <c r="A1101" s="197">
        <v>46091.73201738426</v>
      </c>
      <c r="B1101" s="100" t="s">
        <v>2820</v>
      </c>
      <c r="C1101" s="100" t="s">
        <v>1688</v>
      </c>
      <c r="D1101" s="100" t="s">
        <v>1689</v>
      </c>
      <c r="E1101" s="198">
        <v>220.0</v>
      </c>
      <c r="F1101" s="199" t="s">
        <v>2279</v>
      </c>
    </row>
    <row r="1102" ht="22.5" customHeight="1">
      <c r="A1102" s="197">
        <v>46091.7320178125</v>
      </c>
      <c r="B1102" s="100" t="s">
        <v>2822</v>
      </c>
      <c r="C1102" s="100" t="s">
        <v>1685</v>
      </c>
      <c r="D1102" s="100" t="s">
        <v>1686</v>
      </c>
      <c r="E1102" s="198">
        <v>164.17</v>
      </c>
      <c r="F1102" s="199" t="s">
        <v>1767</v>
      </c>
    </row>
    <row r="1103" ht="22.5" customHeight="1">
      <c r="A1103" s="197">
        <v>46091.7320178125</v>
      </c>
      <c r="B1103" s="100" t="s">
        <v>2822</v>
      </c>
      <c r="C1103" s="100" t="s">
        <v>1688</v>
      </c>
      <c r="D1103" s="100" t="s">
        <v>1689</v>
      </c>
      <c r="E1103" s="198">
        <v>200.0</v>
      </c>
      <c r="F1103" s="199" t="s">
        <v>1768</v>
      </c>
    </row>
    <row r="1104" ht="22.5" customHeight="1">
      <c r="A1104" s="197">
        <v>46091.73201821759</v>
      </c>
      <c r="B1104" s="100" t="s">
        <v>2824</v>
      </c>
      <c r="C1104" s="100" t="s">
        <v>1685</v>
      </c>
      <c r="D1104" s="100" t="s">
        <v>1686</v>
      </c>
      <c r="E1104" s="198">
        <v>598.33</v>
      </c>
      <c r="F1104" s="199" t="s">
        <v>1737</v>
      </c>
    </row>
    <row r="1105" ht="22.5" customHeight="1">
      <c r="A1105" s="197">
        <v>46091.73201821759</v>
      </c>
      <c r="B1105" s="100" t="s">
        <v>2824</v>
      </c>
      <c r="C1105" s="100" t="s">
        <v>1688</v>
      </c>
      <c r="D1105" s="100" t="s">
        <v>1689</v>
      </c>
      <c r="E1105" s="198">
        <v>730.0</v>
      </c>
      <c r="F1105" s="199" t="s">
        <v>1738</v>
      </c>
    </row>
    <row r="1106" ht="22.5" customHeight="1">
      <c r="A1106" s="197">
        <v>46091.73201861111</v>
      </c>
      <c r="B1106" s="100" t="s">
        <v>2825</v>
      </c>
      <c r="C1106" s="100" t="s">
        <v>1685</v>
      </c>
      <c r="D1106" s="100" t="s">
        <v>1686</v>
      </c>
      <c r="E1106" s="198">
        <v>1499.0</v>
      </c>
      <c r="F1106" s="199" t="s">
        <v>2827</v>
      </c>
    </row>
    <row r="1107" ht="22.5" customHeight="1">
      <c r="A1107" s="197">
        <v>46091.73201861111</v>
      </c>
      <c r="B1107" s="100" t="s">
        <v>2825</v>
      </c>
      <c r="C1107" s="100" t="s">
        <v>1688</v>
      </c>
      <c r="D1107" s="100" t="s">
        <v>1689</v>
      </c>
      <c r="E1107" s="198">
        <v>1500.0</v>
      </c>
      <c r="F1107" s="199" t="s">
        <v>2828</v>
      </c>
    </row>
    <row r="1108" ht="22.5" customHeight="1">
      <c r="A1108" s="197">
        <v>46091.73201894676</v>
      </c>
      <c r="B1108" s="100" t="s">
        <v>2829</v>
      </c>
      <c r="C1108" s="100" t="s">
        <v>1685</v>
      </c>
      <c r="D1108" s="100" t="s">
        <v>1686</v>
      </c>
      <c r="E1108" s="198">
        <v>20.0</v>
      </c>
      <c r="F1108" s="199" t="s">
        <v>2275</v>
      </c>
    </row>
    <row r="1109" ht="22.5" customHeight="1">
      <c r="A1109" s="197">
        <v>46091.73201894676</v>
      </c>
      <c r="B1109" s="100" t="s">
        <v>2829</v>
      </c>
      <c r="C1109" s="100" t="s">
        <v>1688</v>
      </c>
      <c r="D1109" s="100" t="s">
        <v>1689</v>
      </c>
      <c r="E1109" s="198">
        <v>30.0</v>
      </c>
      <c r="F1109" s="199" t="s">
        <v>2276</v>
      </c>
    </row>
    <row r="1110" ht="22.5" customHeight="1">
      <c r="A1110" s="197">
        <v>46091.73201931713</v>
      </c>
      <c r="B1110" s="100" t="s">
        <v>2831</v>
      </c>
      <c r="C1110" s="100" t="s">
        <v>1685</v>
      </c>
      <c r="D1110" s="100" t="s">
        <v>1686</v>
      </c>
      <c r="E1110" s="198">
        <v>17.0</v>
      </c>
      <c r="F1110" s="199" t="s">
        <v>2640</v>
      </c>
    </row>
    <row r="1111" ht="22.5" customHeight="1">
      <c r="A1111" s="197">
        <v>46091.73201931713</v>
      </c>
      <c r="B1111" s="100" t="s">
        <v>2831</v>
      </c>
      <c r="C1111" s="100" t="s">
        <v>1688</v>
      </c>
      <c r="D1111" s="100" t="s">
        <v>1689</v>
      </c>
      <c r="E1111" s="198">
        <v>25.0</v>
      </c>
      <c r="F1111" s="199" t="s">
        <v>2641</v>
      </c>
    </row>
    <row r="1112" ht="22.5" customHeight="1">
      <c r="A1112" s="197">
        <v>46091.73201976852</v>
      </c>
      <c r="B1112" s="100" t="s">
        <v>2833</v>
      </c>
      <c r="C1112" s="100" t="s">
        <v>1685</v>
      </c>
      <c r="D1112" s="100" t="s">
        <v>1686</v>
      </c>
      <c r="E1112" s="198">
        <v>167.0</v>
      </c>
      <c r="F1112" s="199" t="s">
        <v>2835</v>
      </c>
    </row>
    <row r="1113" ht="22.5" customHeight="1">
      <c r="A1113" s="197">
        <v>46091.73201976852</v>
      </c>
      <c r="B1113" s="100" t="s">
        <v>2833</v>
      </c>
      <c r="C1113" s="100" t="s">
        <v>1688</v>
      </c>
      <c r="D1113" s="100" t="s">
        <v>1689</v>
      </c>
      <c r="E1113" s="198">
        <v>205.0</v>
      </c>
      <c r="F1113" s="199" t="s">
        <v>2836</v>
      </c>
    </row>
    <row r="1114" ht="22.5" customHeight="1">
      <c r="A1114" s="197">
        <v>46091.73202018518</v>
      </c>
      <c r="B1114" s="100" t="s">
        <v>2837</v>
      </c>
      <c r="C1114" s="100" t="s">
        <v>1685</v>
      </c>
      <c r="D1114" s="100" t="s">
        <v>1686</v>
      </c>
      <c r="E1114" s="198">
        <v>70.0</v>
      </c>
      <c r="F1114" s="199" t="s">
        <v>1805</v>
      </c>
    </row>
    <row r="1115" ht="22.5" customHeight="1">
      <c r="A1115" s="197">
        <v>46091.73202018518</v>
      </c>
      <c r="B1115" s="100" t="s">
        <v>2837</v>
      </c>
      <c r="C1115" s="100" t="s">
        <v>1688</v>
      </c>
      <c r="D1115" s="100" t="s">
        <v>1689</v>
      </c>
      <c r="E1115" s="198">
        <v>100.0</v>
      </c>
      <c r="F1115" s="199" t="s">
        <v>1806</v>
      </c>
    </row>
    <row r="1116" ht="22.5" customHeight="1">
      <c r="A1116" s="197">
        <v>46091.7320206713</v>
      </c>
      <c r="B1116" s="100" t="s">
        <v>2839</v>
      </c>
      <c r="C1116" s="100" t="s">
        <v>1685</v>
      </c>
      <c r="D1116" s="100" t="s">
        <v>1686</v>
      </c>
      <c r="E1116" s="198">
        <v>270.0</v>
      </c>
      <c r="F1116" s="100" t="s">
        <v>2840</v>
      </c>
    </row>
    <row r="1117" ht="22.5" customHeight="1">
      <c r="A1117" s="197">
        <v>46091.7320206713</v>
      </c>
      <c r="B1117" s="100" t="s">
        <v>2839</v>
      </c>
      <c r="C1117" s="100" t="s">
        <v>1688</v>
      </c>
      <c r="D1117" s="100" t="s">
        <v>1689</v>
      </c>
      <c r="E1117" s="198">
        <v>340.0</v>
      </c>
      <c r="F1117" s="100" t="s">
        <v>2842</v>
      </c>
    </row>
    <row r="1118" ht="22.5" customHeight="1">
      <c r="A1118" s="197">
        <v>46091.73202107639</v>
      </c>
      <c r="B1118" s="100" t="s">
        <v>2843</v>
      </c>
      <c r="C1118" s="100" t="s">
        <v>1685</v>
      </c>
      <c r="D1118" s="100" t="s">
        <v>1686</v>
      </c>
      <c r="E1118" s="198">
        <v>120.0</v>
      </c>
      <c r="F1118" s="199" t="s">
        <v>2800</v>
      </c>
    </row>
    <row r="1119" ht="22.5" customHeight="1">
      <c r="A1119" s="197">
        <v>46091.73202107639</v>
      </c>
      <c r="B1119" s="100" t="s">
        <v>2843</v>
      </c>
      <c r="C1119" s="100" t="s">
        <v>1688</v>
      </c>
      <c r="D1119" s="100" t="s">
        <v>1689</v>
      </c>
      <c r="E1119" s="198">
        <v>160.0</v>
      </c>
      <c r="F1119" s="199" t="s">
        <v>2801</v>
      </c>
    </row>
    <row r="1120" ht="22.5" customHeight="1">
      <c r="A1120" s="197">
        <v>46091.73202157408</v>
      </c>
      <c r="B1120" s="100" t="s">
        <v>2845</v>
      </c>
      <c r="C1120" s="100" t="s">
        <v>1685</v>
      </c>
      <c r="D1120" s="100" t="s">
        <v>1686</v>
      </c>
      <c r="E1120" s="198">
        <v>255.0</v>
      </c>
      <c r="F1120" s="199" t="s">
        <v>2846</v>
      </c>
    </row>
    <row r="1121" ht="22.5" customHeight="1">
      <c r="A1121" s="197">
        <v>46091.73202157408</v>
      </c>
      <c r="B1121" s="100" t="s">
        <v>2845</v>
      </c>
      <c r="C1121" s="100" t="s">
        <v>1688</v>
      </c>
      <c r="D1121" s="100" t="s">
        <v>1689</v>
      </c>
      <c r="E1121" s="198">
        <v>350.0</v>
      </c>
      <c r="F1121" s="199" t="s">
        <v>2848</v>
      </c>
    </row>
    <row r="1122" ht="22.5" customHeight="1">
      <c r="A1122" s="197">
        <v>46091.73202199074</v>
      </c>
      <c r="B1122" s="100" t="s">
        <v>2849</v>
      </c>
      <c r="C1122" s="100" t="s">
        <v>1685</v>
      </c>
      <c r="D1122" s="100" t="s">
        <v>1686</v>
      </c>
      <c r="E1122" s="198">
        <v>164.17</v>
      </c>
      <c r="F1122" s="199" t="s">
        <v>1767</v>
      </c>
    </row>
    <row r="1123" ht="22.5" customHeight="1">
      <c r="A1123" s="197">
        <v>46091.73202199074</v>
      </c>
      <c r="B1123" s="100" t="s">
        <v>2849</v>
      </c>
      <c r="C1123" s="100" t="s">
        <v>1688</v>
      </c>
      <c r="D1123" s="100" t="s">
        <v>1689</v>
      </c>
      <c r="E1123" s="198">
        <v>200.0</v>
      </c>
      <c r="F1123" s="199" t="s">
        <v>1768</v>
      </c>
    </row>
    <row r="1124" ht="22.5" customHeight="1">
      <c r="A1124" s="197">
        <v>46091.73202243056</v>
      </c>
      <c r="B1124" s="100" t="s">
        <v>2851</v>
      </c>
      <c r="C1124" s="100" t="s">
        <v>1685</v>
      </c>
      <c r="D1124" s="100" t="s">
        <v>1686</v>
      </c>
      <c r="E1124" s="198">
        <v>170.0</v>
      </c>
      <c r="F1124" s="199" t="s">
        <v>2278</v>
      </c>
    </row>
    <row r="1125" ht="22.5" customHeight="1">
      <c r="A1125" s="197">
        <v>46091.73202243056</v>
      </c>
      <c r="B1125" s="100" t="s">
        <v>2851</v>
      </c>
      <c r="C1125" s="100" t="s">
        <v>1688</v>
      </c>
      <c r="D1125" s="100" t="s">
        <v>1689</v>
      </c>
      <c r="E1125" s="198">
        <v>200.0</v>
      </c>
      <c r="F1125" s="199" t="s">
        <v>2279</v>
      </c>
    </row>
    <row r="1126" ht="22.5" customHeight="1">
      <c r="A1126" s="197">
        <v>46091.732022870376</v>
      </c>
      <c r="B1126" s="100" t="s">
        <v>2853</v>
      </c>
      <c r="C1126" s="100" t="s">
        <v>1685</v>
      </c>
      <c r="D1126" s="100" t="s">
        <v>1686</v>
      </c>
      <c r="E1126" s="198">
        <v>45.0</v>
      </c>
      <c r="F1126" s="199" t="s">
        <v>2800</v>
      </c>
    </row>
    <row r="1127" ht="22.5" customHeight="1">
      <c r="A1127" s="197">
        <v>46091.732022870376</v>
      </c>
      <c r="B1127" s="100" t="s">
        <v>2853</v>
      </c>
      <c r="C1127" s="100" t="s">
        <v>1688</v>
      </c>
      <c r="D1127" s="100" t="s">
        <v>1689</v>
      </c>
      <c r="E1127" s="198">
        <v>75.0</v>
      </c>
      <c r="F1127" s="199" t="s">
        <v>2801</v>
      </c>
    </row>
    <row r="1128" ht="22.5" customHeight="1">
      <c r="A1128" s="197">
        <v>46091.7320233912</v>
      </c>
      <c r="B1128" s="100" t="s">
        <v>2854</v>
      </c>
      <c r="C1128" s="100" t="s">
        <v>1685</v>
      </c>
      <c r="D1128" s="100" t="s">
        <v>1686</v>
      </c>
      <c r="E1128" s="198">
        <v>135.0</v>
      </c>
      <c r="F1128" s="100" t="s">
        <v>2840</v>
      </c>
    </row>
    <row r="1129" ht="22.5" customHeight="1">
      <c r="A1129" s="197">
        <v>46091.7320233912</v>
      </c>
      <c r="B1129" s="100" t="s">
        <v>2854</v>
      </c>
      <c r="C1129" s="100" t="s">
        <v>1688</v>
      </c>
      <c r="D1129" s="100" t="s">
        <v>1689</v>
      </c>
      <c r="E1129" s="198">
        <v>170.0</v>
      </c>
      <c r="F1129" s="100" t="s">
        <v>2842</v>
      </c>
    </row>
    <row r="1130" ht="22.5" customHeight="1">
      <c r="A1130" s="197">
        <v>46091.73202390046</v>
      </c>
      <c r="B1130" s="100" t="s">
        <v>2855</v>
      </c>
      <c r="C1130" s="100" t="s">
        <v>1685</v>
      </c>
      <c r="D1130" s="100" t="s">
        <v>1686</v>
      </c>
      <c r="E1130" s="198">
        <v>35.0</v>
      </c>
      <c r="F1130" s="199" t="s">
        <v>1805</v>
      </c>
    </row>
    <row r="1131" ht="22.5" customHeight="1">
      <c r="A1131" s="197">
        <v>46091.73202390046</v>
      </c>
      <c r="B1131" s="100" t="s">
        <v>2855</v>
      </c>
      <c r="C1131" s="100" t="s">
        <v>1688</v>
      </c>
      <c r="D1131" s="100" t="s">
        <v>1689</v>
      </c>
      <c r="E1131" s="198">
        <v>50.0</v>
      </c>
      <c r="F1131" s="199" t="s">
        <v>1806</v>
      </c>
    </row>
    <row r="1132" ht="22.5" customHeight="1">
      <c r="A1132" s="197">
        <v>46091.73202447916</v>
      </c>
      <c r="B1132" s="100" t="s">
        <v>2856</v>
      </c>
      <c r="C1132" s="100" t="s">
        <v>1685</v>
      </c>
      <c r="D1132" s="100" t="s">
        <v>1686</v>
      </c>
      <c r="E1132" s="198">
        <v>225.0</v>
      </c>
      <c r="F1132" s="199" t="s">
        <v>2857</v>
      </c>
    </row>
    <row r="1133" ht="22.5" customHeight="1">
      <c r="A1133" s="197">
        <v>46091.73202447916</v>
      </c>
      <c r="B1133" s="100" t="s">
        <v>2856</v>
      </c>
      <c r="C1133" s="100" t="s">
        <v>1688</v>
      </c>
      <c r="D1133" s="100" t="s">
        <v>1689</v>
      </c>
      <c r="E1133" s="198">
        <v>270.0</v>
      </c>
      <c r="F1133" s="199" t="s">
        <v>2858</v>
      </c>
    </row>
    <row r="1134" ht="22.5" customHeight="1">
      <c r="A1134" s="197">
        <v>46091.732025150464</v>
      </c>
      <c r="B1134" s="100" t="s">
        <v>2859</v>
      </c>
      <c r="C1134" s="100" t="s">
        <v>1685</v>
      </c>
      <c r="D1134" s="100" t="s">
        <v>1686</v>
      </c>
      <c r="E1134" s="198">
        <v>35.0</v>
      </c>
      <c r="F1134" s="199" t="s">
        <v>2860</v>
      </c>
    </row>
    <row r="1135" ht="22.5" customHeight="1">
      <c r="A1135" s="197">
        <v>46091.732025150464</v>
      </c>
      <c r="B1135" s="100" t="s">
        <v>2859</v>
      </c>
      <c r="C1135" s="100" t="s">
        <v>1688</v>
      </c>
      <c r="D1135" s="100" t="s">
        <v>1689</v>
      </c>
      <c r="E1135" s="198">
        <v>50.0</v>
      </c>
      <c r="F1135" s="199" t="s">
        <v>2862</v>
      </c>
    </row>
    <row r="1136" ht="22.5" customHeight="1">
      <c r="A1136" s="197">
        <v>46091.732025578705</v>
      </c>
      <c r="B1136" s="100" t="s">
        <v>2863</v>
      </c>
      <c r="C1136" s="100" t="s">
        <v>1685</v>
      </c>
      <c r="D1136" s="100" t="s">
        <v>1686</v>
      </c>
      <c r="E1136" s="198">
        <v>10.0</v>
      </c>
      <c r="F1136" s="199" t="s">
        <v>2864</v>
      </c>
    </row>
    <row r="1137" ht="22.5" customHeight="1">
      <c r="A1137" s="197">
        <v>46091.732025578705</v>
      </c>
      <c r="B1137" s="100" t="s">
        <v>2863</v>
      </c>
      <c r="C1137" s="100" t="s">
        <v>1688</v>
      </c>
      <c r="D1137" s="100" t="s">
        <v>1689</v>
      </c>
      <c r="E1137" s="198">
        <v>15.0</v>
      </c>
      <c r="F1137" s="199" t="s">
        <v>2866</v>
      </c>
    </row>
    <row r="1138" ht="22.5" customHeight="1">
      <c r="A1138" s="197">
        <v>46091.906409386575</v>
      </c>
      <c r="B1138" s="100" t="s">
        <v>2867</v>
      </c>
      <c r="C1138" s="100" t="s">
        <v>1685</v>
      </c>
      <c r="D1138" s="100" t="s">
        <v>1686</v>
      </c>
      <c r="E1138" s="198">
        <v>170.0</v>
      </c>
      <c r="F1138" s="199" t="s">
        <v>2278</v>
      </c>
    </row>
    <row r="1139" ht="22.5" customHeight="1">
      <c r="A1139" s="197">
        <v>46091.906409386575</v>
      </c>
      <c r="B1139" s="100" t="s">
        <v>2867</v>
      </c>
      <c r="C1139" s="100" t="s">
        <v>1688</v>
      </c>
      <c r="D1139" s="100" t="s">
        <v>1689</v>
      </c>
      <c r="E1139" s="198">
        <v>180.0</v>
      </c>
      <c r="F1139" s="199" t="s">
        <v>2279</v>
      </c>
    </row>
    <row r="1140" ht="22.5" customHeight="1">
      <c r="A1140" s="197">
        <v>46091.90640983796</v>
      </c>
      <c r="B1140" s="100" t="s">
        <v>2869</v>
      </c>
      <c r="C1140" s="100" t="s">
        <v>1685</v>
      </c>
      <c r="D1140" s="100" t="s">
        <v>1686</v>
      </c>
      <c r="E1140" s="198">
        <v>20.0</v>
      </c>
      <c r="F1140" s="199" t="s">
        <v>2870</v>
      </c>
    </row>
    <row r="1141" ht="22.5" customHeight="1">
      <c r="A1141" s="197">
        <v>46091.90640983796</v>
      </c>
      <c r="B1141" s="100" t="s">
        <v>2869</v>
      </c>
      <c r="C1141" s="100" t="s">
        <v>1688</v>
      </c>
      <c r="D1141" s="100" t="s">
        <v>1689</v>
      </c>
      <c r="E1141" s="198">
        <v>20.0</v>
      </c>
      <c r="F1141" s="199" t="s">
        <v>2872</v>
      </c>
    </row>
    <row r="1142" ht="22.5" customHeight="1">
      <c r="A1142" s="197">
        <v>46091.906410208336</v>
      </c>
      <c r="B1142" s="100" t="s">
        <v>2873</v>
      </c>
      <c r="C1142" s="100" t="s">
        <v>1685</v>
      </c>
      <c r="D1142" s="100" t="s">
        <v>1686</v>
      </c>
      <c r="E1142" s="198">
        <v>85.0</v>
      </c>
      <c r="F1142" s="199" t="s">
        <v>2540</v>
      </c>
    </row>
    <row r="1143" ht="22.5" customHeight="1">
      <c r="A1143" s="197">
        <v>46091.906410208336</v>
      </c>
      <c r="B1143" s="100" t="s">
        <v>2873</v>
      </c>
      <c r="C1143" s="100" t="s">
        <v>1688</v>
      </c>
      <c r="D1143" s="100" t="s">
        <v>1689</v>
      </c>
      <c r="E1143" s="198">
        <v>140.0</v>
      </c>
      <c r="F1143" s="199" t="s">
        <v>2541</v>
      </c>
    </row>
    <row r="1144" ht="22.5" customHeight="1">
      <c r="A1144" s="197">
        <v>46091.906410578704</v>
      </c>
      <c r="B1144" s="100" t="s">
        <v>2874</v>
      </c>
      <c r="C1144" s="100" t="s">
        <v>1685</v>
      </c>
      <c r="D1144" s="100" t="s">
        <v>1686</v>
      </c>
      <c r="E1144" s="198">
        <v>35.0</v>
      </c>
      <c r="F1144" s="199" t="s">
        <v>1805</v>
      </c>
    </row>
    <row r="1145" ht="22.5" customHeight="1">
      <c r="A1145" s="197">
        <v>46091.906410578704</v>
      </c>
      <c r="B1145" s="100" t="s">
        <v>2874</v>
      </c>
      <c r="C1145" s="100" t="s">
        <v>1688</v>
      </c>
      <c r="D1145" s="100" t="s">
        <v>1689</v>
      </c>
      <c r="E1145" s="198">
        <v>40.0</v>
      </c>
      <c r="F1145" s="199" t="s">
        <v>1806</v>
      </c>
    </row>
    <row r="1146" ht="22.5" customHeight="1">
      <c r="A1146" s="197">
        <v>46091.9064110301</v>
      </c>
      <c r="B1146" s="100" t="s">
        <v>2876</v>
      </c>
      <c r="C1146" s="100" t="s">
        <v>1685</v>
      </c>
      <c r="D1146" s="100" t="s">
        <v>1686</v>
      </c>
      <c r="E1146" s="198">
        <v>33.75</v>
      </c>
      <c r="F1146" s="199" t="s">
        <v>2877</v>
      </c>
    </row>
    <row r="1147" ht="22.5" customHeight="1">
      <c r="A1147" s="197">
        <v>46091.9064110301</v>
      </c>
      <c r="B1147" s="100" t="s">
        <v>2876</v>
      </c>
      <c r="C1147" s="100" t="s">
        <v>1688</v>
      </c>
      <c r="D1147" s="100" t="s">
        <v>1689</v>
      </c>
      <c r="E1147" s="198">
        <v>60.0</v>
      </c>
      <c r="F1147" s="199" t="s">
        <v>2879</v>
      </c>
    </row>
    <row r="1148" ht="22.5" customHeight="1">
      <c r="A1148" s="197">
        <v>46091.90641142361</v>
      </c>
      <c r="B1148" s="100" t="s">
        <v>2881</v>
      </c>
      <c r="C1148" s="100" t="s">
        <v>1685</v>
      </c>
      <c r="D1148" s="100" t="s">
        <v>1686</v>
      </c>
      <c r="E1148" s="198">
        <v>21.69</v>
      </c>
      <c r="F1148" s="199" t="s">
        <v>2685</v>
      </c>
    </row>
    <row r="1149" ht="22.5" customHeight="1">
      <c r="A1149" s="197">
        <v>46091.90641142361</v>
      </c>
      <c r="B1149" s="100" t="s">
        <v>2881</v>
      </c>
      <c r="C1149" s="100" t="s">
        <v>1688</v>
      </c>
      <c r="D1149" s="100" t="s">
        <v>1689</v>
      </c>
      <c r="E1149" s="198">
        <v>50.0</v>
      </c>
      <c r="F1149" s="199" t="s">
        <v>2687</v>
      </c>
    </row>
    <row r="1150" ht="22.5" customHeight="1">
      <c r="A1150" s="197">
        <v>46091.906411909724</v>
      </c>
      <c r="B1150" s="100" t="s">
        <v>2882</v>
      </c>
      <c r="C1150" s="100" t="s">
        <v>1685</v>
      </c>
      <c r="D1150" s="100" t="s">
        <v>1686</v>
      </c>
      <c r="E1150" s="198">
        <v>10.85</v>
      </c>
      <c r="F1150" s="199" t="s">
        <v>2685</v>
      </c>
    </row>
    <row r="1151" ht="22.5" customHeight="1">
      <c r="A1151" s="197">
        <v>46091.906411909724</v>
      </c>
      <c r="B1151" s="100" t="s">
        <v>2882</v>
      </c>
      <c r="C1151" s="100" t="s">
        <v>1688</v>
      </c>
      <c r="D1151" s="100" t="s">
        <v>1689</v>
      </c>
      <c r="E1151" s="198">
        <v>25.0</v>
      </c>
      <c r="F1151" s="199" t="s">
        <v>2687</v>
      </c>
    </row>
    <row r="1152" ht="22.5" customHeight="1">
      <c r="A1152" s="197">
        <v>46091.90641241898</v>
      </c>
      <c r="B1152" s="100" t="s">
        <v>2884</v>
      </c>
      <c r="C1152" s="100" t="s">
        <v>1685</v>
      </c>
      <c r="D1152" s="100" t="s">
        <v>1686</v>
      </c>
      <c r="E1152" s="198">
        <v>25.83</v>
      </c>
      <c r="F1152" s="199" t="s">
        <v>2817</v>
      </c>
    </row>
    <row r="1153" ht="22.5" customHeight="1">
      <c r="A1153" s="197">
        <v>46091.90641241898</v>
      </c>
      <c r="B1153" s="100" t="s">
        <v>2884</v>
      </c>
      <c r="C1153" s="100" t="s">
        <v>1688</v>
      </c>
      <c r="D1153" s="100" t="s">
        <v>1689</v>
      </c>
      <c r="E1153" s="198">
        <v>50.0</v>
      </c>
      <c r="F1153" s="199" t="s">
        <v>2819</v>
      </c>
    </row>
    <row r="1154" ht="22.5" customHeight="1">
      <c r="A1154" s="197">
        <v>46095.93634398148</v>
      </c>
      <c r="B1154" s="100" t="s">
        <v>2885</v>
      </c>
      <c r="C1154" s="100" t="s">
        <v>1685</v>
      </c>
      <c r="D1154" s="100" t="s">
        <v>1686</v>
      </c>
      <c r="E1154" s="198">
        <v>50.0</v>
      </c>
      <c r="F1154" s="199" t="s">
        <v>2886</v>
      </c>
    </row>
    <row r="1155" ht="22.5" customHeight="1">
      <c r="A1155" s="197">
        <v>46095.93634398148</v>
      </c>
      <c r="B1155" s="100" t="s">
        <v>2885</v>
      </c>
      <c r="C1155" s="100" t="s">
        <v>1688</v>
      </c>
      <c r="D1155" s="100" t="s">
        <v>1689</v>
      </c>
      <c r="E1155" s="198">
        <v>80.0</v>
      </c>
      <c r="F1155" s="199" t="s">
        <v>2887</v>
      </c>
    </row>
    <row r="1156" ht="22.5" customHeight="1">
      <c r="A1156" s="197">
        <v>46095.93634428241</v>
      </c>
      <c r="B1156" s="100" t="s">
        <v>2888</v>
      </c>
      <c r="C1156" s="100" t="s">
        <v>1685</v>
      </c>
      <c r="D1156" s="100" t="s">
        <v>1686</v>
      </c>
      <c r="E1156" s="198">
        <v>225.0</v>
      </c>
      <c r="F1156" s="199" t="s">
        <v>2857</v>
      </c>
    </row>
    <row r="1157" ht="22.5" customHeight="1">
      <c r="A1157" s="197">
        <v>46095.93634428241</v>
      </c>
      <c r="B1157" s="100" t="s">
        <v>2888</v>
      </c>
      <c r="C1157" s="100" t="s">
        <v>1688</v>
      </c>
      <c r="D1157" s="100" t="s">
        <v>1689</v>
      </c>
      <c r="E1157" s="198">
        <v>280.0</v>
      </c>
      <c r="F1157" s="199" t="s">
        <v>2858</v>
      </c>
    </row>
    <row r="1158" ht="22.5" customHeight="1">
      <c r="A1158" s="197">
        <v>46095.93634461805</v>
      </c>
      <c r="B1158" s="100" t="s">
        <v>2889</v>
      </c>
      <c r="C1158" s="100" t="s">
        <v>1685</v>
      </c>
      <c r="D1158" s="100" t="s">
        <v>1686</v>
      </c>
      <c r="E1158" s="198">
        <v>35.0</v>
      </c>
      <c r="F1158" s="199" t="s">
        <v>2860</v>
      </c>
    </row>
    <row r="1159" ht="22.5" customHeight="1">
      <c r="A1159" s="197">
        <v>46095.93634461805</v>
      </c>
      <c r="B1159" s="100" t="s">
        <v>2889</v>
      </c>
      <c r="C1159" s="100" t="s">
        <v>1688</v>
      </c>
      <c r="D1159" s="100" t="s">
        <v>1689</v>
      </c>
      <c r="E1159" s="198">
        <v>50.0</v>
      </c>
      <c r="F1159" s="199" t="s">
        <v>2862</v>
      </c>
    </row>
    <row r="1160" ht="22.5" customHeight="1">
      <c r="A1160" s="197">
        <v>46095.936344988426</v>
      </c>
      <c r="B1160" s="100" t="s">
        <v>2890</v>
      </c>
      <c r="C1160" s="100" t="s">
        <v>1685</v>
      </c>
      <c r="D1160" s="100" t="s">
        <v>1686</v>
      </c>
      <c r="E1160" s="198">
        <v>10.0</v>
      </c>
      <c r="F1160" s="199" t="s">
        <v>2864</v>
      </c>
    </row>
    <row r="1161" ht="22.5" customHeight="1">
      <c r="A1161" s="197">
        <v>46095.936344988426</v>
      </c>
      <c r="B1161" s="100" t="s">
        <v>2890</v>
      </c>
      <c r="C1161" s="100" t="s">
        <v>1688</v>
      </c>
      <c r="D1161" s="100" t="s">
        <v>1689</v>
      </c>
      <c r="E1161" s="198">
        <v>20.0</v>
      </c>
      <c r="F1161" s="199" t="s">
        <v>2866</v>
      </c>
    </row>
    <row r="1162" ht="22.5" customHeight="1">
      <c r="A1162" s="197">
        <v>46095.93634534722</v>
      </c>
      <c r="B1162" s="100" t="s">
        <v>2893</v>
      </c>
      <c r="C1162" s="100" t="s">
        <v>1685</v>
      </c>
      <c r="D1162" s="100" t="s">
        <v>1686</v>
      </c>
      <c r="E1162" s="198">
        <v>10.0</v>
      </c>
      <c r="F1162" s="199" t="s">
        <v>2356</v>
      </c>
    </row>
    <row r="1163" ht="22.5" customHeight="1">
      <c r="A1163" s="197">
        <v>46095.93634534722</v>
      </c>
      <c r="B1163" s="100" t="s">
        <v>2893</v>
      </c>
      <c r="C1163" s="100" t="s">
        <v>1688</v>
      </c>
      <c r="D1163" s="100" t="s">
        <v>1689</v>
      </c>
      <c r="E1163" s="198">
        <v>30.0</v>
      </c>
      <c r="F1163" s="199" t="s">
        <v>2357</v>
      </c>
    </row>
    <row r="1164" ht="22.5" customHeight="1">
      <c r="A1164" s="197">
        <v>46095.93634565972</v>
      </c>
      <c r="B1164" s="100" t="s">
        <v>2895</v>
      </c>
      <c r="C1164" s="100" t="s">
        <v>1685</v>
      </c>
      <c r="D1164" s="100" t="s">
        <v>1686</v>
      </c>
      <c r="E1164" s="198">
        <v>75.0</v>
      </c>
      <c r="F1164" s="199" t="s">
        <v>2805</v>
      </c>
    </row>
    <row r="1165" ht="22.5" customHeight="1">
      <c r="A1165" s="197">
        <v>46095.93634565972</v>
      </c>
      <c r="B1165" s="100" t="s">
        <v>2895</v>
      </c>
      <c r="C1165" s="100" t="s">
        <v>1688</v>
      </c>
      <c r="D1165" s="100" t="s">
        <v>1689</v>
      </c>
      <c r="E1165" s="198">
        <v>100.0</v>
      </c>
      <c r="F1165" s="199" t="s">
        <v>2806</v>
      </c>
    </row>
    <row r="1166" ht="22.5" customHeight="1">
      <c r="A1166" s="197">
        <v>46095.936346030096</v>
      </c>
      <c r="B1166" s="100" t="s">
        <v>2897</v>
      </c>
      <c r="C1166" s="100" t="s">
        <v>1685</v>
      </c>
      <c r="D1166" s="100" t="s">
        <v>1686</v>
      </c>
      <c r="E1166" s="198">
        <v>197.0</v>
      </c>
      <c r="F1166" s="199" t="s">
        <v>2427</v>
      </c>
    </row>
    <row r="1167" ht="22.5" customHeight="1">
      <c r="A1167" s="197">
        <v>46095.936346030096</v>
      </c>
      <c r="B1167" s="100" t="s">
        <v>2897</v>
      </c>
      <c r="C1167" s="100" t="s">
        <v>1688</v>
      </c>
      <c r="D1167" s="100" t="s">
        <v>1689</v>
      </c>
      <c r="E1167" s="198">
        <v>400.0</v>
      </c>
      <c r="F1167" s="199" t="s">
        <v>2428</v>
      </c>
    </row>
    <row r="1168" ht="22.5" customHeight="1">
      <c r="A1168" s="197">
        <v>46095.936346400464</v>
      </c>
      <c r="B1168" s="100" t="s">
        <v>2899</v>
      </c>
      <c r="C1168" s="100" t="s">
        <v>1685</v>
      </c>
      <c r="D1168" s="100" t="s">
        <v>1686</v>
      </c>
      <c r="E1168" s="198">
        <v>134.24</v>
      </c>
      <c r="F1168" s="199" t="s">
        <v>2325</v>
      </c>
    </row>
    <row r="1169" ht="22.5" customHeight="1">
      <c r="A1169" s="197">
        <v>46095.936346400464</v>
      </c>
      <c r="B1169" s="100" t="s">
        <v>2899</v>
      </c>
      <c r="C1169" s="100" t="s">
        <v>1688</v>
      </c>
      <c r="D1169" s="100" t="s">
        <v>1689</v>
      </c>
      <c r="E1169" s="198">
        <v>300.0</v>
      </c>
      <c r="F1169" s="199" t="s">
        <v>2327</v>
      </c>
    </row>
    <row r="1170" ht="22.5" customHeight="1">
      <c r="A1170" s="197">
        <v>46095.93634671296</v>
      </c>
      <c r="B1170" s="100" t="s">
        <v>2900</v>
      </c>
      <c r="C1170" s="100" t="s">
        <v>1685</v>
      </c>
      <c r="D1170" s="100" t="s">
        <v>1686</v>
      </c>
      <c r="E1170" s="198">
        <v>85.0</v>
      </c>
      <c r="F1170" s="199" t="s">
        <v>2732</v>
      </c>
    </row>
    <row r="1171" ht="22.5" customHeight="1">
      <c r="A1171" s="197">
        <v>46095.93634671296</v>
      </c>
      <c r="B1171" s="100" t="s">
        <v>2900</v>
      </c>
      <c r="C1171" s="100" t="s">
        <v>1688</v>
      </c>
      <c r="D1171" s="100" t="s">
        <v>1689</v>
      </c>
      <c r="E1171" s="198">
        <v>110.0</v>
      </c>
      <c r="F1171" s="199" t="s">
        <v>2733</v>
      </c>
    </row>
    <row r="1172" ht="22.5" customHeight="1">
      <c r="A1172" s="197">
        <v>46095.936347083334</v>
      </c>
      <c r="B1172" s="100" t="s">
        <v>2902</v>
      </c>
      <c r="C1172" s="100" t="s">
        <v>1685</v>
      </c>
      <c r="D1172" s="100" t="s">
        <v>1686</v>
      </c>
      <c r="E1172" s="198">
        <v>135.0</v>
      </c>
      <c r="F1172" s="100" t="s">
        <v>2840</v>
      </c>
    </row>
    <row r="1173" ht="22.5" customHeight="1">
      <c r="A1173" s="197">
        <v>46095.936347083334</v>
      </c>
      <c r="B1173" s="100" t="s">
        <v>2902</v>
      </c>
      <c r="C1173" s="100" t="s">
        <v>1688</v>
      </c>
      <c r="D1173" s="100" t="s">
        <v>1689</v>
      </c>
      <c r="E1173" s="198">
        <v>170.0</v>
      </c>
      <c r="F1173" s="100" t="s">
        <v>2842</v>
      </c>
    </row>
    <row r="1174" ht="22.5" customHeight="1">
      <c r="A1174" s="197">
        <v>46095.93634743056</v>
      </c>
      <c r="B1174" s="100" t="s">
        <v>2904</v>
      </c>
      <c r="C1174" s="100" t="s">
        <v>1685</v>
      </c>
      <c r="D1174" s="100" t="s">
        <v>1686</v>
      </c>
      <c r="E1174" s="198">
        <v>35.0</v>
      </c>
      <c r="F1174" s="199" t="s">
        <v>1805</v>
      </c>
    </row>
    <row r="1175" ht="22.5" customHeight="1">
      <c r="A1175" s="197">
        <v>46095.93634743056</v>
      </c>
      <c r="B1175" s="100" t="s">
        <v>2904</v>
      </c>
      <c r="C1175" s="100" t="s">
        <v>1688</v>
      </c>
      <c r="D1175" s="100" t="s">
        <v>1689</v>
      </c>
      <c r="E1175" s="198">
        <v>50.0</v>
      </c>
      <c r="F1175" s="199" t="s">
        <v>1806</v>
      </c>
    </row>
    <row r="1176" ht="22.5" customHeight="1">
      <c r="A1176" s="197">
        <v>46095.93634785879</v>
      </c>
      <c r="B1176" s="100" t="s">
        <v>2906</v>
      </c>
      <c r="C1176" s="100" t="s">
        <v>1685</v>
      </c>
      <c r="D1176" s="100" t="s">
        <v>1686</v>
      </c>
      <c r="E1176" s="198">
        <v>60.0</v>
      </c>
      <c r="F1176" s="199" t="s">
        <v>2609</v>
      </c>
    </row>
    <row r="1177" ht="22.5" customHeight="1">
      <c r="A1177" s="197">
        <v>46095.93634785879</v>
      </c>
      <c r="B1177" s="100" t="s">
        <v>2906</v>
      </c>
      <c r="C1177" s="100" t="s">
        <v>1688</v>
      </c>
      <c r="D1177" s="100" t="s">
        <v>1689</v>
      </c>
      <c r="E1177" s="198">
        <v>80.0</v>
      </c>
      <c r="F1177" s="199" t="s">
        <v>2610</v>
      </c>
    </row>
    <row r="1178" ht="22.5" customHeight="1">
      <c r="A1178" s="197">
        <v>46095.93634825232</v>
      </c>
      <c r="B1178" s="100" t="s">
        <v>2908</v>
      </c>
      <c r="C1178" s="100" t="s">
        <v>1685</v>
      </c>
      <c r="D1178" s="100" t="s">
        <v>1686</v>
      </c>
      <c r="E1178" s="198">
        <v>150.0</v>
      </c>
      <c r="F1178" s="199" t="s">
        <v>1914</v>
      </c>
    </row>
    <row r="1179" ht="22.5" customHeight="1">
      <c r="A1179" s="197">
        <v>46095.93634825232</v>
      </c>
      <c r="B1179" s="100" t="s">
        <v>2908</v>
      </c>
      <c r="C1179" s="100" t="s">
        <v>1688</v>
      </c>
      <c r="D1179" s="100" t="s">
        <v>1689</v>
      </c>
      <c r="E1179" s="198">
        <v>240.0</v>
      </c>
      <c r="F1179" s="199" t="s">
        <v>1915</v>
      </c>
    </row>
    <row r="1180" ht="22.5" customHeight="1">
      <c r="A1180" s="197">
        <v>46095.93634863426</v>
      </c>
      <c r="B1180" s="100" t="s">
        <v>2910</v>
      </c>
      <c r="C1180" s="100" t="s">
        <v>1685</v>
      </c>
      <c r="D1180" s="100" t="s">
        <v>1686</v>
      </c>
      <c r="E1180" s="198">
        <v>150.0</v>
      </c>
      <c r="F1180" s="199" t="s">
        <v>2912</v>
      </c>
    </row>
    <row r="1181" ht="22.5" customHeight="1">
      <c r="A1181" s="197">
        <v>46095.93634863426</v>
      </c>
      <c r="B1181" s="100" t="s">
        <v>2910</v>
      </c>
      <c r="C1181" s="100" t="s">
        <v>1688</v>
      </c>
      <c r="D1181" s="100" t="s">
        <v>1689</v>
      </c>
      <c r="E1181" s="198">
        <v>200.0</v>
      </c>
      <c r="F1181" s="199" t="s">
        <v>2913</v>
      </c>
    </row>
    <row r="1182" ht="22.5" customHeight="1">
      <c r="A1182" s="197">
        <v>46095.936349027776</v>
      </c>
      <c r="B1182" s="100" t="s">
        <v>2914</v>
      </c>
      <c r="C1182" s="100" t="s">
        <v>1685</v>
      </c>
      <c r="D1182" s="100" t="s">
        <v>1686</v>
      </c>
      <c r="E1182" s="198">
        <v>150.0</v>
      </c>
      <c r="F1182" s="199" t="s">
        <v>2886</v>
      </c>
    </row>
    <row r="1183" ht="22.5" customHeight="1">
      <c r="A1183" s="197">
        <v>46095.936349027776</v>
      </c>
      <c r="B1183" s="100" t="s">
        <v>2914</v>
      </c>
      <c r="C1183" s="100" t="s">
        <v>1688</v>
      </c>
      <c r="D1183" s="100" t="s">
        <v>1689</v>
      </c>
      <c r="E1183" s="198">
        <v>225.0</v>
      </c>
      <c r="F1183" s="199" t="s">
        <v>2887</v>
      </c>
    </row>
    <row r="1184" ht="22.5" customHeight="1">
      <c r="A1184" s="197">
        <v>46095.93634940972</v>
      </c>
      <c r="B1184" s="100" t="s">
        <v>2916</v>
      </c>
      <c r="C1184" s="100" t="s">
        <v>1685</v>
      </c>
      <c r="D1184" s="100" t="s">
        <v>1686</v>
      </c>
      <c r="E1184" s="198">
        <v>165.5</v>
      </c>
      <c r="F1184" s="199" t="s">
        <v>2600</v>
      </c>
    </row>
    <row r="1185" ht="22.5" customHeight="1">
      <c r="A1185" s="197">
        <v>46095.93634940972</v>
      </c>
      <c r="B1185" s="100" t="s">
        <v>2916</v>
      </c>
      <c r="C1185" s="100" t="s">
        <v>1688</v>
      </c>
      <c r="D1185" s="100" t="s">
        <v>1689</v>
      </c>
      <c r="E1185" s="198">
        <v>210.0</v>
      </c>
      <c r="F1185" s="199" t="s">
        <v>2601</v>
      </c>
    </row>
    <row r="1186" ht="22.5" customHeight="1">
      <c r="A1186" s="197">
        <v>46095.93634980324</v>
      </c>
      <c r="B1186" s="100" t="s">
        <v>2918</v>
      </c>
      <c r="C1186" s="100" t="s">
        <v>1685</v>
      </c>
      <c r="D1186" s="100" t="s">
        <v>1686</v>
      </c>
      <c r="E1186" s="198">
        <v>18.32</v>
      </c>
      <c r="F1186" s="199" t="s">
        <v>2678</v>
      </c>
    </row>
    <row r="1187" ht="22.5" customHeight="1">
      <c r="A1187" s="197">
        <v>46095.93634980324</v>
      </c>
      <c r="B1187" s="100" t="s">
        <v>2918</v>
      </c>
      <c r="C1187" s="100" t="s">
        <v>1688</v>
      </c>
      <c r="D1187" s="100" t="s">
        <v>1689</v>
      </c>
      <c r="E1187" s="198">
        <v>22.0</v>
      </c>
      <c r="F1187" s="199" t="s">
        <v>2679</v>
      </c>
    </row>
    <row r="1188" ht="22.5" customHeight="1">
      <c r="A1188" s="197">
        <v>46095.93635021991</v>
      </c>
      <c r="B1188" s="100" t="s">
        <v>2920</v>
      </c>
      <c r="C1188" s="100" t="s">
        <v>1685</v>
      </c>
      <c r="D1188" s="100" t="s">
        <v>1686</v>
      </c>
      <c r="E1188" s="198">
        <v>7.0</v>
      </c>
      <c r="F1188" s="199" t="s">
        <v>2391</v>
      </c>
    </row>
    <row r="1189" ht="22.5" customHeight="1">
      <c r="A1189" s="197">
        <v>46095.93635021991</v>
      </c>
      <c r="B1189" s="100" t="s">
        <v>2920</v>
      </c>
      <c r="C1189" s="100" t="s">
        <v>1688</v>
      </c>
      <c r="D1189" s="100" t="s">
        <v>1689</v>
      </c>
      <c r="E1189" s="198">
        <v>20.0</v>
      </c>
      <c r="F1189" s="199" t="s">
        <v>2392</v>
      </c>
    </row>
    <row r="1190" ht="22.5" customHeight="1">
      <c r="A1190" s="197">
        <v>46095.93635071759</v>
      </c>
      <c r="B1190" s="100" t="s">
        <v>2922</v>
      </c>
      <c r="C1190" s="100" t="s">
        <v>1685</v>
      </c>
      <c r="D1190" s="100" t="s">
        <v>1686</v>
      </c>
      <c r="E1190" s="198">
        <v>197.0</v>
      </c>
      <c r="F1190" s="199" t="s">
        <v>2427</v>
      </c>
    </row>
    <row r="1191" ht="22.5" customHeight="1">
      <c r="A1191" s="197">
        <v>46095.93635071759</v>
      </c>
      <c r="B1191" s="100" t="s">
        <v>2922</v>
      </c>
      <c r="C1191" s="100" t="s">
        <v>1688</v>
      </c>
      <c r="D1191" s="100" t="s">
        <v>1689</v>
      </c>
      <c r="E1191" s="198">
        <v>420.0</v>
      </c>
      <c r="F1191" s="199" t="s">
        <v>2428</v>
      </c>
    </row>
    <row r="1192" ht="22.5" customHeight="1">
      <c r="A1192" s="197">
        <v>46095.93635101852</v>
      </c>
      <c r="B1192" s="100" t="s">
        <v>2925</v>
      </c>
      <c r="C1192" s="100" t="s">
        <v>1685</v>
      </c>
      <c r="D1192" s="100" t="s">
        <v>1686</v>
      </c>
      <c r="E1192" s="198">
        <v>134.24</v>
      </c>
      <c r="F1192" s="199" t="s">
        <v>2325</v>
      </c>
    </row>
    <row r="1193" ht="22.5" customHeight="1">
      <c r="A1193" s="197">
        <v>46095.93635101852</v>
      </c>
      <c r="B1193" s="100" t="s">
        <v>2925</v>
      </c>
      <c r="C1193" s="100" t="s">
        <v>1688</v>
      </c>
      <c r="D1193" s="100" t="s">
        <v>1689</v>
      </c>
      <c r="E1193" s="198">
        <v>300.0</v>
      </c>
      <c r="F1193" s="199" t="s">
        <v>2327</v>
      </c>
    </row>
    <row r="1194" ht="22.5" customHeight="1">
      <c r="A1194" s="197">
        <v>46095.93635134259</v>
      </c>
      <c r="B1194" s="100" t="s">
        <v>2927</v>
      </c>
      <c r="C1194" s="100" t="s">
        <v>1685</v>
      </c>
      <c r="D1194" s="100" t="s">
        <v>1686</v>
      </c>
      <c r="E1194" s="198">
        <v>10.85</v>
      </c>
      <c r="F1194" s="199" t="s">
        <v>2685</v>
      </c>
    </row>
    <row r="1195" ht="22.5" customHeight="1">
      <c r="A1195" s="197">
        <v>46095.93635134259</v>
      </c>
      <c r="B1195" s="100" t="s">
        <v>2927</v>
      </c>
      <c r="C1195" s="100" t="s">
        <v>1688</v>
      </c>
      <c r="D1195" s="100" t="s">
        <v>1689</v>
      </c>
      <c r="E1195" s="198">
        <v>20.0</v>
      </c>
      <c r="F1195" s="199" t="s">
        <v>2687</v>
      </c>
    </row>
    <row r="1196" ht="22.5" customHeight="1">
      <c r="A1196" s="197">
        <v>46095.93635164352</v>
      </c>
      <c r="B1196" s="100" t="s">
        <v>2928</v>
      </c>
      <c r="C1196" s="100" t="s">
        <v>1685</v>
      </c>
      <c r="D1196" s="100" t="s">
        <v>1686</v>
      </c>
      <c r="E1196" s="198">
        <v>180.0</v>
      </c>
      <c r="F1196" s="199" t="s">
        <v>2930</v>
      </c>
    </row>
    <row r="1197" ht="22.5" customHeight="1">
      <c r="A1197" s="197">
        <v>46095.93635164352</v>
      </c>
      <c r="B1197" s="100" t="s">
        <v>2928</v>
      </c>
      <c r="C1197" s="100" t="s">
        <v>1688</v>
      </c>
      <c r="D1197" s="100" t="s">
        <v>1689</v>
      </c>
      <c r="E1197" s="198">
        <v>210.0</v>
      </c>
      <c r="F1197" s="199" t="s">
        <v>2931</v>
      </c>
    </row>
    <row r="1198" ht="22.5" customHeight="1">
      <c r="A1198" s="197">
        <v>46095.936351944445</v>
      </c>
      <c r="B1198" s="100" t="s">
        <v>2932</v>
      </c>
      <c r="C1198" s="100" t="s">
        <v>1685</v>
      </c>
      <c r="D1198" s="100" t="s">
        <v>1686</v>
      </c>
      <c r="E1198" s="198">
        <v>72.0</v>
      </c>
      <c r="F1198" s="199" t="s">
        <v>2934</v>
      </c>
    </row>
    <row r="1199" ht="22.5" customHeight="1">
      <c r="A1199" s="197">
        <v>46095.936351944445</v>
      </c>
      <c r="B1199" s="100" t="s">
        <v>2932</v>
      </c>
      <c r="C1199" s="100" t="s">
        <v>1688</v>
      </c>
      <c r="D1199" s="100" t="s">
        <v>1689</v>
      </c>
      <c r="E1199" s="198">
        <v>90.0</v>
      </c>
      <c r="F1199" s="199" t="s">
        <v>2935</v>
      </c>
    </row>
    <row r="1200" ht="22.5" customHeight="1">
      <c r="A1200" s="197">
        <v>46095.93635222223</v>
      </c>
      <c r="B1200" s="100" t="s">
        <v>2937</v>
      </c>
      <c r="C1200" s="100" t="s">
        <v>1685</v>
      </c>
      <c r="D1200" s="100" t="s">
        <v>1686</v>
      </c>
      <c r="E1200" s="198">
        <v>94.0</v>
      </c>
      <c r="F1200" s="199" t="s">
        <v>2938</v>
      </c>
    </row>
    <row r="1201" ht="22.5" customHeight="1">
      <c r="A1201" s="197">
        <v>46095.93635222223</v>
      </c>
      <c r="B1201" s="100" t="s">
        <v>2937</v>
      </c>
      <c r="C1201" s="100" t="s">
        <v>1688</v>
      </c>
      <c r="D1201" s="100" t="s">
        <v>1689</v>
      </c>
      <c r="E1201" s="198">
        <v>120.0</v>
      </c>
      <c r="F1201" s="199" t="s">
        <v>2940</v>
      </c>
    </row>
    <row r="1202" ht="22.5" customHeight="1">
      <c r="A1202" s="197">
        <v>46095.9363525</v>
      </c>
      <c r="B1202" s="100" t="s">
        <v>2941</v>
      </c>
      <c r="C1202" s="100" t="s">
        <v>1685</v>
      </c>
      <c r="D1202" s="100" t="s">
        <v>1686</v>
      </c>
      <c r="E1202" s="198">
        <v>188.0</v>
      </c>
      <c r="F1202" s="199" t="s">
        <v>2531</v>
      </c>
    </row>
    <row r="1203" ht="22.5" customHeight="1">
      <c r="A1203" s="197">
        <v>46095.9363525</v>
      </c>
      <c r="B1203" s="100" t="s">
        <v>2941</v>
      </c>
      <c r="C1203" s="100" t="s">
        <v>1688</v>
      </c>
      <c r="D1203" s="100" t="s">
        <v>1689</v>
      </c>
      <c r="E1203" s="198">
        <v>240.0</v>
      </c>
      <c r="F1203" s="199" t="s">
        <v>2532</v>
      </c>
    </row>
    <row r="1204" ht="22.5" customHeight="1">
      <c r="A1204" s="197">
        <v>46095.93635280093</v>
      </c>
      <c r="B1204" s="100" t="s">
        <v>2943</v>
      </c>
      <c r="C1204" s="100" t="s">
        <v>1685</v>
      </c>
      <c r="D1204" s="100" t="s">
        <v>1686</v>
      </c>
      <c r="E1204" s="198">
        <v>150.0</v>
      </c>
      <c r="F1204" s="100" t="s">
        <v>2944</v>
      </c>
    </row>
    <row r="1205" ht="22.5" customHeight="1">
      <c r="A1205" s="197">
        <v>46095.93635280093</v>
      </c>
      <c r="B1205" s="100" t="s">
        <v>2943</v>
      </c>
      <c r="C1205" s="100" t="s">
        <v>1688</v>
      </c>
      <c r="D1205" s="100" t="s">
        <v>1689</v>
      </c>
      <c r="E1205" s="198">
        <v>200.0</v>
      </c>
      <c r="F1205" s="100" t="s">
        <v>2946</v>
      </c>
    </row>
    <row r="1206" ht="22.5" customHeight="1">
      <c r="A1206" s="197">
        <v>46095.93635311343</v>
      </c>
      <c r="B1206" s="100" t="s">
        <v>2947</v>
      </c>
      <c r="C1206" s="100" t="s">
        <v>1685</v>
      </c>
      <c r="D1206" s="100" t="s">
        <v>1686</v>
      </c>
      <c r="E1206" s="198">
        <v>75.0</v>
      </c>
      <c r="F1206" s="199" t="s">
        <v>2609</v>
      </c>
    </row>
    <row r="1207" ht="22.5" customHeight="1">
      <c r="A1207" s="197">
        <v>46095.93635311343</v>
      </c>
      <c r="B1207" s="100" t="s">
        <v>2947</v>
      </c>
      <c r="C1207" s="100" t="s">
        <v>1688</v>
      </c>
      <c r="D1207" s="100" t="s">
        <v>1689</v>
      </c>
      <c r="E1207" s="198">
        <v>100.0</v>
      </c>
      <c r="F1207" s="199" t="s">
        <v>2610</v>
      </c>
    </row>
    <row r="1208" ht="22.5" customHeight="1">
      <c r="A1208" s="197">
        <v>46095.936353391204</v>
      </c>
      <c r="B1208" s="100" t="s">
        <v>2949</v>
      </c>
      <c r="C1208" s="100" t="s">
        <v>1685</v>
      </c>
      <c r="D1208" s="100" t="s">
        <v>1686</v>
      </c>
      <c r="E1208" s="198">
        <v>35.0</v>
      </c>
      <c r="F1208" s="199" t="s">
        <v>1805</v>
      </c>
    </row>
    <row r="1209" ht="22.5" customHeight="1">
      <c r="A1209" s="197">
        <v>46095.936353391204</v>
      </c>
      <c r="B1209" s="100" t="s">
        <v>2949</v>
      </c>
      <c r="C1209" s="100" t="s">
        <v>1688</v>
      </c>
      <c r="D1209" s="100" t="s">
        <v>1689</v>
      </c>
      <c r="E1209" s="198">
        <v>50.0</v>
      </c>
      <c r="F1209" s="199" t="s">
        <v>1806</v>
      </c>
    </row>
    <row r="1210" ht="22.5" customHeight="1">
      <c r="A1210" s="197">
        <v>46095.93635363426</v>
      </c>
      <c r="B1210" s="100" t="s">
        <v>2950</v>
      </c>
      <c r="C1210" s="100" t="s">
        <v>1685</v>
      </c>
      <c r="D1210" s="100" t="s">
        <v>1686</v>
      </c>
      <c r="E1210" s="198">
        <v>135.0</v>
      </c>
      <c r="F1210" s="100" t="s">
        <v>2840</v>
      </c>
    </row>
    <row r="1211" ht="22.5" customHeight="1">
      <c r="A1211" s="197">
        <v>46095.93635363426</v>
      </c>
      <c r="B1211" s="100" t="s">
        <v>2950</v>
      </c>
      <c r="C1211" s="100" t="s">
        <v>1688</v>
      </c>
      <c r="D1211" s="100" t="s">
        <v>1689</v>
      </c>
      <c r="E1211" s="198">
        <v>200.0</v>
      </c>
      <c r="F1211" s="100" t="s">
        <v>2842</v>
      </c>
    </row>
    <row r="1212" ht="22.5" customHeight="1">
      <c r="A1212" s="197">
        <v>46095.93635388889</v>
      </c>
      <c r="B1212" s="100" t="s">
        <v>2952</v>
      </c>
      <c r="C1212" s="100" t="s">
        <v>1685</v>
      </c>
      <c r="D1212" s="100" t="s">
        <v>1686</v>
      </c>
      <c r="E1212" s="198">
        <v>45.0</v>
      </c>
      <c r="F1212" s="199" t="s">
        <v>2609</v>
      </c>
    </row>
    <row r="1213" ht="22.5" customHeight="1">
      <c r="A1213" s="197">
        <v>46095.93635388889</v>
      </c>
      <c r="B1213" s="100" t="s">
        <v>2952</v>
      </c>
      <c r="C1213" s="100" t="s">
        <v>1688</v>
      </c>
      <c r="D1213" s="100" t="s">
        <v>1689</v>
      </c>
      <c r="E1213" s="198">
        <v>60.0</v>
      </c>
      <c r="F1213" s="199" t="s">
        <v>2610</v>
      </c>
    </row>
    <row r="1214" ht="22.5" customHeight="1">
      <c r="A1214" s="197">
        <v>46095.93635422454</v>
      </c>
      <c r="B1214" s="100" t="s">
        <v>2954</v>
      </c>
      <c r="C1214" s="100" t="s">
        <v>1685</v>
      </c>
      <c r="D1214" s="100" t="s">
        <v>1686</v>
      </c>
      <c r="E1214" s="198">
        <v>35.0</v>
      </c>
      <c r="F1214" s="199" t="s">
        <v>1805</v>
      </c>
    </row>
    <row r="1215" ht="22.5" customHeight="1">
      <c r="A1215" s="197">
        <v>46095.93635422454</v>
      </c>
      <c r="B1215" s="100" t="s">
        <v>2954</v>
      </c>
      <c r="C1215" s="100" t="s">
        <v>1688</v>
      </c>
      <c r="D1215" s="100" t="s">
        <v>1689</v>
      </c>
      <c r="E1215" s="198">
        <v>50.0</v>
      </c>
      <c r="F1215" s="199" t="s">
        <v>1806</v>
      </c>
    </row>
    <row r="1216" ht="22.5" customHeight="1">
      <c r="A1216" s="197">
        <v>46095.93635451389</v>
      </c>
      <c r="B1216" s="100" t="s">
        <v>2957</v>
      </c>
      <c r="C1216" s="100" t="s">
        <v>1685</v>
      </c>
      <c r="D1216" s="100" t="s">
        <v>1686</v>
      </c>
      <c r="E1216" s="198">
        <v>167.0</v>
      </c>
      <c r="F1216" s="199" t="s">
        <v>2958</v>
      </c>
    </row>
    <row r="1217" ht="22.5" customHeight="1">
      <c r="A1217" s="197">
        <v>46095.93635451389</v>
      </c>
      <c r="B1217" s="100" t="s">
        <v>2957</v>
      </c>
      <c r="C1217" s="100" t="s">
        <v>1688</v>
      </c>
      <c r="D1217" s="100" t="s">
        <v>1689</v>
      </c>
      <c r="E1217" s="198">
        <v>190.0</v>
      </c>
      <c r="F1217" s="199" t="s">
        <v>2959</v>
      </c>
    </row>
    <row r="1218" ht="22.5" customHeight="1">
      <c r="A1218" s="197">
        <v>46095.93635476852</v>
      </c>
      <c r="B1218" s="100" t="s">
        <v>2960</v>
      </c>
      <c r="C1218" s="100" t="s">
        <v>1685</v>
      </c>
      <c r="D1218" s="100" t="s">
        <v>1686</v>
      </c>
      <c r="E1218" s="198">
        <v>30.0</v>
      </c>
      <c r="F1218" s="199" t="s">
        <v>2609</v>
      </c>
    </row>
    <row r="1219" ht="22.5" customHeight="1">
      <c r="A1219" s="197">
        <v>46095.93635476852</v>
      </c>
      <c r="B1219" s="100" t="s">
        <v>2960</v>
      </c>
      <c r="C1219" s="100" t="s">
        <v>1688</v>
      </c>
      <c r="D1219" s="100" t="s">
        <v>1689</v>
      </c>
      <c r="E1219" s="198">
        <v>40.0</v>
      </c>
      <c r="F1219" s="199" t="s">
        <v>2610</v>
      </c>
    </row>
    <row r="1220" ht="22.5" customHeight="1">
      <c r="A1220" s="197">
        <v>46095.93635506944</v>
      </c>
      <c r="B1220" s="100" t="s">
        <v>2963</v>
      </c>
      <c r="C1220" s="100" t="s">
        <v>1685</v>
      </c>
      <c r="D1220" s="100" t="s">
        <v>1686</v>
      </c>
      <c r="E1220" s="198">
        <v>20.0</v>
      </c>
      <c r="F1220" s="199" t="s">
        <v>2275</v>
      </c>
    </row>
    <row r="1221" ht="22.5" customHeight="1">
      <c r="A1221" s="197">
        <v>46095.93635506944</v>
      </c>
      <c r="B1221" s="100" t="s">
        <v>2963</v>
      </c>
      <c r="C1221" s="100" t="s">
        <v>1688</v>
      </c>
      <c r="D1221" s="100" t="s">
        <v>1689</v>
      </c>
      <c r="E1221" s="198">
        <v>30.0</v>
      </c>
      <c r="F1221" s="199" t="s">
        <v>2276</v>
      </c>
    </row>
    <row r="1222" ht="22.5" customHeight="1">
      <c r="A1222" s="197">
        <v>46095.9363553588</v>
      </c>
      <c r="B1222" s="100" t="s">
        <v>2964</v>
      </c>
      <c r="C1222" s="100" t="s">
        <v>1685</v>
      </c>
      <c r="D1222" s="100" t="s">
        <v>1686</v>
      </c>
      <c r="E1222" s="198">
        <v>90.0</v>
      </c>
      <c r="F1222" s="199" t="s">
        <v>2019</v>
      </c>
    </row>
    <row r="1223" ht="22.5" customHeight="1">
      <c r="A1223" s="197">
        <v>46095.9363553588</v>
      </c>
      <c r="B1223" s="100" t="s">
        <v>2964</v>
      </c>
      <c r="C1223" s="100" t="s">
        <v>1688</v>
      </c>
      <c r="D1223" s="100" t="s">
        <v>1689</v>
      </c>
      <c r="E1223" s="198">
        <v>135.0</v>
      </c>
      <c r="F1223" s="199" t="s">
        <v>2020</v>
      </c>
    </row>
    <row r="1224" ht="22.5" customHeight="1">
      <c r="A1224" s="197">
        <v>46095.936355682876</v>
      </c>
      <c r="B1224" s="100" t="s">
        <v>2966</v>
      </c>
      <c r="C1224" s="100" t="s">
        <v>1685</v>
      </c>
      <c r="D1224" s="100" t="s">
        <v>1686</v>
      </c>
      <c r="E1224" s="198">
        <v>75.0</v>
      </c>
      <c r="F1224" s="199" t="s">
        <v>2805</v>
      </c>
    </row>
    <row r="1225" ht="22.5" customHeight="1">
      <c r="A1225" s="197">
        <v>46095.936355682876</v>
      </c>
      <c r="B1225" s="100" t="s">
        <v>2966</v>
      </c>
      <c r="C1225" s="100" t="s">
        <v>1688</v>
      </c>
      <c r="D1225" s="100" t="s">
        <v>1689</v>
      </c>
      <c r="E1225" s="198">
        <v>90.0</v>
      </c>
      <c r="F1225" s="199" t="s">
        <v>2806</v>
      </c>
    </row>
    <row r="1226" ht="22.5" customHeight="1">
      <c r="A1226" s="197">
        <v>46095.93635606482</v>
      </c>
      <c r="B1226" s="100" t="s">
        <v>2968</v>
      </c>
      <c r="C1226" s="100" t="s">
        <v>1685</v>
      </c>
      <c r="D1226" s="100" t="s">
        <v>1686</v>
      </c>
      <c r="E1226" s="198">
        <v>100.0</v>
      </c>
      <c r="F1226" s="199" t="s">
        <v>2886</v>
      </c>
    </row>
    <row r="1227" ht="22.5" customHeight="1">
      <c r="A1227" s="197">
        <v>46095.93635606482</v>
      </c>
      <c r="B1227" s="100" t="s">
        <v>2968</v>
      </c>
      <c r="C1227" s="100" t="s">
        <v>1688</v>
      </c>
      <c r="D1227" s="100" t="s">
        <v>1689</v>
      </c>
      <c r="E1227" s="198">
        <v>160.0</v>
      </c>
      <c r="F1227" s="199" t="s">
        <v>2887</v>
      </c>
    </row>
    <row r="1228" ht="22.5" customHeight="1">
      <c r="A1228" s="197">
        <v>46095.936356481485</v>
      </c>
      <c r="B1228" s="100" t="s">
        <v>2970</v>
      </c>
      <c r="C1228" s="100" t="s">
        <v>1685</v>
      </c>
      <c r="D1228" s="100" t="s">
        <v>1686</v>
      </c>
      <c r="E1228" s="198">
        <v>77.5</v>
      </c>
      <c r="F1228" s="199" t="s">
        <v>2817</v>
      </c>
    </row>
    <row r="1229" ht="22.5" customHeight="1">
      <c r="A1229" s="197">
        <v>46095.936356481485</v>
      </c>
      <c r="B1229" s="100" t="s">
        <v>2970</v>
      </c>
      <c r="C1229" s="100" t="s">
        <v>1688</v>
      </c>
      <c r="D1229" s="100" t="s">
        <v>1689</v>
      </c>
      <c r="E1229" s="198">
        <v>150.0</v>
      </c>
      <c r="F1229" s="199" t="s">
        <v>2819</v>
      </c>
    </row>
    <row r="1230" ht="22.5" customHeight="1">
      <c r="A1230" s="197">
        <v>46095.936356805556</v>
      </c>
      <c r="B1230" s="100" t="s">
        <v>2972</v>
      </c>
      <c r="C1230" s="100" t="s">
        <v>1685</v>
      </c>
      <c r="D1230" s="100" t="s">
        <v>1686</v>
      </c>
      <c r="E1230" s="198">
        <v>90.0</v>
      </c>
      <c r="F1230" s="199" t="s">
        <v>2019</v>
      </c>
    </row>
    <row r="1231" ht="22.5" customHeight="1">
      <c r="A1231" s="197">
        <v>46095.936356805556</v>
      </c>
      <c r="B1231" s="100" t="s">
        <v>2972</v>
      </c>
      <c r="C1231" s="100" t="s">
        <v>1688</v>
      </c>
      <c r="D1231" s="100" t="s">
        <v>1689</v>
      </c>
      <c r="E1231" s="198">
        <v>130.0</v>
      </c>
      <c r="F1231" s="199" t="s">
        <v>2020</v>
      </c>
    </row>
    <row r="1232" ht="22.5" customHeight="1">
      <c r="A1232" s="197">
        <v>46095.9363571412</v>
      </c>
      <c r="B1232" s="100" t="s">
        <v>2974</v>
      </c>
      <c r="C1232" s="100" t="s">
        <v>1685</v>
      </c>
      <c r="D1232" s="100" t="s">
        <v>1686</v>
      </c>
      <c r="E1232" s="198">
        <v>280.0</v>
      </c>
      <c r="F1232" s="199" t="s">
        <v>1742</v>
      </c>
    </row>
    <row r="1233" ht="22.5" customHeight="1">
      <c r="A1233" s="197">
        <v>46095.9363571412</v>
      </c>
      <c r="B1233" s="100" t="s">
        <v>2974</v>
      </c>
      <c r="C1233" s="100" t="s">
        <v>1688</v>
      </c>
      <c r="D1233" s="100" t="s">
        <v>1689</v>
      </c>
      <c r="E1233" s="198">
        <v>320.0</v>
      </c>
      <c r="F1233" s="199" t="s">
        <v>1743</v>
      </c>
    </row>
    <row r="1234" ht="22.5" customHeight="1">
      <c r="A1234" s="197">
        <v>46095.93635746528</v>
      </c>
      <c r="B1234" s="100" t="s">
        <v>2978</v>
      </c>
      <c r="C1234" s="100" t="s">
        <v>1685</v>
      </c>
      <c r="D1234" s="100" t="s">
        <v>1686</v>
      </c>
      <c r="E1234" s="198">
        <v>280.0</v>
      </c>
      <c r="F1234" s="199" t="s">
        <v>1742</v>
      </c>
    </row>
    <row r="1235" ht="22.5" customHeight="1">
      <c r="A1235" s="197">
        <v>46095.93635746528</v>
      </c>
      <c r="B1235" s="100" t="s">
        <v>2978</v>
      </c>
      <c r="C1235" s="100" t="s">
        <v>1688</v>
      </c>
      <c r="D1235" s="100" t="s">
        <v>1689</v>
      </c>
      <c r="E1235" s="198">
        <v>320.0</v>
      </c>
      <c r="F1235" s="199" t="s">
        <v>1743</v>
      </c>
    </row>
    <row r="1236" ht="22.5" customHeight="1">
      <c r="A1236" s="197">
        <v>46095.93635778935</v>
      </c>
      <c r="B1236" s="100" t="s">
        <v>2980</v>
      </c>
      <c r="C1236" s="100" t="s">
        <v>1685</v>
      </c>
      <c r="D1236" s="100" t="s">
        <v>1686</v>
      </c>
      <c r="E1236" s="198">
        <v>140.0</v>
      </c>
      <c r="F1236" s="199" t="s">
        <v>1742</v>
      </c>
    </row>
    <row r="1237" ht="22.5" customHeight="1">
      <c r="A1237" s="197">
        <v>46095.93635778935</v>
      </c>
      <c r="B1237" s="100" t="s">
        <v>2980</v>
      </c>
      <c r="C1237" s="100" t="s">
        <v>1688</v>
      </c>
      <c r="D1237" s="100" t="s">
        <v>1689</v>
      </c>
      <c r="E1237" s="198">
        <v>150.0</v>
      </c>
      <c r="F1237" s="199" t="s">
        <v>1743</v>
      </c>
    </row>
    <row r="1238" ht="22.5" customHeight="1">
      <c r="A1238" s="197">
        <v>46095.9363581713</v>
      </c>
      <c r="B1238" s="100" t="s">
        <v>2981</v>
      </c>
      <c r="C1238" s="100" t="s">
        <v>1685</v>
      </c>
      <c r="D1238" s="100" t="s">
        <v>1686</v>
      </c>
      <c r="E1238" s="198">
        <v>80.0</v>
      </c>
      <c r="F1238" s="199" t="s">
        <v>2982</v>
      </c>
    </row>
    <row r="1239" ht="22.5" customHeight="1">
      <c r="A1239" s="197">
        <v>46095.9363581713</v>
      </c>
      <c r="B1239" s="100" t="s">
        <v>2981</v>
      </c>
      <c r="C1239" s="100" t="s">
        <v>1688</v>
      </c>
      <c r="D1239" s="100" t="s">
        <v>1689</v>
      </c>
      <c r="E1239" s="198">
        <v>135.0</v>
      </c>
      <c r="F1239" s="199" t="s">
        <v>2983</v>
      </c>
    </row>
    <row r="1240" ht="22.5" customHeight="1">
      <c r="A1240" s="197">
        <v>46095.93635847222</v>
      </c>
      <c r="B1240" s="100" t="s">
        <v>2984</v>
      </c>
      <c r="C1240" s="100" t="s">
        <v>1685</v>
      </c>
      <c r="D1240" s="100" t="s">
        <v>1686</v>
      </c>
      <c r="E1240" s="198">
        <v>75.0</v>
      </c>
      <c r="F1240" s="199" t="s">
        <v>2432</v>
      </c>
    </row>
    <row r="1241" ht="22.5" customHeight="1">
      <c r="A1241" s="197">
        <v>46095.93635847222</v>
      </c>
      <c r="B1241" s="100" t="s">
        <v>2984</v>
      </c>
      <c r="C1241" s="100" t="s">
        <v>1688</v>
      </c>
      <c r="D1241" s="100" t="s">
        <v>1689</v>
      </c>
      <c r="E1241" s="198">
        <v>100.0</v>
      </c>
      <c r="F1241" s="199" t="s">
        <v>2433</v>
      </c>
    </row>
    <row r="1242" ht="22.5" customHeight="1">
      <c r="A1242" s="197">
        <v>46095.93635875</v>
      </c>
      <c r="B1242" s="100" t="s">
        <v>2985</v>
      </c>
      <c r="C1242" s="100" t="s">
        <v>1685</v>
      </c>
      <c r="D1242" s="100" t="s">
        <v>1686</v>
      </c>
      <c r="E1242" s="198">
        <v>100.0</v>
      </c>
      <c r="F1242" s="199" t="s">
        <v>2886</v>
      </c>
    </row>
    <row r="1243" ht="22.5" customHeight="1">
      <c r="A1243" s="197">
        <v>46095.93635875</v>
      </c>
      <c r="B1243" s="100" t="s">
        <v>2985</v>
      </c>
      <c r="C1243" s="100" t="s">
        <v>1688</v>
      </c>
      <c r="D1243" s="100" t="s">
        <v>1689</v>
      </c>
      <c r="E1243" s="198">
        <v>140.0</v>
      </c>
      <c r="F1243" s="199" t="s">
        <v>2887</v>
      </c>
    </row>
    <row r="1244" ht="22.5" customHeight="1">
      <c r="A1244" s="197">
        <v>46095.9363590162</v>
      </c>
      <c r="B1244" s="100" t="s">
        <v>2986</v>
      </c>
      <c r="C1244" s="100" t="s">
        <v>1685</v>
      </c>
      <c r="D1244" s="100" t="s">
        <v>1686</v>
      </c>
      <c r="E1244" s="198">
        <v>25.83</v>
      </c>
      <c r="F1244" s="199" t="s">
        <v>2817</v>
      </c>
    </row>
    <row r="1245" ht="22.5" customHeight="1">
      <c r="A1245" s="197">
        <v>46095.9363590162</v>
      </c>
      <c r="B1245" s="100" t="s">
        <v>2986</v>
      </c>
      <c r="C1245" s="100" t="s">
        <v>1688</v>
      </c>
      <c r="D1245" s="100" t="s">
        <v>1689</v>
      </c>
      <c r="E1245" s="198">
        <v>50.0</v>
      </c>
      <c r="F1245" s="199" t="s">
        <v>2819</v>
      </c>
    </row>
    <row r="1246" ht="22.5" customHeight="1">
      <c r="A1246" s="197">
        <v>46095.93635930556</v>
      </c>
      <c r="B1246" s="100" t="s">
        <v>2988</v>
      </c>
      <c r="C1246" s="100" t="s">
        <v>1685</v>
      </c>
      <c r="D1246" s="100" t="s">
        <v>1686</v>
      </c>
      <c r="E1246" s="198">
        <v>18.75</v>
      </c>
      <c r="F1246" s="199" t="s">
        <v>2989</v>
      </c>
    </row>
    <row r="1247" ht="22.5" customHeight="1">
      <c r="A1247" s="197">
        <v>46095.93635930556</v>
      </c>
      <c r="B1247" s="100" t="s">
        <v>2988</v>
      </c>
      <c r="C1247" s="100" t="s">
        <v>1688</v>
      </c>
      <c r="D1247" s="100" t="s">
        <v>1689</v>
      </c>
      <c r="E1247" s="198">
        <v>40.0</v>
      </c>
      <c r="F1247" s="199" t="s">
        <v>2990</v>
      </c>
    </row>
    <row r="1248" ht="22.5" customHeight="1">
      <c r="A1248" s="197">
        <v>46095.93635965278</v>
      </c>
      <c r="B1248" s="100" t="s">
        <v>2991</v>
      </c>
      <c r="C1248" s="100" t="s">
        <v>1685</v>
      </c>
      <c r="D1248" s="100" t="s">
        <v>1686</v>
      </c>
      <c r="E1248" s="198">
        <v>85.0</v>
      </c>
      <c r="F1248" s="199" t="s">
        <v>2134</v>
      </c>
    </row>
    <row r="1249" ht="22.5" customHeight="1">
      <c r="A1249" s="197">
        <v>46095.93635965278</v>
      </c>
      <c r="B1249" s="100" t="s">
        <v>2991</v>
      </c>
      <c r="C1249" s="100" t="s">
        <v>1688</v>
      </c>
      <c r="D1249" s="100" t="s">
        <v>1689</v>
      </c>
      <c r="E1249" s="198">
        <v>100.0</v>
      </c>
      <c r="F1249" s="199" t="s">
        <v>2135</v>
      </c>
    </row>
    <row r="1250" ht="22.5" customHeight="1">
      <c r="A1250" s="197">
        <v>46095.93635993055</v>
      </c>
      <c r="B1250" s="100" t="s">
        <v>2993</v>
      </c>
      <c r="C1250" s="100" t="s">
        <v>1685</v>
      </c>
      <c r="D1250" s="100" t="s">
        <v>1686</v>
      </c>
      <c r="E1250" s="198">
        <v>50.0</v>
      </c>
      <c r="F1250" s="199" t="s">
        <v>2797</v>
      </c>
    </row>
    <row r="1251" ht="22.5" customHeight="1">
      <c r="A1251" s="197">
        <v>46095.93635993055</v>
      </c>
      <c r="B1251" s="100" t="s">
        <v>2993</v>
      </c>
      <c r="C1251" s="100" t="s">
        <v>1688</v>
      </c>
      <c r="D1251" s="100" t="s">
        <v>1689</v>
      </c>
      <c r="E1251" s="198">
        <v>75.0</v>
      </c>
      <c r="F1251" s="199" t="s">
        <v>2798</v>
      </c>
    </row>
    <row r="1252" ht="22.5" customHeight="1">
      <c r="A1252" s="197">
        <v>46095.93636018518</v>
      </c>
      <c r="B1252" s="100" t="s">
        <v>2995</v>
      </c>
      <c r="C1252" s="100" t="s">
        <v>1685</v>
      </c>
      <c r="D1252" s="100" t="s">
        <v>1686</v>
      </c>
      <c r="E1252" s="198">
        <v>50.0</v>
      </c>
      <c r="F1252" s="199" t="s">
        <v>2886</v>
      </c>
    </row>
    <row r="1253" ht="22.5" customHeight="1">
      <c r="A1253" s="197">
        <v>46095.93636018518</v>
      </c>
      <c r="B1253" s="100" t="s">
        <v>2995</v>
      </c>
      <c r="C1253" s="100" t="s">
        <v>1688</v>
      </c>
      <c r="D1253" s="100" t="s">
        <v>1689</v>
      </c>
      <c r="E1253" s="198">
        <v>75.0</v>
      </c>
      <c r="F1253" s="199" t="s">
        <v>2887</v>
      </c>
    </row>
    <row r="1254" ht="22.5" customHeight="1">
      <c r="A1254" s="197">
        <v>46095.93636043981</v>
      </c>
      <c r="B1254" s="100" t="s">
        <v>2996</v>
      </c>
      <c r="C1254" s="100" t="s">
        <v>1685</v>
      </c>
      <c r="D1254" s="100" t="s">
        <v>1686</v>
      </c>
      <c r="E1254" s="198">
        <v>130.0</v>
      </c>
      <c r="F1254" s="199" t="s">
        <v>2128</v>
      </c>
    </row>
    <row r="1255" ht="22.5" customHeight="1">
      <c r="A1255" s="197">
        <v>46095.93636043981</v>
      </c>
      <c r="B1255" s="100" t="s">
        <v>2996</v>
      </c>
      <c r="C1255" s="100" t="s">
        <v>1688</v>
      </c>
      <c r="D1255" s="100" t="s">
        <v>1689</v>
      </c>
      <c r="E1255" s="198">
        <v>150.0</v>
      </c>
      <c r="F1255" s="199" t="s">
        <v>2129</v>
      </c>
    </row>
    <row r="1256" ht="22.5" customHeight="1">
      <c r="A1256" s="197">
        <v>46095.93636074074</v>
      </c>
      <c r="B1256" s="100" t="s">
        <v>2997</v>
      </c>
      <c r="C1256" s="100" t="s">
        <v>1685</v>
      </c>
      <c r="D1256" s="100" t="s">
        <v>1686</v>
      </c>
      <c r="E1256" s="198">
        <v>166.0</v>
      </c>
      <c r="F1256" s="199" t="s">
        <v>2998</v>
      </c>
    </row>
    <row r="1257" ht="22.5" customHeight="1">
      <c r="A1257" s="197">
        <v>46095.93636074074</v>
      </c>
      <c r="B1257" s="100" t="s">
        <v>2997</v>
      </c>
      <c r="C1257" s="100" t="s">
        <v>1688</v>
      </c>
      <c r="D1257" s="100" t="s">
        <v>1689</v>
      </c>
      <c r="E1257" s="198">
        <v>200.0</v>
      </c>
      <c r="F1257" s="199" t="s">
        <v>2999</v>
      </c>
    </row>
    <row r="1258" ht="22.5" customHeight="1">
      <c r="A1258" s="197">
        <v>46095.93636103009</v>
      </c>
      <c r="B1258" s="100" t="s">
        <v>3000</v>
      </c>
      <c r="C1258" s="100" t="s">
        <v>1685</v>
      </c>
      <c r="D1258" s="100" t="s">
        <v>1686</v>
      </c>
      <c r="E1258" s="198">
        <v>145.0</v>
      </c>
      <c r="F1258" s="199" t="s">
        <v>2029</v>
      </c>
    </row>
    <row r="1259" ht="22.5" customHeight="1">
      <c r="A1259" s="197">
        <v>46095.93636103009</v>
      </c>
      <c r="B1259" s="100" t="s">
        <v>3000</v>
      </c>
      <c r="C1259" s="100" t="s">
        <v>1688</v>
      </c>
      <c r="D1259" s="100" t="s">
        <v>1689</v>
      </c>
      <c r="E1259" s="198">
        <v>170.0</v>
      </c>
      <c r="F1259" s="199" t="s">
        <v>2030</v>
      </c>
    </row>
    <row r="1260" ht="22.5" customHeight="1">
      <c r="A1260" s="197">
        <v>46095.93636136574</v>
      </c>
      <c r="B1260" s="100" t="s">
        <v>3001</v>
      </c>
      <c r="C1260" s="100" t="s">
        <v>1685</v>
      </c>
      <c r="D1260" s="100" t="s">
        <v>1686</v>
      </c>
      <c r="E1260" s="198">
        <v>105.0</v>
      </c>
      <c r="F1260" s="199" t="s">
        <v>1687</v>
      </c>
    </row>
    <row r="1261" ht="22.5" customHeight="1">
      <c r="A1261" s="197">
        <v>46095.93636136574</v>
      </c>
      <c r="B1261" s="100" t="s">
        <v>3001</v>
      </c>
      <c r="C1261" s="100" t="s">
        <v>1688</v>
      </c>
      <c r="D1261" s="100" t="s">
        <v>1689</v>
      </c>
      <c r="E1261" s="198">
        <v>130.0</v>
      </c>
      <c r="F1261" s="199" t="s">
        <v>1690</v>
      </c>
    </row>
    <row r="1262" ht="22.5" customHeight="1">
      <c r="A1262" s="197">
        <v>46095.936361631946</v>
      </c>
      <c r="B1262" s="100" t="s">
        <v>3002</v>
      </c>
      <c r="C1262" s="100" t="s">
        <v>1685</v>
      </c>
      <c r="D1262" s="100" t="s">
        <v>1686</v>
      </c>
      <c r="E1262" s="198">
        <v>45.0</v>
      </c>
      <c r="F1262" s="199" t="s">
        <v>2609</v>
      </c>
    </row>
    <row r="1263" ht="22.5" customHeight="1">
      <c r="A1263" s="197">
        <v>46095.936361631946</v>
      </c>
      <c r="B1263" s="100" t="s">
        <v>3002</v>
      </c>
      <c r="C1263" s="100" t="s">
        <v>1688</v>
      </c>
      <c r="D1263" s="100" t="s">
        <v>1689</v>
      </c>
      <c r="E1263" s="198">
        <v>75.0</v>
      </c>
      <c r="F1263" s="199" t="s">
        <v>2610</v>
      </c>
    </row>
    <row r="1264" ht="22.5" customHeight="1">
      <c r="A1264" s="197">
        <v>46095.93636190973</v>
      </c>
      <c r="B1264" s="100" t="s">
        <v>3003</v>
      </c>
      <c r="C1264" s="100" t="s">
        <v>1685</v>
      </c>
      <c r="D1264" s="100" t="s">
        <v>1686</v>
      </c>
      <c r="E1264" s="198">
        <v>135.0</v>
      </c>
      <c r="F1264" s="100" t="s">
        <v>2840</v>
      </c>
    </row>
    <row r="1265" ht="22.5" customHeight="1">
      <c r="A1265" s="197">
        <v>46095.93636190973</v>
      </c>
      <c r="B1265" s="100" t="s">
        <v>3003</v>
      </c>
      <c r="C1265" s="100" t="s">
        <v>1688</v>
      </c>
      <c r="D1265" s="100" t="s">
        <v>1689</v>
      </c>
      <c r="E1265" s="198">
        <v>205.0</v>
      </c>
      <c r="F1265" s="100" t="s">
        <v>2842</v>
      </c>
    </row>
    <row r="1266" ht="22.5" customHeight="1">
      <c r="A1266" s="197">
        <v>46095.93636219908</v>
      </c>
      <c r="B1266" s="100" t="s">
        <v>3004</v>
      </c>
      <c r="C1266" s="100" t="s">
        <v>1685</v>
      </c>
      <c r="D1266" s="100" t="s">
        <v>1686</v>
      </c>
      <c r="E1266" s="198">
        <v>20.0</v>
      </c>
      <c r="F1266" s="199" t="s">
        <v>3005</v>
      </c>
    </row>
    <row r="1267" ht="22.5" customHeight="1">
      <c r="A1267" s="197">
        <v>46095.93636219908</v>
      </c>
      <c r="B1267" s="100" t="s">
        <v>3004</v>
      </c>
      <c r="C1267" s="100" t="s">
        <v>1688</v>
      </c>
      <c r="D1267" s="100" t="s">
        <v>1689</v>
      </c>
      <c r="E1267" s="198">
        <v>50.0</v>
      </c>
      <c r="F1267" s="199" t="s">
        <v>3006</v>
      </c>
    </row>
    <row r="1268" ht="22.5" customHeight="1">
      <c r="A1268" s="197">
        <v>46095.93636253472</v>
      </c>
      <c r="B1268" s="100" t="s">
        <v>3007</v>
      </c>
      <c r="C1268" s="100" t="s">
        <v>1685</v>
      </c>
      <c r="D1268" s="100" t="s">
        <v>1686</v>
      </c>
      <c r="E1268" s="198">
        <v>120.0</v>
      </c>
      <c r="F1268" s="199" t="s">
        <v>2667</v>
      </c>
    </row>
    <row r="1269" ht="22.5" customHeight="1">
      <c r="A1269" s="197">
        <v>46095.93636253472</v>
      </c>
      <c r="B1269" s="100" t="s">
        <v>3007</v>
      </c>
      <c r="C1269" s="100" t="s">
        <v>1688</v>
      </c>
      <c r="D1269" s="100" t="s">
        <v>1689</v>
      </c>
      <c r="E1269" s="198">
        <v>170.0</v>
      </c>
      <c r="F1269" s="199" t="s">
        <v>2669</v>
      </c>
    </row>
    <row r="1270" ht="22.5" customHeight="1">
      <c r="A1270" s="197">
        <v>46095.936362928245</v>
      </c>
      <c r="B1270" s="100" t="s">
        <v>3008</v>
      </c>
      <c r="C1270" s="100" t="s">
        <v>1685</v>
      </c>
      <c r="D1270" s="100" t="s">
        <v>1686</v>
      </c>
      <c r="E1270" s="198">
        <v>49.0</v>
      </c>
      <c r="F1270" s="199" t="s">
        <v>3009</v>
      </c>
    </row>
    <row r="1271" ht="22.5" customHeight="1">
      <c r="A1271" s="197">
        <v>46095.936362928245</v>
      </c>
      <c r="B1271" s="100" t="s">
        <v>3008</v>
      </c>
      <c r="C1271" s="100" t="s">
        <v>1688</v>
      </c>
      <c r="D1271" s="100" t="s">
        <v>1689</v>
      </c>
      <c r="E1271" s="198">
        <v>70.0</v>
      </c>
      <c r="F1271" s="199" t="s">
        <v>3010</v>
      </c>
    </row>
    <row r="1272" ht="22.5" customHeight="1">
      <c r="A1272" s="197">
        <v>46095.936363263885</v>
      </c>
      <c r="B1272" s="100" t="s">
        <v>3011</v>
      </c>
      <c r="C1272" s="100" t="s">
        <v>1685</v>
      </c>
      <c r="D1272" s="100" t="s">
        <v>1686</v>
      </c>
      <c r="E1272" s="198">
        <v>45.0</v>
      </c>
      <c r="F1272" s="199" t="s">
        <v>2609</v>
      </c>
    </row>
    <row r="1273" ht="22.5" customHeight="1">
      <c r="A1273" s="197">
        <v>46095.936363263885</v>
      </c>
      <c r="B1273" s="100" t="s">
        <v>3011</v>
      </c>
      <c r="C1273" s="100" t="s">
        <v>1688</v>
      </c>
      <c r="D1273" s="100" t="s">
        <v>1689</v>
      </c>
      <c r="E1273" s="198">
        <v>75.0</v>
      </c>
      <c r="F1273" s="199" t="s">
        <v>2610</v>
      </c>
    </row>
    <row r="1274" ht="22.5" customHeight="1">
      <c r="A1274" s="197">
        <v>46095.936363553235</v>
      </c>
      <c r="B1274" s="100" t="s">
        <v>3012</v>
      </c>
      <c r="C1274" s="100" t="s">
        <v>1685</v>
      </c>
      <c r="D1274" s="100" t="s">
        <v>1686</v>
      </c>
      <c r="E1274" s="198">
        <v>120.0</v>
      </c>
      <c r="F1274" s="199" t="s">
        <v>1710</v>
      </c>
    </row>
    <row r="1275" ht="22.5" customHeight="1">
      <c r="A1275" s="197">
        <v>46095.936363553235</v>
      </c>
      <c r="B1275" s="100" t="s">
        <v>3012</v>
      </c>
      <c r="C1275" s="100" t="s">
        <v>1688</v>
      </c>
      <c r="D1275" s="100" t="s">
        <v>1689</v>
      </c>
      <c r="E1275" s="198">
        <v>150.0</v>
      </c>
      <c r="F1275" s="199" t="s">
        <v>1711</v>
      </c>
    </row>
    <row r="1276" ht="22.5" customHeight="1">
      <c r="A1276" s="197">
        <v>46095.93636384259</v>
      </c>
      <c r="B1276" s="100" t="s">
        <v>3013</v>
      </c>
      <c r="C1276" s="100" t="s">
        <v>1685</v>
      </c>
      <c r="D1276" s="100" t="s">
        <v>1686</v>
      </c>
      <c r="E1276" s="198">
        <v>55.0</v>
      </c>
      <c r="F1276" s="199" t="s">
        <v>2402</v>
      </c>
    </row>
    <row r="1277" ht="22.5" customHeight="1">
      <c r="A1277" s="197">
        <v>46095.93636384259</v>
      </c>
      <c r="B1277" s="100" t="s">
        <v>3013</v>
      </c>
      <c r="C1277" s="100" t="s">
        <v>1688</v>
      </c>
      <c r="D1277" s="100" t="s">
        <v>1689</v>
      </c>
      <c r="E1277" s="198">
        <v>75.0</v>
      </c>
      <c r="F1277" s="199" t="s">
        <v>2403</v>
      </c>
    </row>
    <row r="1278" ht="22.5" customHeight="1">
      <c r="A1278" s="197">
        <v>46095.93636412037</v>
      </c>
      <c r="B1278" s="100" t="s">
        <v>3014</v>
      </c>
      <c r="C1278" s="100" t="s">
        <v>1685</v>
      </c>
      <c r="D1278" s="100" t="s">
        <v>1686</v>
      </c>
      <c r="E1278" s="198">
        <v>75.0</v>
      </c>
      <c r="F1278" s="199" t="s">
        <v>2432</v>
      </c>
    </row>
    <row r="1279" ht="22.5" customHeight="1">
      <c r="A1279" s="197">
        <v>46095.93636412037</v>
      </c>
      <c r="B1279" s="100" t="s">
        <v>3014</v>
      </c>
      <c r="C1279" s="100" t="s">
        <v>1688</v>
      </c>
      <c r="D1279" s="100" t="s">
        <v>1689</v>
      </c>
      <c r="E1279" s="198">
        <v>100.0</v>
      </c>
      <c r="F1279" s="199" t="s">
        <v>2433</v>
      </c>
    </row>
    <row r="1280" ht="22.5" customHeight="1">
      <c r="A1280" s="197">
        <v>46095.93636446759</v>
      </c>
      <c r="B1280" s="100" t="s">
        <v>3015</v>
      </c>
      <c r="C1280" s="100" t="s">
        <v>1685</v>
      </c>
      <c r="D1280" s="100" t="s">
        <v>1686</v>
      </c>
      <c r="E1280" s="198">
        <v>150.0</v>
      </c>
      <c r="F1280" s="100" t="s">
        <v>3016</v>
      </c>
    </row>
    <row r="1281" ht="22.5" customHeight="1">
      <c r="A1281" s="197">
        <v>46095.93636446759</v>
      </c>
      <c r="B1281" s="100" t="s">
        <v>3015</v>
      </c>
      <c r="C1281" s="100" t="s">
        <v>1688</v>
      </c>
      <c r="D1281" s="100" t="s">
        <v>1689</v>
      </c>
      <c r="E1281" s="198">
        <v>180.0</v>
      </c>
      <c r="F1281" s="100" t="s">
        <v>3017</v>
      </c>
    </row>
    <row r="1282" ht="22.5" customHeight="1">
      <c r="A1282" s="197">
        <v>46095.93636476852</v>
      </c>
      <c r="B1282" s="100" t="s">
        <v>3018</v>
      </c>
      <c r="C1282" s="100" t="s">
        <v>1685</v>
      </c>
      <c r="D1282" s="100" t="s">
        <v>1686</v>
      </c>
      <c r="E1282" s="198">
        <v>141.0</v>
      </c>
      <c r="F1282" s="199" t="s">
        <v>2621</v>
      </c>
    </row>
    <row r="1283" ht="22.5" customHeight="1">
      <c r="A1283" s="197">
        <v>46095.93636476852</v>
      </c>
      <c r="B1283" s="100" t="s">
        <v>3018</v>
      </c>
      <c r="C1283" s="100" t="s">
        <v>1688</v>
      </c>
      <c r="D1283" s="100" t="s">
        <v>1689</v>
      </c>
      <c r="E1283" s="198">
        <v>190.0</v>
      </c>
      <c r="F1283" s="199" t="s">
        <v>2622</v>
      </c>
    </row>
    <row r="1284" ht="22.5" customHeight="1">
      <c r="A1284" s="197">
        <v>46095.936365138885</v>
      </c>
      <c r="B1284" s="100" t="s">
        <v>3019</v>
      </c>
      <c r="C1284" s="100" t="s">
        <v>1685</v>
      </c>
      <c r="D1284" s="100" t="s">
        <v>1686</v>
      </c>
      <c r="E1284" s="198">
        <v>75.0</v>
      </c>
      <c r="F1284" s="199" t="s">
        <v>3020</v>
      </c>
    </row>
    <row r="1285" ht="22.5" customHeight="1">
      <c r="A1285" s="197">
        <v>46095.936365138885</v>
      </c>
      <c r="B1285" s="100" t="s">
        <v>3019</v>
      </c>
      <c r="C1285" s="100" t="s">
        <v>1688</v>
      </c>
      <c r="D1285" s="100" t="s">
        <v>1689</v>
      </c>
      <c r="E1285" s="198">
        <v>130.0</v>
      </c>
      <c r="F1285" s="199" t="s">
        <v>3021</v>
      </c>
    </row>
    <row r="1286" ht="22.5" customHeight="1">
      <c r="A1286" s="197">
        <v>46095.936365497684</v>
      </c>
      <c r="B1286" s="100" t="s">
        <v>3022</v>
      </c>
      <c r="C1286" s="100" t="s">
        <v>1685</v>
      </c>
      <c r="D1286" s="100" t="s">
        <v>1686</v>
      </c>
      <c r="E1286" s="198">
        <v>150.0</v>
      </c>
      <c r="F1286" s="100" t="s">
        <v>2944</v>
      </c>
    </row>
    <row r="1287" ht="22.5" customHeight="1">
      <c r="A1287" s="197">
        <v>46095.936365497684</v>
      </c>
      <c r="B1287" s="100" t="s">
        <v>3022</v>
      </c>
      <c r="C1287" s="100" t="s">
        <v>1688</v>
      </c>
      <c r="D1287" s="100" t="s">
        <v>1689</v>
      </c>
      <c r="E1287" s="198">
        <v>250.0</v>
      </c>
      <c r="F1287" s="100" t="s">
        <v>2946</v>
      </c>
    </row>
    <row r="1288" ht="22.5" customHeight="1">
      <c r="A1288" s="197">
        <v>46095.93636583333</v>
      </c>
      <c r="B1288" s="100" t="s">
        <v>3023</v>
      </c>
      <c r="C1288" s="100" t="s">
        <v>1685</v>
      </c>
      <c r="D1288" s="100" t="s">
        <v>1686</v>
      </c>
      <c r="E1288" s="198">
        <v>90.0</v>
      </c>
      <c r="F1288" s="199" t="s">
        <v>2609</v>
      </c>
    </row>
    <row r="1289" ht="22.5" customHeight="1">
      <c r="A1289" s="197">
        <v>46095.93636583333</v>
      </c>
      <c r="B1289" s="100" t="s">
        <v>3023</v>
      </c>
      <c r="C1289" s="100" t="s">
        <v>1688</v>
      </c>
      <c r="D1289" s="100" t="s">
        <v>1689</v>
      </c>
      <c r="E1289" s="198">
        <v>120.0</v>
      </c>
      <c r="F1289" s="199" t="s">
        <v>2610</v>
      </c>
    </row>
    <row r="1290" ht="22.5" customHeight="1">
      <c r="A1290" s="197">
        <v>46095.93636620371</v>
      </c>
      <c r="B1290" s="100" t="s">
        <v>3024</v>
      </c>
      <c r="C1290" s="100" t="s">
        <v>1685</v>
      </c>
      <c r="D1290" s="100" t="s">
        <v>1686</v>
      </c>
      <c r="E1290" s="198">
        <v>19.0</v>
      </c>
      <c r="F1290" s="100" t="s">
        <v>3025</v>
      </c>
    </row>
    <row r="1291" ht="22.5" customHeight="1">
      <c r="A1291" s="197">
        <v>46095.93636620371</v>
      </c>
      <c r="B1291" s="100" t="s">
        <v>3024</v>
      </c>
      <c r="C1291" s="100" t="s">
        <v>1688</v>
      </c>
      <c r="D1291" s="100" t="s">
        <v>1689</v>
      </c>
      <c r="E1291" s="198">
        <v>30.0</v>
      </c>
      <c r="F1291" s="100" t="s">
        <v>3026</v>
      </c>
    </row>
    <row r="1292" ht="22.5" customHeight="1">
      <c r="A1292" s="197">
        <v>46095.93636662037</v>
      </c>
      <c r="B1292" s="100" t="s">
        <v>3027</v>
      </c>
      <c r="C1292" s="100" t="s">
        <v>1685</v>
      </c>
      <c r="D1292" s="100" t="s">
        <v>1686</v>
      </c>
      <c r="E1292" s="198">
        <v>137.5</v>
      </c>
      <c r="F1292" s="100" t="s">
        <v>3028</v>
      </c>
    </row>
    <row r="1293" ht="22.5" customHeight="1">
      <c r="A1293" s="197">
        <v>46095.93636662037</v>
      </c>
      <c r="B1293" s="100" t="s">
        <v>3027</v>
      </c>
      <c r="C1293" s="100" t="s">
        <v>1688</v>
      </c>
      <c r="D1293" s="100" t="s">
        <v>1689</v>
      </c>
      <c r="E1293" s="198">
        <v>175.0</v>
      </c>
      <c r="F1293" s="100" t="s">
        <v>3029</v>
      </c>
    </row>
    <row r="1294" ht="22.5" customHeight="1">
      <c r="A1294" s="197">
        <v>46095.93636694444</v>
      </c>
      <c r="B1294" s="100" t="s">
        <v>3030</v>
      </c>
      <c r="C1294" s="100" t="s">
        <v>1685</v>
      </c>
      <c r="D1294" s="100" t="s">
        <v>1686</v>
      </c>
      <c r="E1294" s="198">
        <v>130.0</v>
      </c>
      <c r="F1294" s="199" t="s">
        <v>3031</v>
      </c>
    </row>
    <row r="1295" ht="22.5" customHeight="1">
      <c r="A1295" s="197">
        <v>46095.93636694444</v>
      </c>
      <c r="B1295" s="100" t="s">
        <v>3030</v>
      </c>
      <c r="C1295" s="100" t="s">
        <v>1688</v>
      </c>
      <c r="D1295" s="100" t="s">
        <v>1689</v>
      </c>
      <c r="E1295" s="198">
        <v>160.0</v>
      </c>
      <c r="F1295" s="199" t="s">
        <v>3032</v>
      </c>
    </row>
    <row r="1296" ht="22.5" customHeight="1">
      <c r="A1296" s="197">
        <v>46095.93636732639</v>
      </c>
      <c r="B1296" s="100" t="s">
        <v>3033</v>
      </c>
      <c r="C1296" s="100" t="s">
        <v>1685</v>
      </c>
      <c r="D1296" s="100" t="s">
        <v>1686</v>
      </c>
      <c r="E1296" s="198">
        <v>450.0</v>
      </c>
      <c r="F1296" s="199" t="s">
        <v>3034</v>
      </c>
    </row>
    <row r="1297" ht="22.5" customHeight="1">
      <c r="A1297" s="197">
        <v>46095.93636732639</v>
      </c>
      <c r="B1297" s="100" t="s">
        <v>3033</v>
      </c>
      <c r="C1297" s="100" t="s">
        <v>1688</v>
      </c>
      <c r="D1297" s="100" t="s">
        <v>1689</v>
      </c>
      <c r="E1297" s="198">
        <v>540.0</v>
      </c>
      <c r="F1297" s="199" t="s">
        <v>3035</v>
      </c>
    </row>
    <row r="1298" ht="22.5" customHeight="1">
      <c r="A1298" s="197">
        <v>46095.93636775463</v>
      </c>
      <c r="B1298" s="100" t="s">
        <v>3036</v>
      </c>
      <c r="C1298" s="100" t="s">
        <v>1685</v>
      </c>
      <c r="D1298" s="100" t="s">
        <v>1686</v>
      </c>
      <c r="E1298" s="198">
        <v>52.0</v>
      </c>
      <c r="F1298" s="199" t="s">
        <v>2424</v>
      </c>
    </row>
    <row r="1299" ht="22.5" customHeight="1">
      <c r="A1299" s="197">
        <v>46095.936367766204</v>
      </c>
      <c r="B1299" s="100" t="s">
        <v>3036</v>
      </c>
      <c r="C1299" s="100" t="s">
        <v>1688</v>
      </c>
      <c r="D1299" s="100" t="s">
        <v>1689</v>
      </c>
      <c r="E1299" s="198">
        <v>80.0</v>
      </c>
      <c r="F1299" s="199" t="s">
        <v>2425</v>
      </c>
    </row>
    <row r="1300" ht="22.5" customHeight="1">
      <c r="A1300" s="197">
        <v>46095.93636802083</v>
      </c>
      <c r="B1300" s="100" t="s">
        <v>3037</v>
      </c>
      <c r="C1300" s="100" t="s">
        <v>1685</v>
      </c>
      <c r="D1300" s="100" t="s">
        <v>1686</v>
      </c>
      <c r="E1300" s="198">
        <v>10.85</v>
      </c>
      <c r="F1300" s="199" t="s">
        <v>2685</v>
      </c>
    </row>
    <row r="1301" ht="22.5" customHeight="1">
      <c r="A1301" s="197">
        <v>46095.93636802083</v>
      </c>
      <c r="B1301" s="100" t="s">
        <v>3037</v>
      </c>
      <c r="C1301" s="100" t="s">
        <v>1688</v>
      </c>
      <c r="D1301" s="100" t="s">
        <v>1689</v>
      </c>
      <c r="E1301" s="198">
        <v>25.0</v>
      </c>
      <c r="F1301" s="199" t="s">
        <v>2687</v>
      </c>
    </row>
    <row r="1302" ht="22.5" customHeight="1">
      <c r="A1302" s="197">
        <v>46095.93636828703</v>
      </c>
      <c r="B1302" s="100" t="s">
        <v>3038</v>
      </c>
      <c r="C1302" s="100" t="s">
        <v>1685</v>
      </c>
      <c r="D1302" s="100" t="s">
        <v>1686</v>
      </c>
      <c r="E1302" s="198">
        <v>15.0</v>
      </c>
      <c r="F1302" s="199" t="s">
        <v>2800</v>
      </c>
    </row>
    <row r="1303" ht="22.5" customHeight="1">
      <c r="A1303" s="197">
        <v>46095.93636828703</v>
      </c>
      <c r="B1303" s="100" t="s">
        <v>3038</v>
      </c>
      <c r="C1303" s="100" t="s">
        <v>1688</v>
      </c>
      <c r="D1303" s="100" t="s">
        <v>1689</v>
      </c>
      <c r="E1303" s="198">
        <v>25.0</v>
      </c>
      <c r="F1303" s="199" t="s">
        <v>2801</v>
      </c>
    </row>
    <row r="1304" ht="22.5" customHeight="1">
      <c r="A1304" s="197">
        <v>46095.93636854167</v>
      </c>
      <c r="B1304" s="100" t="s">
        <v>3039</v>
      </c>
      <c r="C1304" s="100" t="s">
        <v>1685</v>
      </c>
      <c r="D1304" s="100" t="s">
        <v>1686</v>
      </c>
      <c r="E1304" s="198">
        <v>20.0</v>
      </c>
      <c r="F1304" s="199" t="s">
        <v>2356</v>
      </c>
    </row>
    <row r="1305" ht="22.5" customHeight="1">
      <c r="A1305" s="197">
        <v>46095.93636854167</v>
      </c>
      <c r="B1305" s="100" t="s">
        <v>3039</v>
      </c>
      <c r="C1305" s="100" t="s">
        <v>1688</v>
      </c>
      <c r="D1305" s="100" t="s">
        <v>1689</v>
      </c>
      <c r="E1305" s="198">
        <v>50.0</v>
      </c>
      <c r="F1305" s="199" t="s">
        <v>2357</v>
      </c>
    </row>
    <row r="1306" ht="22.5" customHeight="1">
      <c r="A1306" s="197">
        <v>46095.93636883102</v>
      </c>
      <c r="B1306" s="100" t="s">
        <v>3040</v>
      </c>
      <c r="C1306" s="100" t="s">
        <v>1685</v>
      </c>
      <c r="D1306" s="100" t="s">
        <v>1686</v>
      </c>
      <c r="E1306" s="198">
        <v>75.0</v>
      </c>
      <c r="F1306" s="199" t="s">
        <v>2432</v>
      </c>
    </row>
    <row r="1307" ht="22.5" customHeight="1">
      <c r="A1307" s="197">
        <v>46095.93636883102</v>
      </c>
      <c r="B1307" s="100" t="s">
        <v>3040</v>
      </c>
      <c r="C1307" s="100" t="s">
        <v>1688</v>
      </c>
      <c r="D1307" s="100" t="s">
        <v>1689</v>
      </c>
      <c r="E1307" s="198">
        <v>100.0</v>
      </c>
      <c r="F1307" s="199" t="s">
        <v>2433</v>
      </c>
    </row>
    <row r="1308" ht="22.5" customHeight="1">
      <c r="A1308" s="197">
        <v>46095.93636908565</v>
      </c>
      <c r="B1308" s="100" t="s">
        <v>3041</v>
      </c>
      <c r="C1308" s="100" t="s">
        <v>1685</v>
      </c>
      <c r="D1308" s="100" t="s">
        <v>1686</v>
      </c>
      <c r="E1308" s="198">
        <v>31.5</v>
      </c>
      <c r="F1308" s="100" t="s">
        <v>1701</v>
      </c>
    </row>
    <row r="1309" ht="22.5" customHeight="1">
      <c r="A1309" s="197">
        <v>46095.93636908565</v>
      </c>
      <c r="B1309" s="100" t="s">
        <v>3041</v>
      </c>
      <c r="C1309" s="100" t="s">
        <v>1688</v>
      </c>
      <c r="D1309" s="100" t="s">
        <v>1689</v>
      </c>
      <c r="E1309" s="198">
        <v>75.0</v>
      </c>
      <c r="F1309" s="100" t="s">
        <v>1702</v>
      </c>
    </row>
    <row r="1310" ht="22.5" customHeight="1">
      <c r="A1310" s="197">
        <v>46095.93636934028</v>
      </c>
      <c r="B1310" s="100" t="s">
        <v>3042</v>
      </c>
      <c r="C1310" s="100" t="s">
        <v>1685</v>
      </c>
      <c r="D1310" s="100" t="s">
        <v>1686</v>
      </c>
      <c r="E1310" s="198">
        <v>562.5</v>
      </c>
      <c r="F1310" s="199" t="s">
        <v>1782</v>
      </c>
    </row>
    <row r="1311" ht="22.5" customHeight="1">
      <c r="A1311" s="197">
        <v>46095.93636934028</v>
      </c>
      <c r="B1311" s="100" t="s">
        <v>3042</v>
      </c>
      <c r="C1311" s="100" t="s">
        <v>1688</v>
      </c>
      <c r="D1311" s="100" t="s">
        <v>1689</v>
      </c>
      <c r="E1311" s="198">
        <v>660.0</v>
      </c>
      <c r="F1311" s="199" t="s">
        <v>1783</v>
      </c>
    </row>
    <row r="1312" ht="22.5" customHeight="1">
      <c r="A1312" s="197">
        <v>46095.936369629635</v>
      </c>
      <c r="B1312" s="100" t="s">
        <v>3043</v>
      </c>
      <c r="C1312" s="100" t="s">
        <v>1685</v>
      </c>
      <c r="D1312" s="100" t="s">
        <v>1686</v>
      </c>
      <c r="E1312" s="198">
        <v>135.0</v>
      </c>
      <c r="F1312" s="199" t="s">
        <v>1759</v>
      </c>
    </row>
    <row r="1313" ht="22.5" customHeight="1">
      <c r="A1313" s="197">
        <v>46095.936369629635</v>
      </c>
      <c r="B1313" s="100" t="s">
        <v>3043</v>
      </c>
      <c r="C1313" s="100" t="s">
        <v>1688</v>
      </c>
      <c r="D1313" s="100" t="s">
        <v>1689</v>
      </c>
      <c r="E1313" s="198">
        <v>135.0</v>
      </c>
      <c r="F1313" s="199" t="s">
        <v>1760</v>
      </c>
    </row>
    <row r="1314" ht="22.5" customHeight="1">
      <c r="A1314" s="197">
        <v>46095.936369953706</v>
      </c>
      <c r="B1314" s="100" t="s">
        <v>3044</v>
      </c>
      <c r="C1314" s="100" t="s">
        <v>1685</v>
      </c>
      <c r="D1314" s="100" t="s">
        <v>1686</v>
      </c>
      <c r="E1314" s="198">
        <v>20.0</v>
      </c>
      <c r="F1314" s="199" t="s">
        <v>3045</v>
      </c>
    </row>
    <row r="1315" ht="22.5" customHeight="1">
      <c r="A1315" s="197">
        <v>46095.936369953706</v>
      </c>
      <c r="B1315" s="100" t="s">
        <v>3044</v>
      </c>
      <c r="C1315" s="100" t="s">
        <v>1688</v>
      </c>
      <c r="D1315" s="100" t="s">
        <v>1689</v>
      </c>
      <c r="E1315" s="198">
        <v>20.0</v>
      </c>
      <c r="F1315" s="199" t="s">
        <v>3046</v>
      </c>
    </row>
    <row r="1316" ht="22.5" customHeight="1">
      <c r="A1316" s="197">
        <v>46095.93637024306</v>
      </c>
      <c r="B1316" s="100" t="s">
        <v>3047</v>
      </c>
      <c r="C1316" s="100" t="s">
        <v>1685</v>
      </c>
      <c r="D1316" s="100" t="s">
        <v>1686</v>
      </c>
      <c r="E1316" s="198">
        <v>575.0</v>
      </c>
      <c r="F1316" s="199" t="s">
        <v>3048</v>
      </c>
    </row>
    <row r="1317" ht="22.5" customHeight="1">
      <c r="A1317" s="197">
        <v>46095.93637024306</v>
      </c>
      <c r="B1317" s="100" t="s">
        <v>3047</v>
      </c>
      <c r="C1317" s="100" t="s">
        <v>1688</v>
      </c>
      <c r="D1317" s="100" t="s">
        <v>1689</v>
      </c>
      <c r="E1317" s="198">
        <v>600.0</v>
      </c>
      <c r="F1317" s="199" t="s">
        <v>3049</v>
      </c>
    </row>
    <row r="1318" ht="22.5" customHeight="1">
      <c r="A1318" s="197">
        <v>46095.93637053241</v>
      </c>
      <c r="B1318" s="100" t="s">
        <v>3050</v>
      </c>
      <c r="C1318" s="100" t="s">
        <v>1685</v>
      </c>
      <c r="D1318" s="100" t="s">
        <v>1686</v>
      </c>
      <c r="E1318" s="198">
        <v>135.0</v>
      </c>
      <c r="F1318" s="199" t="s">
        <v>1759</v>
      </c>
    </row>
    <row r="1319" ht="22.5" customHeight="1">
      <c r="A1319" s="197">
        <v>46095.93637053241</v>
      </c>
      <c r="B1319" s="100" t="s">
        <v>3050</v>
      </c>
      <c r="C1319" s="100" t="s">
        <v>1688</v>
      </c>
      <c r="D1319" s="100" t="s">
        <v>1689</v>
      </c>
      <c r="E1319" s="198">
        <v>135.0</v>
      </c>
      <c r="F1319" s="199" t="s">
        <v>1760</v>
      </c>
    </row>
    <row r="1320" ht="22.5" customHeight="1">
      <c r="A1320" s="197">
        <v>46095.93637081019</v>
      </c>
      <c r="B1320" s="100" t="s">
        <v>3051</v>
      </c>
      <c r="C1320" s="100" t="s">
        <v>1685</v>
      </c>
      <c r="D1320" s="100" t="s">
        <v>1686</v>
      </c>
      <c r="E1320" s="198">
        <v>170.0</v>
      </c>
      <c r="F1320" s="199" t="s">
        <v>2134</v>
      </c>
    </row>
    <row r="1321" ht="22.5" customHeight="1">
      <c r="A1321" s="197">
        <v>46095.93637081019</v>
      </c>
      <c r="B1321" s="100" t="s">
        <v>3051</v>
      </c>
      <c r="C1321" s="100" t="s">
        <v>1688</v>
      </c>
      <c r="D1321" s="100" t="s">
        <v>1689</v>
      </c>
      <c r="E1321" s="198">
        <v>200.0</v>
      </c>
      <c r="F1321" s="199" t="s">
        <v>2135</v>
      </c>
    </row>
    <row r="1322" ht="22.5" customHeight="1">
      <c r="A1322" s="197">
        <v>46095.93637113426</v>
      </c>
      <c r="B1322" s="100" t="s">
        <v>3052</v>
      </c>
      <c r="C1322" s="100" t="s">
        <v>1685</v>
      </c>
      <c r="D1322" s="100" t="s">
        <v>1686</v>
      </c>
      <c r="E1322" s="198">
        <v>21.69</v>
      </c>
      <c r="F1322" s="199" t="s">
        <v>2685</v>
      </c>
    </row>
    <row r="1323" ht="22.5" customHeight="1">
      <c r="A1323" s="197">
        <v>46095.93637113426</v>
      </c>
      <c r="B1323" s="100" t="s">
        <v>3052</v>
      </c>
      <c r="C1323" s="100" t="s">
        <v>1688</v>
      </c>
      <c r="D1323" s="100" t="s">
        <v>1689</v>
      </c>
      <c r="E1323" s="198">
        <v>50.0</v>
      </c>
      <c r="F1323" s="199" t="s">
        <v>2687</v>
      </c>
    </row>
    <row r="1324" ht="22.5" customHeight="1">
      <c r="A1324" s="197">
        <v>46095.936371435186</v>
      </c>
      <c r="B1324" s="100" t="s">
        <v>3053</v>
      </c>
      <c r="C1324" s="100" t="s">
        <v>1685</v>
      </c>
      <c r="D1324" s="100" t="s">
        <v>1686</v>
      </c>
      <c r="E1324" s="198">
        <v>85.0</v>
      </c>
      <c r="F1324" s="199" t="s">
        <v>2540</v>
      </c>
    </row>
    <row r="1325" ht="22.5" customHeight="1">
      <c r="A1325" s="197">
        <v>46095.936371435186</v>
      </c>
      <c r="B1325" s="100" t="s">
        <v>3053</v>
      </c>
      <c r="C1325" s="100" t="s">
        <v>1688</v>
      </c>
      <c r="D1325" s="100" t="s">
        <v>1689</v>
      </c>
      <c r="E1325" s="198">
        <v>110.0</v>
      </c>
      <c r="F1325" s="199" t="s">
        <v>2541</v>
      </c>
    </row>
    <row r="1326" ht="22.5" customHeight="1">
      <c r="A1326" s="197">
        <v>46095.936371689815</v>
      </c>
      <c r="B1326" s="100" t="s">
        <v>3054</v>
      </c>
      <c r="C1326" s="100" t="s">
        <v>1685</v>
      </c>
      <c r="D1326" s="100" t="s">
        <v>1686</v>
      </c>
      <c r="E1326" s="198">
        <v>35.0</v>
      </c>
      <c r="F1326" s="199" t="s">
        <v>1805</v>
      </c>
    </row>
    <row r="1327" ht="22.5" customHeight="1">
      <c r="A1327" s="197">
        <v>46095.936371689815</v>
      </c>
      <c r="B1327" s="100" t="s">
        <v>3054</v>
      </c>
      <c r="C1327" s="100" t="s">
        <v>1688</v>
      </c>
      <c r="D1327" s="100" t="s">
        <v>1689</v>
      </c>
      <c r="E1327" s="198">
        <v>50.0</v>
      </c>
      <c r="F1327" s="199" t="s">
        <v>1806</v>
      </c>
    </row>
    <row r="1328" ht="22.5" customHeight="1">
      <c r="A1328" s="197">
        <v>46095.93637199074</v>
      </c>
      <c r="B1328" s="100" t="s">
        <v>3055</v>
      </c>
      <c r="C1328" s="100" t="s">
        <v>1685</v>
      </c>
      <c r="D1328" s="100" t="s">
        <v>1686</v>
      </c>
      <c r="E1328" s="198">
        <v>65.0</v>
      </c>
      <c r="F1328" s="199" t="s">
        <v>3056</v>
      </c>
    </row>
    <row r="1329" ht="22.5" customHeight="1">
      <c r="A1329" s="197">
        <v>46095.93637199074</v>
      </c>
      <c r="B1329" s="100" t="s">
        <v>3055</v>
      </c>
      <c r="C1329" s="100" t="s">
        <v>1688</v>
      </c>
      <c r="D1329" s="100" t="s">
        <v>1689</v>
      </c>
      <c r="E1329" s="198">
        <v>80.0</v>
      </c>
      <c r="F1329" s="199" t="s">
        <v>3057</v>
      </c>
    </row>
    <row r="1330" ht="22.5" customHeight="1">
      <c r="A1330" s="197">
        <v>46096.00172130787</v>
      </c>
      <c r="B1330" s="100" t="s">
        <v>3058</v>
      </c>
      <c r="C1330" s="100" t="s">
        <v>1685</v>
      </c>
      <c r="D1330" s="100" t="s">
        <v>1686</v>
      </c>
      <c r="E1330" s="198">
        <v>35.0</v>
      </c>
      <c r="F1330" s="199" t="s">
        <v>2409</v>
      </c>
    </row>
    <row r="1331" ht="22.5" customHeight="1">
      <c r="A1331" s="197">
        <v>46096.00172130787</v>
      </c>
      <c r="B1331" s="100" t="s">
        <v>3058</v>
      </c>
      <c r="C1331" s="100" t="s">
        <v>1688</v>
      </c>
      <c r="D1331" s="100" t="s">
        <v>1689</v>
      </c>
      <c r="E1331" s="198">
        <v>50.0</v>
      </c>
      <c r="F1331" s="199" t="s">
        <v>2411</v>
      </c>
    </row>
    <row r="1332" ht="22.5" customHeight="1">
      <c r="A1332" s="197">
        <v>46096.00172166667</v>
      </c>
      <c r="B1332" s="100" t="s">
        <v>3059</v>
      </c>
      <c r="C1332" s="100" t="s">
        <v>1685</v>
      </c>
      <c r="D1332" s="100" t="s">
        <v>1686</v>
      </c>
      <c r="E1332" s="198">
        <v>78.0</v>
      </c>
      <c r="F1332" s="199" t="s">
        <v>2424</v>
      </c>
    </row>
    <row r="1333" ht="22.5" customHeight="1">
      <c r="A1333" s="197">
        <v>46096.00172166667</v>
      </c>
      <c r="B1333" s="100" t="s">
        <v>3059</v>
      </c>
      <c r="C1333" s="100" t="s">
        <v>1688</v>
      </c>
      <c r="D1333" s="100" t="s">
        <v>1689</v>
      </c>
      <c r="E1333" s="198">
        <v>120.0</v>
      </c>
      <c r="F1333" s="199" t="s">
        <v>2425</v>
      </c>
    </row>
    <row r="1334" ht="22.5" customHeight="1">
      <c r="A1334" s="197">
        <v>46096.00172206019</v>
      </c>
      <c r="B1334" s="100" t="s">
        <v>3060</v>
      </c>
      <c r="C1334" s="100" t="s">
        <v>1685</v>
      </c>
      <c r="D1334" s="100" t="s">
        <v>1686</v>
      </c>
      <c r="E1334" s="198">
        <v>207.5</v>
      </c>
      <c r="F1334" s="199" t="s">
        <v>2303</v>
      </c>
    </row>
    <row r="1335" ht="22.5" customHeight="1">
      <c r="A1335" s="197">
        <v>46096.00172206019</v>
      </c>
      <c r="B1335" s="100" t="s">
        <v>3060</v>
      </c>
      <c r="C1335" s="100" t="s">
        <v>1688</v>
      </c>
      <c r="D1335" s="100" t="s">
        <v>1689</v>
      </c>
      <c r="E1335" s="198">
        <v>470.0</v>
      </c>
      <c r="F1335" s="199" t="s">
        <v>2304</v>
      </c>
    </row>
    <row r="1336" ht="22.5" customHeight="1">
      <c r="A1336" s="197">
        <v>46096.001722395835</v>
      </c>
      <c r="B1336" s="100" t="s">
        <v>3061</v>
      </c>
      <c r="C1336" s="100" t="s">
        <v>1685</v>
      </c>
      <c r="D1336" s="100" t="s">
        <v>1686</v>
      </c>
      <c r="E1336" s="198">
        <v>17.0</v>
      </c>
      <c r="F1336" s="199" t="s">
        <v>2286</v>
      </c>
    </row>
    <row r="1337" ht="22.5" customHeight="1">
      <c r="A1337" s="197">
        <v>46096.001722395835</v>
      </c>
      <c r="B1337" s="100" t="s">
        <v>3061</v>
      </c>
      <c r="C1337" s="100" t="s">
        <v>1688</v>
      </c>
      <c r="D1337" s="100" t="s">
        <v>1689</v>
      </c>
      <c r="E1337" s="198">
        <v>25.0</v>
      </c>
      <c r="F1337" s="199" t="s">
        <v>2288</v>
      </c>
    </row>
    <row r="1338" ht="22.5" customHeight="1">
      <c r="A1338" s="197">
        <v>46096.00300762731</v>
      </c>
      <c r="B1338" s="100" t="s">
        <v>3062</v>
      </c>
      <c r="C1338" s="100" t="s">
        <v>1685</v>
      </c>
      <c r="D1338" s="100" t="s">
        <v>1686</v>
      </c>
      <c r="E1338" s="198">
        <v>150.0</v>
      </c>
      <c r="F1338" s="199" t="s">
        <v>3063</v>
      </c>
    </row>
    <row r="1339" ht="22.5" customHeight="1">
      <c r="A1339" s="197">
        <v>46096.00300762731</v>
      </c>
      <c r="B1339" s="100" t="s">
        <v>3062</v>
      </c>
      <c r="C1339" s="100" t="s">
        <v>1688</v>
      </c>
      <c r="D1339" s="100" t="s">
        <v>1689</v>
      </c>
      <c r="E1339" s="198">
        <v>190.0</v>
      </c>
      <c r="F1339" s="199" t="s">
        <v>3064</v>
      </c>
    </row>
    <row r="1340" ht="22.5" customHeight="1">
      <c r="A1340" s="197">
        <v>46106.91887927083</v>
      </c>
      <c r="B1340" s="100" t="s">
        <v>3065</v>
      </c>
      <c r="C1340" s="100" t="s">
        <v>1685</v>
      </c>
      <c r="D1340" s="100" t="s">
        <v>1686</v>
      </c>
      <c r="E1340" s="198">
        <v>330.0</v>
      </c>
      <c r="F1340" s="199" t="s">
        <v>3066</v>
      </c>
    </row>
    <row r="1341" ht="22.5" customHeight="1">
      <c r="A1341" s="197">
        <v>46106.91887927083</v>
      </c>
      <c r="B1341" s="100" t="s">
        <v>3065</v>
      </c>
      <c r="C1341" s="100" t="s">
        <v>1688</v>
      </c>
      <c r="D1341" s="100" t="s">
        <v>1689</v>
      </c>
      <c r="E1341" s="198">
        <v>450.0</v>
      </c>
      <c r="F1341" s="199" t="s">
        <v>3067</v>
      </c>
    </row>
    <row r="1342" ht="22.5" customHeight="1">
      <c r="A1342" s="197">
        <v>46106.91887956018</v>
      </c>
      <c r="B1342" s="100" t="s">
        <v>3068</v>
      </c>
      <c r="C1342" s="100" t="s">
        <v>1685</v>
      </c>
      <c r="D1342" s="100" t="s">
        <v>1686</v>
      </c>
      <c r="E1342" s="198">
        <v>100.0</v>
      </c>
      <c r="F1342" s="199" t="s">
        <v>3069</v>
      </c>
    </row>
    <row r="1343" ht="22.5" customHeight="1">
      <c r="A1343" s="197">
        <v>46106.91887956018</v>
      </c>
      <c r="B1343" s="100" t="s">
        <v>3068</v>
      </c>
      <c r="C1343" s="100" t="s">
        <v>1688</v>
      </c>
      <c r="D1343" s="100" t="s">
        <v>1689</v>
      </c>
      <c r="E1343" s="198">
        <v>150.0</v>
      </c>
      <c r="F1343" s="199" t="s">
        <v>3070</v>
      </c>
    </row>
    <row r="1344" ht="22.5" customHeight="1">
      <c r="A1344" s="197">
        <v>46106.9188799074</v>
      </c>
      <c r="B1344" s="100" t="s">
        <v>3071</v>
      </c>
      <c r="C1344" s="100" t="s">
        <v>1685</v>
      </c>
      <c r="D1344" s="100" t="s">
        <v>1686</v>
      </c>
      <c r="E1344" s="198">
        <v>65.0</v>
      </c>
      <c r="F1344" s="199" t="s">
        <v>3072</v>
      </c>
    </row>
    <row r="1345" ht="22.5" customHeight="1">
      <c r="A1345" s="197">
        <v>46106.9188799074</v>
      </c>
      <c r="B1345" s="100" t="s">
        <v>3071</v>
      </c>
      <c r="C1345" s="100" t="s">
        <v>1688</v>
      </c>
      <c r="D1345" s="100" t="s">
        <v>1689</v>
      </c>
      <c r="E1345" s="198">
        <v>100.0</v>
      </c>
      <c r="F1345" s="199" t="s">
        <v>3073</v>
      </c>
    </row>
    <row r="1346" ht="22.5" customHeight="1">
      <c r="A1346" s="197">
        <v>46106.91888024306</v>
      </c>
      <c r="B1346" s="100" t="s">
        <v>3074</v>
      </c>
      <c r="C1346" s="100" t="s">
        <v>1685</v>
      </c>
      <c r="D1346" s="100" t="s">
        <v>1686</v>
      </c>
      <c r="E1346" s="198">
        <v>35.0</v>
      </c>
      <c r="F1346" s="199" t="s">
        <v>1805</v>
      </c>
    </row>
    <row r="1347" ht="22.5" customHeight="1">
      <c r="A1347" s="197">
        <v>46106.91888024306</v>
      </c>
      <c r="B1347" s="100" t="s">
        <v>3074</v>
      </c>
      <c r="C1347" s="100" t="s">
        <v>1688</v>
      </c>
      <c r="D1347" s="100" t="s">
        <v>1689</v>
      </c>
      <c r="E1347" s="198">
        <v>50.0</v>
      </c>
      <c r="F1347" s="199" t="s">
        <v>1806</v>
      </c>
    </row>
    <row r="1348" ht="22.5" customHeight="1">
      <c r="A1348" s="197">
        <v>46106.918880509256</v>
      </c>
      <c r="B1348" s="100" t="s">
        <v>3075</v>
      </c>
      <c r="C1348" s="100" t="s">
        <v>1685</v>
      </c>
      <c r="D1348" s="100" t="s">
        <v>1686</v>
      </c>
      <c r="E1348" s="198">
        <v>178.75</v>
      </c>
      <c r="F1348" s="199" t="s">
        <v>1817</v>
      </c>
    </row>
    <row r="1349" ht="22.5" customHeight="1">
      <c r="A1349" s="197">
        <v>46106.918880509256</v>
      </c>
      <c r="B1349" s="100" t="s">
        <v>3075</v>
      </c>
      <c r="C1349" s="100" t="s">
        <v>1688</v>
      </c>
      <c r="D1349" s="100" t="s">
        <v>1689</v>
      </c>
      <c r="E1349" s="198">
        <v>225.0</v>
      </c>
      <c r="F1349" s="199" t="s">
        <v>1819</v>
      </c>
    </row>
    <row r="1350" ht="22.5" customHeight="1">
      <c r="A1350" s="197">
        <v>46106.91888082176</v>
      </c>
      <c r="B1350" s="100" t="s">
        <v>3076</v>
      </c>
      <c r="C1350" s="100" t="s">
        <v>1685</v>
      </c>
      <c r="D1350" s="100" t="s">
        <v>1686</v>
      </c>
      <c r="E1350" s="198">
        <v>50.0</v>
      </c>
      <c r="F1350" s="199" t="s">
        <v>3077</v>
      </c>
    </row>
    <row r="1351" ht="22.5" customHeight="1">
      <c r="A1351" s="197">
        <v>46106.91888082176</v>
      </c>
      <c r="B1351" s="100" t="s">
        <v>3076</v>
      </c>
      <c r="C1351" s="100" t="s">
        <v>1688</v>
      </c>
      <c r="D1351" s="100" t="s">
        <v>1689</v>
      </c>
      <c r="E1351" s="198">
        <v>80.0</v>
      </c>
      <c r="F1351" s="199" t="s">
        <v>3078</v>
      </c>
    </row>
    <row r="1352" ht="22.5" customHeight="1">
      <c r="A1352" s="197">
        <v>46106.918881226855</v>
      </c>
      <c r="B1352" s="100" t="s">
        <v>3079</v>
      </c>
      <c r="C1352" s="100" t="s">
        <v>1685</v>
      </c>
      <c r="D1352" s="100" t="s">
        <v>1686</v>
      </c>
      <c r="E1352" s="198">
        <v>97.0</v>
      </c>
      <c r="F1352" s="199" t="s">
        <v>3080</v>
      </c>
    </row>
    <row r="1353" ht="22.5" customHeight="1">
      <c r="A1353" s="197">
        <v>46106.918881226855</v>
      </c>
      <c r="B1353" s="100" t="s">
        <v>3079</v>
      </c>
      <c r="C1353" s="100" t="s">
        <v>1688</v>
      </c>
      <c r="D1353" s="100" t="s">
        <v>1689</v>
      </c>
      <c r="E1353" s="198">
        <v>135.0</v>
      </c>
      <c r="F1353" s="199" t="s">
        <v>3081</v>
      </c>
    </row>
    <row r="1354" ht="22.5" customHeight="1">
      <c r="A1354" s="197">
        <v>46106.91888150463</v>
      </c>
      <c r="B1354" s="100" t="s">
        <v>3082</v>
      </c>
      <c r="C1354" s="100" t="s">
        <v>1685</v>
      </c>
      <c r="D1354" s="100" t="s">
        <v>1686</v>
      </c>
      <c r="E1354" s="198">
        <v>46.44</v>
      </c>
      <c r="F1354" s="199" t="s">
        <v>3083</v>
      </c>
    </row>
    <row r="1355" ht="22.5" customHeight="1">
      <c r="A1355" s="197">
        <v>46106.91888150463</v>
      </c>
      <c r="B1355" s="100" t="s">
        <v>3082</v>
      </c>
      <c r="C1355" s="100" t="s">
        <v>1688</v>
      </c>
      <c r="D1355" s="100" t="s">
        <v>1689</v>
      </c>
      <c r="E1355" s="198">
        <v>80.0</v>
      </c>
      <c r="F1355" s="199" t="s">
        <v>3084</v>
      </c>
    </row>
    <row r="1356" ht="22.5" customHeight="1">
      <c r="A1356" s="197">
        <v>46106.918881770835</v>
      </c>
      <c r="B1356" s="100" t="s">
        <v>3085</v>
      </c>
      <c r="C1356" s="100" t="s">
        <v>1685</v>
      </c>
      <c r="D1356" s="100" t="s">
        <v>1686</v>
      </c>
      <c r="E1356" s="198">
        <v>159.0</v>
      </c>
      <c r="F1356" s="199" t="s">
        <v>3086</v>
      </c>
    </row>
    <row r="1357" ht="22.5" customHeight="1">
      <c r="A1357" s="197">
        <v>46106.918881770835</v>
      </c>
      <c r="B1357" s="100" t="s">
        <v>3085</v>
      </c>
      <c r="C1357" s="100" t="s">
        <v>1688</v>
      </c>
      <c r="D1357" s="100" t="s">
        <v>1689</v>
      </c>
      <c r="E1357" s="198">
        <v>185.0</v>
      </c>
      <c r="F1357" s="199" t="s">
        <v>3087</v>
      </c>
    </row>
    <row r="1358" ht="22.5" customHeight="1">
      <c r="A1358" s="197">
        <v>46106.9188821875</v>
      </c>
      <c r="B1358" s="100" t="s">
        <v>3088</v>
      </c>
      <c r="C1358" s="100" t="s">
        <v>1685</v>
      </c>
      <c r="D1358" s="100" t="s">
        <v>1686</v>
      </c>
      <c r="E1358" s="198">
        <v>30.0</v>
      </c>
      <c r="F1358" s="199" t="s">
        <v>3089</v>
      </c>
    </row>
    <row r="1359" ht="22.5" customHeight="1">
      <c r="A1359" s="197">
        <v>46106.9188821875</v>
      </c>
      <c r="B1359" s="100" t="s">
        <v>3088</v>
      </c>
      <c r="C1359" s="100" t="s">
        <v>1688</v>
      </c>
      <c r="D1359" s="100" t="s">
        <v>1689</v>
      </c>
      <c r="E1359" s="198">
        <v>85.0</v>
      </c>
      <c r="F1359" s="199" t="s">
        <v>3090</v>
      </c>
    </row>
    <row r="1360" ht="22.5" customHeight="1">
      <c r="A1360" s="197">
        <v>46106.91888254629</v>
      </c>
      <c r="B1360" s="100" t="s">
        <v>3091</v>
      </c>
      <c r="C1360" s="100" t="s">
        <v>1685</v>
      </c>
      <c r="D1360" s="100" t="s">
        <v>1686</v>
      </c>
      <c r="E1360" s="198">
        <v>10.67</v>
      </c>
      <c r="F1360" s="199" t="s">
        <v>2593</v>
      </c>
    </row>
    <row r="1361" ht="22.5" customHeight="1">
      <c r="A1361" s="197">
        <v>46106.91888254629</v>
      </c>
      <c r="B1361" s="100" t="s">
        <v>3091</v>
      </c>
      <c r="C1361" s="100" t="s">
        <v>1688</v>
      </c>
      <c r="D1361" s="100" t="s">
        <v>1689</v>
      </c>
      <c r="E1361" s="198">
        <v>15.0</v>
      </c>
      <c r="F1361" s="199" t="s">
        <v>2594</v>
      </c>
    </row>
    <row r="1362" ht="22.5" customHeight="1">
      <c r="A1362" s="197">
        <v>46106.91888291667</v>
      </c>
      <c r="B1362" s="100" t="s">
        <v>3092</v>
      </c>
      <c r="C1362" s="100" t="s">
        <v>1685</v>
      </c>
      <c r="D1362" s="100" t="s">
        <v>1686</v>
      </c>
      <c r="E1362" s="198">
        <v>150.0</v>
      </c>
      <c r="F1362" s="199" t="s">
        <v>3063</v>
      </c>
    </row>
    <row r="1363" ht="22.5" customHeight="1">
      <c r="A1363" s="197">
        <v>46106.91888291667</v>
      </c>
      <c r="B1363" s="100" t="s">
        <v>3092</v>
      </c>
      <c r="C1363" s="100" t="s">
        <v>1688</v>
      </c>
      <c r="D1363" s="100" t="s">
        <v>1689</v>
      </c>
      <c r="E1363" s="198">
        <v>200.0</v>
      </c>
      <c r="F1363" s="199" t="s">
        <v>3064</v>
      </c>
    </row>
    <row r="1364" ht="22.5" customHeight="1">
      <c r="A1364" s="197">
        <v>46106.91888334491</v>
      </c>
      <c r="B1364" s="100" t="s">
        <v>3093</v>
      </c>
      <c r="C1364" s="100" t="s">
        <v>1685</v>
      </c>
      <c r="D1364" s="100" t="s">
        <v>1686</v>
      </c>
      <c r="E1364" s="198">
        <v>35.0</v>
      </c>
      <c r="F1364" s="199" t="s">
        <v>1805</v>
      </c>
    </row>
    <row r="1365" ht="22.5" customHeight="1">
      <c r="A1365" s="197">
        <v>46106.91888334491</v>
      </c>
      <c r="B1365" s="100" t="s">
        <v>3093</v>
      </c>
      <c r="C1365" s="100" t="s">
        <v>1688</v>
      </c>
      <c r="D1365" s="100" t="s">
        <v>1689</v>
      </c>
      <c r="E1365" s="198">
        <v>50.0</v>
      </c>
      <c r="F1365" s="199" t="s">
        <v>1806</v>
      </c>
    </row>
    <row r="1366" ht="22.5" customHeight="1">
      <c r="A1366" s="197">
        <v>46106.91888377315</v>
      </c>
      <c r="B1366" s="100" t="s">
        <v>3094</v>
      </c>
      <c r="C1366" s="100" t="s">
        <v>1685</v>
      </c>
      <c r="D1366" s="100" t="s">
        <v>1686</v>
      </c>
      <c r="E1366" s="198">
        <v>145.0</v>
      </c>
      <c r="F1366" s="199" t="s">
        <v>2029</v>
      </c>
    </row>
    <row r="1367" ht="22.5" customHeight="1">
      <c r="A1367" s="197">
        <v>46106.91888377315</v>
      </c>
      <c r="B1367" s="100" t="s">
        <v>3094</v>
      </c>
      <c r="C1367" s="100" t="s">
        <v>1688</v>
      </c>
      <c r="D1367" s="100" t="s">
        <v>1689</v>
      </c>
      <c r="E1367" s="198">
        <v>200.0</v>
      </c>
      <c r="F1367" s="199" t="s">
        <v>2030</v>
      </c>
    </row>
    <row r="1368" ht="22.5" customHeight="1">
      <c r="A1368" s="197">
        <v>46106.91888412037</v>
      </c>
      <c r="B1368" s="100" t="s">
        <v>3095</v>
      </c>
      <c r="C1368" s="100" t="s">
        <v>1685</v>
      </c>
      <c r="D1368" s="100" t="s">
        <v>1686</v>
      </c>
      <c r="E1368" s="198">
        <v>100.0</v>
      </c>
      <c r="F1368" s="199" t="s">
        <v>3069</v>
      </c>
    </row>
    <row r="1369" ht="22.5" customHeight="1">
      <c r="A1369" s="197">
        <v>46106.91888412037</v>
      </c>
      <c r="B1369" s="100" t="s">
        <v>3095</v>
      </c>
      <c r="C1369" s="100" t="s">
        <v>1688</v>
      </c>
      <c r="D1369" s="100" t="s">
        <v>1689</v>
      </c>
      <c r="E1369" s="198">
        <v>180.0</v>
      </c>
      <c r="F1369" s="199" t="s">
        <v>3070</v>
      </c>
    </row>
    <row r="1370" ht="22.5" customHeight="1">
      <c r="A1370" s="197">
        <v>46106.918884513885</v>
      </c>
      <c r="B1370" s="100" t="s">
        <v>3097</v>
      </c>
      <c r="C1370" s="100" t="s">
        <v>1685</v>
      </c>
      <c r="D1370" s="100" t="s">
        <v>1686</v>
      </c>
      <c r="E1370" s="198">
        <v>4.38</v>
      </c>
      <c r="F1370" s="100" t="s">
        <v>2178</v>
      </c>
    </row>
    <row r="1371" ht="22.5" customHeight="1">
      <c r="A1371" s="197">
        <v>46106.918884513885</v>
      </c>
      <c r="B1371" s="100" t="s">
        <v>3097</v>
      </c>
      <c r="C1371" s="100" t="s">
        <v>1688</v>
      </c>
      <c r="D1371" s="100" t="s">
        <v>1689</v>
      </c>
      <c r="E1371" s="198">
        <v>10.0</v>
      </c>
      <c r="F1371" s="100" t="s">
        <v>2179</v>
      </c>
    </row>
    <row r="1372" ht="22.5" customHeight="1">
      <c r="A1372" s="197">
        <v>46106.91888489583</v>
      </c>
      <c r="B1372" s="100" t="s">
        <v>3098</v>
      </c>
      <c r="C1372" s="100" t="s">
        <v>1685</v>
      </c>
      <c r="D1372" s="100" t="s">
        <v>1686</v>
      </c>
      <c r="E1372" s="198">
        <v>28.0</v>
      </c>
      <c r="F1372" s="199" t="s">
        <v>3099</v>
      </c>
    </row>
    <row r="1373" ht="22.5" customHeight="1">
      <c r="A1373" s="197">
        <v>46106.91888489583</v>
      </c>
      <c r="B1373" s="100" t="s">
        <v>3098</v>
      </c>
      <c r="C1373" s="100" t="s">
        <v>1688</v>
      </c>
      <c r="D1373" s="100" t="s">
        <v>1689</v>
      </c>
      <c r="E1373" s="198">
        <v>50.0</v>
      </c>
      <c r="F1373" s="199" t="s">
        <v>3100</v>
      </c>
    </row>
    <row r="1374" ht="22.5" customHeight="1">
      <c r="A1374" s="197">
        <v>46106.91888534722</v>
      </c>
      <c r="B1374" s="100" t="s">
        <v>3101</v>
      </c>
      <c r="C1374" s="100" t="s">
        <v>1685</v>
      </c>
      <c r="D1374" s="100" t="s">
        <v>1686</v>
      </c>
      <c r="E1374" s="198">
        <v>175.0</v>
      </c>
      <c r="F1374" s="199" t="s">
        <v>2103</v>
      </c>
    </row>
    <row r="1375" ht="22.5" customHeight="1">
      <c r="A1375" s="197">
        <v>46106.91888534722</v>
      </c>
      <c r="B1375" s="100" t="s">
        <v>3101</v>
      </c>
      <c r="C1375" s="100" t="s">
        <v>1688</v>
      </c>
      <c r="D1375" s="100" t="s">
        <v>1689</v>
      </c>
      <c r="E1375" s="198">
        <v>220.0</v>
      </c>
      <c r="F1375" s="199" t="s">
        <v>2104</v>
      </c>
    </row>
    <row r="1376" ht="22.5" customHeight="1">
      <c r="A1376" s="197">
        <v>46106.91888563657</v>
      </c>
      <c r="B1376" s="100" t="s">
        <v>3102</v>
      </c>
      <c r="C1376" s="100" t="s">
        <v>1685</v>
      </c>
      <c r="D1376" s="100" t="s">
        <v>1686</v>
      </c>
      <c r="E1376" s="198">
        <v>89.07</v>
      </c>
      <c r="F1376" s="199" t="s">
        <v>1833</v>
      </c>
    </row>
    <row r="1377" ht="22.5" customHeight="1">
      <c r="A1377" s="197">
        <v>46106.91888563657</v>
      </c>
      <c r="B1377" s="100" t="s">
        <v>3102</v>
      </c>
      <c r="C1377" s="100" t="s">
        <v>1688</v>
      </c>
      <c r="D1377" s="100" t="s">
        <v>1689</v>
      </c>
      <c r="E1377" s="198">
        <v>130.0</v>
      </c>
      <c r="F1377" s="199" t="s">
        <v>1834</v>
      </c>
    </row>
    <row r="1378" ht="22.5" customHeight="1">
      <c r="A1378" s="197">
        <v>46106.91888592593</v>
      </c>
      <c r="B1378" s="100" t="s">
        <v>3103</v>
      </c>
      <c r="C1378" s="100" t="s">
        <v>1685</v>
      </c>
      <c r="D1378" s="100" t="s">
        <v>1686</v>
      </c>
      <c r="E1378" s="198">
        <v>51.0</v>
      </c>
      <c r="F1378" s="100" t="s">
        <v>2174</v>
      </c>
    </row>
    <row r="1379" ht="22.5" customHeight="1">
      <c r="A1379" s="197">
        <v>46106.91888592593</v>
      </c>
      <c r="B1379" s="100" t="s">
        <v>3103</v>
      </c>
      <c r="C1379" s="100" t="s">
        <v>1688</v>
      </c>
      <c r="D1379" s="100" t="s">
        <v>1689</v>
      </c>
      <c r="E1379" s="198">
        <v>60.0</v>
      </c>
      <c r="F1379" s="100" t="s">
        <v>2175</v>
      </c>
    </row>
    <row r="1380" ht="22.5" customHeight="1">
      <c r="A1380" s="197">
        <v>46106.91888615741</v>
      </c>
      <c r="B1380" s="100" t="s">
        <v>3104</v>
      </c>
      <c r="C1380" s="100" t="s">
        <v>1685</v>
      </c>
      <c r="D1380" s="100" t="s">
        <v>1686</v>
      </c>
      <c r="E1380" s="198">
        <v>18.32</v>
      </c>
      <c r="F1380" s="199" t="s">
        <v>2678</v>
      </c>
    </row>
    <row r="1381" ht="22.5" customHeight="1">
      <c r="A1381" s="197">
        <v>46106.91888615741</v>
      </c>
      <c r="B1381" s="100" t="s">
        <v>3104</v>
      </c>
      <c r="C1381" s="100" t="s">
        <v>1688</v>
      </c>
      <c r="D1381" s="100" t="s">
        <v>1689</v>
      </c>
      <c r="E1381" s="198">
        <v>20.0</v>
      </c>
      <c r="F1381" s="199" t="s">
        <v>2679</v>
      </c>
    </row>
    <row r="1382" ht="22.5" customHeight="1">
      <c r="A1382" s="197">
        <v>46106.91888636574</v>
      </c>
      <c r="B1382" s="100" t="s">
        <v>3105</v>
      </c>
      <c r="C1382" s="100" t="s">
        <v>1685</v>
      </c>
      <c r="D1382" s="100" t="s">
        <v>1686</v>
      </c>
      <c r="E1382" s="198">
        <v>4.5</v>
      </c>
      <c r="F1382" s="199" t="s">
        <v>2182</v>
      </c>
    </row>
    <row r="1383" ht="22.5" customHeight="1">
      <c r="A1383" s="197">
        <v>46106.91888636574</v>
      </c>
      <c r="B1383" s="100" t="s">
        <v>3105</v>
      </c>
      <c r="C1383" s="100" t="s">
        <v>1688</v>
      </c>
      <c r="D1383" s="100" t="s">
        <v>1689</v>
      </c>
      <c r="E1383" s="198">
        <v>10.0</v>
      </c>
      <c r="F1383" s="199" t="s">
        <v>2183</v>
      </c>
    </row>
    <row r="1384" ht="22.5" customHeight="1">
      <c r="A1384" s="197">
        <v>46106.918886643514</v>
      </c>
      <c r="B1384" s="100" t="s">
        <v>3106</v>
      </c>
      <c r="C1384" s="100" t="s">
        <v>1685</v>
      </c>
      <c r="D1384" s="100" t="s">
        <v>1686</v>
      </c>
      <c r="E1384" s="198">
        <v>4.38</v>
      </c>
      <c r="F1384" s="100" t="s">
        <v>2178</v>
      </c>
    </row>
    <row r="1385" ht="22.5" customHeight="1">
      <c r="A1385" s="197">
        <v>46106.918886643514</v>
      </c>
      <c r="B1385" s="100" t="s">
        <v>3106</v>
      </c>
      <c r="C1385" s="100" t="s">
        <v>1688</v>
      </c>
      <c r="D1385" s="100" t="s">
        <v>1689</v>
      </c>
      <c r="E1385" s="198">
        <v>10.0</v>
      </c>
      <c r="F1385" s="100" t="s">
        <v>2179</v>
      </c>
    </row>
    <row r="1386" ht="22.5" customHeight="1">
      <c r="A1386" s="197">
        <v>46106.922104212965</v>
      </c>
      <c r="B1386" s="100" t="s">
        <v>3107</v>
      </c>
      <c r="C1386" s="100" t="s">
        <v>1685</v>
      </c>
      <c r="D1386" s="100" t="s">
        <v>1686</v>
      </c>
      <c r="E1386" s="198">
        <v>11.25</v>
      </c>
      <c r="F1386" s="199" t="s">
        <v>2580</v>
      </c>
    </row>
    <row r="1387" ht="22.5" customHeight="1">
      <c r="A1387" s="197">
        <v>46106.922104212965</v>
      </c>
      <c r="B1387" s="100" t="s">
        <v>3107</v>
      </c>
      <c r="C1387" s="100" t="s">
        <v>1688</v>
      </c>
      <c r="D1387" s="100" t="s">
        <v>1689</v>
      </c>
      <c r="E1387" s="198">
        <v>10.0</v>
      </c>
      <c r="F1387" s="199" t="s">
        <v>2582</v>
      </c>
    </row>
    <row r="1388" ht="22.5" customHeight="1">
      <c r="A1388" s="197">
        <v>46106.922104502315</v>
      </c>
      <c r="B1388" s="100" t="s">
        <v>3108</v>
      </c>
      <c r="C1388" s="100" t="s">
        <v>1685</v>
      </c>
      <c r="D1388" s="100" t="s">
        <v>1686</v>
      </c>
      <c r="E1388" s="198">
        <v>60.0</v>
      </c>
      <c r="F1388" s="199" t="s">
        <v>2609</v>
      </c>
    </row>
    <row r="1389" ht="22.5" customHeight="1">
      <c r="A1389" s="197">
        <v>46106.922104502315</v>
      </c>
      <c r="B1389" s="100" t="s">
        <v>3108</v>
      </c>
      <c r="C1389" s="100" t="s">
        <v>1688</v>
      </c>
      <c r="D1389" s="100" t="s">
        <v>1689</v>
      </c>
      <c r="E1389" s="198">
        <v>100.0</v>
      </c>
      <c r="F1389" s="199" t="s">
        <v>2610</v>
      </c>
    </row>
    <row r="1390" ht="22.5" customHeight="1">
      <c r="A1390" s="197">
        <v>46106.92210480324</v>
      </c>
      <c r="B1390" s="100" t="s">
        <v>3109</v>
      </c>
      <c r="C1390" s="100" t="s">
        <v>1685</v>
      </c>
      <c r="D1390" s="100" t="s">
        <v>1686</v>
      </c>
      <c r="E1390" s="198">
        <v>113.33</v>
      </c>
      <c r="F1390" s="199" t="s">
        <v>3110</v>
      </c>
    </row>
    <row r="1391" ht="22.5" customHeight="1">
      <c r="A1391" s="197">
        <v>46106.92210480324</v>
      </c>
      <c r="B1391" s="100" t="s">
        <v>3109</v>
      </c>
      <c r="C1391" s="100" t="s">
        <v>1688</v>
      </c>
      <c r="D1391" s="100" t="s">
        <v>1689</v>
      </c>
      <c r="E1391" s="198">
        <v>200.0</v>
      </c>
      <c r="F1391" s="199" t="s">
        <v>3111</v>
      </c>
    </row>
    <row r="1392" ht="22.5" customHeight="1">
      <c r="A1392" s="197">
        <v>46106.960344189814</v>
      </c>
      <c r="B1392" s="100" t="s">
        <v>2892</v>
      </c>
      <c r="C1392" s="100" t="s">
        <v>1685</v>
      </c>
      <c r="D1392" s="100" t="s">
        <v>1686</v>
      </c>
      <c r="E1392" s="198">
        <v>140.0</v>
      </c>
      <c r="F1392" s="199" t="s">
        <v>1742</v>
      </c>
    </row>
    <row r="1393" ht="22.5" customHeight="1">
      <c r="A1393" s="197">
        <v>46106.960344189814</v>
      </c>
      <c r="B1393" s="100" t="s">
        <v>2892</v>
      </c>
      <c r="C1393" s="100" t="s">
        <v>1688</v>
      </c>
      <c r="D1393" s="100" t="s">
        <v>1689</v>
      </c>
      <c r="E1393" s="198">
        <v>174.91</v>
      </c>
      <c r="F1393" s="199" t="s">
        <v>1743</v>
      </c>
    </row>
    <row r="1394" ht="22.5" customHeight="1">
      <c r="A1394" s="197">
        <v>46106.96034533565</v>
      </c>
      <c r="B1394" s="100" t="s">
        <v>2936</v>
      </c>
      <c r="C1394" s="100" t="s">
        <v>1685</v>
      </c>
      <c r="D1394" s="100" t="s">
        <v>1686</v>
      </c>
      <c r="E1394" s="198">
        <v>280.0</v>
      </c>
      <c r="F1394" s="199" t="s">
        <v>1742</v>
      </c>
    </row>
    <row r="1395" ht="22.5" customHeight="1">
      <c r="A1395" s="197">
        <v>46106.96034533565</v>
      </c>
      <c r="B1395" s="100" t="s">
        <v>2936</v>
      </c>
      <c r="C1395" s="100" t="s">
        <v>1688</v>
      </c>
      <c r="D1395" s="100" t="s">
        <v>1689</v>
      </c>
      <c r="E1395" s="198">
        <v>349.76</v>
      </c>
      <c r="F1395" s="199" t="s">
        <v>1743</v>
      </c>
    </row>
    <row r="1396" ht="22.5" customHeight="1">
      <c r="A1396" s="197">
        <v>46106.96034846065</v>
      </c>
      <c r="B1396" s="100" t="s">
        <v>3096</v>
      </c>
      <c r="C1396" s="100" t="s">
        <v>1685</v>
      </c>
      <c r="D1396" s="100" t="s">
        <v>1686</v>
      </c>
      <c r="E1396" s="198">
        <v>140.0</v>
      </c>
      <c r="F1396" s="199" t="s">
        <v>1742</v>
      </c>
    </row>
    <row r="1397" ht="22.5" customHeight="1">
      <c r="A1397" s="197">
        <v>46106.96034846065</v>
      </c>
      <c r="B1397" s="100" t="s">
        <v>3096</v>
      </c>
      <c r="C1397" s="100" t="s">
        <v>1688</v>
      </c>
      <c r="D1397" s="100" t="s">
        <v>1689</v>
      </c>
      <c r="E1397" s="198">
        <v>175.0</v>
      </c>
      <c r="F1397" s="199" t="s">
        <v>1743</v>
      </c>
    </row>
    <row r="1398" ht="22.5" customHeight="1">
      <c r="A1398" s="197">
        <v>46106.960350787034</v>
      </c>
      <c r="B1398" s="100" t="s">
        <v>3112</v>
      </c>
      <c r="C1398" s="100" t="s">
        <v>1685</v>
      </c>
      <c r="D1398" s="100" t="s">
        <v>1686</v>
      </c>
      <c r="E1398" s="198">
        <v>178.75</v>
      </c>
      <c r="F1398" s="199" t="s">
        <v>1817</v>
      </c>
    </row>
    <row r="1399" ht="22.5" customHeight="1">
      <c r="A1399" s="197">
        <v>46106.960350787034</v>
      </c>
      <c r="B1399" s="100" t="s">
        <v>3112</v>
      </c>
      <c r="C1399" s="100" t="s">
        <v>1688</v>
      </c>
      <c r="D1399" s="100" t="s">
        <v>1689</v>
      </c>
      <c r="E1399" s="198">
        <v>250.0</v>
      </c>
      <c r="F1399" s="199" t="s">
        <v>1819</v>
      </c>
    </row>
    <row r="1400" ht="22.5" customHeight="1">
      <c r="A1400" s="197">
        <v>46106.96035125</v>
      </c>
      <c r="B1400" s="100" t="s">
        <v>3113</v>
      </c>
      <c r="C1400" s="100" t="s">
        <v>1685</v>
      </c>
      <c r="D1400" s="100" t="s">
        <v>1686</v>
      </c>
      <c r="E1400" s="198">
        <v>125.0</v>
      </c>
      <c r="F1400" s="199" t="s">
        <v>2161</v>
      </c>
    </row>
    <row r="1401" ht="22.5" customHeight="1">
      <c r="A1401" s="197">
        <v>46106.96035125</v>
      </c>
      <c r="B1401" s="100" t="s">
        <v>3113</v>
      </c>
      <c r="C1401" s="100" t="s">
        <v>1688</v>
      </c>
      <c r="D1401" s="100" t="s">
        <v>1689</v>
      </c>
      <c r="E1401" s="198">
        <v>150.0</v>
      </c>
      <c r="F1401" s="199" t="s">
        <v>2162</v>
      </c>
    </row>
    <row r="1402" ht="22.5" customHeight="1">
      <c r="A1402" s="197">
        <v>46106.96035171296</v>
      </c>
      <c r="B1402" s="100" t="s">
        <v>3114</v>
      </c>
      <c r="C1402" s="100" t="s">
        <v>1685</v>
      </c>
      <c r="D1402" s="100" t="s">
        <v>1686</v>
      </c>
      <c r="E1402" s="198">
        <v>130.0</v>
      </c>
      <c r="F1402" s="100" t="s">
        <v>2814</v>
      </c>
    </row>
    <row r="1403" ht="22.5" customHeight="1">
      <c r="A1403" s="197">
        <v>46106.96035171296</v>
      </c>
      <c r="B1403" s="100" t="s">
        <v>3114</v>
      </c>
      <c r="C1403" s="100" t="s">
        <v>1688</v>
      </c>
      <c r="D1403" s="100" t="s">
        <v>1689</v>
      </c>
      <c r="E1403" s="198">
        <v>170.0</v>
      </c>
      <c r="F1403" s="100" t="s">
        <v>2815</v>
      </c>
    </row>
    <row r="1404" ht="22.5" customHeight="1">
      <c r="A1404" s="197">
        <v>46106.96035228009</v>
      </c>
      <c r="B1404" s="100" t="s">
        <v>3115</v>
      </c>
      <c r="C1404" s="100" t="s">
        <v>1685</v>
      </c>
      <c r="D1404" s="100" t="s">
        <v>1686</v>
      </c>
      <c r="E1404" s="198">
        <v>68.0</v>
      </c>
      <c r="F1404" s="199" t="s">
        <v>2286</v>
      </c>
    </row>
    <row r="1405" ht="22.5" customHeight="1">
      <c r="A1405" s="197">
        <v>46106.96035228009</v>
      </c>
      <c r="B1405" s="100" t="s">
        <v>3115</v>
      </c>
      <c r="C1405" s="100" t="s">
        <v>1688</v>
      </c>
      <c r="D1405" s="100" t="s">
        <v>1689</v>
      </c>
      <c r="E1405" s="198">
        <v>80.0</v>
      </c>
      <c r="F1405" s="199" t="s">
        <v>2288</v>
      </c>
    </row>
    <row r="1406" ht="22.5" customHeight="1">
      <c r="A1406" s="197">
        <v>46106.96035273148</v>
      </c>
      <c r="B1406" s="100" t="s">
        <v>3116</v>
      </c>
      <c r="C1406" s="100" t="s">
        <v>1685</v>
      </c>
      <c r="D1406" s="100" t="s">
        <v>1686</v>
      </c>
      <c r="E1406" s="198">
        <v>150.0</v>
      </c>
      <c r="F1406" s="199" t="s">
        <v>1853</v>
      </c>
    </row>
    <row r="1407" ht="22.5" customHeight="1">
      <c r="A1407" s="197">
        <v>46106.96035273148</v>
      </c>
      <c r="B1407" s="100" t="s">
        <v>3116</v>
      </c>
      <c r="C1407" s="100" t="s">
        <v>1688</v>
      </c>
      <c r="D1407" s="100" t="s">
        <v>1689</v>
      </c>
      <c r="E1407" s="198">
        <v>220.0</v>
      </c>
      <c r="F1407" s="199" t="s">
        <v>1854</v>
      </c>
    </row>
    <row r="1408" ht="22.5" customHeight="1">
      <c r="A1408" s="197">
        <v>46106.96035306713</v>
      </c>
      <c r="B1408" s="100" t="s">
        <v>3117</v>
      </c>
      <c r="C1408" s="100" t="s">
        <v>1685</v>
      </c>
      <c r="D1408" s="100" t="s">
        <v>1686</v>
      </c>
      <c r="E1408" s="198">
        <v>40.0</v>
      </c>
      <c r="F1408" s="199" t="s">
        <v>3118</v>
      </c>
    </row>
    <row r="1409" ht="22.5" customHeight="1">
      <c r="A1409" s="197">
        <v>46106.96035306713</v>
      </c>
      <c r="B1409" s="100" t="s">
        <v>3117</v>
      </c>
      <c r="C1409" s="100" t="s">
        <v>1688</v>
      </c>
      <c r="D1409" s="100" t="s">
        <v>1689</v>
      </c>
      <c r="E1409" s="198">
        <v>50.0</v>
      </c>
      <c r="F1409" s="199" t="s">
        <v>3119</v>
      </c>
    </row>
    <row r="1410" ht="22.5" customHeight="1">
      <c r="A1410" s="197">
        <v>46106.960353483795</v>
      </c>
      <c r="B1410" s="100" t="s">
        <v>3120</v>
      </c>
      <c r="C1410" s="100" t="s">
        <v>1685</v>
      </c>
      <c r="D1410" s="100" t="s">
        <v>1686</v>
      </c>
      <c r="E1410" s="198">
        <v>16.67</v>
      </c>
      <c r="F1410" s="199" t="s">
        <v>2088</v>
      </c>
    </row>
    <row r="1411" ht="22.5" customHeight="1">
      <c r="A1411" s="197">
        <v>46106.960353483795</v>
      </c>
      <c r="B1411" s="100" t="s">
        <v>3120</v>
      </c>
      <c r="C1411" s="100" t="s">
        <v>1688</v>
      </c>
      <c r="D1411" s="100" t="s">
        <v>1689</v>
      </c>
      <c r="E1411" s="198">
        <v>30.0</v>
      </c>
      <c r="F1411" s="199" t="s">
        <v>2089</v>
      </c>
    </row>
    <row r="1412" ht="22.5" customHeight="1">
      <c r="A1412" s="197">
        <v>46106.96035381945</v>
      </c>
      <c r="B1412" s="100" t="s">
        <v>3121</v>
      </c>
      <c r="C1412" s="100" t="s">
        <v>1685</v>
      </c>
      <c r="D1412" s="100" t="s">
        <v>1686</v>
      </c>
      <c r="E1412" s="198">
        <v>14.17</v>
      </c>
      <c r="F1412" s="199" t="s">
        <v>2540</v>
      </c>
    </row>
    <row r="1413" ht="22.5" customHeight="1">
      <c r="A1413" s="197">
        <v>46106.96035381945</v>
      </c>
      <c r="B1413" s="100" t="s">
        <v>3121</v>
      </c>
      <c r="C1413" s="100" t="s">
        <v>1688</v>
      </c>
      <c r="D1413" s="100" t="s">
        <v>1689</v>
      </c>
      <c r="E1413" s="198">
        <v>20.0</v>
      </c>
      <c r="F1413" s="199" t="s">
        <v>2541</v>
      </c>
    </row>
    <row r="1414" ht="22.5" customHeight="1">
      <c r="A1414" s="197">
        <v>46106.96035425926</v>
      </c>
      <c r="B1414" s="100" t="s">
        <v>3122</v>
      </c>
      <c r="C1414" s="100" t="s">
        <v>1685</v>
      </c>
      <c r="D1414" s="100" t="s">
        <v>1686</v>
      </c>
      <c r="E1414" s="198">
        <v>195.0</v>
      </c>
      <c r="F1414" s="199" t="s">
        <v>2036</v>
      </c>
    </row>
    <row r="1415" ht="22.5" customHeight="1">
      <c r="A1415" s="197">
        <v>46106.96035425926</v>
      </c>
      <c r="B1415" s="100" t="s">
        <v>3122</v>
      </c>
      <c r="C1415" s="100" t="s">
        <v>1688</v>
      </c>
      <c r="D1415" s="100" t="s">
        <v>1689</v>
      </c>
      <c r="E1415" s="198">
        <v>250.0</v>
      </c>
      <c r="F1415" s="199" t="s">
        <v>2037</v>
      </c>
    </row>
    <row r="1416" ht="22.5" customHeight="1">
      <c r="A1416" s="197">
        <v>46106.960354814815</v>
      </c>
      <c r="B1416" s="100" t="s">
        <v>3123</v>
      </c>
      <c r="C1416" s="100" t="s">
        <v>1685</v>
      </c>
      <c r="D1416" s="100" t="s">
        <v>1686</v>
      </c>
      <c r="E1416" s="198">
        <v>150.0</v>
      </c>
      <c r="F1416" s="100" t="s">
        <v>2944</v>
      </c>
    </row>
    <row r="1417" ht="22.5" customHeight="1">
      <c r="A1417" s="197">
        <v>46106.960354814815</v>
      </c>
      <c r="B1417" s="100" t="s">
        <v>3123</v>
      </c>
      <c r="C1417" s="100" t="s">
        <v>1688</v>
      </c>
      <c r="D1417" s="100" t="s">
        <v>1689</v>
      </c>
      <c r="E1417" s="198">
        <v>180.0</v>
      </c>
      <c r="F1417" s="100" t="s">
        <v>2946</v>
      </c>
    </row>
    <row r="1418" ht="22.5" customHeight="1">
      <c r="A1418" s="197">
        <v>46106.96035521991</v>
      </c>
      <c r="B1418" s="100" t="s">
        <v>3124</v>
      </c>
      <c r="C1418" s="100" t="s">
        <v>1685</v>
      </c>
      <c r="D1418" s="100" t="s">
        <v>1686</v>
      </c>
      <c r="E1418" s="198">
        <v>268.47</v>
      </c>
      <c r="F1418" s="199" t="s">
        <v>2325</v>
      </c>
    </row>
    <row r="1419" ht="22.5" customHeight="1">
      <c r="A1419" s="197">
        <v>46106.96035521991</v>
      </c>
      <c r="B1419" s="100" t="s">
        <v>3124</v>
      </c>
      <c r="C1419" s="100" t="s">
        <v>1688</v>
      </c>
      <c r="D1419" s="100" t="s">
        <v>1689</v>
      </c>
      <c r="E1419" s="198">
        <v>600.0</v>
      </c>
      <c r="F1419" s="199" t="s">
        <v>2327</v>
      </c>
    </row>
    <row r="1420" ht="22.5" customHeight="1">
      <c r="A1420" s="197">
        <v>46106.96035699074</v>
      </c>
      <c r="B1420" s="100" t="s">
        <v>3125</v>
      </c>
      <c r="C1420" s="100" t="s">
        <v>1685</v>
      </c>
      <c r="D1420" s="100" t="s">
        <v>1686</v>
      </c>
      <c r="E1420" s="198">
        <v>50.0</v>
      </c>
      <c r="F1420" s="199" t="s">
        <v>3126</v>
      </c>
    </row>
    <row r="1421" ht="22.5" customHeight="1">
      <c r="A1421" s="197">
        <v>46106.96035699074</v>
      </c>
      <c r="B1421" s="100" t="s">
        <v>3125</v>
      </c>
      <c r="C1421" s="100" t="s">
        <v>1688</v>
      </c>
      <c r="D1421" s="100" t="s">
        <v>1689</v>
      </c>
      <c r="E1421" s="198">
        <v>70.0</v>
      </c>
      <c r="F1421" s="199" t="s">
        <v>3127</v>
      </c>
    </row>
    <row r="1422" ht="22.5" customHeight="1">
      <c r="A1422" s="197">
        <v>46106.96035790509</v>
      </c>
      <c r="B1422" s="100" t="s">
        <v>3128</v>
      </c>
      <c r="C1422" s="100" t="s">
        <v>1685</v>
      </c>
      <c r="D1422" s="100" t="s">
        <v>1686</v>
      </c>
      <c r="E1422" s="198">
        <v>70.0</v>
      </c>
      <c r="F1422" s="199" t="s">
        <v>2860</v>
      </c>
    </row>
    <row r="1423" ht="22.5" customHeight="1">
      <c r="A1423" s="197">
        <v>46106.96035790509</v>
      </c>
      <c r="B1423" s="100" t="s">
        <v>3128</v>
      </c>
      <c r="C1423" s="100" t="s">
        <v>1688</v>
      </c>
      <c r="D1423" s="100" t="s">
        <v>1689</v>
      </c>
      <c r="E1423" s="198">
        <v>100.0</v>
      </c>
      <c r="F1423" s="199" t="s">
        <v>2862</v>
      </c>
    </row>
    <row r="1424" ht="22.5" customHeight="1">
      <c r="A1424" s="197">
        <v>46106.96035835648</v>
      </c>
      <c r="B1424" s="100" t="s">
        <v>3129</v>
      </c>
      <c r="C1424" s="100" t="s">
        <v>1685</v>
      </c>
      <c r="D1424" s="100" t="s">
        <v>1686</v>
      </c>
      <c r="E1424" s="198">
        <v>150.0</v>
      </c>
      <c r="F1424" s="199" t="s">
        <v>2886</v>
      </c>
    </row>
    <row r="1425" ht="22.5" customHeight="1">
      <c r="A1425" s="197">
        <v>46106.96035835648</v>
      </c>
      <c r="B1425" s="100" t="s">
        <v>3129</v>
      </c>
      <c r="C1425" s="100" t="s">
        <v>1688</v>
      </c>
      <c r="D1425" s="100" t="s">
        <v>1689</v>
      </c>
      <c r="E1425" s="198">
        <v>210.0</v>
      </c>
      <c r="F1425" s="199" t="s">
        <v>2887</v>
      </c>
    </row>
    <row r="1426" ht="22.5" customHeight="1">
      <c r="A1426" s="197">
        <v>46106.960359282406</v>
      </c>
      <c r="B1426" s="100" t="s">
        <v>3130</v>
      </c>
      <c r="C1426" s="100" t="s">
        <v>1685</v>
      </c>
      <c r="D1426" s="100" t="s">
        <v>1686</v>
      </c>
      <c r="E1426" s="198">
        <v>35.0</v>
      </c>
      <c r="F1426" s="199" t="s">
        <v>1805</v>
      </c>
    </row>
    <row r="1427" ht="22.5" customHeight="1">
      <c r="A1427" s="197">
        <v>46106.960359282406</v>
      </c>
      <c r="B1427" s="100" t="s">
        <v>3130</v>
      </c>
      <c r="C1427" s="100" t="s">
        <v>1688</v>
      </c>
      <c r="D1427" s="100" t="s">
        <v>1689</v>
      </c>
      <c r="E1427" s="198">
        <v>50.0</v>
      </c>
      <c r="F1427" s="199" t="s">
        <v>1806</v>
      </c>
    </row>
    <row r="1428" ht="22.5" customHeight="1">
      <c r="A1428" s="197">
        <v>46106.96036046297</v>
      </c>
      <c r="B1428" s="100" t="s">
        <v>3131</v>
      </c>
      <c r="C1428" s="100" t="s">
        <v>1685</v>
      </c>
      <c r="D1428" s="100" t="s">
        <v>1686</v>
      </c>
      <c r="E1428" s="198">
        <v>23.22</v>
      </c>
      <c r="F1428" s="199" t="s">
        <v>3083</v>
      </c>
    </row>
    <row r="1429" ht="22.5" customHeight="1">
      <c r="A1429" s="197">
        <v>46106.96036046297</v>
      </c>
      <c r="B1429" s="100" t="s">
        <v>3131</v>
      </c>
      <c r="C1429" s="100" t="s">
        <v>1688</v>
      </c>
      <c r="D1429" s="100" t="s">
        <v>1689</v>
      </c>
      <c r="E1429" s="198">
        <v>40.0</v>
      </c>
      <c r="F1429" s="199" t="s">
        <v>3084</v>
      </c>
    </row>
    <row r="1430" ht="22.5" customHeight="1">
      <c r="A1430" s="197">
        <v>46106.96036092592</v>
      </c>
      <c r="B1430" s="100" t="s">
        <v>3132</v>
      </c>
      <c r="C1430" s="100" t="s">
        <v>1685</v>
      </c>
      <c r="D1430" s="100" t="s">
        <v>1686</v>
      </c>
      <c r="E1430" s="198">
        <v>170.0</v>
      </c>
      <c r="F1430" s="199" t="s">
        <v>1817</v>
      </c>
    </row>
    <row r="1431" ht="22.5" customHeight="1">
      <c r="A1431" s="197">
        <v>46106.96036092592</v>
      </c>
      <c r="B1431" s="100" t="s">
        <v>3132</v>
      </c>
      <c r="C1431" s="100" t="s">
        <v>1688</v>
      </c>
      <c r="D1431" s="100" t="s">
        <v>1689</v>
      </c>
      <c r="E1431" s="198">
        <v>250.0</v>
      </c>
      <c r="F1431" s="199" t="s">
        <v>1819</v>
      </c>
    </row>
    <row r="1432" ht="22.5" customHeight="1">
      <c r="A1432" s="197">
        <v>46106.96036159722</v>
      </c>
      <c r="B1432" s="100" t="s">
        <v>3133</v>
      </c>
      <c r="C1432" s="100" t="s">
        <v>1685</v>
      </c>
      <c r="D1432" s="100" t="s">
        <v>1686</v>
      </c>
      <c r="E1432" s="198">
        <v>21.9</v>
      </c>
      <c r="F1432" s="100" t="s">
        <v>2178</v>
      </c>
    </row>
    <row r="1433" ht="22.5" customHeight="1">
      <c r="A1433" s="197">
        <v>46106.96036159722</v>
      </c>
      <c r="B1433" s="100" t="s">
        <v>3133</v>
      </c>
      <c r="C1433" s="100" t="s">
        <v>1688</v>
      </c>
      <c r="D1433" s="100" t="s">
        <v>1689</v>
      </c>
      <c r="E1433" s="198">
        <v>50.0</v>
      </c>
      <c r="F1433" s="100" t="s">
        <v>2179</v>
      </c>
    </row>
    <row r="1434" ht="22.5" customHeight="1">
      <c r="A1434" s="197">
        <v>46106.96036195602</v>
      </c>
      <c r="B1434" s="100" t="s">
        <v>3134</v>
      </c>
      <c r="C1434" s="100" t="s">
        <v>1685</v>
      </c>
      <c r="D1434" s="100" t="s">
        <v>1686</v>
      </c>
      <c r="E1434" s="198">
        <v>135.0</v>
      </c>
      <c r="F1434" s="199" t="s">
        <v>1947</v>
      </c>
    </row>
    <row r="1435" ht="22.5" customHeight="1">
      <c r="A1435" s="197">
        <v>46106.96036195602</v>
      </c>
      <c r="B1435" s="100" t="s">
        <v>3134</v>
      </c>
      <c r="C1435" s="100" t="s">
        <v>1688</v>
      </c>
      <c r="D1435" s="100" t="s">
        <v>1689</v>
      </c>
      <c r="E1435" s="198">
        <v>220.0</v>
      </c>
      <c r="F1435" s="199" t="s">
        <v>1948</v>
      </c>
    </row>
    <row r="1436" ht="22.5" customHeight="1">
      <c r="A1436" s="197">
        <v>46106.96036226852</v>
      </c>
      <c r="B1436" s="100" t="s">
        <v>3135</v>
      </c>
      <c r="C1436" s="100" t="s">
        <v>1685</v>
      </c>
      <c r="D1436" s="100" t="s">
        <v>1686</v>
      </c>
      <c r="E1436" s="198">
        <v>60.0</v>
      </c>
      <c r="F1436" s="199" t="s">
        <v>2609</v>
      </c>
    </row>
    <row r="1437" ht="22.5" customHeight="1">
      <c r="A1437" s="197">
        <v>46106.96036226852</v>
      </c>
      <c r="B1437" s="100" t="s">
        <v>3135</v>
      </c>
      <c r="C1437" s="100" t="s">
        <v>1688</v>
      </c>
      <c r="D1437" s="100" t="s">
        <v>1689</v>
      </c>
      <c r="E1437" s="198">
        <v>80.0</v>
      </c>
      <c r="F1437" s="199" t="s">
        <v>2610</v>
      </c>
    </row>
    <row r="1438" ht="22.5" customHeight="1">
      <c r="A1438" s="197">
        <v>46106.96036256944</v>
      </c>
      <c r="B1438" s="100" t="s">
        <v>3136</v>
      </c>
      <c r="C1438" s="100" t="s">
        <v>1685</v>
      </c>
      <c r="D1438" s="100" t="s">
        <v>1686</v>
      </c>
      <c r="E1438" s="198">
        <v>167.0</v>
      </c>
      <c r="F1438" s="199" t="s">
        <v>3137</v>
      </c>
    </row>
    <row r="1439" ht="22.5" customHeight="1">
      <c r="A1439" s="197">
        <v>46106.96036256944</v>
      </c>
      <c r="B1439" s="100" t="s">
        <v>3136</v>
      </c>
      <c r="C1439" s="100" t="s">
        <v>1688</v>
      </c>
      <c r="D1439" s="100" t="s">
        <v>1689</v>
      </c>
      <c r="E1439" s="198">
        <v>210.0</v>
      </c>
      <c r="F1439" s="199" t="s">
        <v>3138</v>
      </c>
    </row>
    <row r="1440" ht="22.5" customHeight="1">
      <c r="A1440" s="197">
        <v>46106.960362847225</v>
      </c>
      <c r="B1440" s="100" t="s">
        <v>3139</v>
      </c>
      <c r="C1440" s="100" t="s">
        <v>1685</v>
      </c>
      <c r="D1440" s="100" t="s">
        <v>1686</v>
      </c>
      <c r="E1440" s="198">
        <v>30.0</v>
      </c>
      <c r="F1440" s="199" t="s">
        <v>2609</v>
      </c>
    </row>
    <row r="1441" ht="22.5" customHeight="1">
      <c r="A1441" s="197">
        <v>46106.960362847225</v>
      </c>
      <c r="B1441" s="100" t="s">
        <v>3139</v>
      </c>
      <c r="C1441" s="100" t="s">
        <v>1688</v>
      </c>
      <c r="D1441" s="100" t="s">
        <v>1689</v>
      </c>
      <c r="E1441" s="198">
        <v>40.0</v>
      </c>
      <c r="F1441" s="199" t="s">
        <v>2610</v>
      </c>
    </row>
    <row r="1442" ht="22.5" customHeight="1">
      <c r="A1442" s="197">
        <v>46106.960363101854</v>
      </c>
      <c r="B1442" s="100" t="s">
        <v>3140</v>
      </c>
      <c r="C1442" s="100" t="s">
        <v>1685</v>
      </c>
      <c r="D1442" s="100" t="s">
        <v>1686</v>
      </c>
      <c r="E1442" s="198">
        <v>225.0</v>
      </c>
      <c r="F1442" s="199" t="s">
        <v>1853</v>
      </c>
    </row>
    <row r="1443" ht="22.5" customHeight="1">
      <c r="A1443" s="197">
        <v>46106.960363101854</v>
      </c>
      <c r="B1443" s="100" t="s">
        <v>3140</v>
      </c>
      <c r="C1443" s="100" t="s">
        <v>1688</v>
      </c>
      <c r="D1443" s="100" t="s">
        <v>1689</v>
      </c>
      <c r="E1443" s="198">
        <v>300.0</v>
      </c>
      <c r="F1443" s="199" t="s">
        <v>1854</v>
      </c>
    </row>
    <row r="1444" ht="22.5" customHeight="1">
      <c r="A1444" s="197">
        <v>46106.960363356484</v>
      </c>
      <c r="B1444" s="100" t="s">
        <v>3141</v>
      </c>
      <c r="C1444" s="100" t="s">
        <v>1685</v>
      </c>
      <c r="D1444" s="100" t="s">
        <v>1686</v>
      </c>
      <c r="E1444" s="198">
        <v>155.0</v>
      </c>
      <c r="F1444" s="199" t="s">
        <v>2055</v>
      </c>
    </row>
    <row r="1445" ht="22.5" customHeight="1">
      <c r="A1445" s="197">
        <v>46106.960363356484</v>
      </c>
      <c r="B1445" s="100" t="s">
        <v>3141</v>
      </c>
      <c r="C1445" s="100" t="s">
        <v>1688</v>
      </c>
      <c r="D1445" s="100" t="s">
        <v>1689</v>
      </c>
      <c r="E1445" s="198">
        <v>200.0</v>
      </c>
      <c r="F1445" s="199" t="s">
        <v>2056</v>
      </c>
    </row>
    <row r="1446" ht="22.5" customHeight="1">
      <c r="A1446" s="197">
        <v>46106.96036369213</v>
      </c>
      <c r="B1446" s="100" t="s">
        <v>3142</v>
      </c>
      <c r="C1446" s="100" t="s">
        <v>1685</v>
      </c>
      <c r="D1446" s="100" t="s">
        <v>1686</v>
      </c>
      <c r="E1446" s="198">
        <v>8.76</v>
      </c>
      <c r="F1446" s="100" t="s">
        <v>2178</v>
      </c>
    </row>
    <row r="1447" ht="22.5" customHeight="1">
      <c r="A1447" s="197">
        <v>46106.96036369213</v>
      </c>
      <c r="B1447" s="100" t="s">
        <v>3142</v>
      </c>
      <c r="C1447" s="100" t="s">
        <v>1688</v>
      </c>
      <c r="D1447" s="100" t="s">
        <v>1689</v>
      </c>
      <c r="E1447" s="198">
        <v>20.0</v>
      </c>
      <c r="F1447" s="100" t="s">
        <v>2179</v>
      </c>
    </row>
    <row r="1448" ht="22.5" customHeight="1">
      <c r="A1448" s="197">
        <v>46106.960364004626</v>
      </c>
      <c r="B1448" s="100" t="s">
        <v>3143</v>
      </c>
      <c r="C1448" s="100" t="s">
        <v>1685</v>
      </c>
      <c r="D1448" s="100" t="s">
        <v>1686</v>
      </c>
      <c r="E1448" s="198">
        <v>51.0</v>
      </c>
      <c r="F1448" s="100" t="s">
        <v>2174</v>
      </c>
    </row>
    <row r="1449" ht="22.5" customHeight="1">
      <c r="A1449" s="197">
        <v>46106.960364004626</v>
      </c>
      <c r="B1449" s="100" t="s">
        <v>3143</v>
      </c>
      <c r="C1449" s="100" t="s">
        <v>1688</v>
      </c>
      <c r="D1449" s="100" t="s">
        <v>1689</v>
      </c>
      <c r="E1449" s="198">
        <v>75.0</v>
      </c>
      <c r="F1449" s="100" t="s">
        <v>2175</v>
      </c>
    </row>
    <row r="1450" ht="22.5" customHeight="1">
      <c r="A1450" s="197">
        <v>46106.96036428241</v>
      </c>
      <c r="B1450" s="100" t="s">
        <v>3144</v>
      </c>
      <c r="C1450" s="100" t="s">
        <v>1685</v>
      </c>
      <c r="D1450" s="100" t="s">
        <v>1686</v>
      </c>
      <c r="E1450" s="198">
        <v>233.33</v>
      </c>
      <c r="F1450" s="199" t="s">
        <v>2857</v>
      </c>
    </row>
    <row r="1451" ht="22.5" customHeight="1">
      <c r="A1451" s="197">
        <v>46106.96036428241</v>
      </c>
      <c r="B1451" s="100" t="s">
        <v>3144</v>
      </c>
      <c r="C1451" s="100" t="s">
        <v>1688</v>
      </c>
      <c r="D1451" s="100" t="s">
        <v>1689</v>
      </c>
      <c r="E1451" s="198">
        <v>285.0</v>
      </c>
      <c r="F1451" s="199" t="s">
        <v>2858</v>
      </c>
    </row>
    <row r="1452" ht="22.5" customHeight="1">
      <c r="A1452" s="197">
        <v>46106.96036467592</v>
      </c>
      <c r="B1452" s="100" t="s">
        <v>3145</v>
      </c>
      <c r="C1452" s="100" t="s">
        <v>1685</v>
      </c>
      <c r="D1452" s="100" t="s">
        <v>1686</v>
      </c>
      <c r="E1452" s="198">
        <v>35.0</v>
      </c>
      <c r="F1452" s="199" t="s">
        <v>2860</v>
      </c>
    </row>
    <row r="1453" ht="22.5" customHeight="1">
      <c r="A1453" s="197">
        <v>46106.96036467592</v>
      </c>
      <c r="B1453" s="100" t="s">
        <v>3145</v>
      </c>
      <c r="C1453" s="100" t="s">
        <v>1688</v>
      </c>
      <c r="D1453" s="100" t="s">
        <v>1689</v>
      </c>
      <c r="E1453" s="198">
        <v>50.0</v>
      </c>
      <c r="F1453" s="199" t="s">
        <v>2862</v>
      </c>
    </row>
    <row r="1454" ht="22.5" customHeight="1">
      <c r="A1454" s="197">
        <v>46106.96036516204</v>
      </c>
      <c r="B1454" s="100" t="s">
        <v>3146</v>
      </c>
      <c r="C1454" s="100" t="s">
        <v>1685</v>
      </c>
      <c r="D1454" s="100" t="s">
        <v>1686</v>
      </c>
      <c r="E1454" s="198">
        <v>10.0</v>
      </c>
      <c r="F1454" s="199" t="s">
        <v>2864</v>
      </c>
    </row>
    <row r="1455" ht="22.5" customHeight="1">
      <c r="A1455" s="197">
        <v>46106.96036516204</v>
      </c>
      <c r="B1455" s="100" t="s">
        <v>3146</v>
      </c>
      <c r="C1455" s="100" t="s">
        <v>1688</v>
      </c>
      <c r="D1455" s="100" t="s">
        <v>1689</v>
      </c>
      <c r="E1455" s="198">
        <v>15.0</v>
      </c>
      <c r="F1455" s="199" t="s">
        <v>2866</v>
      </c>
    </row>
    <row r="1456" ht="22.5" customHeight="1">
      <c r="A1456" s="197">
        <v>46106.96036547454</v>
      </c>
      <c r="B1456" s="100" t="s">
        <v>3147</v>
      </c>
      <c r="C1456" s="100" t="s">
        <v>1685</v>
      </c>
      <c r="D1456" s="100" t="s">
        <v>1686</v>
      </c>
      <c r="E1456" s="198">
        <v>85.0</v>
      </c>
      <c r="F1456" s="199" t="s">
        <v>2540</v>
      </c>
    </row>
    <row r="1457" ht="22.5" customHeight="1">
      <c r="A1457" s="197">
        <v>46106.96036547454</v>
      </c>
      <c r="B1457" s="100" t="s">
        <v>3147</v>
      </c>
      <c r="C1457" s="100" t="s">
        <v>1688</v>
      </c>
      <c r="D1457" s="100" t="s">
        <v>1689</v>
      </c>
      <c r="E1457" s="198">
        <v>150.0</v>
      </c>
      <c r="F1457" s="199" t="s">
        <v>2541</v>
      </c>
    </row>
    <row r="1458" ht="22.5" customHeight="1">
      <c r="A1458" s="197">
        <v>46106.960365798615</v>
      </c>
      <c r="B1458" s="100" t="s">
        <v>3148</v>
      </c>
      <c r="C1458" s="100" t="s">
        <v>1685</v>
      </c>
      <c r="D1458" s="100" t="s">
        <v>1686</v>
      </c>
      <c r="E1458" s="198">
        <v>35.0</v>
      </c>
      <c r="F1458" s="199" t="s">
        <v>1805</v>
      </c>
    </row>
    <row r="1459" ht="22.5" customHeight="1">
      <c r="A1459" s="197">
        <v>46106.960365798615</v>
      </c>
      <c r="B1459" s="100" t="s">
        <v>3148</v>
      </c>
      <c r="C1459" s="100" t="s">
        <v>1688</v>
      </c>
      <c r="D1459" s="100" t="s">
        <v>1689</v>
      </c>
      <c r="E1459" s="198">
        <v>50.0</v>
      </c>
      <c r="F1459" s="199" t="s">
        <v>1806</v>
      </c>
    </row>
    <row r="1460" ht="22.5" customHeight="1">
      <c r="A1460" s="197">
        <v>46106.96036612269</v>
      </c>
      <c r="B1460" s="100" t="s">
        <v>3149</v>
      </c>
      <c r="C1460" s="100" t="s">
        <v>1685</v>
      </c>
      <c r="D1460" s="100" t="s">
        <v>1686</v>
      </c>
      <c r="E1460" s="198">
        <v>197.0</v>
      </c>
      <c r="F1460" s="199" t="s">
        <v>2427</v>
      </c>
    </row>
    <row r="1461" ht="22.5" customHeight="1">
      <c r="A1461" s="197">
        <v>46106.96036612269</v>
      </c>
      <c r="B1461" s="100" t="s">
        <v>3149</v>
      </c>
      <c r="C1461" s="100" t="s">
        <v>1688</v>
      </c>
      <c r="D1461" s="100" t="s">
        <v>1689</v>
      </c>
      <c r="E1461" s="198">
        <v>370.0</v>
      </c>
      <c r="F1461" s="199" t="s">
        <v>2428</v>
      </c>
    </row>
    <row r="1462" ht="22.5" customHeight="1">
      <c r="A1462" s="197">
        <v>46106.96036643519</v>
      </c>
      <c r="B1462" s="100" t="s">
        <v>3150</v>
      </c>
      <c r="C1462" s="100" t="s">
        <v>1685</v>
      </c>
      <c r="D1462" s="100" t="s">
        <v>1686</v>
      </c>
      <c r="E1462" s="198">
        <v>10.0</v>
      </c>
      <c r="F1462" s="199" t="s">
        <v>2109</v>
      </c>
    </row>
    <row r="1463" ht="22.5" customHeight="1">
      <c r="A1463" s="197">
        <v>46106.96036643519</v>
      </c>
      <c r="B1463" s="100" t="s">
        <v>3150</v>
      </c>
      <c r="C1463" s="100" t="s">
        <v>1688</v>
      </c>
      <c r="D1463" s="100" t="s">
        <v>1689</v>
      </c>
      <c r="E1463" s="198">
        <v>15.0</v>
      </c>
      <c r="F1463" s="199" t="s">
        <v>2110</v>
      </c>
    </row>
    <row r="1464" ht="22.5" customHeight="1">
      <c r="A1464" s="197">
        <v>46106.960366851854</v>
      </c>
      <c r="B1464" s="100" t="s">
        <v>3151</v>
      </c>
      <c r="C1464" s="100" t="s">
        <v>1685</v>
      </c>
      <c r="D1464" s="100" t="s">
        <v>1686</v>
      </c>
      <c r="E1464" s="198">
        <v>30.0</v>
      </c>
      <c r="F1464" s="199" t="s">
        <v>2106</v>
      </c>
    </row>
    <row r="1465" ht="22.5" customHeight="1">
      <c r="A1465" s="197">
        <v>46106.960366851854</v>
      </c>
      <c r="B1465" s="100" t="s">
        <v>3151</v>
      </c>
      <c r="C1465" s="100" t="s">
        <v>1688</v>
      </c>
      <c r="D1465" s="100" t="s">
        <v>1689</v>
      </c>
      <c r="E1465" s="198">
        <v>40.0</v>
      </c>
      <c r="F1465" s="199" t="s">
        <v>2107</v>
      </c>
    </row>
    <row r="1466" ht="22.5" customHeight="1">
      <c r="A1466" s="197">
        <v>46106.960367928245</v>
      </c>
      <c r="B1466" s="100" t="s">
        <v>3152</v>
      </c>
      <c r="C1466" s="100" t="s">
        <v>1685</v>
      </c>
      <c r="D1466" s="100" t="s">
        <v>1686</v>
      </c>
      <c r="E1466" s="198">
        <v>20.0</v>
      </c>
      <c r="F1466" s="199" t="s">
        <v>3126</v>
      </c>
    </row>
    <row r="1467" ht="22.5" customHeight="1">
      <c r="A1467" s="197">
        <v>46106.960367928245</v>
      </c>
      <c r="B1467" s="100" t="s">
        <v>3152</v>
      </c>
      <c r="C1467" s="100" t="s">
        <v>1688</v>
      </c>
      <c r="D1467" s="100" t="s">
        <v>1689</v>
      </c>
      <c r="E1467" s="198">
        <v>25.0</v>
      </c>
      <c r="F1467" s="199" t="s">
        <v>3127</v>
      </c>
    </row>
    <row r="1468" ht="22.5" customHeight="1">
      <c r="A1468" s="197">
        <v>46106.960368472224</v>
      </c>
      <c r="B1468" s="100" t="s">
        <v>3153</v>
      </c>
      <c r="C1468" s="100" t="s">
        <v>1685</v>
      </c>
      <c r="D1468" s="100" t="s">
        <v>1686</v>
      </c>
      <c r="E1468" s="198">
        <v>60.0</v>
      </c>
      <c r="F1468" s="199" t="s">
        <v>1713</v>
      </c>
    </row>
    <row r="1469" ht="22.5" customHeight="1">
      <c r="A1469" s="197">
        <v>46106.960368472224</v>
      </c>
      <c r="B1469" s="100" t="s">
        <v>3153</v>
      </c>
      <c r="C1469" s="100" t="s">
        <v>1688</v>
      </c>
      <c r="D1469" s="100" t="s">
        <v>1689</v>
      </c>
      <c r="E1469" s="198">
        <v>85.0</v>
      </c>
      <c r="F1469" s="199" t="s">
        <v>1714</v>
      </c>
    </row>
    <row r="1470" ht="22.5" customHeight="1">
      <c r="A1470" s="197">
        <v>46106.96036886574</v>
      </c>
      <c r="B1470" s="100" t="s">
        <v>3154</v>
      </c>
      <c r="C1470" s="100" t="s">
        <v>1685</v>
      </c>
      <c r="D1470" s="100" t="s">
        <v>1686</v>
      </c>
      <c r="E1470" s="198">
        <v>229.5</v>
      </c>
      <c r="F1470" s="199" t="s">
        <v>3155</v>
      </c>
    </row>
    <row r="1471" ht="22.5" customHeight="1">
      <c r="A1471" s="197">
        <v>46106.96036886574</v>
      </c>
      <c r="B1471" s="100" t="s">
        <v>3154</v>
      </c>
      <c r="C1471" s="100" t="s">
        <v>1688</v>
      </c>
      <c r="D1471" s="100" t="s">
        <v>1689</v>
      </c>
      <c r="E1471" s="198">
        <v>290.0</v>
      </c>
      <c r="F1471" s="199" t="s">
        <v>3156</v>
      </c>
    </row>
    <row r="1472" ht="22.5" customHeight="1">
      <c r="A1472" s="197">
        <v>46106.960369374996</v>
      </c>
      <c r="B1472" s="100" t="s">
        <v>3157</v>
      </c>
      <c r="C1472" s="100" t="s">
        <v>1685</v>
      </c>
      <c r="D1472" s="100" t="s">
        <v>1686</v>
      </c>
      <c r="E1472" s="198">
        <v>167.0</v>
      </c>
      <c r="F1472" s="199" t="s">
        <v>2835</v>
      </c>
    </row>
    <row r="1473" ht="22.5" customHeight="1">
      <c r="A1473" s="197">
        <v>46106.960369374996</v>
      </c>
      <c r="B1473" s="100" t="s">
        <v>3157</v>
      </c>
      <c r="C1473" s="100" t="s">
        <v>1688</v>
      </c>
      <c r="D1473" s="100" t="s">
        <v>1689</v>
      </c>
      <c r="E1473" s="198">
        <v>210.0</v>
      </c>
      <c r="F1473" s="199" t="s">
        <v>2836</v>
      </c>
    </row>
    <row r="1474" ht="22.5" customHeight="1">
      <c r="A1474" s="197">
        <v>46106.96036975694</v>
      </c>
      <c r="B1474" s="100" t="s">
        <v>3158</v>
      </c>
      <c r="C1474" s="100" t="s">
        <v>1685</v>
      </c>
      <c r="D1474" s="100" t="s">
        <v>1686</v>
      </c>
      <c r="E1474" s="198">
        <v>30.0</v>
      </c>
      <c r="F1474" s="199" t="s">
        <v>2609</v>
      </c>
    </row>
    <row r="1475" ht="22.5" customHeight="1">
      <c r="A1475" s="197">
        <v>46106.96036975694</v>
      </c>
      <c r="B1475" s="100" t="s">
        <v>3158</v>
      </c>
      <c r="C1475" s="100" t="s">
        <v>1688</v>
      </c>
      <c r="D1475" s="100" t="s">
        <v>1689</v>
      </c>
      <c r="E1475" s="198">
        <v>40.0</v>
      </c>
      <c r="F1475" s="199" t="s">
        <v>2610</v>
      </c>
    </row>
    <row r="1476" ht="22.5" customHeight="1">
      <c r="A1476" s="197">
        <v>46106.96037030093</v>
      </c>
      <c r="B1476" s="100" t="s">
        <v>3161</v>
      </c>
      <c r="C1476" s="100" t="s">
        <v>1685</v>
      </c>
      <c r="D1476" s="100" t="s">
        <v>1686</v>
      </c>
      <c r="E1476" s="198">
        <v>150.0</v>
      </c>
      <c r="F1476" s="199" t="s">
        <v>2912</v>
      </c>
    </row>
    <row r="1477" ht="22.5" customHeight="1">
      <c r="A1477" s="197">
        <v>46106.96037030093</v>
      </c>
      <c r="B1477" s="100" t="s">
        <v>3161</v>
      </c>
      <c r="C1477" s="100" t="s">
        <v>1688</v>
      </c>
      <c r="D1477" s="100" t="s">
        <v>1689</v>
      </c>
      <c r="E1477" s="198">
        <v>200.0</v>
      </c>
      <c r="F1477" s="199" t="s">
        <v>2913</v>
      </c>
    </row>
    <row r="1478" ht="22.5" customHeight="1">
      <c r="A1478" s="197">
        <v>46106.960370671295</v>
      </c>
      <c r="B1478" s="100" t="s">
        <v>3163</v>
      </c>
      <c r="C1478" s="100" t="s">
        <v>1685</v>
      </c>
      <c r="D1478" s="100" t="s">
        <v>1686</v>
      </c>
      <c r="E1478" s="198">
        <v>35.0</v>
      </c>
      <c r="F1478" s="199" t="s">
        <v>1805</v>
      </c>
    </row>
    <row r="1479" ht="22.5" customHeight="1">
      <c r="A1479" s="197">
        <v>46106.960370671295</v>
      </c>
      <c r="B1479" s="100" t="s">
        <v>3163</v>
      </c>
      <c r="C1479" s="100" t="s">
        <v>1688</v>
      </c>
      <c r="D1479" s="100" t="s">
        <v>1689</v>
      </c>
      <c r="E1479" s="198">
        <v>50.0</v>
      </c>
      <c r="F1479" s="199" t="s">
        <v>1806</v>
      </c>
    </row>
    <row r="1480" ht="22.5" customHeight="1">
      <c r="A1480" s="197">
        <v>46106.96037104167</v>
      </c>
      <c r="B1480" s="100" t="s">
        <v>3164</v>
      </c>
      <c r="C1480" s="100" t="s">
        <v>1685</v>
      </c>
      <c r="D1480" s="100" t="s">
        <v>1686</v>
      </c>
      <c r="E1480" s="198">
        <v>130.0</v>
      </c>
      <c r="F1480" s="199" t="s">
        <v>2128</v>
      </c>
    </row>
    <row r="1481" ht="22.5" customHeight="1">
      <c r="A1481" s="197">
        <v>46106.96037104167</v>
      </c>
      <c r="B1481" s="100" t="s">
        <v>3164</v>
      </c>
      <c r="C1481" s="100" t="s">
        <v>1688</v>
      </c>
      <c r="D1481" s="100" t="s">
        <v>1689</v>
      </c>
      <c r="E1481" s="198">
        <v>150.0</v>
      </c>
      <c r="F1481" s="199" t="s">
        <v>2129</v>
      </c>
    </row>
    <row r="1482" ht="22.5" customHeight="1">
      <c r="A1482" s="197">
        <v>46106.960371493056</v>
      </c>
      <c r="B1482" s="100" t="s">
        <v>3165</v>
      </c>
      <c r="C1482" s="100" t="s">
        <v>1685</v>
      </c>
      <c r="D1482" s="100" t="s">
        <v>1686</v>
      </c>
      <c r="E1482" s="198">
        <v>360.0</v>
      </c>
      <c r="F1482" s="199" t="s">
        <v>1710</v>
      </c>
    </row>
    <row r="1483" ht="22.5" customHeight="1">
      <c r="A1483" s="197">
        <v>46106.960371493056</v>
      </c>
      <c r="B1483" s="100" t="s">
        <v>3165</v>
      </c>
      <c r="C1483" s="100" t="s">
        <v>1688</v>
      </c>
      <c r="D1483" s="100" t="s">
        <v>1689</v>
      </c>
      <c r="E1483" s="198">
        <v>450.0</v>
      </c>
      <c r="F1483" s="199" t="s">
        <v>1711</v>
      </c>
    </row>
    <row r="1484" ht="22.5" customHeight="1">
      <c r="A1484" s="197">
        <v>46106.96037189815</v>
      </c>
      <c r="B1484" s="100" t="s">
        <v>3166</v>
      </c>
      <c r="C1484" s="100" t="s">
        <v>1685</v>
      </c>
      <c r="D1484" s="100" t="s">
        <v>1686</v>
      </c>
      <c r="E1484" s="198">
        <v>18.75</v>
      </c>
      <c r="F1484" s="199" t="s">
        <v>2989</v>
      </c>
    </row>
    <row r="1485" ht="22.5" customHeight="1">
      <c r="A1485" s="197">
        <v>46106.96037189815</v>
      </c>
      <c r="B1485" s="100" t="s">
        <v>3166</v>
      </c>
      <c r="C1485" s="100" t="s">
        <v>1688</v>
      </c>
      <c r="D1485" s="100" t="s">
        <v>1689</v>
      </c>
      <c r="E1485" s="198">
        <v>40.0</v>
      </c>
      <c r="F1485" s="199" t="s">
        <v>2990</v>
      </c>
    </row>
    <row r="1486" ht="22.5" customHeight="1">
      <c r="A1486" s="197">
        <v>46106.96037240741</v>
      </c>
      <c r="B1486" s="100" t="s">
        <v>3167</v>
      </c>
      <c r="C1486" s="100" t="s">
        <v>1685</v>
      </c>
      <c r="D1486" s="100" t="s">
        <v>1686</v>
      </c>
      <c r="E1486" s="198">
        <v>197.0</v>
      </c>
      <c r="F1486" s="199" t="s">
        <v>2427</v>
      </c>
    </row>
    <row r="1487" ht="22.5" customHeight="1">
      <c r="A1487" s="197">
        <v>46106.96037240741</v>
      </c>
      <c r="B1487" s="100" t="s">
        <v>3167</v>
      </c>
      <c r="C1487" s="100" t="s">
        <v>1688</v>
      </c>
      <c r="D1487" s="100" t="s">
        <v>1689</v>
      </c>
      <c r="E1487" s="198">
        <v>420.0</v>
      </c>
      <c r="F1487" s="199" t="s">
        <v>2428</v>
      </c>
    </row>
    <row r="1488" ht="22.5" customHeight="1">
      <c r="A1488" s="197">
        <v>46106.9603728588</v>
      </c>
      <c r="B1488" s="100" t="s">
        <v>3168</v>
      </c>
      <c r="C1488" s="100" t="s">
        <v>1685</v>
      </c>
      <c r="D1488" s="100" t="s">
        <v>1686</v>
      </c>
      <c r="E1488" s="198">
        <v>95.0</v>
      </c>
      <c r="F1488" s="199" t="s">
        <v>3169</v>
      </c>
    </row>
    <row r="1489" ht="22.5" customHeight="1">
      <c r="A1489" s="197">
        <v>46106.9603728588</v>
      </c>
      <c r="B1489" s="100" t="s">
        <v>3168</v>
      </c>
      <c r="C1489" s="100" t="s">
        <v>1688</v>
      </c>
      <c r="D1489" s="100" t="s">
        <v>1689</v>
      </c>
      <c r="E1489" s="198">
        <v>140.0</v>
      </c>
      <c r="F1489" s="199" t="s">
        <v>3170</v>
      </c>
    </row>
    <row r="1490" ht="22.5" customHeight="1">
      <c r="A1490" s="197">
        <v>46106.960373298614</v>
      </c>
      <c r="B1490" s="100" t="s">
        <v>3171</v>
      </c>
      <c r="C1490" s="100" t="s">
        <v>1685</v>
      </c>
      <c r="D1490" s="100" t="s">
        <v>1686</v>
      </c>
      <c r="E1490" s="198">
        <v>175.0</v>
      </c>
      <c r="F1490" s="199" t="s">
        <v>3172</v>
      </c>
    </row>
    <row r="1491" ht="22.5" customHeight="1">
      <c r="A1491" s="197">
        <v>46106.960373298614</v>
      </c>
      <c r="B1491" s="100" t="s">
        <v>3171</v>
      </c>
      <c r="C1491" s="100" t="s">
        <v>1688</v>
      </c>
      <c r="D1491" s="100" t="s">
        <v>1689</v>
      </c>
      <c r="E1491" s="198">
        <v>275.0</v>
      </c>
      <c r="F1491" s="199" t="s">
        <v>3174</v>
      </c>
    </row>
    <row r="1492" ht="22.5" customHeight="1">
      <c r="A1492" s="197">
        <v>46106.96037383102</v>
      </c>
      <c r="B1492" s="100" t="s">
        <v>3175</v>
      </c>
      <c r="C1492" s="100" t="s">
        <v>1685</v>
      </c>
      <c r="D1492" s="100" t="s">
        <v>1686</v>
      </c>
      <c r="E1492" s="198">
        <v>55.0</v>
      </c>
      <c r="F1492" s="199" t="s">
        <v>3178</v>
      </c>
    </row>
    <row r="1493" ht="22.5" customHeight="1">
      <c r="A1493" s="197">
        <v>46106.96037383102</v>
      </c>
      <c r="B1493" s="100" t="s">
        <v>3175</v>
      </c>
      <c r="C1493" s="100" t="s">
        <v>1688</v>
      </c>
      <c r="D1493" s="100" t="s">
        <v>1689</v>
      </c>
      <c r="E1493" s="198">
        <v>75.0</v>
      </c>
      <c r="F1493" s="199" t="s">
        <v>3180</v>
      </c>
    </row>
    <row r="1494" ht="22.5" customHeight="1">
      <c r="A1494" s="197">
        <v>46106.96037421296</v>
      </c>
      <c r="B1494" s="100" t="s">
        <v>3181</v>
      </c>
      <c r="C1494" s="100" t="s">
        <v>1685</v>
      </c>
      <c r="D1494" s="100" t="s">
        <v>1686</v>
      </c>
      <c r="E1494" s="198">
        <v>4.38</v>
      </c>
      <c r="F1494" s="100" t="s">
        <v>2178</v>
      </c>
    </row>
    <row r="1495" ht="22.5" customHeight="1">
      <c r="A1495" s="197">
        <v>46106.96037421296</v>
      </c>
      <c r="B1495" s="100" t="s">
        <v>3181</v>
      </c>
      <c r="C1495" s="100" t="s">
        <v>1688</v>
      </c>
      <c r="D1495" s="100" t="s">
        <v>1689</v>
      </c>
      <c r="E1495" s="198">
        <v>10.0</v>
      </c>
      <c r="F1495" s="100" t="s">
        <v>2179</v>
      </c>
    </row>
    <row r="1496" ht="22.5" customHeight="1">
      <c r="A1496" s="197">
        <v>46106.960374745366</v>
      </c>
      <c r="B1496" s="100" t="s">
        <v>3184</v>
      </c>
      <c r="C1496" s="100" t="s">
        <v>1685</v>
      </c>
      <c r="D1496" s="100" t="s">
        <v>1686</v>
      </c>
      <c r="E1496" s="198">
        <v>280.0</v>
      </c>
      <c r="F1496" s="199" t="s">
        <v>1742</v>
      </c>
    </row>
    <row r="1497" ht="22.5" customHeight="1">
      <c r="A1497" s="197">
        <v>46106.960374745366</v>
      </c>
      <c r="B1497" s="100" t="s">
        <v>3184</v>
      </c>
      <c r="C1497" s="100" t="s">
        <v>1688</v>
      </c>
      <c r="D1497" s="100" t="s">
        <v>1689</v>
      </c>
      <c r="E1497" s="198">
        <v>330.0</v>
      </c>
      <c r="F1497" s="199" t="s">
        <v>1743</v>
      </c>
    </row>
    <row r="1498" ht="22.5" customHeight="1">
      <c r="A1498" s="197">
        <v>46106.96037527778</v>
      </c>
      <c r="B1498" s="100" t="s">
        <v>3186</v>
      </c>
      <c r="C1498" s="100" t="s">
        <v>1685</v>
      </c>
      <c r="D1498" s="100" t="s">
        <v>1686</v>
      </c>
      <c r="E1498" s="198">
        <v>60.0</v>
      </c>
      <c r="F1498" s="199" t="s">
        <v>1713</v>
      </c>
    </row>
    <row r="1499" ht="22.5" customHeight="1">
      <c r="A1499" s="197">
        <v>46106.96037527778</v>
      </c>
      <c r="B1499" s="100" t="s">
        <v>3186</v>
      </c>
      <c r="C1499" s="100" t="s">
        <v>1688</v>
      </c>
      <c r="D1499" s="100" t="s">
        <v>1689</v>
      </c>
      <c r="E1499" s="198">
        <v>85.0</v>
      </c>
      <c r="F1499" s="199" t="s">
        <v>1714</v>
      </c>
    </row>
    <row r="1500" ht="22.5" customHeight="1">
      <c r="A1500" s="197">
        <v>46106.96037623842</v>
      </c>
      <c r="B1500" s="100" t="s">
        <v>3188</v>
      </c>
      <c r="C1500" s="100" t="s">
        <v>1685</v>
      </c>
      <c r="D1500" s="100" t="s">
        <v>1686</v>
      </c>
      <c r="E1500" s="198">
        <v>125.0</v>
      </c>
      <c r="F1500" s="199" t="s">
        <v>3190</v>
      </c>
    </row>
    <row r="1501" ht="22.5" customHeight="1">
      <c r="A1501" s="197">
        <v>46106.96037623842</v>
      </c>
      <c r="B1501" s="100" t="s">
        <v>3188</v>
      </c>
      <c r="C1501" s="100" t="s">
        <v>1688</v>
      </c>
      <c r="D1501" s="100" t="s">
        <v>1689</v>
      </c>
      <c r="E1501" s="198">
        <v>165.0</v>
      </c>
      <c r="F1501" s="199" t="s">
        <v>3191</v>
      </c>
    </row>
    <row r="1502" ht="22.5" customHeight="1">
      <c r="A1502" s="197">
        <v>46106.96037680555</v>
      </c>
      <c r="B1502" s="100" t="s">
        <v>3192</v>
      </c>
      <c r="C1502" s="100" t="s">
        <v>1685</v>
      </c>
      <c r="D1502" s="100" t="s">
        <v>1686</v>
      </c>
      <c r="E1502" s="198">
        <v>140.0</v>
      </c>
      <c r="F1502" s="199" t="s">
        <v>1742</v>
      </c>
    </row>
    <row r="1503" ht="22.5" customHeight="1">
      <c r="A1503" s="197">
        <v>46106.96037680555</v>
      </c>
      <c r="B1503" s="100" t="s">
        <v>3192</v>
      </c>
      <c r="C1503" s="100" t="s">
        <v>1688</v>
      </c>
      <c r="D1503" s="100" t="s">
        <v>1689</v>
      </c>
      <c r="E1503" s="198">
        <v>165.0</v>
      </c>
      <c r="F1503" s="199" t="s">
        <v>1743</v>
      </c>
    </row>
    <row r="1504" ht="22.5" customHeight="1">
      <c r="A1504" s="197">
        <v>46106.96037728009</v>
      </c>
      <c r="B1504" s="100" t="s">
        <v>3194</v>
      </c>
      <c r="C1504" s="100" t="s">
        <v>1685</v>
      </c>
      <c r="D1504" s="100" t="s">
        <v>1686</v>
      </c>
      <c r="E1504" s="198">
        <v>90.24</v>
      </c>
      <c r="F1504" s="199" t="s">
        <v>3195</v>
      </c>
    </row>
    <row r="1505" ht="22.5" customHeight="1">
      <c r="A1505" s="197">
        <v>46106.96037728009</v>
      </c>
      <c r="B1505" s="100" t="s">
        <v>3194</v>
      </c>
      <c r="C1505" s="100" t="s">
        <v>1688</v>
      </c>
      <c r="D1505" s="100" t="s">
        <v>1689</v>
      </c>
      <c r="E1505" s="198">
        <v>200.0</v>
      </c>
      <c r="F1505" s="199" t="s">
        <v>3197</v>
      </c>
    </row>
    <row r="1506" ht="22.5" customHeight="1">
      <c r="A1506" s="197">
        <v>46106.960377615746</v>
      </c>
      <c r="B1506" s="100" t="s">
        <v>3198</v>
      </c>
      <c r="C1506" s="100" t="s">
        <v>1685</v>
      </c>
      <c r="D1506" s="100" t="s">
        <v>1686</v>
      </c>
      <c r="E1506" s="198">
        <v>170.0</v>
      </c>
      <c r="F1506" s="199" t="s">
        <v>1817</v>
      </c>
    </row>
    <row r="1507" ht="22.5" customHeight="1">
      <c r="A1507" s="197">
        <v>46106.960377615746</v>
      </c>
      <c r="B1507" s="100" t="s">
        <v>3198</v>
      </c>
      <c r="C1507" s="100" t="s">
        <v>1688</v>
      </c>
      <c r="D1507" s="100" t="s">
        <v>1689</v>
      </c>
      <c r="E1507" s="198">
        <v>250.0</v>
      </c>
      <c r="F1507" s="199" t="s">
        <v>1819</v>
      </c>
    </row>
    <row r="1508" ht="22.5" customHeight="1">
      <c r="A1508" s="197">
        <v>46106.960378090276</v>
      </c>
      <c r="B1508" s="100" t="s">
        <v>3200</v>
      </c>
      <c r="C1508" s="100" t="s">
        <v>1685</v>
      </c>
      <c r="D1508" s="100" t="s">
        <v>1686</v>
      </c>
      <c r="E1508" s="198">
        <v>210.0</v>
      </c>
      <c r="F1508" s="199" t="s">
        <v>3201</v>
      </c>
    </row>
    <row r="1509" ht="22.5" customHeight="1">
      <c r="A1509" s="197">
        <v>46106.960378090276</v>
      </c>
      <c r="B1509" s="100" t="s">
        <v>3200</v>
      </c>
      <c r="C1509" s="100" t="s">
        <v>1688</v>
      </c>
      <c r="D1509" s="100" t="s">
        <v>1689</v>
      </c>
      <c r="E1509" s="198">
        <v>250.0</v>
      </c>
      <c r="F1509" s="199" t="s">
        <v>3203</v>
      </c>
    </row>
    <row r="1510" ht="22.5" customHeight="1">
      <c r="A1510" s="197">
        <v>46106.960378344906</v>
      </c>
      <c r="B1510" s="100" t="s">
        <v>3204</v>
      </c>
      <c r="C1510" s="100" t="s">
        <v>1685</v>
      </c>
      <c r="D1510" s="100" t="s">
        <v>1686</v>
      </c>
      <c r="E1510" s="198">
        <v>35.0</v>
      </c>
      <c r="F1510" s="199" t="s">
        <v>2860</v>
      </c>
    </row>
    <row r="1511" ht="22.5" customHeight="1">
      <c r="A1511" s="197">
        <v>46106.960378344906</v>
      </c>
      <c r="B1511" s="100" t="s">
        <v>3204</v>
      </c>
      <c r="C1511" s="100" t="s">
        <v>1688</v>
      </c>
      <c r="D1511" s="100" t="s">
        <v>1689</v>
      </c>
      <c r="E1511" s="198">
        <v>40.0</v>
      </c>
      <c r="F1511" s="199" t="s">
        <v>2862</v>
      </c>
    </row>
    <row r="1512" ht="22.5" customHeight="1">
      <c r="A1512" s="197">
        <v>46106.960378668984</v>
      </c>
      <c r="B1512" s="100" t="s">
        <v>3206</v>
      </c>
      <c r="C1512" s="100" t="s">
        <v>1685</v>
      </c>
      <c r="D1512" s="100" t="s">
        <v>1686</v>
      </c>
      <c r="E1512" s="198">
        <v>10.0</v>
      </c>
      <c r="F1512" s="199" t="s">
        <v>2864</v>
      </c>
    </row>
    <row r="1513" ht="22.5" customHeight="1">
      <c r="A1513" s="197">
        <v>46106.960378668984</v>
      </c>
      <c r="B1513" s="100" t="s">
        <v>3206</v>
      </c>
      <c r="C1513" s="100" t="s">
        <v>1688</v>
      </c>
      <c r="D1513" s="100" t="s">
        <v>1689</v>
      </c>
      <c r="E1513" s="198">
        <v>10.0</v>
      </c>
      <c r="F1513" s="199" t="s">
        <v>2866</v>
      </c>
    </row>
    <row r="1514" ht="22.5" customHeight="1">
      <c r="A1514" s="197">
        <v>46106.96037907407</v>
      </c>
      <c r="B1514" s="100" t="s">
        <v>3207</v>
      </c>
      <c r="C1514" s="100" t="s">
        <v>1685</v>
      </c>
      <c r="D1514" s="100" t="s">
        <v>1686</v>
      </c>
      <c r="E1514" s="198">
        <v>63.0</v>
      </c>
      <c r="F1514" s="100" t="s">
        <v>1701</v>
      </c>
    </row>
    <row r="1515" ht="22.5" customHeight="1">
      <c r="A1515" s="197">
        <v>46106.96037907407</v>
      </c>
      <c r="B1515" s="100" t="s">
        <v>3207</v>
      </c>
      <c r="C1515" s="100" t="s">
        <v>1688</v>
      </c>
      <c r="D1515" s="100" t="s">
        <v>1689</v>
      </c>
      <c r="E1515" s="198">
        <v>100.0</v>
      </c>
      <c r="F1515" s="100" t="s">
        <v>1702</v>
      </c>
    </row>
    <row r="1516" ht="22.5" customHeight="1">
      <c r="A1516" s="197">
        <v>46106.96037940972</v>
      </c>
      <c r="B1516" s="100" t="s">
        <v>3209</v>
      </c>
      <c r="C1516" s="100" t="s">
        <v>1685</v>
      </c>
      <c r="D1516" s="100" t="s">
        <v>1686</v>
      </c>
      <c r="E1516" s="198">
        <v>160.0</v>
      </c>
      <c r="F1516" s="199" t="s">
        <v>2747</v>
      </c>
    </row>
    <row r="1517" ht="22.5" customHeight="1">
      <c r="A1517" s="197">
        <v>46106.96037940972</v>
      </c>
      <c r="B1517" s="100" t="s">
        <v>3209</v>
      </c>
      <c r="C1517" s="100" t="s">
        <v>1688</v>
      </c>
      <c r="D1517" s="100" t="s">
        <v>1689</v>
      </c>
      <c r="E1517" s="198">
        <v>195.0</v>
      </c>
      <c r="F1517" s="199" t="s">
        <v>2749</v>
      </c>
    </row>
    <row r="1518" ht="22.5" customHeight="1">
      <c r="A1518" s="197">
        <v>46106.960379780096</v>
      </c>
      <c r="B1518" s="100" t="s">
        <v>3211</v>
      </c>
      <c r="C1518" s="100" t="s">
        <v>1685</v>
      </c>
      <c r="D1518" s="100" t="s">
        <v>1686</v>
      </c>
      <c r="E1518" s="198">
        <v>64.67</v>
      </c>
      <c r="F1518" s="199" t="s">
        <v>3080</v>
      </c>
    </row>
    <row r="1519" ht="22.5" customHeight="1">
      <c r="A1519" s="197">
        <v>46106.960379780096</v>
      </c>
      <c r="B1519" s="100" t="s">
        <v>3211</v>
      </c>
      <c r="C1519" s="100" t="s">
        <v>1688</v>
      </c>
      <c r="D1519" s="100" t="s">
        <v>1689</v>
      </c>
      <c r="E1519" s="198">
        <v>100.0</v>
      </c>
      <c r="F1519" s="199" t="s">
        <v>3081</v>
      </c>
    </row>
    <row r="1520" ht="22.5" customHeight="1">
      <c r="A1520" s="197">
        <v>46106.96038020833</v>
      </c>
      <c r="B1520" s="100" t="s">
        <v>3213</v>
      </c>
      <c r="C1520" s="100" t="s">
        <v>1685</v>
      </c>
      <c r="D1520" s="100" t="s">
        <v>1686</v>
      </c>
      <c r="E1520" s="198">
        <v>51.0</v>
      </c>
      <c r="F1520" s="100" t="s">
        <v>2174</v>
      </c>
    </row>
    <row r="1521" ht="22.5" customHeight="1">
      <c r="A1521" s="197">
        <v>46106.96038020833</v>
      </c>
      <c r="B1521" s="100" t="s">
        <v>3213</v>
      </c>
      <c r="C1521" s="100" t="s">
        <v>1688</v>
      </c>
      <c r="D1521" s="100" t="s">
        <v>1689</v>
      </c>
      <c r="E1521" s="198">
        <v>75.0</v>
      </c>
      <c r="F1521" s="100" t="s">
        <v>2175</v>
      </c>
    </row>
    <row r="1522" ht="22.5" customHeight="1">
      <c r="A1522" s="197">
        <v>46106.960380543984</v>
      </c>
      <c r="B1522" s="100" t="s">
        <v>3215</v>
      </c>
      <c r="C1522" s="100" t="s">
        <v>1685</v>
      </c>
      <c r="D1522" s="100" t="s">
        <v>1686</v>
      </c>
      <c r="E1522" s="198">
        <v>22.26</v>
      </c>
      <c r="F1522" s="100" t="s">
        <v>2123</v>
      </c>
    </row>
    <row r="1523" ht="22.5" customHeight="1">
      <c r="A1523" s="197">
        <v>46106.960380543984</v>
      </c>
      <c r="B1523" s="100" t="s">
        <v>3215</v>
      </c>
      <c r="C1523" s="100" t="s">
        <v>1688</v>
      </c>
      <c r="D1523" s="100" t="s">
        <v>1689</v>
      </c>
      <c r="E1523" s="198">
        <v>40.0</v>
      </c>
      <c r="F1523" s="100" t="s">
        <v>2124</v>
      </c>
    </row>
    <row r="1524" ht="22.5" customHeight="1">
      <c r="A1524" s="197">
        <v>46106.96225471065</v>
      </c>
      <c r="B1524" s="100" t="s">
        <v>3216</v>
      </c>
      <c r="C1524" s="100" t="s">
        <v>1685</v>
      </c>
      <c r="D1524" s="100" t="s">
        <v>1686</v>
      </c>
      <c r="E1524" s="198">
        <v>65.41</v>
      </c>
      <c r="F1524" s="199" t="s">
        <v>2360</v>
      </c>
    </row>
    <row r="1525" ht="22.5" customHeight="1">
      <c r="A1525" s="197">
        <v>46106.96225471065</v>
      </c>
      <c r="B1525" s="100" t="s">
        <v>3216</v>
      </c>
      <c r="C1525" s="100" t="s">
        <v>1688</v>
      </c>
      <c r="D1525" s="100" t="s">
        <v>1689</v>
      </c>
      <c r="E1525" s="198">
        <v>140.0</v>
      </c>
      <c r="F1525" s="199" t="s">
        <v>2361</v>
      </c>
    </row>
    <row r="1526" ht="22.5" customHeight="1">
      <c r="A1526" s="197">
        <v>46107.000832314814</v>
      </c>
      <c r="B1526" s="100" t="s">
        <v>3218</v>
      </c>
      <c r="C1526" s="100" t="s">
        <v>1685</v>
      </c>
      <c r="D1526" s="100" t="s">
        <v>1686</v>
      </c>
      <c r="E1526" s="198">
        <v>75.0</v>
      </c>
      <c r="F1526" s="199" t="s">
        <v>2912</v>
      </c>
    </row>
    <row r="1527" ht="22.5" customHeight="1">
      <c r="A1527" s="197">
        <v>46107.000832314814</v>
      </c>
      <c r="B1527" s="100" t="s">
        <v>3218</v>
      </c>
      <c r="C1527" s="100" t="s">
        <v>1688</v>
      </c>
      <c r="D1527" s="100" t="s">
        <v>1689</v>
      </c>
      <c r="E1527" s="198">
        <v>100.0</v>
      </c>
      <c r="F1527" s="199" t="s">
        <v>2913</v>
      </c>
    </row>
    <row r="1528" ht="22.5" customHeight="1">
      <c r="A1528" s="197">
        <v>46107.00083942129</v>
      </c>
      <c r="B1528" s="100" t="s">
        <v>3220</v>
      </c>
      <c r="C1528" s="100" t="s">
        <v>1685</v>
      </c>
      <c r="D1528" s="100" t="s">
        <v>1686</v>
      </c>
      <c r="E1528" s="198">
        <v>46.44</v>
      </c>
      <c r="F1528" s="199" t="s">
        <v>3083</v>
      </c>
    </row>
    <row r="1529" ht="22.5" customHeight="1">
      <c r="A1529" s="197">
        <v>46107.00083942129</v>
      </c>
      <c r="B1529" s="100" t="s">
        <v>3220</v>
      </c>
      <c r="C1529" s="100" t="s">
        <v>1688</v>
      </c>
      <c r="D1529" s="100" t="s">
        <v>1689</v>
      </c>
      <c r="E1529" s="198">
        <v>80.0</v>
      </c>
      <c r="F1529" s="199" t="s">
        <v>3084</v>
      </c>
    </row>
    <row r="1530" ht="22.5" customHeight="1">
      <c r="A1530" s="197">
        <v>46107.00085107639</v>
      </c>
      <c r="B1530" s="100" t="s">
        <v>3222</v>
      </c>
      <c r="C1530" s="100" t="s">
        <v>1685</v>
      </c>
      <c r="D1530" s="100" t="s">
        <v>1686</v>
      </c>
      <c r="E1530" s="198">
        <v>30.0</v>
      </c>
      <c r="F1530" s="199" t="s">
        <v>1958</v>
      </c>
    </row>
    <row r="1531" ht="22.5" customHeight="1">
      <c r="A1531" s="197">
        <v>46107.00085107639</v>
      </c>
      <c r="B1531" s="100" t="s">
        <v>3222</v>
      </c>
      <c r="C1531" s="100" t="s">
        <v>1688</v>
      </c>
      <c r="D1531" s="100" t="s">
        <v>1689</v>
      </c>
      <c r="E1531" s="198">
        <v>60.0</v>
      </c>
      <c r="F1531" s="199" t="s">
        <v>1959</v>
      </c>
    </row>
    <row r="1532" ht="22.5" customHeight="1">
      <c r="A1532" s="197">
        <v>46107.000861249995</v>
      </c>
      <c r="B1532" s="100" t="s">
        <v>3224</v>
      </c>
      <c r="C1532" s="100" t="s">
        <v>1685</v>
      </c>
      <c r="D1532" s="100" t="s">
        <v>1686</v>
      </c>
      <c r="E1532" s="198">
        <v>30.0</v>
      </c>
      <c r="F1532" s="199" t="s">
        <v>2609</v>
      </c>
    </row>
    <row r="1533" ht="22.5" customHeight="1">
      <c r="A1533" s="197">
        <v>46107.000861249995</v>
      </c>
      <c r="B1533" s="100" t="s">
        <v>3224</v>
      </c>
      <c r="C1533" s="100" t="s">
        <v>1688</v>
      </c>
      <c r="D1533" s="100" t="s">
        <v>1689</v>
      </c>
      <c r="E1533" s="198">
        <v>40.0</v>
      </c>
      <c r="F1533" s="199" t="s">
        <v>2610</v>
      </c>
    </row>
    <row r="1534" ht="22.5" customHeight="1">
      <c r="A1534" s="197">
        <v>46107.00086939815</v>
      </c>
      <c r="B1534" s="100" t="s">
        <v>3226</v>
      </c>
      <c r="C1534" s="100" t="s">
        <v>1685</v>
      </c>
      <c r="D1534" s="100" t="s">
        <v>1686</v>
      </c>
      <c r="E1534" s="198">
        <v>35.0</v>
      </c>
      <c r="F1534" s="199" t="s">
        <v>1805</v>
      </c>
    </row>
    <row r="1535" ht="22.5" customHeight="1">
      <c r="A1535" s="197">
        <v>46107.00086939815</v>
      </c>
      <c r="B1535" s="100" t="s">
        <v>3226</v>
      </c>
      <c r="C1535" s="100" t="s">
        <v>1688</v>
      </c>
      <c r="D1535" s="100" t="s">
        <v>1689</v>
      </c>
      <c r="E1535" s="198">
        <v>50.0</v>
      </c>
      <c r="F1535" s="199" t="s">
        <v>1806</v>
      </c>
    </row>
    <row r="1536" ht="22.5" customHeight="1">
      <c r="A1536" s="197">
        <v>46107.000879803236</v>
      </c>
      <c r="B1536" s="100" t="s">
        <v>3228</v>
      </c>
      <c r="C1536" s="100" t="s">
        <v>1685</v>
      </c>
      <c r="D1536" s="100" t="s">
        <v>1686</v>
      </c>
      <c r="E1536" s="198">
        <v>70.0</v>
      </c>
      <c r="F1536" s="199" t="s">
        <v>2860</v>
      </c>
    </row>
    <row r="1537" ht="22.5" customHeight="1">
      <c r="A1537" s="197">
        <v>46107.000879803236</v>
      </c>
      <c r="B1537" s="100" t="s">
        <v>3228</v>
      </c>
      <c r="C1537" s="100" t="s">
        <v>1688</v>
      </c>
      <c r="D1537" s="100" t="s">
        <v>1689</v>
      </c>
      <c r="E1537" s="198">
        <v>100.0</v>
      </c>
      <c r="F1537" s="199" t="s">
        <v>2862</v>
      </c>
    </row>
    <row r="1538" ht="22.5" customHeight="1">
      <c r="A1538" s="197">
        <v>46107.00088789352</v>
      </c>
      <c r="B1538" s="100" t="s">
        <v>3230</v>
      </c>
      <c r="C1538" s="100" t="s">
        <v>1685</v>
      </c>
      <c r="D1538" s="100" t="s">
        <v>1686</v>
      </c>
      <c r="E1538" s="198">
        <v>140.0</v>
      </c>
      <c r="F1538" s="199" t="s">
        <v>1742</v>
      </c>
    </row>
    <row r="1539" ht="22.5" customHeight="1">
      <c r="A1539" s="197">
        <v>46107.00088789352</v>
      </c>
      <c r="B1539" s="100" t="s">
        <v>3230</v>
      </c>
      <c r="C1539" s="100" t="s">
        <v>1688</v>
      </c>
      <c r="D1539" s="100" t="s">
        <v>1689</v>
      </c>
      <c r="E1539" s="198">
        <v>170.0</v>
      </c>
      <c r="F1539" s="199" t="s">
        <v>1743</v>
      </c>
    </row>
    <row r="1540" ht="22.5" customHeight="1">
      <c r="A1540" s="197">
        <v>46107.000897210644</v>
      </c>
      <c r="B1540" s="100" t="s">
        <v>3232</v>
      </c>
      <c r="C1540" s="100" t="s">
        <v>1685</v>
      </c>
      <c r="D1540" s="100" t="s">
        <v>1686</v>
      </c>
      <c r="E1540" s="198">
        <v>115.0</v>
      </c>
      <c r="F1540" s="199" t="s">
        <v>3233</v>
      </c>
    </row>
    <row r="1541" ht="22.5" customHeight="1">
      <c r="A1541" s="197">
        <v>46107.000897210644</v>
      </c>
      <c r="B1541" s="100" t="s">
        <v>3232</v>
      </c>
      <c r="C1541" s="100" t="s">
        <v>1688</v>
      </c>
      <c r="D1541" s="100" t="s">
        <v>1689</v>
      </c>
      <c r="E1541" s="198">
        <v>170.0</v>
      </c>
      <c r="F1541" s="199" t="s">
        <v>3234</v>
      </c>
    </row>
    <row r="1542" ht="22.5" customHeight="1">
      <c r="A1542" s="197">
        <v>46107.00090428241</v>
      </c>
      <c r="B1542" s="100" t="s">
        <v>3236</v>
      </c>
      <c r="C1542" s="100" t="s">
        <v>1685</v>
      </c>
      <c r="D1542" s="100" t="s">
        <v>1686</v>
      </c>
      <c r="E1542" s="198">
        <v>75.0</v>
      </c>
      <c r="F1542" s="199" t="s">
        <v>2432</v>
      </c>
    </row>
    <row r="1543" ht="22.5" customHeight="1">
      <c r="A1543" s="197">
        <v>46107.00090428241</v>
      </c>
      <c r="B1543" s="100" t="s">
        <v>3236</v>
      </c>
      <c r="C1543" s="100" t="s">
        <v>1688</v>
      </c>
      <c r="D1543" s="100" t="s">
        <v>1689</v>
      </c>
      <c r="E1543" s="198">
        <v>100.0</v>
      </c>
      <c r="F1543" s="199" t="s">
        <v>2433</v>
      </c>
    </row>
    <row r="1544" ht="22.5" customHeight="1">
      <c r="A1544" s="197">
        <v>46107.00091802083</v>
      </c>
      <c r="B1544" s="100" t="s">
        <v>3237</v>
      </c>
      <c r="C1544" s="100" t="s">
        <v>1685</v>
      </c>
      <c r="D1544" s="100" t="s">
        <v>1686</v>
      </c>
      <c r="E1544" s="198">
        <v>95.0</v>
      </c>
      <c r="F1544" s="199" t="s">
        <v>3169</v>
      </c>
    </row>
    <row r="1545" ht="22.5" customHeight="1">
      <c r="A1545" s="197">
        <v>46107.00091802083</v>
      </c>
      <c r="B1545" s="100" t="s">
        <v>3237</v>
      </c>
      <c r="C1545" s="100" t="s">
        <v>1688</v>
      </c>
      <c r="D1545" s="100" t="s">
        <v>1689</v>
      </c>
      <c r="E1545" s="198">
        <v>140.0</v>
      </c>
      <c r="F1545" s="199" t="s">
        <v>3170</v>
      </c>
    </row>
    <row r="1546" ht="22.5" customHeight="1">
      <c r="A1546" s="197">
        <v>46107.00092736111</v>
      </c>
      <c r="B1546" s="100" t="s">
        <v>3239</v>
      </c>
      <c r="C1546" s="100" t="s">
        <v>1685</v>
      </c>
      <c r="D1546" s="100" t="s">
        <v>1686</v>
      </c>
      <c r="E1546" s="198">
        <v>800.0</v>
      </c>
      <c r="F1546" s="199" t="s">
        <v>3240</v>
      </c>
    </row>
    <row r="1547" ht="22.5" customHeight="1">
      <c r="A1547" s="197">
        <v>46107.00092736111</v>
      </c>
      <c r="B1547" s="100" t="s">
        <v>3239</v>
      </c>
      <c r="C1547" s="100" t="s">
        <v>1688</v>
      </c>
      <c r="D1547" s="100" t="s">
        <v>1689</v>
      </c>
      <c r="E1547" s="198">
        <v>1000.0</v>
      </c>
      <c r="F1547" s="199" t="s">
        <v>3242</v>
      </c>
    </row>
    <row r="1548" ht="22.5" customHeight="1">
      <c r="A1548" s="197">
        <v>46107.000935601856</v>
      </c>
      <c r="B1548" s="100" t="s">
        <v>3243</v>
      </c>
      <c r="C1548" s="100" t="s">
        <v>1685</v>
      </c>
      <c r="D1548" s="100" t="s">
        <v>1686</v>
      </c>
      <c r="E1548" s="198">
        <v>490.0</v>
      </c>
      <c r="F1548" s="199" t="s">
        <v>3244</v>
      </c>
    </row>
    <row r="1549" ht="22.5" customHeight="1">
      <c r="A1549" s="197">
        <v>46107.000935601856</v>
      </c>
      <c r="B1549" s="100" t="s">
        <v>3243</v>
      </c>
      <c r="C1549" s="100" t="s">
        <v>1688</v>
      </c>
      <c r="D1549" s="100" t="s">
        <v>1689</v>
      </c>
      <c r="E1549" s="198">
        <v>600.0</v>
      </c>
      <c r="F1549" s="199" t="s">
        <v>3246</v>
      </c>
    </row>
    <row r="1550" ht="22.5" customHeight="1">
      <c r="A1550" s="197">
        <v>46107.000943506944</v>
      </c>
      <c r="B1550" s="100" t="s">
        <v>3247</v>
      </c>
      <c r="C1550" s="100" t="s">
        <v>1685</v>
      </c>
      <c r="D1550" s="100" t="s">
        <v>1686</v>
      </c>
      <c r="E1550" s="198">
        <v>700.0</v>
      </c>
      <c r="F1550" s="199" t="s">
        <v>3248</v>
      </c>
    </row>
    <row r="1551" ht="22.5" customHeight="1">
      <c r="A1551" s="197">
        <v>46107.000943506944</v>
      </c>
      <c r="B1551" s="100" t="s">
        <v>3247</v>
      </c>
      <c r="C1551" s="100" t="s">
        <v>1688</v>
      </c>
      <c r="D1551" s="100" t="s">
        <v>1689</v>
      </c>
      <c r="E1551" s="198">
        <v>800.0</v>
      </c>
      <c r="F1551" s="199" t="s">
        <v>3250</v>
      </c>
    </row>
    <row r="1552" ht="22.5" customHeight="1">
      <c r="A1552" s="197">
        <v>46107.00095519676</v>
      </c>
      <c r="B1552" s="100" t="s">
        <v>3251</v>
      </c>
      <c r="C1552" s="100" t="s">
        <v>1685</v>
      </c>
      <c r="D1552" s="100" t="s">
        <v>1686</v>
      </c>
      <c r="E1552" s="198">
        <v>35.0</v>
      </c>
      <c r="F1552" s="199" t="s">
        <v>2137</v>
      </c>
    </row>
    <row r="1553" ht="22.5" customHeight="1">
      <c r="A1553" s="197">
        <v>46107.00095519676</v>
      </c>
      <c r="B1553" s="100" t="s">
        <v>3251</v>
      </c>
      <c r="C1553" s="100" t="s">
        <v>1688</v>
      </c>
      <c r="D1553" s="100" t="s">
        <v>1689</v>
      </c>
      <c r="E1553" s="198">
        <v>50.0</v>
      </c>
      <c r="F1553" s="199" t="s">
        <v>2138</v>
      </c>
    </row>
    <row r="1554" ht="22.5" customHeight="1">
      <c r="A1554" s="197">
        <v>46107.000966527776</v>
      </c>
      <c r="B1554" s="100" t="s">
        <v>3253</v>
      </c>
      <c r="C1554" s="100" t="s">
        <v>1685</v>
      </c>
      <c r="D1554" s="100" t="s">
        <v>1686</v>
      </c>
      <c r="E1554" s="198">
        <v>188.0</v>
      </c>
      <c r="F1554" s="199" t="s">
        <v>2938</v>
      </c>
    </row>
    <row r="1555" ht="22.5" customHeight="1">
      <c r="A1555" s="197">
        <v>46107.000966527776</v>
      </c>
      <c r="B1555" s="100" t="s">
        <v>3253</v>
      </c>
      <c r="C1555" s="100" t="s">
        <v>1688</v>
      </c>
      <c r="D1555" s="100" t="s">
        <v>1689</v>
      </c>
      <c r="E1555" s="198">
        <v>260.0</v>
      </c>
      <c r="F1555" s="199" t="s">
        <v>2940</v>
      </c>
    </row>
    <row r="1556" ht="22.5" customHeight="1">
      <c r="A1556" s="197">
        <v>46107.00097603009</v>
      </c>
      <c r="B1556" s="100" t="s">
        <v>3255</v>
      </c>
      <c r="C1556" s="100" t="s">
        <v>1685</v>
      </c>
      <c r="D1556" s="100" t="s">
        <v>1686</v>
      </c>
      <c r="E1556" s="198">
        <v>29.0</v>
      </c>
      <c r="F1556" s="100" t="s">
        <v>2209</v>
      </c>
    </row>
    <row r="1557" ht="22.5" customHeight="1">
      <c r="A1557" s="197">
        <v>46107.00097603009</v>
      </c>
      <c r="B1557" s="100" t="s">
        <v>3255</v>
      </c>
      <c r="C1557" s="100" t="s">
        <v>1688</v>
      </c>
      <c r="D1557" s="100" t="s">
        <v>1689</v>
      </c>
      <c r="E1557" s="198">
        <v>50.0</v>
      </c>
      <c r="F1557" s="100" t="s">
        <v>2210</v>
      </c>
    </row>
    <row r="1558" ht="22.5" customHeight="1">
      <c r="A1558" s="197">
        <v>46107.00098733796</v>
      </c>
      <c r="B1558" s="100" t="s">
        <v>3256</v>
      </c>
      <c r="C1558" s="100" t="s">
        <v>1685</v>
      </c>
      <c r="D1558" s="100" t="s">
        <v>1686</v>
      </c>
      <c r="E1558" s="198">
        <v>90.0</v>
      </c>
      <c r="F1558" s="199" t="s">
        <v>3258</v>
      </c>
    </row>
    <row r="1559" ht="22.5" customHeight="1">
      <c r="A1559" s="197">
        <v>46107.00098733796</v>
      </c>
      <c r="B1559" s="100" t="s">
        <v>3256</v>
      </c>
      <c r="C1559" s="100" t="s">
        <v>1688</v>
      </c>
      <c r="D1559" s="100" t="s">
        <v>1689</v>
      </c>
      <c r="E1559" s="198">
        <v>150.0</v>
      </c>
      <c r="F1559" s="199" t="s">
        <v>3259</v>
      </c>
    </row>
    <row r="1560" ht="22.5" customHeight="1">
      <c r="A1560" s="197">
        <v>46107.0009956713</v>
      </c>
      <c r="B1560" s="100" t="s">
        <v>3260</v>
      </c>
      <c r="C1560" s="100" t="s">
        <v>1685</v>
      </c>
      <c r="D1560" s="100" t="s">
        <v>1686</v>
      </c>
      <c r="E1560" s="198">
        <v>130.0</v>
      </c>
      <c r="F1560" s="199" t="s">
        <v>2128</v>
      </c>
    </row>
    <row r="1561" ht="22.5" customHeight="1">
      <c r="A1561" s="197">
        <v>46107.0009956713</v>
      </c>
      <c r="B1561" s="100" t="s">
        <v>3260</v>
      </c>
      <c r="C1561" s="100" t="s">
        <v>1688</v>
      </c>
      <c r="D1561" s="100" t="s">
        <v>1689</v>
      </c>
      <c r="E1561" s="198">
        <v>150.0</v>
      </c>
      <c r="F1561" s="199" t="s">
        <v>2129</v>
      </c>
    </row>
    <row r="1562" ht="22.5" customHeight="1">
      <c r="A1562" s="197">
        <v>46107.001003564816</v>
      </c>
      <c r="B1562" s="100" t="s">
        <v>3262</v>
      </c>
      <c r="C1562" s="100" t="s">
        <v>1685</v>
      </c>
      <c r="D1562" s="100" t="s">
        <v>1686</v>
      </c>
      <c r="E1562" s="198">
        <v>174.3</v>
      </c>
      <c r="F1562" s="199" t="s">
        <v>2414</v>
      </c>
    </row>
    <row r="1563" ht="22.5" customHeight="1">
      <c r="A1563" s="197">
        <v>46107.001003564816</v>
      </c>
      <c r="B1563" s="100" t="s">
        <v>3262</v>
      </c>
      <c r="C1563" s="100" t="s">
        <v>1688</v>
      </c>
      <c r="D1563" s="100" t="s">
        <v>1689</v>
      </c>
      <c r="E1563" s="198">
        <v>300.0</v>
      </c>
      <c r="F1563" s="199" t="s">
        <v>2416</v>
      </c>
    </row>
    <row r="1564" ht="22.5" customHeight="1">
      <c r="A1564" s="197">
        <v>46107.00100942129</v>
      </c>
      <c r="B1564" s="100" t="s">
        <v>3264</v>
      </c>
      <c r="C1564" s="100" t="s">
        <v>1685</v>
      </c>
      <c r="D1564" s="100" t="s">
        <v>1686</v>
      </c>
      <c r="E1564" s="198">
        <v>100.0</v>
      </c>
      <c r="F1564" s="199" t="s">
        <v>3069</v>
      </c>
    </row>
    <row r="1565" ht="22.5" customHeight="1">
      <c r="A1565" s="197">
        <v>46107.00100942129</v>
      </c>
      <c r="B1565" s="100" t="s">
        <v>3264</v>
      </c>
      <c r="C1565" s="100" t="s">
        <v>1688</v>
      </c>
      <c r="D1565" s="100" t="s">
        <v>1689</v>
      </c>
      <c r="E1565" s="198">
        <v>185.0</v>
      </c>
      <c r="F1565" s="199" t="s">
        <v>3070</v>
      </c>
    </row>
    <row r="1566" ht="22.5" customHeight="1">
      <c r="A1566" s="197">
        <v>46107.00101775463</v>
      </c>
      <c r="B1566" s="100" t="s">
        <v>3266</v>
      </c>
      <c r="C1566" s="100" t="s">
        <v>1685</v>
      </c>
      <c r="D1566" s="100" t="s">
        <v>1686</v>
      </c>
      <c r="E1566" s="198">
        <v>150.0</v>
      </c>
      <c r="F1566" s="199" t="s">
        <v>2912</v>
      </c>
    </row>
    <row r="1567" ht="22.5" customHeight="1">
      <c r="A1567" s="197">
        <v>46107.00101775463</v>
      </c>
      <c r="B1567" s="100" t="s">
        <v>3266</v>
      </c>
      <c r="C1567" s="100" t="s">
        <v>1688</v>
      </c>
      <c r="D1567" s="100" t="s">
        <v>1689</v>
      </c>
      <c r="E1567" s="198">
        <v>200.0</v>
      </c>
      <c r="F1567" s="199" t="s">
        <v>2913</v>
      </c>
    </row>
    <row r="1568" ht="22.5" customHeight="1">
      <c r="A1568" s="197">
        <v>46107.004074895834</v>
      </c>
      <c r="B1568" s="100" t="s">
        <v>3268</v>
      </c>
      <c r="C1568" s="100" t="s">
        <v>1685</v>
      </c>
      <c r="D1568" s="100" t="s">
        <v>1686</v>
      </c>
      <c r="E1568" s="198">
        <v>160.0</v>
      </c>
      <c r="F1568" s="199" t="s">
        <v>3269</v>
      </c>
    </row>
    <row r="1569" ht="22.5" customHeight="1">
      <c r="A1569" s="197">
        <v>46107.004074895834</v>
      </c>
      <c r="B1569" s="100" t="s">
        <v>3268</v>
      </c>
      <c r="C1569" s="100" t="s">
        <v>1688</v>
      </c>
      <c r="D1569" s="100" t="s">
        <v>1689</v>
      </c>
      <c r="E1569" s="198">
        <v>165.0</v>
      </c>
      <c r="F1569" s="199" t="s">
        <v>3271</v>
      </c>
    </row>
    <row r="1570" ht="22.5" customHeight="1">
      <c r="A1570" s="197">
        <v>46107.11438104167</v>
      </c>
      <c r="B1570" s="100" t="s">
        <v>3272</v>
      </c>
      <c r="C1570" s="100" t="s">
        <v>1685</v>
      </c>
      <c r="D1570" s="100" t="s">
        <v>1686</v>
      </c>
      <c r="E1570" s="198">
        <v>160.0</v>
      </c>
      <c r="F1570" s="199" t="s">
        <v>1850</v>
      </c>
    </row>
    <row r="1571" ht="22.5" customHeight="1">
      <c r="A1571" s="197">
        <v>46107.11438104167</v>
      </c>
      <c r="B1571" s="100" t="s">
        <v>3272</v>
      </c>
      <c r="C1571" s="100" t="s">
        <v>1688</v>
      </c>
      <c r="D1571" s="100" t="s">
        <v>1689</v>
      </c>
      <c r="E1571" s="198">
        <v>240.0</v>
      </c>
      <c r="F1571" s="199" t="s">
        <v>1851</v>
      </c>
    </row>
    <row r="1572" ht="22.5" customHeight="1">
      <c r="A1572" s="197">
        <v>46107.11438133102</v>
      </c>
      <c r="B1572" s="100" t="s">
        <v>3274</v>
      </c>
      <c r="C1572" s="100" t="s">
        <v>1685</v>
      </c>
      <c r="D1572" s="100" t="s">
        <v>1686</v>
      </c>
      <c r="E1572" s="198">
        <v>51.0</v>
      </c>
      <c r="F1572" s="199" t="s">
        <v>2286</v>
      </c>
    </row>
    <row r="1573" ht="22.5" customHeight="1">
      <c r="A1573" s="197">
        <v>46107.11438133102</v>
      </c>
      <c r="B1573" s="100" t="s">
        <v>3274</v>
      </c>
      <c r="C1573" s="100" t="s">
        <v>1688</v>
      </c>
      <c r="D1573" s="100" t="s">
        <v>1689</v>
      </c>
      <c r="E1573" s="198">
        <v>75.0</v>
      </c>
      <c r="F1573" s="199" t="s">
        <v>2288</v>
      </c>
    </row>
    <row r="1574" ht="22.5" customHeight="1">
      <c r="A1574" s="197">
        <v>46107.11438158565</v>
      </c>
      <c r="B1574" s="100" t="s">
        <v>3276</v>
      </c>
      <c r="C1574" s="100" t="s">
        <v>1685</v>
      </c>
      <c r="D1574" s="100" t="s">
        <v>1686</v>
      </c>
      <c r="E1574" s="198">
        <v>160.0</v>
      </c>
      <c r="F1574" s="199" t="s">
        <v>1850</v>
      </c>
    </row>
    <row r="1575" ht="22.5" customHeight="1">
      <c r="A1575" s="197">
        <v>46107.11438158565</v>
      </c>
      <c r="B1575" s="100" t="s">
        <v>3276</v>
      </c>
      <c r="C1575" s="100" t="s">
        <v>1688</v>
      </c>
      <c r="D1575" s="100" t="s">
        <v>1689</v>
      </c>
      <c r="E1575" s="198">
        <v>240.0</v>
      </c>
      <c r="F1575" s="199" t="s">
        <v>1851</v>
      </c>
    </row>
    <row r="1576" ht="22.5" customHeight="1">
      <c r="A1576" s="197">
        <v>46107.114381886575</v>
      </c>
      <c r="B1576" s="100" t="s">
        <v>3278</v>
      </c>
      <c r="C1576" s="100" t="s">
        <v>1685</v>
      </c>
      <c r="D1576" s="100" t="s">
        <v>1686</v>
      </c>
      <c r="E1576" s="198">
        <v>51.0</v>
      </c>
      <c r="F1576" s="199" t="s">
        <v>2286</v>
      </c>
    </row>
    <row r="1577" ht="22.5" customHeight="1">
      <c r="A1577" s="197">
        <v>46107.114381886575</v>
      </c>
      <c r="B1577" s="100" t="s">
        <v>3278</v>
      </c>
      <c r="C1577" s="100" t="s">
        <v>1688</v>
      </c>
      <c r="D1577" s="100" t="s">
        <v>1689</v>
      </c>
      <c r="E1577" s="198">
        <v>75.0</v>
      </c>
      <c r="F1577" s="199" t="s">
        <v>2288</v>
      </c>
    </row>
    <row r="1578" ht="22.5" customHeight="1">
      <c r="A1578" s="197">
        <v>46107.11438215278</v>
      </c>
      <c r="B1578" s="100" t="s">
        <v>3280</v>
      </c>
      <c r="C1578" s="100" t="s">
        <v>1685</v>
      </c>
      <c r="D1578" s="100" t="s">
        <v>1686</v>
      </c>
      <c r="E1578" s="198">
        <v>50.0</v>
      </c>
      <c r="F1578" s="199" t="s">
        <v>2797</v>
      </c>
    </row>
    <row r="1579" ht="22.5" customHeight="1">
      <c r="A1579" s="197">
        <v>46107.11438215278</v>
      </c>
      <c r="B1579" s="100" t="s">
        <v>3280</v>
      </c>
      <c r="C1579" s="100" t="s">
        <v>1688</v>
      </c>
      <c r="D1579" s="100" t="s">
        <v>1689</v>
      </c>
      <c r="E1579" s="198">
        <v>75.0</v>
      </c>
      <c r="F1579" s="199" t="s">
        <v>2798</v>
      </c>
    </row>
    <row r="1580" ht="22.5" customHeight="1">
      <c r="A1580" s="197">
        <v>46107.114382430555</v>
      </c>
      <c r="B1580" s="100" t="s">
        <v>3282</v>
      </c>
      <c r="C1580" s="100" t="s">
        <v>1685</v>
      </c>
      <c r="D1580" s="100" t="s">
        <v>1686</v>
      </c>
      <c r="E1580" s="198">
        <v>134.24</v>
      </c>
      <c r="F1580" s="199" t="s">
        <v>2325</v>
      </c>
    </row>
    <row r="1581" ht="22.5" customHeight="1">
      <c r="A1581" s="197">
        <v>46107.114382430555</v>
      </c>
      <c r="B1581" s="100" t="s">
        <v>3282</v>
      </c>
      <c r="C1581" s="100" t="s">
        <v>1688</v>
      </c>
      <c r="D1581" s="100" t="s">
        <v>1689</v>
      </c>
      <c r="E1581" s="198">
        <v>300.0</v>
      </c>
      <c r="F1581" s="199" t="s">
        <v>2327</v>
      </c>
    </row>
    <row r="1582" ht="22.5" customHeight="1">
      <c r="A1582" s="197">
        <v>46107.114382685184</v>
      </c>
      <c r="B1582" s="100" t="s">
        <v>3284</v>
      </c>
      <c r="C1582" s="100" t="s">
        <v>1685</v>
      </c>
      <c r="D1582" s="100" t="s">
        <v>1686</v>
      </c>
      <c r="E1582" s="198">
        <v>225.0</v>
      </c>
      <c r="F1582" s="199" t="s">
        <v>2432</v>
      </c>
    </row>
    <row r="1583" ht="22.5" customHeight="1">
      <c r="A1583" s="197">
        <v>46107.114382685184</v>
      </c>
      <c r="B1583" s="100" t="s">
        <v>3284</v>
      </c>
      <c r="C1583" s="100" t="s">
        <v>1688</v>
      </c>
      <c r="D1583" s="100" t="s">
        <v>1689</v>
      </c>
      <c r="E1583" s="198">
        <v>300.0</v>
      </c>
      <c r="F1583" s="199" t="s">
        <v>2433</v>
      </c>
    </row>
    <row r="1584" ht="22.5" customHeight="1">
      <c r="A1584" s="197">
        <v>46107.114382997686</v>
      </c>
      <c r="B1584" s="100" t="s">
        <v>3286</v>
      </c>
      <c r="C1584" s="100" t="s">
        <v>1685</v>
      </c>
      <c r="D1584" s="100" t="s">
        <v>1686</v>
      </c>
      <c r="E1584" s="198">
        <v>18.75</v>
      </c>
      <c r="F1584" s="199" t="s">
        <v>2989</v>
      </c>
    </row>
    <row r="1585" ht="22.5" customHeight="1">
      <c r="A1585" s="197">
        <v>46107.114382997686</v>
      </c>
      <c r="B1585" s="100" t="s">
        <v>3286</v>
      </c>
      <c r="C1585" s="100" t="s">
        <v>1688</v>
      </c>
      <c r="D1585" s="100" t="s">
        <v>1689</v>
      </c>
      <c r="E1585" s="198">
        <v>20.0</v>
      </c>
      <c r="F1585" s="199" t="s">
        <v>2990</v>
      </c>
    </row>
    <row r="1586" ht="22.5" customHeight="1">
      <c r="A1586" s="197">
        <v>46107.11438328704</v>
      </c>
      <c r="B1586" s="100" t="s">
        <v>3287</v>
      </c>
      <c r="C1586" s="100" t="s">
        <v>1685</v>
      </c>
      <c r="D1586" s="100" t="s">
        <v>1686</v>
      </c>
      <c r="E1586" s="198">
        <v>31.5</v>
      </c>
      <c r="F1586" s="100" t="s">
        <v>1701</v>
      </c>
    </row>
    <row r="1587" ht="22.5" customHeight="1">
      <c r="A1587" s="197">
        <v>46107.11438328704</v>
      </c>
      <c r="B1587" s="100" t="s">
        <v>3287</v>
      </c>
      <c r="C1587" s="100" t="s">
        <v>1688</v>
      </c>
      <c r="D1587" s="100" t="s">
        <v>1689</v>
      </c>
      <c r="E1587" s="198">
        <v>50.0</v>
      </c>
      <c r="F1587" s="100" t="s">
        <v>1702</v>
      </c>
    </row>
    <row r="1588" ht="22.5" customHeight="1">
      <c r="A1588" s="197">
        <v>46107.11438355324</v>
      </c>
      <c r="B1588" s="100" t="s">
        <v>3289</v>
      </c>
      <c r="C1588" s="100" t="s">
        <v>1685</v>
      </c>
      <c r="D1588" s="100" t="s">
        <v>1686</v>
      </c>
      <c r="E1588" s="198">
        <v>28.2</v>
      </c>
      <c r="F1588" s="199" t="s">
        <v>1753</v>
      </c>
    </row>
    <row r="1589" ht="22.5" customHeight="1">
      <c r="A1589" s="197">
        <v>46107.11438355324</v>
      </c>
      <c r="B1589" s="100" t="s">
        <v>3289</v>
      </c>
      <c r="C1589" s="100" t="s">
        <v>1688</v>
      </c>
      <c r="D1589" s="100" t="s">
        <v>1689</v>
      </c>
      <c r="E1589" s="198">
        <v>30.0</v>
      </c>
      <c r="F1589" s="199" t="s">
        <v>1754</v>
      </c>
    </row>
    <row r="1590" ht="22.5" customHeight="1">
      <c r="A1590" s="197">
        <v>46107.114383796295</v>
      </c>
      <c r="B1590" s="100" t="s">
        <v>3291</v>
      </c>
      <c r="C1590" s="100" t="s">
        <v>1685</v>
      </c>
      <c r="D1590" s="100" t="s">
        <v>1686</v>
      </c>
      <c r="E1590" s="198">
        <v>34.0</v>
      </c>
      <c r="F1590" s="199" t="s">
        <v>2286</v>
      </c>
    </row>
    <row r="1591" ht="22.5" customHeight="1">
      <c r="A1591" s="197">
        <v>46107.114383796295</v>
      </c>
      <c r="B1591" s="100" t="s">
        <v>3291</v>
      </c>
      <c r="C1591" s="100" t="s">
        <v>1688</v>
      </c>
      <c r="D1591" s="100" t="s">
        <v>1689</v>
      </c>
      <c r="E1591" s="198">
        <v>50.0</v>
      </c>
      <c r="F1591" s="199" t="s">
        <v>2288</v>
      </c>
    </row>
    <row r="1592" ht="22.5" customHeight="1">
      <c r="A1592" s="197">
        <v>46107.1143841088</v>
      </c>
      <c r="B1592" s="100" t="s">
        <v>3293</v>
      </c>
      <c r="C1592" s="100" t="s">
        <v>1685</v>
      </c>
      <c r="D1592" s="100" t="s">
        <v>1686</v>
      </c>
      <c r="E1592" s="198">
        <v>81.67</v>
      </c>
      <c r="F1592" s="199" t="s">
        <v>2805</v>
      </c>
    </row>
    <row r="1593" ht="22.5" customHeight="1">
      <c r="A1593" s="197">
        <v>46107.1143841088</v>
      </c>
      <c r="B1593" s="100" t="s">
        <v>3293</v>
      </c>
      <c r="C1593" s="100" t="s">
        <v>1688</v>
      </c>
      <c r="D1593" s="100" t="s">
        <v>1689</v>
      </c>
      <c r="E1593" s="198">
        <v>100.0</v>
      </c>
      <c r="F1593" s="199" t="s">
        <v>2806</v>
      </c>
    </row>
    <row r="1594" ht="22.5" customHeight="1">
      <c r="A1594" s="197">
        <v>46107.11438443287</v>
      </c>
      <c r="B1594" s="100" t="s">
        <v>3295</v>
      </c>
      <c r="C1594" s="100" t="s">
        <v>1685</v>
      </c>
      <c r="D1594" s="100" t="s">
        <v>1686</v>
      </c>
      <c r="E1594" s="198">
        <v>40.0</v>
      </c>
      <c r="F1594" s="199" t="s">
        <v>2059</v>
      </c>
    </row>
    <row r="1595" ht="22.5" customHeight="1">
      <c r="A1595" s="197">
        <v>46107.11438443287</v>
      </c>
      <c r="B1595" s="100" t="s">
        <v>3295</v>
      </c>
      <c r="C1595" s="100" t="s">
        <v>1688</v>
      </c>
      <c r="D1595" s="100" t="s">
        <v>1689</v>
      </c>
      <c r="E1595" s="198">
        <v>80.0</v>
      </c>
      <c r="F1595" s="199" t="s">
        <v>2060</v>
      </c>
    </row>
    <row r="1596" ht="22.5" customHeight="1">
      <c r="A1596" s="197">
        <v>46107.11438474537</v>
      </c>
      <c r="B1596" s="100" t="s">
        <v>3297</v>
      </c>
      <c r="C1596" s="100" t="s">
        <v>1685</v>
      </c>
      <c r="D1596" s="100" t="s">
        <v>1686</v>
      </c>
      <c r="E1596" s="198">
        <v>15.0</v>
      </c>
      <c r="F1596" s="199" t="s">
        <v>2800</v>
      </c>
    </row>
    <row r="1597" ht="22.5" customHeight="1">
      <c r="A1597" s="197">
        <v>46107.11438474537</v>
      </c>
      <c r="B1597" s="100" t="s">
        <v>3297</v>
      </c>
      <c r="C1597" s="100" t="s">
        <v>1688</v>
      </c>
      <c r="D1597" s="100" t="s">
        <v>1689</v>
      </c>
      <c r="E1597" s="198">
        <v>20.0</v>
      </c>
      <c r="F1597" s="199" t="s">
        <v>2801</v>
      </c>
    </row>
    <row r="1598" ht="22.5" customHeight="1">
      <c r="A1598" s="197">
        <v>46107.11438515046</v>
      </c>
      <c r="B1598" s="100" t="s">
        <v>3299</v>
      </c>
      <c r="C1598" s="100" t="s">
        <v>1685</v>
      </c>
      <c r="D1598" s="100" t="s">
        <v>1686</v>
      </c>
      <c r="E1598" s="198">
        <v>160.0</v>
      </c>
      <c r="F1598" s="199" t="s">
        <v>3300</v>
      </c>
    </row>
    <row r="1599" ht="22.5" customHeight="1">
      <c r="A1599" s="197">
        <v>46107.11438515046</v>
      </c>
      <c r="B1599" s="100" t="s">
        <v>3299</v>
      </c>
      <c r="C1599" s="100" t="s">
        <v>1688</v>
      </c>
      <c r="D1599" s="100" t="s">
        <v>1689</v>
      </c>
      <c r="E1599" s="198">
        <v>280.0</v>
      </c>
      <c r="F1599" s="199" t="s">
        <v>3302</v>
      </c>
    </row>
    <row r="1600" ht="22.5" customHeight="1">
      <c r="A1600" s="197">
        <v>46107.11438550926</v>
      </c>
      <c r="B1600" s="100" t="s">
        <v>3303</v>
      </c>
      <c r="C1600" s="100" t="s">
        <v>1685</v>
      </c>
      <c r="D1600" s="100" t="s">
        <v>1686</v>
      </c>
      <c r="E1600" s="198">
        <v>210.0</v>
      </c>
      <c r="F1600" s="199" t="s">
        <v>3201</v>
      </c>
    </row>
    <row r="1601" ht="22.5" customHeight="1">
      <c r="A1601" s="197">
        <v>46107.11438550926</v>
      </c>
      <c r="B1601" s="100" t="s">
        <v>3303</v>
      </c>
      <c r="C1601" s="100" t="s">
        <v>1688</v>
      </c>
      <c r="D1601" s="100" t="s">
        <v>1689</v>
      </c>
      <c r="E1601" s="198">
        <v>220.0</v>
      </c>
      <c r="F1601" s="199" t="s">
        <v>3203</v>
      </c>
    </row>
    <row r="1602" ht="22.5" customHeight="1">
      <c r="A1602" s="197">
        <v>46107.11438584491</v>
      </c>
      <c r="B1602" s="100" t="s">
        <v>3304</v>
      </c>
      <c r="C1602" s="100" t="s">
        <v>1685</v>
      </c>
      <c r="D1602" s="100" t="s">
        <v>1686</v>
      </c>
      <c r="E1602" s="198">
        <v>89.07</v>
      </c>
      <c r="F1602" s="199" t="s">
        <v>1833</v>
      </c>
    </row>
    <row r="1603" ht="22.5" customHeight="1">
      <c r="A1603" s="197">
        <v>46107.11438584491</v>
      </c>
      <c r="B1603" s="100" t="s">
        <v>3304</v>
      </c>
      <c r="C1603" s="100" t="s">
        <v>1688</v>
      </c>
      <c r="D1603" s="100" t="s">
        <v>1689</v>
      </c>
      <c r="E1603" s="198">
        <v>100.0</v>
      </c>
      <c r="F1603" s="199" t="s">
        <v>1834</v>
      </c>
    </row>
    <row r="1604" ht="22.5" customHeight="1">
      <c r="A1604" s="197">
        <v>46107.11438629629</v>
      </c>
      <c r="B1604" s="100" t="s">
        <v>3306</v>
      </c>
      <c r="C1604" s="100" t="s">
        <v>1685</v>
      </c>
      <c r="D1604" s="100" t="s">
        <v>1686</v>
      </c>
      <c r="E1604" s="198">
        <v>155.0</v>
      </c>
      <c r="F1604" s="199" t="s">
        <v>2055</v>
      </c>
    </row>
    <row r="1605" ht="22.5" customHeight="1">
      <c r="A1605" s="197">
        <v>46107.11438629629</v>
      </c>
      <c r="B1605" s="100" t="s">
        <v>3306</v>
      </c>
      <c r="C1605" s="100" t="s">
        <v>1688</v>
      </c>
      <c r="D1605" s="100" t="s">
        <v>1689</v>
      </c>
      <c r="E1605" s="198">
        <v>200.0</v>
      </c>
      <c r="F1605" s="199" t="s">
        <v>2056</v>
      </c>
    </row>
    <row r="1606" ht="22.5" customHeight="1">
      <c r="A1606" s="197">
        <v>46107.114386597226</v>
      </c>
      <c r="B1606" s="100" t="s">
        <v>3308</v>
      </c>
      <c r="C1606" s="100" t="s">
        <v>1685</v>
      </c>
      <c r="D1606" s="100" t="s">
        <v>1686</v>
      </c>
      <c r="E1606" s="198">
        <v>80.0</v>
      </c>
      <c r="F1606" s="199" t="s">
        <v>3300</v>
      </c>
    </row>
    <row r="1607" ht="22.5" customHeight="1">
      <c r="A1607" s="197">
        <v>46107.114386597226</v>
      </c>
      <c r="B1607" s="100" t="s">
        <v>3308</v>
      </c>
      <c r="C1607" s="100" t="s">
        <v>1688</v>
      </c>
      <c r="D1607" s="100" t="s">
        <v>1689</v>
      </c>
      <c r="E1607" s="198">
        <v>140.0</v>
      </c>
      <c r="F1607" s="199" t="s">
        <v>3302</v>
      </c>
    </row>
    <row r="1608" ht="22.5" customHeight="1">
      <c r="A1608" s="197">
        <v>46107.11438688658</v>
      </c>
      <c r="B1608" s="100" t="s">
        <v>3310</v>
      </c>
      <c r="C1608" s="100" t="s">
        <v>1685</v>
      </c>
      <c r="D1608" s="100" t="s">
        <v>1686</v>
      </c>
      <c r="E1608" s="198">
        <v>70.0</v>
      </c>
      <c r="F1608" s="199" t="s">
        <v>1805</v>
      </c>
    </row>
    <row r="1609" ht="22.5" customHeight="1">
      <c r="A1609" s="197">
        <v>46107.11438688658</v>
      </c>
      <c r="B1609" s="100" t="s">
        <v>3310</v>
      </c>
      <c r="C1609" s="100" t="s">
        <v>1688</v>
      </c>
      <c r="D1609" s="100" t="s">
        <v>1689</v>
      </c>
      <c r="E1609" s="198">
        <v>100.0</v>
      </c>
      <c r="F1609" s="199" t="s">
        <v>1806</v>
      </c>
    </row>
    <row r="1610" ht="22.5" customHeight="1">
      <c r="A1610" s="197">
        <v>46107.114387187496</v>
      </c>
      <c r="B1610" s="100" t="s">
        <v>3311</v>
      </c>
      <c r="C1610" s="100" t="s">
        <v>1685</v>
      </c>
      <c r="D1610" s="100" t="s">
        <v>1686</v>
      </c>
      <c r="E1610" s="198">
        <v>60.0</v>
      </c>
      <c r="F1610" s="199" t="s">
        <v>2468</v>
      </c>
    </row>
    <row r="1611" ht="22.5" customHeight="1">
      <c r="A1611" s="197">
        <v>46107.114387187496</v>
      </c>
      <c r="B1611" s="100" t="s">
        <v>3311</v>
      </c>
      <c r="C1611" s="100" t="s">
        <v>1688</v>
      </c>
      <c r="D1611" s="100" t="s">
        <v>1689</v>
      </c>
      <c r="E1611" s="198">
        <v>140.0</v>
      </c>
      <c r="F1611" s="199" t="s">
        <v>2470</v>
      </c>
    </row>
    <row r="1612" ht="22.5" customHeight="1">
      <c r="A1612" s="197">
        <v>46107.11438747685</v>
      </c>
      <c r="B1612" s="100" t="s">
        <v>3313</v>
      </c>
      <c r="C1612" s="100" t="s">
        <v>1685</v>
      </c>
      <c r="D1612" s="100" t="s">
        <v>1686</v>
      </c>
      <c r="E1612" s="198">
        <v>92.5</v>
      </c>
      <c r="F1612" s="199" t="s">
        <v>3315</v>
      </c>
    </row>
    <row r="1613" ht="22.5" customHeight="1">
      <c r="A1613" s="197">
        <v>46107.11438747685</v>
      </c>
      <c r="B1613" s="100" t="s">
        <v>3313</v>
      </c>
      <c r="C1613" s="100" t="s">
        <v>1688</v>
      </c>
      <c r="D1613" s="100" t="s">
        <v>1689</v>
      </c>
      <c r="E1613" s="198">
        <v>270.0</v>
      </c>
      <c r="F1613" s="199" t="s">
        <v>3316</v>
      </c>
    </row>
    <row r="1614" ht="22.5" customHeight="1">
      <c r="A1614" s="197">
        <v>46107.11438774306</v>
      </c>
      <c r="B1614" s="100" t="s">
        <v>3317</v>
      </c>
      <c r="C1614" s="100" t="s">
        <v>1685</v>
      </c>
      <c r="D1614" s="100" t="s">
        <v>1686</v>
      </c>
      <c r="E1614" s="198">
        <v>32.33</v>
      </c>
      <c r="F1614" s="199" t="s">
        <v>3080</v>
      </c>
    </row>
    <row r="1615" ht="22.5" customHeight="1">
      <c r="A1615" s="197">
        <v>46107.11438774306</v>
      </c>
      <c r="B1615" s="100" t="s">
        <v>3317</v>
      </c>
      <c r="C1615" s="100" t="s">
        <v>1688</v>
      </c>
      <c r="D1615" s="100" t="s">
        <v>1689</v>
      </c>
      <c r="E1615" s="198">
        <v>40.0</v>
      </c>
      <c r="F1615" s="199" t="s">
        <v>3081</v>
      </c>
    </row>
    <row r="1616" ht="22.5" customHeight="1">
      <c r="A1616" s="197">
        <v>46107.11438800926</v>
      </c>
      <c r="B1616" s="100" t="s">
        <v>3319</v>
      </c>
      <c r="C1616" s="100" t="s">
        <v>1685</v>
      </c>
      <c r="D1616" s="100" t="s">
        <v>1686</v>
      </c>
      <c r="E1616" s="198">
        <v>88.75</v>
      </c>
      <c r="F1616" s="199" t="s">
        <v>2732</v>
      </c>
    </row>
    <row r="1617" ht="22.5" customHeight="1">
      <c r="A1617" s="197">
        <v>46107.11438800926</v>
      </c>
      <c r="B1617" s="100" t="s">
        <v>3319</v>
      </c>
      <c r="C1617" s="100" t="s">
        <v>1688</v>
      </c>
      <c r="D1617" s="100" t="s">
        <v>1689</v>
      </c>
      <c r="E1617" s="198">
        <v>130.0</v>
      </c>
      <c r="F1617" s="199" t="s">
        <v>2733</v>
      </c>
    </row>
    <row r="1618" ht="22.5" customHeight="1">
      <c r="A1618" s="197">
        <v>46107.11438825232</v>
      </c>
      <c r="B1618" s="100" t="s">
        <v>3321</v>
      </c>
      <c r="C1618" s="100" t="s">
        <v>1685</v>
      </c>
      <c r="D1618" s="100" t="s">
        <v>1686</v>
      </c>
      <c r="E1618" s="198">
        <v>31.5</v>
      </c>
      <c r="F1618" s="100" t="s">
        <v>1701</v>
      </c>
    </row>
    <row r="1619" ht="22.5" customHeight="1">
      <c r="A1619" s="197">
        <v>46107.11438825232</v>
      </c>
      <c r="B1619" s="100" t="s">
        <v>3321</v>
      </c>
      <c r="C1619" s="100" t="s">
        <v>1688</v>
      </c>
      <c r="D1619" s="100" t="s">
        <v>1689</v>
      </c>
      <c r="E1619" s="198">
        <v>50.0</v>
      </c>
      <c r="F1619" s="100" t="s">
        <v>1702</v>
      </c>
    </row>
    <row r="1620" ht="22.5" customHeight="1">
      <c r="A1620" s="197">
        <v>46107.114388518516</v>
      </c>
      <c r="B1620" s="100" t="s">
        <v>3323</v>
      </c>
      <c r="C1620" s="100" t="s">
        <v>1685</v>
      </c>
      <c r="D1620" s="100" t="s">
        <v>1686</v>
      </c>
      <c r="E1620" s="198">
        <v>23.22</v>
      </c>
      <c r="F1620" s="199" t="s">
        <v>3083</v>
      </c>
    </row>
    <row r="1621" ht="22.5" customHeight="1">
      <c r="A1621" s="197">
        <v>46107.114388518516</v>
      </c>
      <c r="B1621" s="100" t="s">
        <v>3323</v>
      </c>
      <c r="C1621" s="100" t="s">
        <v>1688</v>
      </c>
      <c r="D1621" s="100" t="s">
        <v>1689</v>
      </c>
      <c r="E1621" s="198">
        <v>40.0</v>
      </c>
      <c r="F1621" s="199" t="s">
        <v>3084</v>
      </c>
    </row>
    <row r="1622" ht="22.5" customHeight="1">
      <c r="A1622" s="197">
        <v>46107.114388807866</v>
      </c>
      <c r="B1622" s="100" t="s">
        <v>3325</v>
      </c>
      <c r="C1622" s="100" t="s">
        <v>1685</v>
      </c>
      <c r="D1622" s="100" t="s">
        <v>1686</v>
      </c>
      <c r="E1622" s="198">
        <v>48.0</v>
      </c>
      <c r="F1622" s="199" t="s">
        <v>1859</v>
      </c>
    </row>
    <row r="1623" ht="22.5" customHeight="1">
      <c r="A1623" s="197">
        <v>46107.114388807866</v>
      </c>
      <c r="B1623" s="100" t="s">
        <v>3325</v>
      </c>
      <c r="C1623" s="100" t="s">
        <v>1688</v>
      </c>
      <c r="D1623" s="100" t="s">
        <v>1689</v>
      </c>
      <c r="E1623" s="198">
        <v>100.0</v>
      </c>
      <c r="F1623" s="199" t="s">
        <v>1860</v>
      </c>
    </row>
    <row r="1624" ht="22.5" customHeight="1">
      <c r="A1624" s="197">
        <v>46107.11438907408</v>
      </c>
      <c r="B1624" s="100" t="s">
        <v>3327</v>
      </c>
      <c r="C1624" s="100" t="s">
        <v>1685</v>
      </c>
      <c r="D1624" s="100" t="s">
        <v>1686</v>
      </c>
      <c r="E1624" s="198">
        <v>88.75</v>
      </c>
      <c r="F1624" s="199" t="s">
        <v>2732</v>
      </c>
    </row>
    <row r="1625" ht="22.5" customHeight="1">
      <c r="A1625" s="197">
        <v>46107.11438907408</v>
      </c>
      <c r="B1625" s="100" t="s">
        <v>3327</v>
      </c>
      <c r="C1625" s="100" t="s">
        <v>1688</v>
      </c>
      <c r="D1625" s="100" t="s">
        <v>1689</v>
      </c>
      <c r="E1625" s="198">
        <v>130.0</v>
      </c>
      <c r="F1625" s="199" t="s">
        <v>2733</v>
      </c>
    </row>
    <row r="1626" ht="22.5" customHeight="1">
      <c r="A1626" s="197">
        <v>46107.114389317125</v>
      </c>
      <c r="B1626" s="100" t="s">
        <v>3330</v>
      </c>
      <c r="C1626" s="100" t="s">
        <v>1685</v>
      </c>
      <c r="D1626" s="100" t="s">
        <v>1686</v>
      </c>
      <c r="E1626" s="198">
        <v>134.24</v>
      </c>
      <c r="F1626" s="199" t="s">
        <v>2325</v>
      </c>
    </row>
    <row r="1627" ht="22.5" customHeight="1">
      <c r="A1627" s="197">
        <v>46107.114389317125</v>
      </c>
      <c r="B1627" s="100" t="s">
        <v>3330</v>
      </c>
      <c r="C1627" s="100" t="s">
        <v>1688</v>
      </c>
      <c r="D1627" s="100" t="s">
        <v>1689</v>
      </c>
      <c r="E1627" s="198">
        <v>300.0</v>
      </c>
      <c r="F1627" s="199" t="s">
        <v>2327</v>
      </c>
    </row>
    <row r="1628" ht="22.5" customHeight="1">
      <c r="A1628" s="197">
        <v>46107.114389560185</v>
      </c>
      <c r="B1628" s="100" t="s">
        <v>3332</v>
      </c>
      <c r="C1628" s="100" t="s">
        <v>1685</v>
      </c>
      <c r="D1628" s="100" t="s">
        <v>1686</v>
      </c>
      <c r="E1628" s="198">
        <v>160.0</v>
      </c>
      <c r="F1628" s="199" t="s">
        <v>2982</v>
      </c>
    </row>
    <row r="1629" ht="22.5" customHeight="1">
      <c r="A1629" s="197">
        <v>46107.114389560185</v>
      </c>
      <c r="B1629" s="100" t="s">
        <v>3332</v>
      </c>
      <c r="C1629" s="100" t="s">
        <v>1688</v>
      </c>
      <c r="D1629" s="100" t="s">
        <v>1689</v>
      </c>
      <c r="E1629" s="198">
        <v>250.0</v>
      </c>
      <c r="F1629" s="199" t="s">
        <v>2983</v>
      </c>
    </row>
    <row r="1630" ht="22.5" customHeight="1">
      <c r="A1630" s="197">
        <v>46107.11438988426</v>
      </c>
      <c r="B1630" s="100" t="s">
        <v>3334</v>
      </c>
      <c r="C1630" s="100" t="s">
        <v>1685</v>
      </c>
      <c r="D1630" s="100" t="s">
        <v>1686</v>
      </c>
      <c r="E1630" s="198">
        <v>134.24</v>
      </c>
      <c r="F1630" s="199" t="s">
        <v>2325</v>
      </c>
    </row>
    <row r="1631" ht="22.5" customHeight="1">
      <c r="A1631" s="197">
        <v>46107.11438988426</v>
      </c>
      <c r="B1631" s="100" t="s">
        <v>3334</v>
      </c>
      <c r="C1631" s="100" t="s">
        <v>1688</v>
      </c>
      <c r="D1631" s="100" t="s">
        <v>1689</v>
      </c>
      <c r="E1631" s="198">
        <v>300.0</v>
      </c>
      <c r="F1631" s="199" t="s">
        <v>2327</v>
      </c>
    </row>
    <row r="1632" ht="22.5" customHeight="1">
      <c r="A1632" s="197">
        <v>46107.11439015046</v>
      </c>
      <c r="B1632" s="100" t="s">
        <v>3336</v>
      </c>
      <c r="C1632" s="100" t="s">
        <v>1685</v>
      </c>
      <c r="D1632" s="100" t="s">
        <v>1686</v>
      </c>
      <c r="E1632" s="198">
        <v>64.67</v>
      </c>
      <c r="F1632" s="199" t="s">
        <v>3080</v>
      </c>
    </row>
    <row r="1633" ht="22.5" customHeight="1">
      <c r="A1633" s="197">
        <v>46107.11439015046</v>
      </c>
      <c r="B1633" s="100" t="s">
        <v>3336</v>
      </c>
      <c r="C1633" s="100" t="s">
        <v>1688</v>
      </c>
      <c r="D1633" s="100" t="s">
        <v>1689</v>
      </c>
      <c r="E1633" s="198">
        <v>100.0</v>
      </c>
      <c r="F1633" s="199" t="s">
        <v>3081</v>
      </c>
    </row>
    <row r="1634" ht="22.5" customHeight="1">
      <c r="A1634" s="197">
        <v>46107.11439040509</v>
      </c>
      <c r="B1634" s="100" t="s">
        <v>3337</v>
      </c>
      <c r="C1634" s="100" t="s">
        <v>1685</v>
      </c>
      <c r="D1634" s="100" t="s">
        <v>1686</v>
      </c>
      <c r="E1634" s="198">
        <v>85.0</v>
      </c>
      <c r="F1634" s="199" t="s">
        <v>2540</v>
      </c>
    </row>
    <row r="1635" ht="22.5" customHeight="1">
      <c r="A1635" s="197">
        <v>46107.11439040509</v>
      </c>
      <c r="B1635" s="100" t="s">
        <v>3337</v>
      </c>
      <c r="C1635" s="100" t="s">
        <v>1688</v>
      </c>
      <c r="D1635" s="100" t="s">
        <v>1689</v>
      </c>
      <c r="E1635" s="198">
        <v>150.0</v>
      </c>
      <c r="F1635" s="199" t="s">
        <v>2541</v>
      </c>
    </row>
    <row r="1636" ht="22.5" customHeight="1">
      <c r="A1636" s="197">
        <v>46107.11439065972</v>
      </c>
      <c r="B1636" s="100" t="s">
        <v>3339</v>
      </c>
      <c r="C1636" s="100" t="s">
        <v>1685</v>
      </c>
      <c r="D1636" s="100" t="s">
        <v>1686</v>
      </c>
      <c r="E1636" s="198">
        <v>35.0</v>
      </c>
      <c r="F1636" s="199" t="s">
        <v>1805</v>
      </c>
    </row>
    <row r="1637" ht="22.5" customHeight="1">
      <c r="A1637" s="197">
        <v>46107.11439065972</v>
      </c>
      <c r="B1637" s="100" t="s">
        <v>3339</v>
      </c>
      <c r="C1637" s="100" t="s">
        <v>1688</v>
      </c>
      <c r="D1637" s="100" t="s">
        <v>1689</v>
      </c>
      <c r="E1637" s="198">
        <v>50.0</v>
      </c>
      <c r="F1637" s="199" t="s">
        <v>1806</v>
      </c>
    </row>
    <row r="1638" ht="22.5" customHeight="1">
      <c r="A1638" s="197">
        <v>46107.114390937495</v>
      </c>
      <c r="B1638" s="100" t="s">
        <v>3341</v>
      </c>
      <c r="C1638" s="100" t="s">
        <v>1685</v>
      </c>
      <c r="D1638" s="100" t="s">
        <v>1686</v>
      </c>
      <c r="E1638" s="198">
        <v>75.0</v>
      </c>
      <c r="F1638" s="199" t="s">
        <v>2912</v>
      </c>
    </row>
    <row r="1639" ht="22.5" customHeight="1">
      <c r="A1639" s="197">
        <v>46107.114390937495</v>
      </c>
      <c r="B1639" s="100" t="s">
        <v>3341</v>
      </c>
      <c r="C1639" s="100" t="s">
        <v>1688</v>
      </c>
      <c r="D1639" s="100" t="s">
        <v>1689</v>
      </c>
      <c r="E1639" s="198">
        <v>100.0</v>
      </c>
      <c r="F1639" s="199" t="s">
        <v>2913</v>
      </c>
    </row>
    <row r="1640" ht="22.5" customHeight="1">
      <c r="A1640" s="197">
        <v>46107.11439123843</v>
      </c>
      <c r="B1640" s="100" t="s">
        <v>3343</v>
      </c>
      <c r="C1640" s="100" t="s">
        <v>1685</v>
      </c>
      <c r="D1640" s="100" t="s">
        <v>1686</v>
      </c>
      <c r="E1640" s="198">
        <v>135.0</v>
      </c>
      <c r="F1640" s="199" t="s">
        <v>2753</v>
      </c>
    </row>
    <row r="1641" ht="22.5" customHeight="1">
      <c r="A1641" s="197">
        <v>46107.11439123843</v>
      </c>
      <c r="B1641" s="100" t="s">
        <v>3343</v>
      </c>
      <c r="C1641" s="100" t="s">
        <v>1688</v>
      </c>
      <c r="D1641" s="100" t="s">
        <v>1689</v>
      </c>
      <c r="E1641" s="198">
        <v>160.0</v>
      </c>
      <c r="F1641" s="199" t="s">
        <v>2755</v>
      </c>
    </row>
    <row r="1642" ht="22.5" customHeight="1">
      <c r="A1642" s="197">
        <v>46107.114391574076</v>
      </c>
      <c r="B1642" s="100" t="s">
        <v>3345</v>
      </c>
      <c r="C1642" s="100" t="s">
        <v>1685</v>
      </c>
      <c r="D1642" s="100" t="s">
        <v>1686</v>
      </c>
      <c r="E1642" s="198">
        <v>35.0</v>
      </c>
      <c r="F1642" s="199" t="s">
        <v>1805</v>
      </c>
    </row>
    <row r="1643" ht="22.5" customHeight="1">
      <c r="A1643" s="197">
        <v>46107.114391574076</v>
      </c>
      <c r="B1643" s="100" t="s">
        <v>3345</v>
      </c>
      <c r="C1643" s="100" t="s">
        <v>1688</v>
      </c>
      <c r="D1643" s="100" t="s">
        <v>1689</v>
      </c>
      <c r="E1643" s="198">
        <v>50.0</v>
      </c>
      <c r="F1643" s="199" t="s">
        <v>1806</v>
      </c>
    </row>
    <row r="1644" ht="22.5" customHeight="1">
      <c r="A1644" s="197">
        <v>46107.114391875</v>
      </c>
      <c r="B1644" s="100" t="s">
        <v>3346</v>
      </c>
      <c r="C1644" s="100" t="s">
        <v>1685</v>
      </c>
      <c r="D1644" s="100" t="s">
        <v>1686</v>
      </c>
      <c r="E1644" s="198">
        <v>30.0</v>
      </c>
      <c r="F1644" s="199" t="s">
        <v>2609</v>
      </c>
    </row>
    <row r="1645" ht="22.5" customHeight="1">
      <c r="A1645" s="197">
        <v>46107.114391875</v>
      </c>
      <c r="B1645" s="100" t="s">
        <v>3346</v>
      </c>
      <c r="C1645" s="100" t="s">
        <v>1688</v>
      </c>
      <c r="D1645" s="100" t="s">
        <v>1689</v>
      </c>
      <c r="E1645" s="198">
        <v>40.0</v>
      </c>
      <c r="F1645" s="199" t="s">
        <v>2610</v>
      </c>
    </row>
    <row r="1646" ht="22.5" customHeight="1">
      <c r="A1646" s="197">
        <v>46107.11439216435</v>
      </c>
      <c r="B1646" s="100" t="s">
        <v>3348</v>
      </c>
      <c r="C1646" s="100" t="s">
        <v>1685</v>
      </c>
      <c r="D1646" s="100" t="s">
        <v>1686</v>
      </c>
      <c r="E1646" s="198">
        <v>64.67</v>
      </c>
      <c r="F1646" s="199" t="s">
        <v>3080</v>
      </c>
    </row>
    <row r="1647" ht="22.5" customHeight="1">
      <c r="A1647" s="197">
        <v>46107.11439216435</v>
      </c>
      <c r="B1647" s="100" t="s">
        <v>3348</v>
      </c>
      <c r="C1647" s="100" t="s">
        <v>1688</v>
      </c>
      <c r="D1647" s="100" t="s">
        <v>1689</v>
      </c>
      <c r="E1647" s="198">
        <v>100.0</v>
      </c>
      <c r="F1647" s="199" t="s">
        <v>3081</v>
      </c>
    </row>
    <row r="1648" ht="22.5" customHeight="1">
      <c r="A1648" s="197">
        <v>46107.11439246528</v>
      </c>
      <c r="B1648" s="100" t="s">
        <v>3350</v>
      </c>
      <c r="C1648" s="100" t="s">
        <v>1685</v>
      </c>
      <c r="D1648" s="100" t="s">
        <v>1686</v>
      </c>
      <c r="E1648" s="198">
        <v>93.0</v>
      </c>
      <c r="F1648" s="199" t="s">
        <v>2726</v>
      </c>
    </row>
    <row r="1649" ht="22.5" customHeight="1">
      <c r="A1649" s="197">
        <v>46107.11439246528</v>
      </c>
      <c r="B1649" s="100" t="s">
        <v>3350</v>
      </c>
      <c r="C1649" s="100" t="s">
        <v>1688</v>
      </c>
      <c r="D1649" s="100" t="s">
        <v>1689</v>
      </c>
      <c r="E1649" s="198">
        <v>120.0</v>
      </c>
      <c r="F1649" s="199" t="s">
        <v>2727</v>
      </c>
    </row>
    <row r="1650" ht="22.5" customHeight="1">
      <c r="A1650" s="197">
        <v>46107.11439271991</v>
      </c>
      <c r="B1650" s="100" t="s">
        <v>3352</v>
      </c>
      <c r="C1650" s="100" t="s">
        <v>1685</v>
      </c>
      <c r="D1650" s="100" t="s">
        <v>1686</v>
      </c>
      <c r="E1650" s="198">
        <v>140.0</v>
      </c>
      <c r="F1650" s="199" t="s">
        <v>3353</v>
      </c>
    </row>
    <row r="1651" ht="22.5" customHeight="1">
      <c r="A1651" s="197">
        <v>46107.11439271991</v>
      </c>
      <c r="B1651" s="100" t="s">
        <v>3352</v>
      </c>
      <c r="C1651" s="100" t="s">
        <v>1688</v>
      </c>
      <c r="D1651" s="100" t="s">
        <v>1689</v>
      </c>
      <c r="E1651" s="198">
        <v>175.0</v>
      </c>
      <c r="F1651" s="199" t="s">
        <v>3355</v>
      </c>
    </row>
    <row r="1652" ht="22.5" customHeight="1">
      <c r="A1652" s="197">
        <v>46107.11439304399</v>
      </c>
      <c r="B1652" s="100" t="s">
        <v>3356</v>
      </c>
      <c r="C1652" s="100" t="s">
        <v>1685</v>
      </c>
      <c r="D1652" s="100" t="s">
        <v>1686</v>
      </c>
      <c r="E1652" s="198">
        <v>80.0</v>
      </c>
      <c r="F1652" s="199" t="s">
        <v>3300</v>
      </c>
    </row>
    <row r="1653" ht="22.5" customHeight="1">
      <c r="A1653" s="197">
        <v>46107.11439304399</v>
      </c>
      <c r="B1653" s="100" t="s">
        <v>3356</v>
      </c>
      <c r="C1653" s="100" t="s">
        <v>1688</v>
      </c>
      <c r="D1653" s="100" t="s">
        <v>1689</v>
      </c>
      <c r="E1653" s="198">
        <v>120.0</v>
      </c>
      <c r="F1653" s="199" t="s">
        <v>3302</v>
      </c>
    </row>
    <row r="1654" ht="22.5" customHeight="1">
      <c r="A1654" s="197">
        <v>46107.11439326389</v>
      </c>
      <c r="B1654" s="100" t="s">
        <v>3358</v>
      </c>
      <c r="C1654" s="100" t="s">
        <v>1685</v>
      </c>
      <c r="D1654" s="100" t="s">
        <v>1686</v>
      </c>
      <c r="E1654" s="198">
        <v>65.0</v>
      </c>
      <c r="F1654" s="199" t="s">
        <v>3056</v>
      </c>
    </row>
    <row r="1655" ht="22.5" customHeight="1">
      <c r="A1655" s="197">
        <v>46107.11439326389</v>
      </c>
      <c r="B1655" s="100" t="s">
        <v>3358</v>
      </c>
      <c r="C1655" s="100" t="s">
        <v>1688</v>
      </c>
      <c r="D1655" s="100" t="s">
        <v>1689</v>
      </c>
      <c r="E1655" s="198">
        <v>90.0</v>
      </c>
      <c r="F1655" s="199" t="s">
        <v>3057</v>
      </c>
    </row>
    <row r="1656" ht="22.5" customHeight="1">
      <c r="A1656" s="197">
        <v>46107.11439354166</v>
      </c>
      <c r="B1656" s="100" t="s">
        <v>3360</v>
      </c>
      <c r="C1656" s="100" t="s">
        <v>1685</v>
      </c>
      <c r="D1656" s="100" t="s">
        <v>1686</v>
      </c>
      <c r="E1656" s="198">
        <v>139.0</v>
      </c>
      <c r="F1656" s="199" t="s">
        <v>3361</v>
      </c>
    </row>
    <row r="1657" ht="22.5" customHeight="1">
      <c r="A1657" s="197">
        <v>46107.11439354166</v>
      </c>
      <c r="B1657" s="100" t="s">
        <v>3360</v>
      </c>
      <c r="C1657" s="100" t="s">
        <v>1688</v>
      </c>
      <c r="D1657" s="100" t="s">
        <v>1689</v>
      </c>
      <c r="E1657" s="198">
        <v>160.0</v>
      </c>
      <c r="F1657" s="199" t="s">
        <v>3362</v>
      </c>
    </row>
    <row r="1658" ht="22.5" customHeight="1">
      <c r="A1658" s="197">
        <v>46107.114393842596</v>
      </c>
      <c r="B1658" s="100" t="s">
        <v>3364</v>
      </c>
      <c r="C1658" s="100" t="s">
        <v>1685</v>
      </c>
      <c r="D1658" s="100" t="s">
        <v>1686</v>
      </c>
      <c r="E1658" s="198">
        <v>30.0</v>
      </c>
      <c r="F1658" s="199" t="s">
        <v>2609</v>
      </c>
    </row>
    <row r="1659" ht="22.5" customHeight="1">
      <c r="A1659" s="197">
        <v>46107.114393854165</v>
      </c>
      <c r="B1659" s="100" t="s">
        <v>3364</v>
      </c>
      <c r="C1659" s="100" t="s">
        <v>1688</v>
      </c>
      <c r="D1659" s="100" t="s">
        <v>1689</v>
      </c>
      <c r="E1659" s="198">
        <v>40.0</v>
      </c>
      <c r="F1659" s="199" t="s">
        <v>2610</v>
      </c>
    </row>
    <row r="1660" ht="22.5" customHeight="1">
      <c r="A1660" s="197">
        <v>46107.114394212964</v>
      </c>
      <c r="B1660" s="100" t="s">
        <v>3366</v>
      </c>
      <c r="C1660" s="100" t="s">
        <v>1685</v>
      </c>
      <c r="D1660" s="100" t="s">
        <v>1686</v>
      </c>
      <c r="E1660" s="198">
        <v>129.0</v>
      </c>
      <c r="F1660" s="199" t="s">
        <v>2763</v>
      </c>
    </row>
    <row r="1661" ht="22.5" customHeight="1">
      <c r="A1661" s="197">
        <v>46107.114394212964</v>
      </c>
      <c r="B1661" s="100" t="s">
        <v>3366</v>
      </c>
      <c r="C1661" s="100" t="s">
        <v>1688</v>
      </c>
      <c r="D1661" s="100" t="s">
        <v>1689</v>
      </c>
      <c r="E1661" s="198">
        <v>175.0</v>
      </c>
      <c r="F1661" s="199" t="s">
        <v>2764</v>
      </c>
    </row>
    <row r="1662" ht="22.5" customHeight="1">
      <c r="A1662" s="197">
        <v>46107.11439480324</v>
      </c>
      <c r="B1662" s="100" t="s">
        <v>3368</v>
      </c>
      <c r="C1662" s="100" t="s">
        <v>1685</v>
      </c>
      <c r="D1662" s="100" t="s">
        <v>1686</v>
      </c>
      <c r="E1662" s="198">
        <v>166.0</v>
      </c>
      <c r="F1662" s="199" t="s">
        <v>3369</v>
      </c>
    </row>
    <row r="1663" ht="22.5" customHeight="1">
      <c r="A1663" s="197">
        <v>46107.11439480324</v>
      </c>
      <c r="B1663" s="100" t="s">
        <v>3368</v>
      </c>
      <c r="C1663" s="100" t="s">
        <v>1688</v>
      </c>
      <c r="D1663" s="100" t="s">
        <v>1689</v>
      </c>
      <c r="E1663" s="198">
        <v>190.0</v>
      </c>
      <c r="F1663" s="199" t="s">
        <v>3370</v>
      </c>
    </row>
    <row r="1664" ht="22.5" customHeight="1">
      <c r="A1664" s="197">
        <v>46107.114395219905</v>
      </c>
      <c r="B1664" s="100" t="s">
        <v>3371</v>
      </c>
      <c r="C1664" s="100" t="s">
        <v>1685</v>
      </c>
      <c r="D1664" s="100" t="s">
        <v>1686</v>
      </c>
      <c r="E1664" s="198">
        <v>35.0</v>
      </c>
      <c r="F1664" s="199" t="s">
        <v>1805</v>
      </c>
    </row>
    <row r="1665" ht="22.5" customHeight="1">
      <c r="A1665" s="197">
        <v>46107.114395219905</v>
      </c>
      <c r="B1665" s="100" t="s">
        <v>3371</v>
      </c>
      <c r="C1665" s="100" t="s">
        <v>1688</v>
      </c>
      <c r="D1665" s="100" t="s">
        <v>1689</v>
      </c>
      <c r="E1665" s="198">
        <v>35.0</v>
      </c>
      <c r="F1665" s="199" t="s">
        <v>1806</v>
      </c>
    </row>
    <row r="1666" ht="22.5" customHeight="1">
      <c r="A1666" s="197">
        <v>46107.11439554398</v>
      </c>
      <c r="B1666" s="100" t="s">
        <v>3373</v>
      </c>
      <c r="C1666" s="100" t="s">
        <v>1685</v>
      </c>
      <c r="D1666" s="100" t="s">
        <v>1686</v>
      </c>
      <c r="E1666" s="198">
        <v>30.0</v>
      </c>
      <c r="F1666" s="199" t="s">
        <v>2468</v>
      </c>
    </row>
    <row r="1667" ht="22.5" customHeight="1">
      <c r="A1667" s="197">
        <v>46107.11439554398</v>
      </c>
      <c r="B1667" s="100" t="s">
        <v>3373</v>
      </c>
      <c r="C1667" s="100" t="s">
        <v>1688</v>
      </c>
      <c r="D1667" s="100" t="s">
        <v>1689</v>
      </c>
      <c r="E1667" s="198">
        <v>30.0</v>
      </c>
      <c r="F1667" s="199" t="s">
        <v>2470</v>
      </c>
    </row>
    <row r="1668" ht="22.5" customHeight="1">
      <c r="A1668" s="197">
        <v>46107.114395972225</v>
      </c>
      <c r="B1668" s="100" t="s">
        <v>3375</v>
      </c>
      <c r="C1668" s="100" t="s">
        <v>1685</v>
      </c>
      <c r="D1668" s="100" t="s">
        <v>1686</v>
      </c>
      <c r="E1668" s="198">
        <v>46.66</v>
      </c>
      <c r="F1668" s="199" t="s">
        <v>2691</v>
      </c>
    </row>
    <row r="1669" ht="22.5" customHeight="1">
      <c r="A1669" s="197">
        <v>46107.114395972225</v>
      </c>
      <c r="B1669" s="100" t="s">
        <v>3375</v>
      </c>
      <c r="C1669" s="100" t="s">
        <v>1688</v>
      </c>
      <c r="D1669" s="100" t="s">
        <v>1689</v>
      </c>
      <c r="E1669" s="198">
        <v>70.0</v>
      </c>
      <c r="F1669" s="199" t="s">
        <v>2692</v>
      </c>
    </row>
    <row r="1670" ht="22.5" customHeight="1">
      <c r="A1670" s="197">
        <v>46107.11439631945</v>
      </c>
      <c r="B1670" s="100" t="s">
        <v>3377</v>
      </c>
      <c r="C1670" s="100" t="s">
        <v>1685</v>
      </c>
      <c r="D1670" s="100" t="s">
        <v>1686</v>
      </c>
      <c r="E1670" s="198">
        <v>35.0</v>
      </c>
      <c r="F1670" s="199" t="s">
        <v>1805</v>
      </c>
    </row>
    <row r="1671" ht="22.5" customHeight="1">
      <c r="A1671" s="197">
        <v>46107.11439631945</v>
      </c>
      <c r="B1671" s="100" t="s">
        <v>3377</v>
      </c>
      <c r="C1671" s="100" t="s">
        <v>1688</v>
      </c>
      <c r="D1671" s="100" t="s">
        <v>1689</v>
      </c>
      <c r="E1671" s="198">
        <v>50.0</v>
      </c>
      <c r="F1671" s="199" t="s">
        <v>1806</v>
      </c>
    </row>
    <row r="1672" ht="22.5" customHeight="1">
      <c r="A1672" s="197">
        <v>46107.11439670139</v>
      </c>
      <c r="B1672" s="100" t="s">
        <v>3379</v>
      </c>
      <c r="C1672" s="100" t="s">
        <v>1685</v>
      </c>
      <c r="D1672" s="100" t="s">
        <v>1686</v>
      </c>
      <c r="E1672" s="198">
        <v>30.0</v>
      </c>
      <c r="F1672" s="199" t="s">
        <v>2468</v>
      </c>
    </row>
    <row r="1673" ht="22.5" customHeight="1">
      <c r="A1673" s="197">
        <v>46107.11439670139</v>
      </c>
      <c r="B1673" s="100" t="s">
        <v>3379</v>
      </c>
      <c r="C1673" s="100" t="s">
        <v>1688</v>
      </c>
      <c r="D1673" s="100" t="s">
        <v>1689</v>
      </c>
      <c r="E1673" s="198">
        <v>50.0</v>
      </c>
      <c r="F1673" s="199" t="s">
        <v>2470</v>
      </c>
    </row>
    <row r="1674" ht="22.5" customHeight="1">
      <c r="A1674" s="197">
        <v>46107.11439708334</v>
      </c>
      <c r="B1674" s="100" t="s">
        <v>3381</v>
      </c>
      <c r="C1674" s="100" t="s">
        <v>1685</v>
      </c>
      <c r="D1674" s="100" t="s">
        <v>1686</v>
      </c>
      <c r="E1674" s="198">
        <v>35.0</v>
      </c>
      <c r="F1674" s="199" t="s">
        <v>1805</v>
      </c>
    </row>
    <row r="1675" ht="22.5" customHeight="1">
      <c r="A1675" s="197">
        <v>46107.11439708334</v>
      </c>
      <c r="B1675" s="100" t="s">
        <v>3381</v>
      </c>
      <c r="C1675" s="100" t="s">
        <v>1688</v>
      </c>
      <c r="D1675" s="100" t="s">
        <v>1689</v>
      </c>
      <c r="E1675" s="198">
        <v>50.0</v>
      </c>
      <c r="F1675" s="199" t="s">
        <v>1806</v>
      </c>
    </row>
    <row r="1676" ht="22.5" customHeight="1">
      <c r="A1676" s="197">
        <v>46107.11439739584</v>
      </c>
      <c r="B1676" s="100" t="s">
        <v>3383</v>
      </c>
      <c r="C1676" s="100" t="s">
        <v>1685</v>
      </c>
      <c r="D1676" s="100" t="s">
        <v>1686</v>
      </c>
      <c r="E1676" s="198">
        <v>50.0</v>
      </c>
      <c r="F1676" s="199" t="s">
        <v>2797</v>
      </c>
    </row>
    <row r="1677" ht="22.5" customHeight="1">
      <c r="A1677" s="197">
        <v>46107.11439739584</v>
      </c>
      <c r="B1677" s="100" t="s">
        <v>3383</v>
      </c>
      <c r="C1677" s="100" t="s">
        <v>1688</v>
      </c>
      <c r="D1677" s="100" t="s">
        <v>1689</v>
      </c>
      <c r="E1677" s="198">
        <v>75.0</v>
      </c>
      <c r="F1677" s="199" t="s">
        <v>2798</v>
      </c>
    </row>
    <row r="1678" ht="22.5" customHeight="1">
      <c r="A1678" s="197">
        <v>46107.11439769676</v>
      </c>
      <c r="B1678" s="100" t="s">
        <v>3384</v>
      </c>
      <c r="C1678" s="100" t="s">
        <v>1685</v>
      </c>
      <c r="D1678" s="100" t="s">
        <v>1686</v>
      </c>
      <c r="E1678" s="198">
        <v>134.24</v>
      </c>
      <c r="F1678" s="199" t="s">
        <v>2325</v>
      </c>
    </row>
    <row r="1679" ht="22.5" customHeight="1">
      <c r="A1679" s="197">
        <v>46107.11439769676</v>
      </c>
      <c r="B1679" s="100" t="s">
        <v>3384</v>
      </c>
      <c r="C1679" s="100" t="s">
        <v>1688</v>
      </c>
      <c r="D1679" s="100" t="s">
        <v>1689</v>
      </c>
      <c r="E1679" s="198">
        <v>300.0</v>
      </c>
      <c r="F1679" s="199" t="s">
        <v>2327</v>
      </c>
    </row>
    <row r="1680" ht="22.5" customHeight="1">
      <c r="A1680" s="197">
        <v>46107.114398101854</v>
      </c>
      <c r="B1680" s="100" t="s">
        <v>3386</v>
      </c>
      <c r="C1680" s="100" t="s">
        <v>1685</v>
      </c>
      <c r="D1680" s="100" t="s">
        <v>1686</v>
      </c>
      <c r="E1680" s="198">
        <v>18.75</v>
      </c>
      <c r="F1680" s="199" t="s">
        <v>2989</v>
      </c>
    </row>
    <row r="1681" ht="22.5" customHeight="1">
      <c r="A1681" s="197">
        <v>46107.114398101854</v>
      </c>
      <c r="B1681" s="100" t="s">
        <v>3386</v>
      </c>
      <c r="C1681" s="100" t="s">
        <v>1688</v>
      </c>
      <c r="D1681" s="100" t="s">
        <v>1689</v>
      </c>
      <c r="E1681" s="198">
        <v>40.0</v>
      </c>
      <c r="F1681" s="199" t="s">
        <v>2990</v>
      </c>
    </row>
    <row r="1682" ht="22.5" customHeight="1">
      <c r="A1682" s="197">
        <v>46107.11439837963</v>
      </c>
      <c r="B1682" s="100" t="s">
        <v>3388</v>
      </c>
      <c r="C1682" s="100" t="s">
        <v>1685</v>
      </c>
      <c r="D1682" s="100" t="s">
        <v>1686</v>
      </c>
      <c r="E1682" s="198">
        <v>31.5</v>
      </c>
      <c r="F1682" s="100" t="s">
        <v>1701</v>
      </c>
    </row>
    <row r="1683" ht="22.5" customHeight="1">
      <c r="A1683" s="197">
        <v>46107.11439837963</v>
      </c>
      <c r="B1683" s="100" t="s">
        <v>3388</v>
      </c>
      <c r="C1683" s="100" t="s">
        <v>1688</v>
      </c>
      <c r="D1683" s="100" t="s">
        <v>1689</v>
      </c>
      <c r="E1683" s="198">
        <v>50.0</v>
      </c>
      <c r="F1683" s="100" t="s">
        <v>1702</v>
      </c>
    </row>
    <row r="1684" ht="22.5" customHeight="1">
      <c r="A1684" s="197">
        <v>46107.11439877315</v>
      </c>
      <c r="B1684" s="100" t="s">
        <v>3390</v>
      </c>
      <c r="C1684" s="100" t="s">
        <v>1685</v>
      </c>
      <c r="D1684" s="100" t="s">
        <v>1686</v>
      </c>
      <c r="E1684" s="198">
        <v>34.0</v>
      </c>
      <c r="F1684" s="199" t="s">
        <v>2286</v>
      </c>
    </row>
    <row r="1685" ht="22.5" customHeight="1">
      <c r="A1685" s="197">
        <v>46107.11439877315</v>
      </c>
      <c r="B1685" s="100" t="s">
        <v>3390</v>
      </c>
      <c r="C1685" s="100" t="s">
        <v>1688</v>
      </c>
      <c r="D1685" s="100" t="s">
        <v>1689</v>
      </c>
      <c r="E1685" s="198">
        <v>50.0</v>
      </c>
      <c r="F1685" s="199" t="s">
        <v>2288</v>
      </c>
    </row>
    <row r="1686" ht="22.5" customHeight="1">
      <c r="A1686" s="197">
        <v>46107.114399074075</v>
      </c>
      <c r="B1686" s="100" t="s">
        <v>3392</v>
      </c>
      <c r="C1686" s="100" t="s">
        <v>1685</v>
      </c>
      <c r="D1686" s="100" t="s">
        <v>1686</v>
      </c>
      <c r="E1686" s="198">
        <v>81.67</v>
      </c>
      <c r="F1686" s="199" t="s">
        <v>2805</v>
      </c>
    </row>
    <row r="1687" ht="22.5" customHeight="1">
      <c r="A1687" s="197">
        <v>46107.114399074075</v>
      </c>
      <c r="B1687" s="100" t="s">
        <v>3392</v>
      </c>
      <c r="C1687" s="100" t="s">
        <v>1688</v>
      </c>
      <c r="D1687" s="100" t="s">
        <v>1689</v>
      </c>
      <c r="E1687" s="198">
        <v>100.0</v>
      </c>
      <c r="F1687" s="199" t="s">
        <v>2806</v>
      </c>
    </row>
    <row r="1688" ht="22.5" customHeight="1">
      <c r="A1688" s="197">
        <v>46107.11439939815</v>
      </c>
      <c r="B1688" s="100" t="s">
        <v>3394</v>
      </c>
      <c r="C1688" s="100" t="s">
        <v>1685</v>
      </c>
      <c r="D1688" s="100" t="s">
        <v>1686</v>
      </c>
      <c r="E1688" s="198">
        <v>30.0</v>
      </c>
      <c r="F1688" s="199" t="s">
        <v>3089</v>
      </c>
    </row>
    <row r="1689" ht="22.5" customHeight="1">
      <c r="A1689" s="197">
        <v>46107.11439939815</v>
      </c>
      <c r="B1689" s="100" t="s">
        <v>3394</v>
      </c>
      <c r="C1689" s="100" t="s">
        <v>1688</v>
      </c>
      <c r="D1689" s="100" t="s">
        <v>1689</v>
      </c>
      <c r="E1689" s="198">
        <v>80.0</v>
      </c>
      <c r="F1689" s="199" t="s">
        <v>3090</v>
      </c>
    </row>
    <row r="1690" ht="22.5" customHeight="1">
      <c r="A1690" s="197">
        <v>46107.11439980324</v>
      </c>
      <c r="B1690" s="100" t="s">
        <v>3398</v>
      </c>
      <c r="C1690" s="100" t="s">
        <v>1685</v>
      </c>
      <c r="D1690" s="100" t="s">
        <v>1686</v>
      </c>
      <c r="E1690" s="198">
        <v>15.0</v>
      </c>
      <c r="F1690" s="199" t="s">
        <v>2609</v>
      </c>
    </row>
    <row r="1691" ht="22.5" customHeight="1">
      <c r="A1691" s="197">
        <v>46107.11439980324</v>
      </c>
      <c r="B1691" s="100" t="s">
        <v>3398</v>
      </c>
      <c r="C1691" s="100" t="s">
        <v>1688</v>
      </c>
      <c r="D1691" s="100" t="s">
        <v>1689</v>
      </c>
      <c r="E1691" s="198">
        <v>20.0</v>
      </c>
      <c r="F1691" s="199" t="s">
        <v>2610</v>
      </c>
    </row>
    <row r="1692" ht="22.5" customHeight="1">
      <c r="A1692" s="197">
        <v>46107.11440038194</v>
      </c>
      <c r="B1692" s="100" t="s">
        <v>3400</v>
      </c>
      <c r="C1692" s="100" t="s">
        <v>1685</v>
      </c>
      <c r="D1692" s="100" t="s">
        <v>1686</v>
      </c>
      <c r="E1692" s="198">
        <v>160.0</v>
      </c>
      <c r="F1692" s="199" t="s">
        <v>3300</v>
      </c>
    </row>
    <row r="1693" ht="22.5" customHeight="1">
      <c r="A1693" s="197">
        <v>46107.11440038194</v>
      </c>
      <c r="B1693" s="100" t="s">
        <v>3400</v>
      </c>
      <c r="C1693" s="100" t="s">
        <v>1688</v>
      </c>
      <c r="D1693" s="100" t="s">
        <v>1689</v>
      </c>
      <c r="E1693" s="198">
        <v>280.0</v>
      </c>
      <c r="F1693" s="199" t="s">
        <v>3302</v>
      </c>
    </row>
    <row r="1694" ht="22.5" customHeight="1">
      <c r="A1694" s="197">
        <v>46107.11440097222</v>
      </c>
      <c r="B1694" s="100" t="s">
        <v>3402</v>
      </c>
      <c r="C1694" s="100" t="s">
        <v>1685</v>
      </c>
      <c r="D1694" s="100" t="s">
        <v>1686</v>
      </c>
      <c r="E1694" s="198">
        <v>89.07</v>
      </c>
      <c r="F1694" s="199" t="s">
        <v>1833</v>
      </c>
    </row>
    <row r="1695" ht="22.5" customHeight="1">
      <c r="A1695" s="197">
        <v>46107.11440097222</v>
      </c>
      <c r="B1695" s="100" t="s">
        <v>3402</v>
      </c>
      <c r="C1695" s="100" t="s">
        <v>1688</v>
      </c>
      <c r="D1695" s="100" t="s">
        <v>1689</v>
      </c>
      <c r="E1695" s="198">
        <v>100.0</v>
      </c>
      <c r="F1695" s="199" t="s">
        <v>1834</v>
      </c>
    </row>
    <row r="1696" ht="22.5" customHeight="1">
      <c r="A1696" s="197">
        <v>46107.11440145833</v>
      </c>
      <c r="B1696" s="100" t="s">
        <v>3404</v>
      </c>
      <c r="C1696" s="100" t="s">
        <v>1685</v>
      </c>
      <c r="D1696" s="100" t="s">
        <v>1686</v>
      </c>
      <c r="E1696" s="198">
        <v>155.0</v>
      </c>
      <c r="F1696" s="199" t="s">
        <v>2055</v>
      </c>
    </row>
    <row r="1697" ht="22.5" customHeight="1">
      <c r="A1697" s="197">
        <v>46107.11440145833</v>
      </c>
      <c r="B1697" s="100" t="s">
        <v>3404</v>
      </c>
      <c r="C1697" s="100" t="s">
        <v>1688</v>
      </c>
      <c r="D1697" s="100" t="s">
        <v>1689</v>
      </c>
      <c r="E1697" s="198">
        <v>200.0</v>
      </c>
      <c r="F1697" s="199" t="s">
        <v>2056</v>
      </c>
    </row>
    <row r="1698" ht="22.5" customHeight="1">
      <c r="A1698" s="197">
        <v>46107.114402164356</v>
      </c>
      <c r="B1698" s="100" t="s">
        <v>3405</v>
      </c>
      <c r="C1698" s="100" t="s">
        <v>1685</v>
      </c>
      <c r="D1698" s="100" t="s">
        <v>1686</v>
      </c>
      <c r="E1698" s="198">
        <v>60.0</v>
      </c>
      <c r="F1698" s="199" t="s">
        <v>2468</v>
      </c>
    </row>
    <row r="1699" ht="22.5" customHeight="1">
      <c r="A1699" s="197">
        <v>46107.114402164356</v>
      </c>
      <c r="B1699" s="100" t="s">
        <v>3405</v>
      </c>
      <c r="C1699" s="100" t="s">
        <v>1688</v>
      </c>
      <c r="D1699" s="100" t="s">
        <v>1689</v>
      </c>
      <c r="E1699" s="198">
        <v>140.0</v>
      </c>
      <c r="F1699" s="199" t="s">
        <v>2470</v>
      </c>
    </row>
    <row r="1700" ht="22.5" customHeight="1">
      <c r="A1700" s="197">
        <v>46107.11440266204</v>
      </c>
      <c r="B1700" s="100" t="s">
        <v>3407</v>
      </c>
      <c r="C1700" s="100" t="s">
        <v>1685</v>
      </c>
      <c r="D1700" s="100" t="s">
        <v>1686</v>
      </c>
      <c r="E1700" s="198">
        <v>92.5</v>
      </c>
      <c r="F1700" s="199" t="s">
        <v>3315</v>
      </c>
    </row>
    <row r="1701" ht="22.5" customHeight="1">
      <c r="A1701" s="197">
        <v>46107.11440266204</v>
      </c>
      <c r="B1701" s="100" t="s">
        <v>3407</v>
      </c>
      <c r="C1701" s="100" t="s">
        <v>1688</v>
      </c>
      <c r="D1701" s="100" t="s">
        <v>1689</v>
      </c>
      <c r="E1701" s="198">
        <v>270.0</v>
      </c>
      <c r="F1701" s="199" t="s">
        <v>3316</v>
      </c>
    </row>
    <row r="1702" ht="22.5" customHeight="1">
      <c r="A1702" s="197">
        <v>46107.114403217594</v>
      </c>
      <c r="B1702" s="100" t="s">
        <v>3409</v>
      </c>
      <c r="C1702" s="100" t="s">
        <v>1685</v>
      </c>
      <c r="D1702" s="100" t="s">
        <v>1686</v>
      </c>
      <c r="E1702" s="198">
        <v>32.33</v>
      </c>
      <c r="F1702" s="199" t="s">
        <v>3080</v>
      </c>
    </row>
    <row r="1703" ht="22.5" customHeight="1">
      <c r="A1703" s="197">
        <v>46107.114403217594</v>
      </c>
      <c r="B1703" s="100" t="s">
        <v>3409</v>
      </c>
      <c r="C1703" s="100" t="s">
        <v>1688</v>
      </c>
      <c r="D1703" s="100" t="s">
        <v>1689</v>
      </c>
      <c r="E1703" s="198">
        <v>50.0</v>
      </c>
      <c r="F1703" s="199" t="s">
        <v>3081</v>
      </c>
    </row>
    <row r="1704" ht="22.5" customHeight="1">
      <c r="A1704" s="197">
        <v>46107.11440380787</v>
      </c>
      <c r="B1704" s="100" t="s">
        <v>3411</v>
      </c>
      <c r="C1704" s="100" t="s">
        <v>1685</v>
      </c>
      <c r="D1704" s="100" t="s">
        <v>1686</v>
      </c>
      <c r="E1704" s="198">
        <v>88.75</v>
      </c>
      <c r="F1704" s="199" t="s">
        <v>2732</v>
      </c>
    </row>
    <row r="1705" ht="22.5" customHeight="1">
      <c r="A1705" s="197">
        <v>46107.11440380787</v>
      </c>
      <c r="B1705" s="100" t="s">
        <v>3411</v>
      </c>
      <c r="C1705" s="100" t="s">
        <v>1688</v>
      </c>
      <c r="D1705" s="100" t="s">
        <v>1689</v>
      </c>
      <c r="E1705" s="198">
        <v>130.0</v>
      </c>
      <c r="F1705" s="199" t="s">
        <v>2733</v>
      </c>
    </row>
    <row r="1706" ht="22.5" customHeight="1">
      <c r="A1706" s="197">
        <v>46107.114404340275</v>
      </c>
      <c r="B1706" s="100" t="s">
        <v>3413</v>
      </c>
      <c r="C1706" s="100" t="s">
        <v>1685</v>
      </c>
      <c r="D1706" s="100" t="s">
        <v>1686</v>
      </c>
      <c r="E1706" s="198">
        <v>23.22</v>
      </c>
      <c r="F1706" s="199" t="s">
        <v>3083</v>
      </c>
    </row>
    <row r="1707" ht="22.5" customHeight="1">
      <c r="A1707" s="197">
        <v>46107.114404340275</v>
      </c>
      <c r="B1707" s="100" t="s">
        <v>3413</v>
      </c>
      <c r="C1707" s="100" t="s">
        <v>1688</v>
      </c>
      <c r="D1707" s="100" t="s">
        <v>1689</v>
      </c>
      <c r="E1707" s="198">
        <v>40.0</v>
      </c>
      <c r="F1707" s="199" t="s">
        <v>3084</v>
      </c>
    </row>
    <row r="1708" ht="22.5" customHeight="1">
      <c r="A1708" s="197">
        <v>46107.11440503472</v>
      </c>
      <c r="B1708" s="100" t="s">
        <v>3415</v>
      </c>
      <c r="C1708" s="100" t="s">
        <v>1685</v>
      </c>
      <c r="D1708" s="100" t="s">
        <v>1686</v>
      </c>
      <c r="E1708" s="198">
        <v>48.0</v>
      </c>
      <c r="F1708" s="199" t="s">
        <v>1859</v>
      </c>
    </row>
    <row r="1709" ht="22.5" customHeight="1">
      <c r="A1709" s="197">
        <v>46107.11440503472</v>
      </c>
      <c r="B1709" s="100" t="s">
        <v>3415</v>
      </c>
      <c r="C1709" s="100" t="s">
        <v>1688</v>
      </c>
      <c r="D1709" s="100" t="s">
        <v>1689</v>
      </c>
      <c r="E1709" s="198">
        <v>100.0</v>
      </c>
      <c r="F1709" s="199" t="s">
        <v>1860</v>
      </c>
    </row>
    <row r="1710" ht="22.5" customHeight="1">
      <c r="A1710" s="197">
        <v>46107.11440575232</v>
      </c>
      <c r="B1710" s="100" t="s">
        <v>3417</v>
      </c>
      <c r="C1710" s="100" t="s">
        <v>1685</v>
      </c>
      <c r="D1710" s="100" t="s">
        <v>1686</v>
      </c>
      <c r="E1710" s="198">
        <v>88.75</v>
      </c>
      <c r="F1710" s="199" t="s">
        <v>2732</v>
      </c>
    </row>
    <row r="1711" ht="22.5" customHeight="1">
      <c r="A1711" s="197">
        <v>46107.11440575232</v>
      </c>
      <c r="B1711" s="100" t="s">
        <v>3417</v>
      </c>
      <c r="C1711" s="100" t="s">
        <v>1688</v>
      </c>
      <c r="D1711" s="100" t="s">
        <v>1689</v>
      </c>
      <c r="E1711" s="198">
        <v>130.0</v>
      </c>
      <c r="F1711" s="199" t="s">
        <v>2733</v>
      </c>
    </row>
    <row r="1712" ht="22.5" customHeight="1">
      <c r="A1712" s="197">
        <v>46107.114406203706</v>
      </c>
      <c r="B1712" s="100" t="s">
        <v>3419</v>
      </c>
      <c r="C1712" s="100" t="s">
        <v>1685</v>
      </c>
      <c r="D1712" s="100" t="s">
        <v>1686</v>
      </c>
      <c r="E1712" s="198">
        <v>134.24</v>
      </c>
      <c r="F1712" s="199" t="s">
        <v>2325</v>
      </c>
    </row>
    <row r="1713" ht="22.5" customHeight="1">
      <c r="A1713" s="197">
        <v>46107.114406203706</v>
      </c>
      <c r="B1713" s="100" t="s">
        <v>3419</v>
      </c>
      <c r="C1713" s="100" t="s">
        <v>1688</v>
      </c>
      <c r="D1713" s="100" t="s">
        <v>1689</v>
      </c>
      <c r="E1713" s="198">
        <v>300.0</v>
      </c>
      <c r="F1713" s="199" t="s">
        <v>2327</v>
      </c>
    </row>
    <row r="1714" ht="22.5" customHeight="1">
      <c r="A1714" s="197">
        <v>46107.11440668981</v>
      </c>
      <c r="B1714" s="100" t="s">
        <v>3423</v>
      </c>
      <c r="C1714" s="100" t="s">
        <v>1685</v>
      </c>
      <c r="D1714" s="100" t="s">
        <v>1686</v>
      </c>
      <c r="E1714" s="198">
        <v>64.67</v>
      </c>
      <c r="F1714" s="199" t="s">
        <v>3080</v>
      </c>
    </row>
    <row r="1715" ht="22.5" customHeight="1">
      <c r="A1715" s="197">
        <v>46107.11440668981</v>
      </c>
      <c r="B1715" s="100" t="s">
        <v>3423</v>
      </c>
      <c r="C1715" s="100" t="s">
        <v>1688</v>
      </c>
      <c r="D1715" s="100" t="s">
        <v>1689</v>
      </c>
      <c r="E1715" s="198">
        <v>100.0</v>
      </c>
      <c r="F1715" s="199" t="s">
        <v>3081</v>
      </c>
    </row>
    <row r="1716" ht="22.5" customHeight="1">
      <c r="A1716" s="197">
        <v>46107.11440697916</v>
      </c>
      <c r="B1716" s="100" t="s">
        <v>3424</v>
      </c>
      <c r="C1716" s="100" t="s">
        <v>1685</v>
      </c>
      <c r="D1716" s="100" t="s">
        <v>1686</v>
      </c>
      <c r="E1716" s="198">
        <v>85.0</v>
      </c>
      <c r="F1716" s="199" t="s">
        <v>2540</v>
      </c>
    </row>
    <row r="1717" ht="22.5" customHeight="1">
      <c r="A1717" s="197">
        <v>46107.11440697916</v>
      </c>
      <c r="B1717" s="100" t="s">
        <v>3424</v>
      </c>
      <c r="C1717" s="100" t="s">
        <v>1688</v>
      </c>
      <c r="D1717" s="100" t="s">
        <v>1689</v>
      </c>
      <c r="E1717" s="198">
        <v>150.0</v>
      </c>
      <c r="F1717" s="199" t="s">
        <v>2541</v>
      </c>
    </row>
    <row r="1718" ht="22.5" customHeight="1">
      <c r="A1718" s="197">
        <v>46107.11440731482</v>
      </c>
      <c r="B1718" s="100" t="s">
        <v>3425</v>
      </c>
      <c r="C1718" s="100" t="s">
        <v>1685</v>
      </c>
      <c r="D1718" s="100" t="s">
        <v>1686</v>
      </c>
      <c r="E1718" s="198">
        <v>75.0</v>
      </c>
      <c r="F1718" s="199" t="s">
        <v>2912</v>
      </c>
    </row>
    <row r="1719" ht="22.5" customHeight="1">
      <c r="A1719" s="197">
        <v>46107.11440731482</v>
      </c>
      <c r="B1719" s="100" t="s">
        <v>3425</v>
      </c>
      <c r="C1719" s="100" t="s">
        <v>1688</v>
      </c>
      <c r="D1719" s="100" t="s">
        <v>1689</v>
      </c>
      <c r="E1719" s="198">
        <v>100.0</v>
      </c>
      <c r="F1719" s="199" t="s">
        <v>2913</v>
      </c>
    </row>
    <row r="1720" ht="22.5" customHeight="1">
      <c r="A1720" s="197">
        <v>46107.11440763889</v>
      </c>
      <c r="B1720" s="100" t="s">
        <v>3427</v>
      </c>
      <c r="C1720" s="100" t="s">
        <v>1685</v>
      </c>
      <c r="D1720" s="100" t="s">
        <v>1686</v>
      </c>
      <c r="E1720" s="198">
        <v>135.0</v>
      </c>
      <c r="F1720" s="199" t="s">
        <v>2753</v>
      </c>
    </row>
    <row r="1721" ht="22.5" customHeight="1">
      <c r="A1721" s="197">
        <v>46107.11440763889</v>
      </c>
      <c r="B1721" s="100" t="s">
        <v>3427</v>
      </c>
      <c r="C1721" s="100" t="s">
        <v>1688</v>
      </c>
      <c r="D1721" s="100" t="s">
        <v>1689</v>
      </c>
      <c r="E1721" s="198">
        <v>150.0</v>
      </c>
      <c r="F1721" s="199" t="s">
        <v>2755</v>
      </c>
    </row>
    <row r="1722" ht="22.5" customHeight="1">
      <c r="A1722" s="197">
        <v>46107.11440796296</v>
      </c>
      <c r="B1722" s="100" t="s">
        <v>3428</v>
      </c>
      <c r="C1722" s="100" t="s">
        <v>1685</v>
      </c>
      <c r="D1722" s="100" t="s">
        <v>1686</v>
      </c>
      <c r="E1722" s="198">
        <v>45.0</v>
      </c>
      <c r="F1722" s="199" t="s">
        <v>2609</v>
      </c>
    </row>
    <row r="1723" ht="22.5" customHeight="1">
      <c r="A1723" s="197">
        <v>46107.11440796296</v>
      </c>
      <c r="B1723" s="100" t="s">
        <v>3428</v>
      </c>
      <c r="C1723" s="100" t="s">
        <v>1688</v>
      </c>
      <c r="D1723" s="100" t="s">
        <v>1689</v>
      </c>
      <c r="E1723" s="198">
        <v>60.0</v>
      </c>
      <c r="F1723" s="199" t="s">
        <v>2610</v>
      </c>
    </row>
    <row r="1724" ht="22.5" customHeight="1">
      <c r="A1724" s="197">
        <v>46107.11440824074</v>
      </c>
      <c r="B1724" s="100" t="s">
        <v>3430</v>
      </c>
      <c r="C1724" s="100" t="s">
        <v>1685</v>
      </c>
      <c r="D1724" s="100" t="s">
        <v>1686</v>
      </c>
      <c r="E1724" s="198">
        <v>64.67</v>
      </c>
      <c r="F1724" s="199" t="s">
        <v>3080</v>
      </c>
    </row>
    <row r="1725" ht="22.5" customHeight="1">
      <c r="A1725" s="197">
        <v>46107.11440824074</v>
      </c>
      <c r="B1725" s="100" t="s">
        <v>3430</v>
      </c>
      <c r="C1725" s="100" t="s">
        <v>1688</v>
      </c>
      <c r="D1725" s="100" t="s">
        <v>1689</v>
      </c>
      <c r="E1725" s="198">
        <v>80.0</v>
      </c>
      <c r="F1725" s="199" t="s">
        <v>3081</v>
      </c>
    </row>
    <row r="1726" ht="22.5" customHeight="1">
      <c r="A1726" s="197">
        <v>46107.11440851852</v>
      </c>
      <c r="B1726" s="100" t="s">
        <v>3432</v>
      </c>
      <c r="C1726" s="100" t="s">
        <v>1685</v>
      </c>
      <c r="D1726" s="100" t="s">
        <v>1686</v>
      </c>
      <c r="E1726" s="198">
        <v>93.0</v>
      </c>
      <c r="F1726" s="199" t="s">
        <v>2726</v>
      </c>
    </row>
    <row r="1727" ht="22.5" customHeight="1">
      <c r="A1727" s="197">
        <v>46107.11440851852</v>
      </c>
      <c r="B1727" s="100" t="s">
        <v>3432</v>
      </c>
      <c r="C1727" s="100" t="s">
        <v>1688</v>
      </c>
      <c r="D1727" s="100" t="s">
        <v>1689</v>
      </c>
      <c r="E1727" s="198">
        <v>115.0</v>
      </c>
      <c r="F1727" s="199" t="s">
        <v>2727</v>
      </c>
    </row>
    <row r="1728" ht="22.5" customHeight="1">
      <c r="A1728" s="197">
        <v>46107.11440893519</v>
      </c>
      <c r="B1728" s="100" t="s">
        <v>3434</v>
      </c>
      <c r="C1728" s="100" t="s">
        <v>1685</v>
      </c>
      <c r="D1728" s="100" t="s">
        <v>1686</v>
      </c>
      <c r="E1728" s="198">
        <v>139.0</v>
      </c>
      <c r="F1728" s="199" t="s">
        <v>3361</v>
      </c>
    </row>
    <row r="1729" ht="22.5" customHeight="1">
      <c r="A1729" s="197">
        <v>46107.11440893519</v>
      </c>
      <c r="B1729" s="100" t="s">
        <v>3434</v>
      </c>
      <c r="C1729" s="100" t="s">
        <v>1688</v>
      </c>
      <c r="D1729" s="100" t="s">
        <v>1689</v>
      </c>
      <c r="E1729" s="198">
        <v>170.0</v>
      </c>
      <c r="F1729" s="199" t="s">
        <v>3362</v>
      </c>
    </row>
    <row r="1730" ht="22.5" customHeight="1">
      <c r="A1730" s="197">
        <v>46107.114409201386</v>
      </c>
      <c r="B1730" s="100" t="s">
        <v>3436</v>
      </c>
      <c r="C1730" s="100" t="s">
        <v>1685</v>
      </c>
      <c r="D1730" s="100" t="s">
        <v>1686</v>
      </c>
      <c r="E1730" s="198">
        <v>65.0</v>
      </c>
      <c r="F1730" s="199" t="s">
        <v>3056</v>
      </c>
    </row>
    <row r="1731" ht="22.5" customHeight="1">
      <c r="A1731" s="197">
        <v>46107.114409201386</v>
      </c>
      <c r="B1731" s="100" t="s">
        <v>3436</v>
      </c>
      <c r="C1731" s="100" t="s">
        <v>1688</v>
      </c>
      <c r="D1731" s="100" t="s">
        <v>1689</v>
      </c>
      <c r="E1731" s="198">
        <v>100.0</v>
      </c>
      <c r="F1731" s="199" t="s">
        <v>3057</v>
      </c>
    </row>
    <row r="1732" ht="22.5" customHeight="1">
      <c r="A1732" s="197">
        <v>46107.114409444446</v>
      </c>
      <c r="B1732" s="100" t="s">
        <v>3438</v>
      </c>
      <c r="C1732" s="100" t="s">
        <v>1685</v>
      </c>
      <c r="D1732" s="100" t="s">
        <v>1686</v>
      </c>
      <c r="E1732" s="198">
        <v>30.0</v>
      </c>
      <c r="F1732" s="199" t="s">
        <v>2609</v>
      </c>
    </row>
    <row r="1733" ht="22.5" customHeight="1">
      <c r="A1733" s="197">
        <v>46107.114409444446</v>
      </c>
      <c r="B1733" s="100" t="s">
        <v>3438</v>
      </c>
      <c r="C1733" s="100" t="s">
        <v>1688</v>
      </c>
      <c r="D1733" s="100" t="s">
        <v>1689</v>
      </c>
      <c r="E1733" s="198">
        <v>40.0</v>
      </c>
      <c r="F1733" s="199" t="s">
        <v>2610</v>
      </c>
    </row>
    <row r="1734" ht="22.5" customHeight="1">
      <c r="A1734" s="197">
        <v>46107.11440975695</v>
      </c>
      <c r="B1734" s="100" t="s">
        <v>3439</v>
      </c>
      <c r="C1734" s="100" t="s">
        <v>1685</v>
      </c>
      <c r="D1734" s="100" t="s">
        <v>1686</v>
      </c>
      <c r="E1734" s="198">
        <v>129.0</v>
      </c>
      <c r="F1734" s="199" t="s">
        <v>3441</v>
      </c>
    </row>
    <row r="1735" ht="22.5" customHeight="1">
      <c r="A1735" s="197">
        <v>46107.11440975695</v>
      </c>
      <c r="B1735" s="100" t="s">
        <v>3439</v>
      </c>
      <c r="C1735" s="100" t="s">
        <v>1688</v>
      </c>
      <c r="D1735" s="100" t="s">
        <v>1689</v>
      </c>
      <c r="E1735" s="198">
        <v>150.0</v>
      </c>
      <c r="F1735" s="199" t="s">
        <v>3442</v>
      </c>
    </row>
    <row r="1736" ht="22.5" customHeight="1">
      <c r="A1736" s="197">
        <v>46107.11441019676</v>
      </c>
      <c r="B1736" s="100" t="s">
        <v>3443</v>
      </c>
      <c r="C1736" s="100" t="s">
        <v>1685</v>
      </c>
      <c r="D1736" s="100" t="s">
        <v>1686</v>
      </c>
      <c r="E1736" s="198">
        <v>30.0</v>
      </c>
      <c r="F1736" s="100" t="s">
        <v>3445</v>
      </c>
    </row>
    <row r="1737" ht="22.5" customHeight="1">
      <c r="A1737" s="197">
        <v>46107.11441019676</v>
      </c>
      <c r="B1737" s="100" t="s">
        <v>3443</v>
      </c>
      <c r="C1737" s="100" t="s">
        <v>1688</v>
      </c>
      <c r="D1737" s="100" t="s">
        <v>1689</v>
      </c>
      <c r="E1737" s="198">
        <v>30.0</v>
      </c>
      <c r="F1737" s="100" t="s">
        <v>3446</v>
      </c>
    </row>
    <row r="1738" ht="22.5" customHeight="1">
      <c r="A1738" s="197">
        <v>46107.1144105787</v>
      </c>
      <c r="B1738" s="100" t="s">
        <v>3447</v>
      </c>
      <c r="C1738" s="100" t="s">
        <v>1685</v>
      </c>
      <c r="D1738" s="100" t="s">
        <v>1686</v>
      </c>
      <c r="E1738" s="198">
        <v>46.66</v>
      </c>
      <c r="F1738" s="199" t="s">
        <v>2691</v>
      </c>
    </row>
    <row r="1739" ht="22.5" customHeight="1">
      <c r="A1739" s="197">
        <v>46107.1144105787</v>
      </c>
      <c r="B1739" s="100" t="s">
        <v>3447</v>
      </c>
      <c r="C1739" s="100" t="s">
        <v>1688</v>
      </c>
      <c r="D1739" s="100" t="s">
        <v>1689</v>
      </c>
      <c r="E1739" s="198">
        <v>70.0</v>
      </c>
      <c r="F1739" s="199" t="s">
        <v>2692</v>
      </c>
    </row>
    <row r="1740" ht="22.5" customHeight="1">
      <c r="A1740" s="197">
        <v>46107.114410925926</v>
      </c>
      <c r="B1740" s="100" t="s">
        <v>3449</v>
      </c>
      <c r="C1740" s="100" t="s">
        <v>1685</v>
      </c>
      <c r="D1740" s="100" t="s">
        <v>1686</v>
      </c>
      <c r="E1740" s="198">
        <v>30.0</v>
      </c>
      <c r="F1740" s="100" t="s">
        <v>3445</v>
      </c>
    </row>
    <row r="1741" ht="22.5" customHeight="1">
      <c r="A1741" s="197">
        <v>46107.114410925926</v>
      </c>
      <c r="B1741" s="100" t="s">
        <v>3449</v>
      </c>
      <c r="C1741" s="100" t="s">
        <v>1688</v>
      </c>
      <c r="D1741" s="100" t="s">
        <v>1689</v>
      </c>
      <c r="E1741" s="198">
        <v>50.0</v>
      </c>
      <c r="F1741" s="100" t="s">
        <v>3446</v>
      </c>
    </row>
    <row r="1742" ht="22.5" customHeight="1">
      <c r="A1742" s="197">
        <v>46107.11441130787</v>
      </c>
      <c r="B1742" s="100" t="s">
        <v>3451</v>
      </c>
      <c r="C1742" s="100" t="s">
        <v>1685</v>
      </c>
      <c r="D1742" s="100" t="s">
        <v>1686</v>
      </c>
      <c r="E1742" s="198">
        <v>15.0</v>
      </c>
      <c r="F1742" s="199" t="s">
        <v>2648</v>
      </c>
    </row>
    <row r="1743" ht="22.5" customHeight="1">
      <c r="A1743" s="197">
        <v>46107.11441130787</v>
      </c>
      <c r="B1743" s="100" t="s">
        <v>3451</v>
      </c>
      <c r="C1743" s="100" t="s">
        <v>1688</v>
      </c>
      <c r="D1743" s="100" t="s">
        <v>1689</v>
      </c>
      <c r="E1743" s="198">
        <v>40.0</v>
      </c>
      <c r="F1743" s="199" t="s">
        <v>2649</v>
      </c>
    </row>
    <row r="1744" ht="22.5" customHeight="1">
      <c r="A1744" s="197">
        <v>46107.114411608796</v>
      </c>
      <c r="B1744" s="100" t="s">
        <v>3452</v>
      </c>
      <c r="C1744" s="100" t="s">
        <v>1685</v>
      </c>
      <c r="D1744" s="100" t="s">
        <v>1686</v>
      </c>
      <c r="E1744" s="198">
        <v>125.0</v>
      </c>
      <c r="F1744" s="199" t="s">
        <v>3454</v>
      </c>
    </row>
    <row r="1745" ht="22.5" customHeight="1">
      <c r="A1745" s="197">
        <v>46107.114411608796</v>
      </c>
      <c r="B1745" s="100" t="s">
        <v>3452</v>
      </c>
      <c r="C1745" s="100" t="s">
        <v>1688</v>
      </c>
      <c r="D1745" s="100" t="s">
        <v>1689</v>
      </c>
      <c r="E1745" s="198">
        <v>150.0</v>
      </c>
      <c r="F1745" s="199" t="s">
        <v>3455</v>
      </c>
    </row>
    <row r="1746" ht="22.5" customHeight="1">
      <c r="A1746" s="197">
        <v>46107.114411875</v>
      </c>
      <c r="B1746" s="100" t="s">
        <v>3456</v>
      </c>
      <c r="C1746" s="100" t="s">
        <v>1685</v>
      </c>
      <c r="D1746" s="100" t="s">
        <v>1686</v>
      </c>
      <c r="E1746" s="198">
        <v>125.0</v>
      </c>
      <c r="F1746" s="199" t="s">
        <v>2636</v>
      </c>
    </row>
    <row r="1747" ht="22.5" customHeight="1">
      <c r="A1747" s="197">
        <v>46107.114411875</v>
      </c>
      <c r="B1747" s="100" t="s">
        <v>3456</v>
      </c>
      <c r="C1747" s="100" t="s">
        <v>1688</v>
      </c>
      <c r="D1747" s="100" t="s">
        <v>1689</v>
      </c>
      <c r="E1747" s="198">
        <v>150.0</v>
      </c>
      <c r="F1747" s="199" t="s">
        <v>2637</v>
      </c>
    </row>
    <row r="1748" ht="22.5" customHeight="1">
      <c r="A1748" s="197">
        <v>46107.1144121875</v>
      </c>
      <c r="B1748" s="100" t="s">
        <v>3458</v>
      </c>
      <c r="C1748" s="100" t="s">
        <v>1685</v>
      </c>
      <c r="D1748" s="100" t="s">
        <v>1686</v>
      </c>
      <c r="E1748" s="198">
        <v>179.5</v>
      </c>
      <c r="F1748" s="199" t="s">
        <v>3460</v>
      </c>
    </row>
    <row r="1749" ht="22.5" customHeight="1">
      <c r="A1749" s="197">
        <v>46107.1144121875</v>
      </c>
      <c r="B1749" s="100" t="s">
        <v>3458</v>
      </c>
      <c r="C1749" s="100" t="s">
        <v>1688</v>
      </c>
      <c r="D1749" s="100" t="s">
        <v>1689</v>
      </c>
      <c r="E1749" s="198">
        <v>200.0</v>
      </c>
      <c r="F1749" s="199" t="s">
        <v>3461</v>
      </c>
    </row>
    <row r="1750" ht="22.5" customHeight="1">
      <c r="A1750" s="197">
        <v>46107.11441247685</v>
      </c>
      <c r="B1750" s="100" t="s">
        <v>3463</v>
      </c>
      <c r="C1750" s="100" t="s">
        <v>1685</v>
      </c>
      <c r="D1750" s="100" t="s">
        <v>1686</v>
      </c>
      <c r="E1750" s="198">
        <v>23.22</v>
      </c>
      <c r="F1750" s="199" t="s">
        <v>3083</v>
      </c>
    </row>
    <row r="1751" ht="22.5" customHeight="1">
      <c r="A1751" s="197">
        <v>46107.11441247685</v>
      </c>
      <c r="B1751" s="100" t="s">
        <v>3463</v>
      </c>
      <c r="C1751" s="100" t="s">
        <v>1688</v>
      </c>
      <c r="D1751" s="100" t="s">
        <v>1689</v>
      </c>
      <c r="E1751" s="198">
        <v>40.0</v>
      </c>
      <c r="F1751" s="199" t="s">
        <v>3084</v>
      </c>
    </row>
    <row r="1752" ht="22.5" customHeight="1">
      <c r="A1752" s="197">
        <v>46107.114412766205</v>
      </c>
      <c r="B1752" s="100" t="s">
        <v>3464</v>
      </c>
      <c r="C1752" s="100" t="s">
        <v>1685</v>
      </c>
      <c r="D1752" s="100" t="s">
        <v>1686</v>
      </c>
      <c r="E1752" s="198">
        <v>64.0</v>
      </c>
      <c r="F1752" s="199" t="s">
        <v>3466</v>
      </c>
    </row>
    <row r="1753" ht="22.5" customHeight="1">
      <c r="A1753" s="197">
        <v>46107.114412766205</v>
      </c>
      <c r="B1753" s="100" t="s">
        <v>3464</v>
      </c>
      <c r="C1753" s="100" t="s">
        <v>1688</v>
      </c>
      <c r="D1753" s="100" t="s">
        <v>1689</v>
      </c>
      <c r="E1753" s="198">
        <v>130.0</v>
      </c>
      <c r="F1753" s="199" t="s">
        <v>3467</v>
      </c>
    </row>
    <row r="1754" ht="22.5" customHeight="1">
      <c r="A1754" s="197">
        <v>46107.116533900466</v>
      </c>
      <c r="B1754" s="100" t="s">
        <v>3468</v>
      </c>
      <c r="C1754" s="100" t="s">
        <v>1685</v>
      </c>
      <c r="D1754" s="100" t="s">
        <v>1686</v>
      </c>
      <c r="E1754" s="198">
        <v>225.0</v>
      </c>
      <c r="F1754" s="199" t="s">
        <v>2432</v>
      </c>
    </row>
    <row r="1755" ht="22.5" customHeight="1">
      <c r="A1755" s="197">
        <v>46107.116533900466</v>
      </c>
      <c r="B1755" s="100" t="s">
        <v>3468</v>
      </c>
      <c r="C1755" s="100" t="s">
        <v>1688</v>
      </c>
      <c r="D1755" s="100" t="s">
        <v>1689</v>
      </c>
      <c r="E1755" s="198">
        <v>300.0</v>
      </c>
      <c r="F1755" s="199" t="s">
        <v>2433</v>
      </c>
    </row>
    <row r="1756" ht="22.5" customHeight="1">
      <c r="A1756" s="197">
        <v>46107.116536574074</v>
      </c>
      <c r="B1756" s="100" t="s">
        <v>3470</v>
      </c>
      <c r="C1756" s="100" t="s">
        <v>1685</v>
      </c>
      <c r="D1756" s="100" t="s">
        <v>1686</v>
      </c>
      <c r="E1756" s="198">
        <v>85.0</v>
      </c>
      <c r="F1756" s="199" t="s">
        <v>3300</v>
      </c>
    </row>
    <row r="1757" ht="22.5" customHeight="1">
      <c r="A1757" s="197">
        <v>46107.116536574074</v>
      </c>
      <c r="B1757" s="100" t="s">
        <v>3470</v>
      </c>
      <c r="C1757" s="100" t="s">
        <v>1688</v>
      </c>
      <c r="D1757" s="100" t="s">
        <v>1689</v>
      </c>
      <c r="E1757" s="198">
        <v>140.0</v>
      </c>
      <c r="F1757" s="199" t="s">
        <v>3302</v>
      </c>
    </row>
    <row r="1758" ht="22.5" customHeight="1">
      <c r="A1758" s="197">
        <v>46107.11653908565</v>
      </c>
      <c r="B1758" s="100" t="s">
        <v>3472</v>
      </c>
      <c r="C1758" s="100" t="s">
        <v>1685</v>
      </c>
      <c r="D1758" s="100" t="s">
        <v>1686</v>
      </c>
      <c r="E1758" s="198">
        <v>170.0</v>
      </c>
      <c r="F1758" s="199" t="s">
        <v>3300</v>
      </c>
    </row>
    <row r="1759" ht="22.5" customHeight="1">
      <c r="A1759" s="197">
        <v>46107.11653908565</v>
      </c>
      <c r="B1759" s="100" t="s">
        <v>3472</v>
      </c>
      <c r="C1759" s="100" t="s">
        <v>1688</v>
      </c>
      <c r="D1759" s="100" t="s">
        <v>1689</v>
      </c>
      <c r="E1759" s="198">
        <v>250.0</v>
      </c>
      <c r="F1759" s="199" t="s">
        <v>3302</v>
      </c>
    </row>
    <row r="1760" ht="22.5" customHeight="1">
      <c r="A1760" s="197">
        <v>46107.116542233794</v>
      </c>
      <c r="B1760" s="100" t="s">
        <v>3474</v>
      </c>
      <c r="C1760" s="100" t="s">
        <v>1685</v>
      </c>
      <c r="D1760" s="100" t="s">
        <v>1686</v>
      </c>
      <c r="E1760" s="198">
        <v>85.0</v>
      </c>
      <c r="F1760" s="199" t="s">
        <v>3300</v>
      </c>
    </row>
    <row r="1761" ht="22.5" customHeight="1">
      <c r="A1761" s="197">
        <v>46107.116542233794</v>
      </c>
      <c r="B1761" s="100" t="s">
        <v>3474</v>
      </c>
      <c r="C1761" s="100" t="s">
        <v>1688</v>
      </c>
      <c r="D1761" s="100" t="s">
        <v>1689</v>
      </c>
      <c r="E1761" s="198">
        <v>140.0</v>
      </c>
      <c r="F1761" s="199" t="s">
        <v>3302</v>
      </c>
    </row>
    <row r="1762" ht="22.5" customHeight="1">
      <c r="A1762" s="197">
        <v>46107.11706416667</v>
      </c>
      <c r="B1762" s="100" t="s">
        <v>3476</v>
      </c>
      <c r="C1762" s="100" t="s">
        <v>1685</v>
      </c>
      <c r="D1762" s="100" t="s">
        <v>1686</v>
      </c>
      <c r="E1762" s="198">
        <v>28.2</v>
      </c>
      <c r="F1762" s="199" t="s">
        <v>1753</v>
      </c>
    </row>
    <row r="1763" ht="22.5" customHeight="1">
      <c r="A1763" s="197">
        <v>46107.11706416667</v>
      </c>
      <c r="B1763" s="100" t="s">
        <v>3476</v>
      </c>
      <c r="C1763" s="100" t="s">
        <v>1688</v>
      </c>
      <c r="D1763" s="100" t="s">
        <v>1689</v>
      </c>
      <c r="E1763" s="198">
        <v>35.0</v>
      </c>
      <c r="F1763" s="199" t="s">
        <v>1754</v>
      </c>
    </row>
    <row r="1764" ht="22.5" customHeight="1">
      <c r="A1764" s="197">
        <v>46107.11706445602</v>
      </c>
      <c r="B1764" s="100" t="s">
        <v>3478</v>
      </c>
      <c r="C1764" s="100" t="s">
        <v>1685</v>
      </c>
      <c r="D1764" s="100" t="s">
        <v>1686</v>
      </c>
      <c r="E1764" s="198">
        <v>28.2</v>
      </c>
      <c r="F1764" s="199" t="s">
        <v>1753</v>
      </c>
    </row>
    <row r="1765" ht="22.5" customHeight="1">
      <c r="A1765" s="197">
        <v>46107.11706445602</v>
      </c>
      <c r="B1765" s="100" t="s">
        <v>3478</v>
      </c>
      <c r="C1765" s="100" t="s">
        <v>1688</v>
      </c>
      <c r="D1765" s="100" t="s">
        <v>1689</v>
      </c>
      <c r="E1765" s="198">
        <v>40.0</v>
      </c>
      <c r="F1765" s="199" t="s">
        <v>1754</v>
      </c>
    </row>
    <row r="1766" ht="22.5" customHeight="1">
      <c r="A1766" s="197">
        <v>46107.117064895836</v>
      </c>
      <c r="B1766" s="100" t="s">
        <v>3480</v>
      </c>
      <c r="C1766" s="100" t="s">
        <v>1685</v>
      </c>
      <c r="D1766" s="100" t="s">
        <v>1686</v>
      </c>
      <c r="E1766" s="198">
        <v>28.2</v>
      </c>
      <c r="F1766" s="199" t="s">
        <v>1753</v>
      </c>
    </row>
    <row r="1767" ht="22.5" customHeight="1">
      <c r="A1767" s="197">
        <v>46107.117064895836</v>
      </c>
      <c r="B1767" s="100" t="s">
        <v>3480</v>
      </c>
      <c r="C1767" s="100" t="s">
        <v>1688</v>
      </c>
      <c r="D1767" s="100" t="s">
        <v>1689</v>
      </c>
      <c r="E1767" s="198">
        <v>40.0</v>
      </c>
      <c r="F1767" s="199" t="s">
        <v>1754</v>
      </c>
    </row>
    <row r="1768" ht="22.5" customHeight="1">
      <c r="A1768" s="197">
        <v>46107.123248379634</v>
      </c>
      <c r="B1768" s="100" t="s">
        <v>3482</v>
      </c>
      <c r="C1768" s="100" t="s">
        <v>1685</v>
      </c>
      <c r="D1768" s="100" t="s">
        <v>1686</v>
      </c>
      <c r="E1768" s="198">
        <v>110.0</v>
      </c>
      <c r="F1768" s="199" t="s">
        <v>2886</v>
      </c>
    </row>
    <row r="1769" ht="22.5" customHeight="1">
      <c r="A1769" s="197">
        <v>46107.123248379634</v>
      </c>
      <c r="B1769" s="100" t="s">
        <v>3482</v>
      </c>
      <c r="C1769" s="100" t="s">
        <v>1688</v>
      </c>
      <c r="D1769" s="100" t="s">
        <v>1689</v>
      </c>
      <c r="E1769" s="198">
        <v>160.0</v>
      </c>
      <c r="F1769" s="199" t="s">
        <v>2887</v>
      </c>
    </row>
    <row r="1770" ht="22.5" customHeight="1">
      <c r="A1770" s="197">
        <v>46107.12324909722</v>
      </c>
      <c r="B1770" s="100" t="s">
        <v>3483</v>
      </c>
      <c r="C1770" s="100" t="s">
        <v>1685</v>
      </c>
      <c r="D1770" s="100" t="s">
        <v>1686</v>
      </c>
      <c r="E1770" s="198">
        <v>145.0</v>
      </c>
      <c r="F1770" s="199" t="s">
        <v>2029</v>
      </c>
    </row>
    <row r="1771" ht="22.5" customHeight="1">
      <c r="A1771" s="197">
        <v>46107.12324909722</v>
      </c>
      <c r="B1771" s="100" t="s">
        <v>3483</v>
      </c>
      <c r="C1771" s="100" t="s">
        <v>1688</v>
      </c>
      <c r="D1771" s="100" t="s">
        <v>1689</v>
      </c>
      <c r="E1771" s="198">
        <v>220.0</v>
      </c>
      <c r="F1771" s="199" t="s">
        <v>2030</v>
      </c>
    </row>
    <row r="1772" ht="22.5" customHeight="1">
      <c r="A1772" s="197">
        <v>46107.12324969907</v>
      </c>
      <c r="B1772" s="100" t="s">
        <v>3485</v>
      </c>
      <c r="C1772" s="100" t="s">
        <v>1685</v>
      </c>
      <c r="D1772" s="100" t="s">
        <v>1686</v>
      </c>
      <c r="E1772" s="198">
        <v>40.0</v>
      </c>
      <c r="F1772" s="199" t="s">
        <v>2870</v>
      </c>
    </row>
    <row r="1773" ht="22.5" customHeight="1">
      <c r="A1773" s="197">
        <v>46107.12324969907</v>
      </c>
      <c r="B1773" s="100" t="s">
        <v>3485</v>
      </c>
      <c r="C1773" s="100" t="s">
        <v>1688</v>
      </c>
      <c r="D1773" s="100" t="s">
        <v>1689</v>
      </c>
      <c r="E1773" s="198">
        <v>100.0</v>
      </c>
      <c r="F1773" s="199" t="s">
        <v>2872</v>
      </c>
    </row>
    <row r="1774" ht="22.5" customHeight="1">
      <c r="A1774" s="197">
        <v>46107.12325021991</v>
      </c>
      <c r="B1774" s="100" t="s">
        <v>3487</v>
      </c>
      <c r="C1774" s="100" t="s">
        <v>1685</v>
      </c>
      <c r="D1774" s="100" t="s">
        <v>1686</v>
      </c>
      <c r="E1774" s="198">
        <v>110.0</v>
      </c>
      <c r="F1774" s="199" t="s">
        <v>2886</v>
      </c>
    </row>
    <row r="1775" ht="22.5" customHeight="1">
      <c r="A1775" s="197">
        <v>46107.12325021991</v>
      </c>
      <c r="B1775" s="100" t="s">
        <v>3487</v>
      </c>
      <c r="C1775" s="100" t="s">
        <v>1688</v>
      </c>
      <c r="D1775" s="100" t="s">
        <v>1689</v>
      </c>
      <c r="E1775" s="198">
        <v>160.0</v>
      </c>
      <c r="F1775" s="199" t="s">
        <v>2887</v>
      </c>
    </row>
    <row r="1776" ht="22.5" customHeight="1">
      <c r="A1776" s="197">
        <v>46107.12325076389</v>
      </c>
      <c r="B1776" s="100" t="s">
        <v>3489</v>
      </c>
      <c r="C1776" s="100" t="s">
        <v>1685</v>
      </c>
      <c r="D1776" s="100" t="s">
        <v>1686</v>
      </c>
      <c r="E1776" s="198">
        <v>20.0</v>
      </c>
      <c r="F1776" s="199" t="s">
        <v>2870</v>
      </c>
    </row>
    <row r="1777" ht="22.5" customHeight="1">
      <c r="A1777" s="197">
        <v>46107.12325076389</v>
      </c>
      <c r="B1777" s="100" t="s">
        <v>3489</v>
      </c>
      <c r="C1777" s="100" t="s">
        <v>1688</v>
      </c>
      <c r="D1777" s="100" t="s">
        <v>1689</v>
      </c>
      <c r="E1777" s="198">
        <v>50.0</v>
      </c>
      <c r="F1777" s="199" t="s">
        <v>2872</v>
      </c>
    </row>
    <row r="1778" ht="22.5" customHeight="1">
      <c r="A1778" s="197">
        <v>46107.12325208333</v>
      </c>
      <c r="B1778" s="100" t="s">
        <v>3491</v>
      </c>
      <c r="C1778" s="100" t="s">
        <v>1685</v>
      </c>
      <c r="D1778" s="100" t="s">
        <v>1686</v>
      </c>
      <c r="E1778" s="198">
        <v>20.0</v>
      </c>
      <c r="F1778" s="199" t="s">
        <v>2870</v>
      </c>
    </row>
    <row r="1779" ht="22.5" customHeight="1">
      <c r="A1779" s="197">
        <v>46107.12325208333</v>
      </c>
      <c r="B1779" s="100" t="s">
        <v>3491</v>
      </c>
      <c r="C1779" s="100" t="s">
        <v>1688</v>
      </c>
      <c r="D1779" s="100" t="s">
        <v>1689</v>
      </c>
      <c r="E1779" s="198">
        <v>40.0</v>
      </c>
      <c r="F1779" s="199" t="s">
        <v>2872</v>
      </c>
    </row>
    <row r="1780" ht="22.5" customHeight="1">
      <c r="A1780" s="197">
        <v>46107.12325309028</v>
      </c>
      <c r="B1780" s="100" t="s">
        <v>3493</v>
      </c>
      <c r="C1780" s="100" t="s">
        <v>1685</v>
      </c>
      <c r="D1780" s="100" t="s">
        <v>1686</v>
      </c>
      <c r="E1780" s="198">
        <v>140.0</v>
      </c>
      <c r="F1780" s="199" t="s">
        <v>3353</v>
      </c>
    </row>
    <row r="1781" ht="22.5" customHeight="1">
      <c r="A1781" s="197">
        <v>46107.12325309028</v>
      </c>
      <c r="B1781" s="100" t="s">
        <v>3493</v>
      </c>
      <c r="C1781" s="100" t="s">
        <v>1688</v>
      </c>
      <c r="D1781" s="100" t="s">
        <v>1689</v>
      </c>
      <c r="E1781" s="198">
        <v>175.0</v>
      </c>
      <c r="F1781" s="199" t="s">
        <v>3355</v>
      </c>
    </row>
    <row r="1782" ht="22.5" customHeight="1">
      <c r="A1782" s="197">
        <v>46107.12325346065</v>
      </c>
      <c r="B1782" s="100" t="s">
        <v>3495</v>
      </c>
      <c r="C1782" s="100" t="s">
        <v>1685</v>
      </c>
      <c r="D1782" s="100" t="s">
        <v>1686</v>
      </c>
      <c r="E1782" s="198">
        <v>20.0</v>
      </c>
      <c r="F1782" s="199" t="s">
        <v>2870</v>
      </c>
    </row>
    <row r="1783" ht="22.5" customHeight="1">
      <c r="A1783" s="197">
        <v>46107.12325346065</v>
      </c>
      <c r="B1783" s="100" t="s">
        <v>3495</v>
      </c>
      <c r="C1783" s="100" t="s">
        <v>1688</v>
      </c>
      <c r="D1783" s="100" t="s">
        <v>1689</v>
      </c>
      <c r="E1783" s="198">
        <v>40.0</v>
      </c>
      <c r="F1783" s="199" t="s">
        <v>2872</v>
      </c>
    </row>
    <row r="1784" ht="22.5" customHeight="1">
      <c r="A1784" s="197">
        <v>46107.12325388889</v>
      </c>
      <c r="B1784" s="100" t="s">
        <v>3497</v>
      </c>
      <c r="C1784" s="100" t="s">
        <v>1685</v>
      </c>
      <c r="D1784" s="100" t="s">
        <v>1686</v>
      </c>
      <c r="E1784" s="198">
        <v>20.0</v>
      </c>
      <c r="F1784" s="199" t="s">
        <v>2870</v>
      </c>
    </row>
    <row r="1785" ht="22.5" customHeight="1">
      <c r="A1785" s="197">
        <v>46107.12325388889</v>
      </c>
      <c r="B1785" s="100" t="s">
        <v>3497</v>
      </c>
      <c r="C1785" s="100" t="s">
        <v>1688</v>
      </c>
      <c r="D1785" s="100" t="s">
        <v>1689</v>
      </c>
      <c r="E1785" s="198">
        <v>50.0</v>
      </c>
      <c r="F1785" s="199" t="s">
        <v>2872</v>
      </c>
    </row>
    <row r="1786" ht="22.5" customHeight="1">
      <c r="A1786" s="197">
        <v>46107.12325416667</v>
      </c>
      <c r="B1786" s="100" t="s">
        <v>3499</v>
      </c>
      <c r="C1786" s="100" t="s">
        <v>1685</v>
      </c>
      <c r="D1786" s="100" t="s">
        <v>1686</v>
      </c>
      <c r="E1786" s="198">
        <v>20.0</v>
      </c>
      <c r="F1786" s="199" t="s">
        <v>2870</v>
      </c>
    </row>
    <row r="1787" ht="22.5" customHeight="1">
      <c r="A1787" s="197">
        <v>46107.12325416667</v>
      </c>
      <c r="B1787" s="100" t="s">
        <v>3499</v>
      </c>
      <c r="C1787" s="100" t="s">
        <v>1688</v>
      </c>
      <c r="D1787" s="100" t="s">
        <v>1689</v>
      </c>
      <c r="E1787" s="198">
        <v>50.0</v>
      </c>
      <c r="F1787" s="199" t="s">
        <v>2872</v>
      </c>
    </row>
    <row r="1788" ht="22.5" customHeight="1">
      <c r="A1788" s="197">
        <v>46107.12657579861</v>
      </c>
      <c r="B1788" s="100" t="s">
        <v>3501</v>
      </c>
      <c r="C1788" s="100" t="s">
        <v>1685</v>
      </c>
      <c r="D1788" s="100" t="s">
        <v>1686</v>
      </c>
      <c r="E1788" s="198">
        <v>206.11</v>
      </c>
      <c r="F1788" s="199" t="s">
        <v>2427</v>
      </c>
    </row>
    <row r="1789" ht="22.5" customHeight="1">
      <c r="A1789" s="197">
        <v>46107.12657579861</v>
      </c>
      <c r="B1789" s="100" t="s">
        <v>3501</v>
      </c>
      <c r="C1789" s="100" t="s">
        <v>1688</v>
      </c>
      <c r="D1789" s="100" t="s">
        <v>1689</v>
      </c>
      <c r="E1789" s="198">
        <v>400.0</v>
      </c>
      <c r="F1789" s="199" t="s">
        <v>2428</v>
      </c>
    </row>
    <row r="1790" ht="22.5" customHeight="1">
      <c r="A1790" s="197">
        <v>46107.12657609954</v>
      </c>
      <c r="B1790" s="100" t="s">
        <v>3503</v>
      </c>
      <c r="C1790" s="100" t="s">
        <v>1685</v>
      </c>
      <c r="D1790" s="100" t="s">
        <v>1686</v>
      </c>
      <c r="E1790" s="198">
        <v>206.11</v>
      </c>
      <c r="F1790" s="199" t="s">
        <v>2427</v>
      </c>
    </row>
    <row r="1791" ht="22.5" customHeight="1">
      <c r="A1791" s="197">
        <v>46107.12657609954</v>
      </c>
      <c r="B1791" s="100" t="s">
        <v>3503</v>
      </c>
      <c r="C1791" s="100" t="s">
        <v>1688</v>
      </c>
      <c r="D1791" s="100" t="s">
        <v>1689</v>
      </c>
      <c r="E1791" s="198">
        <v>400.0</v>
      </c>
      <c r="F1791" s="199" t="s">
        <v>2428</v>
      </c>
    </row>
    <row r="1792" ht="22.5" customHeight="1">
      <c r="A1792" s="197">
        <v>46107.12715697917</v>
      </c>
      <c r="B1792" s="100" t="s">
        <v>3505</v>
      </c>
      <c r="C1792" s="100" t="s">
        <v>1685</v>
      </c>
      <c r="D1792" s="100" t="s">
        <v>1686</v>
      </c>
      <c r="E1792" s="198">
        <v>90.0</v>
      </c>
      <c r="F1792" s="199" t="s">
        <v>2325</v>
      </c>
    </row>
    <row r="1793" ht="22.5" customHeight="1">
      <c r="A1793" s="197">
        <v>46107.12715697917</v>
      </c>
      <c r="B1793" s="100" t="s">
        <v>3505</v>
      </c>
      <c r="C1793" s="100" t="s">
        <v>1688</v>
      </c>
      <c r="D1793" s="100" t="s">
        <v>1689</v>
      </c>
      <c r="E1793" s="198">
        <v>300.0</v>
      </c>
      <c r="F1793" s="199" t="s">
        <v>2327</v>
      </c>
    </row>
    <row r="1794" ht="22.5" customHeight="1">
      <c r="A1794" s="197">
        <v>46107.12806834491</v>
      </c>
      <c r="B1794" s="100" t="s">
        <v>3507</v>
      </c>
      <c r="C1794" s="100" t="s">
        <v>1685</v>
      </c>
      <c r="D1794" s="100" t="s">
        <v>1686</v>
      </c>
      <c r="E1794" s="198">
        <v>30.0</v>
      </c>
      <c r="F1794" s="199" t="s">
        <v>2800</v>
      </c>
    </row>
    <row r="1795" ht="22.5" customHeight="1">
      <c r="A1795" s="197">
        <v>46107.12806834491</v>
      </c>
      <c r="B1795" s="100" t="s">
        <v>3507</v>
      </c>
      <c r="C1795" s="100" t="s">
        <v>1688</v>
      </c>
      <c r="D1795" s="100" t="s">
        <v>1689</v>
      </c>
      <c r="E1795" s="198">
        <v>40.0</v>
      </c>
      <c r="F1795" s="199" t="s">
        <v>2801</v>
      </c>
    </row>
    <row r="1796" ht="22.5" customHeight="1">
      <c r="A1796" s="197">
        <v>46107.128068668986</v>
      </c>
      <c r="B1796" s="100" t="s">
        <v>3509</v>
      </c>
      <c r="C1796" s="100" t="s">
        <v>1685</v>
      </c>
      <c r="D1796" s="100" t="s">
        <v>1686</v>
      </c>
      <c r="E1796" s="198">
        <v>30.0</v>
      </c>
      <c r="F1796" s="199" t="s">
        <v>2800</v>
      </c>
    </row>
    <row r="1797" ht="22.5" customHeight="1">
      <c r="A1797" s="197">
        <v>46107.128068668986</v>
      </c>
      <c r="B1797" s="100" t="s">
        <v>3509</v>
      </c>
      <c r="C1797" s="100" t="s">
        <v>1688</v>
      </c>
      <c r="D1797" s="100" t="s">
        <v>1689</v>
      </c>
      <c r="E1797" s="198">
        <v>40.0</v>
      </c>
      <c r="F1797" s="199" t="s">
        <v>2801</v>
      </c>
    </row>
    <row r="1798" ht="22.5" customHeight="1">
      <c r="A1798" s="197">
        <v>46107.1287812963</v>
      </c>
      <c r="B1798" s="100" t="s">
        <v>3512</v>
      </c>
      <c r="C1798" s="100" t="s">
        <v>1685</v>
      </c>
      <c r="D1798" s="100" t="s">
        <v>1686</v>
      </c>
      <c r="E1798" s="198">
        <v>166.0</v>
      </c>
      <c r="F1798" s="199" t="s">
        <v>2998</v>
      </c>
    </row>
    <row r="1799" ht="22.5" customHeight="1">
      <c r="A1799" s="197">
        <v>46107.1287812963</v>
      </c>
      <c r="B1799" s="100" t="s">
        <v>3512</v>
      </c>
      <c r="C1799" s="100" t="s">
        <v>1688</v>
      </c>
      <c r="D1799" s="100" t="s">
        <v>1689</v>
      </c>
      <c r="E1799" s="198">
        <v>190.0</v>
      </c>
      <c r="F1799" s="199" t="s">
        <v>2999</v>
      </c>
    </row>
    <row r="1800" ht="22.5" customHeight="1">
      <c r="A1800" s="197">
        <v>46107.12954015046</v>
      </c>
      <c r="B1800" s="100" t="s">
        <v>3513</v>
      </c>
      <c r="C1800" s="100" t="s">
        <v>1685</v>
      </c>
      <c r="D1800" s="100" t="s">
        <v>1686</v>
      </c>
      <c r="E1800" s="198">
        <v>160.0</v>
      </c>
      <c r="F1800" s="199" t="s">
        <v>1850</v>
      </c>
    </row>
    <row r="1801" ht="22.5" customHeight="1">
      <c r="A1801" s="197">
        <v>46107.12954015046</v>
      </c>
      <c r="B1801" s="100" t="s">
        <v>3513</v>
      </c>
      <c r="C1801" s="100" t="s">
        <v>1688</v>
      </c>
      <c r="D1801" s="100" t="s">
        <v>1689</v>
      </c>
      <c r="E1801" s="198">
        <v>240.0</v>
      </c>
      <c r="F1801" s="199" t="s">
        <v>1851</v>
      </c>
    </row>
    <row r="1802" ht="22.5" customHeight="1">
      <c r="A1802" s="197">
        <v>46107.143992048615</v>
      </c>
      <c r="B1802" s="100" t="s">
        <v>3515</v>
      </c>
      <c r="C1802" s="100" t="s">
        <v>1685</v>
      </c>
      <c r="D1802" s="100" t="s">
        <v>1686</v>
      </c>
      <c r="E1802" s="198">
        <v>64.0</v>
      </c>
      <c r="F1802" s="199" t="s">
        <v>3466</v>
      </c>
    </row>
    <row r="1803" ht="22.5" customHeight="1">
      <c r="A1803" s="197">
        <v>46107.143992048615</v>
      </c>
      <c r="B1803" s="100" t="s">
        <v>3515</v>
      </c>
      <c r="C1803" s="100" t="s">
        <v>1688</v>
      </c>
      <c r="D1803" s="100" t="s">
        <v>1689</v>
      </c>
      <c r="E1803" s="198">
        <v>130.0</v>
      </c>
      <c r="F1803" s="199" t="s">
        <v>3467</v>
      </c>
    </row>
    <row r="1804" ht="22.5" customHeight="1">
      <c r="A1804" s="197">
        <v>46107.14399232639</v>
      </c>
      <c r="B1804" s="100" t="s">
        <v>3517</v>
      </c>
      <c r="C1804" s="100" t="s">
        <v>1685</v>
      </c>
      <c r="D1804" s="100" t="s">
        <v>1686</v>
      </c>
      <c r="E1804" s="198">
        <v>40.0</v>
      </c>
      <c r="F1804" s="199" t="s">
        <v>2059</v>
      </c>
    </row>
    <row r="1805" ht="22.5" customHeight="1">
      <c r="A1805" s="197">
        <v>46107.14399232639</v>
      </c>
      <c r="B1805" s="100" t="s">
        <v>3517</v>
      </c>
      <c r="C1805" s="100" t="s">
        <v>1688</v>
      </c>
      <c r="D1805" s="100" t="s">
        <v>1689</v>
      </c>
      <c r="E1805" s="198">
        <v>65.0</v>
      </c>
      <c r="F1805" s="199" t="s">
        <v>2060</v>
      </c>
    </row>
    <row r="1806" ht="22.5" customHeight="1">
      <c r="A1806" s="197">
        <v>46107.143992592595</v>
      </c>
      <c r="B1806" s="100" t="s">
        <v>3519</v>
      </c>
      <c r="C1806" s="100" t="s">
        <v>1685</v>
      </c>
      <c r="D1806" s="100" t="s">
        <v>1686</v>
      </c>
      <c r="E1806" s="198">
        <v>105.0</v>
      </c>
      <c r="F1806" s="199" t="s">
        <v>1989</v>
      </c>
    </row>
    <row r="1807" ht="22.5" customHeight="1">
      <c r="A1807" s="197">
        <v>46107.143992592595</v>
      </c>
      <c r="B1807" s="100" t="s">
        <v>3519</v>
      </c>
      <c r="C1807" s="100" t="s">
        <v>1688</v>
      </c>
      <c r="D1807" s="100" t="s">
        <v>1689</v>
      </c>
      <c r="E1807" s="198">
        <v>125.0</v>
      </c>
      <c r="F1807" s="199" t="s">
        <v>1990</v>
      </c>
    </row>
    <row r="1808" ht="22.5" customHeight="1">
      <c r="A1808" s="197">
        <v>46107.14399285879</v>
      </c>
      <c r="B1808" s="100" t="s">
        <v>3521</v>
      </c>
      <c r="C1808" s="100" t="s">
        <v>1685</v>
      </c>
      <c r="D1808" s="100" t="s">
        <v>1686</v>
      </c>
      <c r="E1808" s="198">
        <v>145.0</v>
      </c>
      <c r="F1808" s="100" t="s">
        <v>3522</v>
      </c>
    </row>
    <row r="1809" ht="22.5" customHeight="1">
      <c r="A1809" s="197">
        <v>46107.14399285879</v>
      </c>
      <c r="B1809" s="100" t="s">
        <v>3521</v>
      </c>
      <c r="C1809" s="100" t="s">
        <v>1688</v>
      </c>
      <c r="D1809" s="100" t="s">
        <v>1689</v>
      </c>
      <c r="E1809" s="198">
        <v>180.0</v>
      </c>
      <c r="F1809" s="100" t="s">
        <v>3524</v>
      </c>
    </row>
    <row r="1810" ht="22.5" customHeight="1">
      <c r="A1810" s="197">
        <v>46107.143993171296</v>
      </c>
      <c r="B1810" s="100" t="s">
        <v>3525</v>
      </c>
      <c r="C1810" s="100" t="s">
        <v>1685</v>
      </c>
      <c r="D1810" s="100" t="s">
        <v>1686</v>
      </c>
      <c r="E1810" s="198">
        <v>137.0</v>
      </c>
      <c r="F1810" s="100" t="s">
        <v>3526</v>
      </c>
    </row>
    <row r="1811" ht="22.5" customHeight="1">
      <c r="A1811" s="197">
        <v>46107.143993171296</v>
      </c>
      <c r="B1811" s="100" t="s">
        <v>3525</v>
      </c>
      <c r="C1811" s="100" t="s">
        <v>1688</v>
      </c>
      <c r="D1811" s="100" t="s">
        <v>1689</v>
      </c>
      <c r="E1811" s="198">
        <v>175.0</v>
      </c>
      <c r="F1811" s="100" t="s">
        <v>3528</v>
      </c>
    </row>
    <row r="1812" ht="22.5" customHeight="1">
      <c r="A1812" s="197">
        <v>46107.14399349537</v>
      </c>
      <c r="B1812" s="100" t="s">
        <v>3529</v>
      </c>
      <c r="C1812" s="100" t="s">
        <v>1685</v>
      </c>
      <c r="D1812" s="100" t="s">
        <v>1686</v>
      </c>
      <c r="E1812" s="198">
        <v>31.5</v>
      </c>
      <c r="F1812" s="100" t="s">
        <v>1701</v>
      </c>
    </row>
    <row r="1813" ht="22.5" customHeight="1">
      <c r="A1813" s="197">
        <v>46107.14399349537</v>
      </c>
      <c r="B1813" s="100" t="s">
        <v>3529</v>
      </c>
      <c r="C1813" s="100" t="s">
        <v>1688</v>
      </c>
      <c r="D1813" s="100" t="s">
        <v>1689</v>
      </c>
      <c r="E1813" s="198">
        <v>50.0</v>
      </c>
      <c r="F1813" s="100" t="s">
        <v>1702</v>
      </c>
    </row>
    <row r="1814" ht="22.5" customHeight="1">
      <c r="A1814" s="197">
        <v>46107.1439937963</v>
      </c>
      <c r="B1814" s="100" t="s">
        <v>3531</v>
      </c>
      <c r="C1814" s="100" t="s">
        <v>1685</v>
      </c>
      <c r="D1814" s="100" t="s">
        <v>1686</v>
      </c>
      <c r="E1814" s="198">
        <v>35.0</v>
      </c>
      <c r="F1814" s="199" t="s">
        <v>2409</v>
      </c>
    </row>
    <row r="1815" ht="22.5" customHeight="1">
      <c r="A1815" s="197">
        <v>46107.1439937963</v>
      </c>
      <c r="B1815" s="100" t="s">
        <v>3531</v>
      </c>
      <c r="C1815" s="100" t="s">
        <v>1688</v>
      </c>
      <c r="D1815" s="100" t="s">
        <v>1689</v>
      </c>
      <c r="E1815" s="198">
        <v>50.0</v>
      </c>
      <c r="F1815" s="199" t="s">
        <v>2411</v>
      </c>
    </row>
    <row r="1816" ht="22.5" customHeight="1">
      <c r="A1816" s="197">
        <v>46107.14399408565</v>
      </c>
      <c r="B1816" s="100" t="s">
        <v>3533</v>
      </c>
      <c r="C1816" s="100" t="s">
        <v>1685</v>
      </c>
      <c r="D1816" s="100" t="s">
        <v>1686</v>
      </c>
      <c r="E1816" s="198">
        <v>150.0</v>
      </c>
      <c r="F1816" s="199" t="s">
        <v>3063</v>
      </c>
    </row>
    <row r="1817" ht="22.5" customHeight="1">
      <c r="A1817" s="197">
        <v>46107.14399408565</v>
      </c>
      <c r="B1817" s="100" t="s">
        <v>3533</v>
      </c>
      <c r="C1817" s="100" t="s">
        <v>1688</v>
      </c>
      <c r="D1817" s="100" t="s">
        <v>1689</v>
      </c>
      <c r="E1817" s="198">
        <v>200.0</v>
      </c>
      <c r="F1817" s="199" t="s">
        <v>3064</v>
      </c>
    </row>
    <row r="1818" ht="22.5" customHeight="1">
      <c r="A1818" s="197">
        <v>46107.14399435185</v>
      </c>
      <c r="B1818" s="100" t="s">
        <v>3535</v>
      </c>
      <c r="C1818" s="100" t="s">
        <v>1685</v>
      </c>
      <c r="D1818" s="100" t="s">
        <v>1686</v>
      </c>
      <c r="E1818" s="198">
        <v>20.0</v>
      </c>
      <c r="F1818" s="199" t="s">
        <v>2870</v>
      </c>
    </row>
    <row r="1819" ht="22.5" customHeight="1">
      <c r="A1819" s="197">
        <v>46107.14399435185</v>
      </c>
      <c r="B1819" s="100" t="s">
        <v>3535</v>
      </c>
      <c r="C1819" s="100" t="s">
        <v>1688</v>
      </c>
      <c r="D1819" s="100" t="s">
        <v>1689</v>
      </c>
      <c r="E1819" s="198">
        <v>50.0</v>
      </c>
      <c r="F1819" s="199" t="s">
        <v>2872</v>
      </c>
    </row>
    <row r="1820" ht="22.5" customHeight="1">
      <c r="A1820" s="197">
        <v>46107.14399460648</v>
      </c>
      <c r="B1820" s="100" t="s">
        <v>3537</v>
      </c>
      <c r="C1820" s="100" t="s">
        <v>1685</v>
      </c>
      <c r="D1820" s="100" t="s">
        <v>1686</v>
      </c>
      <c r="E1820" s="198">
        <v>60.0</v>
      </c>
      <c r="F1820" s="199" t="s">
        <v>2800</v>
      </c>
    </row>
    <row r="1821" ht="22.5" customHeight="1">
      <c r="A1821" s="197">
        <v>46107.14399460648</v>
      </c>
      <c r="B1821" s="100" t="s">
        <v>3537</v>
      </c>
      <c r="C1821" s="100" t="s">
        <v>1688</v>
      </c>
      <c r="D1821" s="100" t="s">
        <v>1689</v>
      </c>
      <c r="E1821" s="198">
        <v>100.0</v>
      </c>
      <c r="F1821" s="199" t="s">
        <v>2801</v>
      </c>
    </row>
    <row r="1822" ht="22.5" customHeight="1">
      <c r="A1822" s="197">
        <v>46107.14399484954</v>
      </c>
      <c r="B1822" s="100" t="s">
        <v>3539</v>
      </c>
      <c r="C1822" s="100" t="s">
        <v>1685</v>
      </c>
      <c r="D1822" s="100" t="s">
        <v>1686</v>
      </c>
      <c r="E1822" s="198">
        <v>80.0</v>
      </c>
      <c r="F1822" s="199" t="s">
        <v>2982</v>
      </c>
    </row>
    <row r="1823" ht="22.5" customHeight="1">
      <c r="A1823" s="197">
        <v>46107.14399484954</v>
      </c>
      <c r="B1823" s="100" t="s">
        <v>3539</v>
      </c>
      <c r="C1823" s="100" t="s">
        <v>1688</v>
      </c>
      <c r="D1823" s="100" t="s">
        <v>1689</v>
      </c>
      <c r="E1823" s="198">
        <v>140.0</v>
      </c>
      <c r="F1823" s="199" t="s">
        <v>2983</v>
      </c>
    </row>
    <row r="1824" ht="22.5" customHeight="1">
      <c r="A1824" s="197">
        <v>46107.14399523148</v>
      </c>
      <c r="B1824" s="100" t="s">
        <v>3540</v>
      </c>
      <c r="C1824" s="100" t="s">
        <v>1685</v>
      </c>
      <c r="D1824" s="100" t="s">
        <v>1686</v>
      </c>
      <c r="E1824" s="198">
        <v>264.0</v>
      </c>
      <c r="F1824" s="199" t="s">
        <v>3542</v>
      </c>
    </row>
    <row r="1825" ht="22.5" customHeight="1">
      <c r="A1825" s="197">
        <v>46107.14399523148</v>
      </c>
      <c r="B1825" s="100" t="s">
        <v>3540</v>
      </c>
      <c r="C1825" s="100" t="s">
        <v>1688</v>
      </c>
      <c r="D1825" s="100" t="s">
        <v>1689</v>
      </c>
      <c r="E1825" s="198">
        <v>405.0</v>
      </c>
      <c r="F1825" s="199" t="s">
        <v>3543</v>
      </c>
    </row>
    <row r="1826" ht="22.5" customHeight="1">
      <c r="A1826" s="197">
        <v>46107.1439955324</v>
      </c>
      <c r="B1826" s="100" t="s">
        <v>3544</v>
      </c>
      <c r="C1826" s="100" t="s">
        <v>1685</v>
      </c>
      <c r="D1826" s="100" t="s">
        <v>1686</v>
      </c>
      <c r="E1826" s="198">
        <v>20.0</v>
      </c>
      <c r="F1826" s="199" t="s">
        <v>2870</v>
      </c>
    </row>
    <row r="1827" ht="22.5" customHeight="1">
      <c r="A1827" s="197">
        <v>46107.1439955324</v>
      </c>
      <c r="B1827" s="100" t="s">
        <v>3544</v>
      </c>
      <c r="C1827" s="100" t="s">
        <v>1688</v>
      </c>
      <c r="D1827" s="100" t="s">
        <v>1689</v>
      </c>
      <c r="E1827" s="198">
        <v>50.0</v>
      </c>
      <c r="F1827" s="199" t="s">
        <v>2872</v>
      </c>
    </row>
    <row r="1828" ht="22.5" customHeight="1">
      <c r="A1828" s="197">
        <v>46107.14399586806</v>
      </c>
      <c r="B1828" s="100" t="s">
        <v>3546</v>
      </c>
      <c r="C1828" s="100" t="s">
        <v>1685</v>
      </c>
      <c r="D1828" s="100" t="s">
        <v>1686</v>
      </c>
      <c r="E1828" s="198">
        <v>300.0</v>
      </c>
      <c r="F1828" s="199" t="s">
        <v>3548</v>
      </c>
    </row>
    <row r="1829" ht="22.5" customHeight="1">
      <c r="A1829" s="197">
        <v>46107.14399586806</v>
      </c>
      <c r="B1829" s="100" t="s">
        <v>3546</v>
      </c>
      <c r="C1829" s="100" t="s">
        <v>1688</v>
      </c>
      <c r="D1829" s="100" t="s">
        <v>1689</v>
      </c>
      <c r="E1829" s="198">
        <v>400.0</v>
      </c>
      <c r="F1829" s="199" t="s">
        <v>3549</v>
      </c>
    </row>
    <row r="1830" ht="22.5" customHeight="1">
      <c r="A1830" s="197">
        <v>46107.143996203704</v>
      </c>
      <c r="B1830" s="100" t="s">
        <v>3550</v>
      </c>
      <c r="C1830" s="100" t="s">
        <v>1685</v>
      </c>
      <c r="D1830" s="100" t="s">
        <v>1686</v>
      </c>
      <c r="E1830" s="198">
        <v>90.0</v>
      </c>
      <c r="F1830" s="199" t="s">
        <v>3258</v>
      </c>
    </row>
    <row r="1831" ht="22.5" customHeight="1">
      <c r="A1831" s="197">
        <v>46107.143996203704</v>
      </c>
      <c r="B1831" s="100" t="s">
        <v>3550</v>
      </c>
      <c r="C1831" s="100" t="s">
        <v>1688</v>
      </c>
      <c r="D1831" s="100" t="s">
        <v>1689</v>
      </c>
      <c r="E1831" s="198">
        <v>150.0</v>
      </c>
      <c r="F1831" s="199" t="s">
        <v>3259</v>
      </c>
    </row>
    <row r="1832" ht="22.5" customHeight="1">
      <c r="A1832" s="197">
        <v>46107.143996631945</v>
      </c>
      <c r="B1832" s="100" t="s">
        <v>3553</v>
      </c>
      <c r="C1832" s="100" t="s">
        <v>1685</v>
      </c>
      <c r="D1832" s="100" t="s">
        <v>1686</v>
      </c>
      <c r="E1832" s="198">
        <v>56.4</v>
      </c>
      <c r="F1832" s="199" t="s">
        <v>1753</v>
      </c>
    </row>
    <row r="1833" ht="22.5" customHeight="1">
      <c r="A1833" s="197">
        <v>46107.143996631945</v>
      </c>
      <c r="B1833" s="100" t="s">
        <v>3553</v>
      </c>
      <c r="C1833" s="100" t="s">
        <v>1688</v>
      </c>
      <c r="D1833" s="100" t="s">
        <v>1689</v>
      </c>
      <c r="E1833" s="198">
        <v>80.0</v>
      </c>
      <c r="F1833" s="199" t="s">
        <v>1754</v>
      </c>
    </row>
    <row r="1834" ht="22.5" customHeight="1">
      <c r="A1834" s="197">
        <v>46107.14399699074</v>
      </c>
      <c r="B1834" s="100" t="s">
        <v>3555</v>
      </c>
      <c r="C1834" s="100" t="s">
        <v>1685</v>
      </c>
      <c r="D1834" s="100" t="s">
        <v>1686</v>
      </c>
      <c r="E1834" s="198">
        <v>50.0</v>
      </c>
      <c r="F1834" s="199" t="s">
        <v>2797</v>
      </c>
    </row>
    <row r="1835" ht="22.5" customHeight="1">
      <c r="A1835" s="197">
        <v>46107.14399699074</v>
      </c>
      <c r="B1835" s="100" t="s">
        <v>3555</v>
      </c>
      <c r="C1835" s="100" t="s">
        <v>1688</v>
      </c>
      <c r="D1835" s="100" t="s">
        <v>1689</v>
      </c>
      <c r="E1835" s="198">
        <v>70.0</v>
      </c>
      <c r="F1835" s="199" t="s">
        <v>2798</v>
      </c>
    </row>
    <row r="1836" ht="22.5" customHeight="1">
      <c r="A1836" s="197">
        <v>46107.143997349536</v>
      </c>
      <c r="B1836" s="100" t="s">
        <v>3557</v>
      </c>
      <c r="C1836" s="100" t="s">
        <v>1685</v>
      </c>
      <c r="D1836" s="100" t="s">
        <v>1686</v>
      </c>
      <c r="E1836" s="198">
        <v>75.0</v>
      </c>
      <c r="F1836" s="199" t="s">
        <v>2432</v>
      </c>
    </row>
    <row r="1837" ht="22.5" customHeight="1">
      <c r="A1837" s="197">
        <v>46107.143997349536</v>
      </c>
      <c r="B1837" s="100" t="s">
        <v>3557</v>
      </c>
      <c r="C1837" s="100" t="s">
        <v>1688</v>
      </c>
      <c r="D1837" s="100" t="s">
        <v>1689</v>
      </c>
      <c r="E1837" s="198">
        <v>100.0</v>
      </c>
      <c r="F1837" s="199" t="s">
        <v>2433</v>
      </c>
    </row>
    <row r="1838" ht="22.5" customHeight="1">
      <c r="A1838" s="197">
        <v>46107.14399777778</v>
      </c>
      <c r="B1838" s="100" t="s">
        <v>3559</v>
      </c>
      <c r="C1838" s="100" t="s">
        <v>1685</v>
      </c>
      <c r="D1838" s="100" t="s">
        <v>1686</v>
      </c>
      <c r="E1838" s="198">
        <v>325.0</v>
      </c>
      <c r="F1838" s="199" t="s">
        <v>1830</v>
      </c>
    </row>
    <row r="1839" ht="22.5" customHeight="1">
      <c r="A1839" s="197">
        <v>46107.14399777778</v>
      </c>
      <c r="B1839" s="100" t="s">
        <v>3559</v>
      </c>
      <c r="C1839" s="100" t="s">
        <v>1688</v>
      </c>
      <c r="D1839" s="100" t="s">
        <v>1689</v>
      </c>
      <c r="E1839" s="198">
        <v>400.0</v>
      </c>
      <c r="F1839" s="199" t="s">
        <v>1831</v>
      </c>
    </row>
    <row r="1840" ht="22.5" customHeight="1">
      <c r="A1840" s="197">
        <v>46107.14399806713</v>
      </c>
      <c r="B1840" s="100" t="s">
        <v>3561</v>
      </c>
      <c r="C1840" s="100" t="s">
        <v>1685</v>
      </c>
      <c r="D1840" s="100" t="s">
        <v>1686</v>
      </c>
      <c r="E1840" s="198">
        <v>100.0</v>
      </c>
      <c r="F1840" s="199" t="s">
        <v>3069</v>
      </c>
    </row>
    <row r="1841" ht="22.5" customHeight="1">
      <c r="A1841" s="197">
        <v>46107.14399806713</v>
      </c>
      <c r="B1841" s="100" t="s">
        <v>3561</v>
      </c>
      <c r="C1841" s="100" t="s">
        <v>1688</v>
      </c>
      <c r="D1841" s="100" t="s">
        <v>1689</v>
      </c>
      <c r="E1841" s="198">
        <v>200.0</v>
      </c>
      <c r="F1841" s="199" t="s">
        <v>3070</v>
      </c>
    </row>
    <row r="1842" ht="22.5" customHeight="1">
      <c r="A1842" s="197">
        <v>46107.14399833333</v>
      </c>
      <c r="B1842" s="100" t="s">
        <v>3563</v>
      </c>
      <c r="C1842" s="100" t="s">
        <v>1685</v>
      </c>
      <c r="D1842" s="100" t="s">
        <v>1686</v>
      </c>
      <c r="E1842" s="198">
        <v>190.0</v>
      </c>
      <c r="F1842" s="199" t="s">
        <v>3169</v>
      </c>
    </row>
    <row r="1843" ht="22.5" customHeight="1">
      <c r="A1843" s="197">
        <v>46107.14399833333</v>
      </c>
      <c r="B1843" s="100" t="s">
        <v>3563</v>
      </c>
      <c r="C1843" s="100" t="s">
        <v>1688</v>
      </c>
      <c r="D1843" s="100" t="s">
        <v>1689</v>
      </c>
      <c r="E1843" s="198">
        <v>280.0</v>
      </c>
      <c r="F1843" s="199" t="s">
        <v>3170</v>
      </c>
    </row>
    <row r="1844" ht="22.5" customHeight="1">
      <c r="A1844" s="197">
        <v>46107.14399856482</v>
      </c>
      <c r="B1844" s="100" t="s">
        <v>3565</v>
      </c>
      <c r="C1844" s="100" t="s">
        <v>1685</v>
      </c>
      <c r="D1844" s="100" t="s">
        <v>1686</v>
      </c>
      <c r="E1844" s="198">
        <v>150.0</v>
      </c>
      <c r="F1844" s="199" t="s">
        <v>3548</v>
      </c>
    </row>
    <row r="1845" ht="22.5" customHeight="1">
      <c r="A1845" s="197">
        <v>46107.14399856482</v>
      </c>
      <c r="B1845" s="100" t="s">
        <v>3565</v>
      </c>
      <c r="C1845" s="100" t="s">
        <v>1688</v>
      </c>
      <c r="D1845" s="100" t="s">
        <v>1689</v>
      </c>
      <c r="E1845" s="198">
        <v>200.0</v>
      </c>
      <c r="F1845" s="199" t="s">
        <v>3549</v>
      </c>
    </row>
    <row r="1846" ht="22.5" customHeight="1">
      <c r="A1846" s="197">
        <v>46107.14399881945</v>
      </c>
      <c r="B1846" s="100" t="s">
        <v>3567</v>
      </c>
      <c r="C1846" s="100" t="s">
        <v>1685</v>
      </c>
      <c r="D1846" s="100" t="s">
        <v>1686</v>
      </c>
      <c r="E1846" s="198">
        <v>120.0</v>
      </c>
      <c r="F1846" s="199" t="s">
        <v>1710</v>
      </c>
    </row>
    <row r="1847" ht="22.5" customHeight="1">
      <c r="A1847" s="197">
        <v>46107.14399881945</v>
      </c>
      <c r="B1847" s="100" t="s">
        <v>3567</v>
      </c>
      <c r="C1847" s="100" t="s">
        <v>1688</v>
      </c>
      <c r="D1847" s="100" t="s">
        <v>1689</v>
      </c>
      <c r="E1847" s="198">
        <v>150.0</v>
      </c>
      <c r="F1847" s="199" t="s">
        <v>1711</v>
      </c>
    </row>
    <row r="1848" ht="22.5" customHeight="1">
      <c r="A1848" s="197">
        <v>46107.14399902778</v>
      </c>
      <c r="B1848" s="100" t="s">
        <v>3569</v>
      </c>
      <c r="C1848" s="100" t="s">
        <v>1685</v>
      </c>
      <c r="D1848" s="100" t="s">
        <v>1686</v>
      </c>
      <c r="E1848" s="198">
        <v>135.0</v>
      </c>
      <c r="F1848" s="199" t="s">
        <v>1947</v>
      </c>
    </row>
    <row r="1849" ht="22.5" customHeight="1">
      <c r="A1849" s="197">
        <v>46107.14399902778</v>
      </c>
      <c r="B1849" s="100" t="s">
        <v>3569</v>
      </c>
      <c r="C1849" s="100" t="s">
        <v>1688</v>
      </c>
      <c r="D1849" s="100" t="s">
        <v>1689</v>
      </c>
      <c r="E1849" s="198">
        <v>220.0</v>
      </c>
      <c r="F1849" s="199" t="s">
        <v>1948</v>
      </c>
    </row>
    <row r="1850" ht="22.5" customHeight="1">
      <c r="A1850" s="197">
        <v>46107.14399923611</v>
      </c>
      <c r="B1850" s="100" t="s">
        <v>3571</v>
      </c>
      <c r="C1850" s="100" t="s">
        <v>1685</v>
      </c>
      <c r="D1850" s="100" t="s">
        <v>1686</v>
      </c>
      <c r="E1850" s="198">
        <v>60.0</v>
      </c>
      <c r="F1850" s="199" t="s">
        <v>2609</v>
      </c>
    </row>
    <row r="1851" ht="22.5" customHeight="1">
      <c r="A1851" s="197">
        <v>46107.14399923611</v>
      </c>
      <c r="B1851" s="100" t="s">
        <v>3571</v>
      </c>
      <c r="C1851" s="100" t="s">
        <v>1688</v>
      </c>
      <c r="D1851" s="100" t="s">
        <v>1689</v>
      </c>
      <c r="E1851" s="198">
        <v>80.0</v>
      </c>
      <c r="F1851" s="199" t="s">
        <v>2610</v>
      </c>
    </row>
    <row r="1852" ht="22.5" customHeight="1">
      <c r="A1852" s="197">
        <v>46107.143999444444</v>
      </c>
      <c r="B1852" s="100" t="s">
        <v>3572</v>
      </c>
      <c r="C1852" s="100" t="s">
        <v>1685</v>
      </c>
      <c r="D1852" s="100" t="s">
        <v>1686</v>
      </c>
      <c r="E1852" s="198">
        <v>350.0</v>
      </c>
      <c r="F1852" s="199" t="s">
        <v>1977</v>
      </c>
    </row>
    <row r="1853" ht="22.5" customHeight="1">
      <c r="A1853" s="197">
        <v>46107.143999444444</v>
      </c>
      <c r="B1853" s="100" t="s">
        <v>3572</v>
      </c>
      <c r="C1853" s="100" t="s">
        <v>1688</v>
      </c>
      <c r="D1853" s="100" t="s">
        <v>1689</v>
      </c>
      <c r="E1853" s="198">
        <v>400.0</v>
      </c>
      <c r="F1853" s="199" t="s">
        <v>1978</v>
      </c>
    </row>
    <row r="1854" ht="22.5" customHeight="1">
      <c r="A1854" s="197">
        <v>46107.143999699074</v>
      </c>
      <c r="B1854" s="100" t="s">
        <v>3574</v>
      </c>
      <c r="C1854" s="100" t="s">
        <v>1685</v>
      </c>
      <c r="D1854" s="100" t="s">
        <v>1686</v>
      </c>
      <c r="E1854" s="198">
        <v>46.44</v>
      </c>
      <c r="F1854" s="199" t="s">
        <v>3083</v>
      </c>
    </row>
    <row r="1855" ht="22.5" customHeight="1">
      <c r="A1855" s="197">
        <v>46107.143999699074</v>
      </c>
      <c r="B1855" s="100" t="s">
        <v>3574</v>
      </c>
      <c r="C1855" s="100" t="s">
        <v>1688</v>
      </c>
      <c r="D1855" s="100" t="s">
        <v>1689</v>
      </c>
      <c r="E1855" s="198">
        <v>80.0</v>
      </c>
      <c r="F1855" s="199" t="s">
        <v>3084</v>
      </c>
    </row>
    <row r="1856" ht="22.5" customHeight="1">
      <c r="A1856" s="197">
        <v>46107.14400003472</v>
      </c>
      <c r="B1856" s="100" t="s">
        <v>3576</v>
      </c>
      <c r="C1856" s="100" t="s">
        <v>1685</v>
      </c>
      <c r="D1856" s="100" t="s">
        <v>1686</v>
      </c>
      <c r="E1856" s="198">
        <v>10.67</v>
      </c>
      <c r="F1856" s="199" t="s">
        <v>2593</v>
      </c>
    </row>
    <row r="1857" ht="22.5" customHeight="1">
      <c r="A1857" s="197">
        <v>46107.14400003472</v>
      </c>
      <c r="B1857" s="100" t="s">
        <v>3576</v>
      </c>
      <c r="C1857" s="100" t="s">
        <v>1688</v>
      </c>
      <c r="D1857" s="100" t="s">
        <v>1689</v>
      </c>
      <c r="E1857" s="198">
        <v>15.0</v>
      </c>
      <c r="F1857" s="199" t="s">
        <v>2594</v>
      </c>
    </row>
    <row r="1858" ht="22.5" customHeight="1">
      <c r="A1858" s="197">
        <v>46107.1440003125</v>
      </c>
      <c r="B1858" s="100" t="s">
        <v>3578</v>
      </c>
      <c r="C1858" s="100" t="s">
        <v>1685</v>
      </c>
      <c r="D1858" s="100" t="s">
        <v>1686</v>
      </c>
      <c r="E1858" s="198">
        <v>150.0</v>
      </c>
      <c r="F1858" s="100" t="s">
        <v>2944</v>
      </c>
    </row>
    <row r="1859" ht="22.5" customHeight="1">
      <c r="A1859" s="197">
        <v>46107.1440003125</v>
      </c>
      <c r="B1859" s="100" t="s">
        <v>3578</v>
      </c>
      <c r="C1859" s="100" t="s">
        <v>1688</v>
      </c>
      <c r="D1859" s="100" t="s">
        <v>1689</v>
      </c>
      <c r="E1859" s="198">
        <v>250.0</v>
      </c>
      <c r="F1859" s="100" t="s">
        <v>2946</v>
      </c>
    </row>
    <row r="1860" ht="22.5" customHeight="1">
      <c r="A1860" s="197">
        <v>46107.144000555556</v>
      </c>
      <c r="B1860" s="100" t="s">
        <v>3580</v>
      </c>
      <c r="C1860" s="100" t="s">
        <v>1685</v>
      </c>
      <c r="D1860" s="100" t="s">
        <v>1686</v>
      </c>
      <c r="E1860" s="198">
        <v>20.0</v>
      </c>
      <c r="F1860" s="199" t="s">
        <v>2870</v>
      </c>
    </row>
    <row r="1861" ht="22.5" customHeight="1">
      <c r="A1861" s="197">
        <v>46107.144000555556</v>
      </c>
      <c r="B1861" s="100" t="s">
        <v>3580</v>
      </c>
      <c r="C1861" s="100" t="s">
        <v>1688</v>
      </c>
      <c r="D1861" s="100" t="s">
        <v>1689</v>
      </c>
      <c r="E1861" s="198">
        <v>50.0</v>
      </c>
      <c r="F1861" s="199" t="s">
        <v>2872</v>
      </c>
    </row>
    <row r="1862" ht="22.5" customHeight="1">
      <c r="A1862" s="197">
        <v>46107.144000879634</v>
      </c>
      <c r="B1862" s="100" t="s">
        <v>3582</v>
      </c>
      <c r="C1862" s="100" t="s">
        <v>1685</v>
      </c>
      <c r="D1862" s="100" t="s">
        <v>1686</v>
      </c>
      <c r="E1862" s="198">
        <v>150.0</v>
      </c>
      <c r="F1862" s="199" t="s">
        <v>3583</v>
      </c>
    </row>
    <row r="1863" ht="22.5" customHeight="1">
      <c r="A1863" s="197">
        <v>46107.144000879634</v>
      </c>
      <c r="B1863" s="100" t="s">
        <v>3582</v>
      </c>
      <c r="C1863" s="100" t="s">
        <v>1688</v>
      </c>
      <c r="D1863" s="100" t="s">
        <v>1689</v>
      </c>
      <c r="E1863" s="198">
        <v>175.0</v>
      </c>
      <c r="F1863" s="199" t="s">
        <v>3585</v>
      </c>
    </row>
    <row r="1864" ht="22.5" customHeight="1">
      <c r="A1864" s="197">
        <v>46107.14400122685</v>
      </c>
      <c r="B1864" s="100" t="s">
        <v>3586</v>
      </c>
      <c r="C1864" s="100" t="s">
        <v>1685</v>
      </c>
      <c r="D1864" s="100" t="s">
        <v>1686</v>
      </c>
      <c r="E1864" s="198">
        <v>17.5</v>
      </c>
      <c r="F1864" s="199" t="s">
        <v>2137</v>
      </c>
    </row>
    <row r="1865" ht="22.5" customHeight="1">
      <c r="A1865" s="197">
        <v>46107.14400122685</v>
      </c>
      <c r="B1865" s="100" t="s">
        <v>3586</v>
      </c>
      <c r="C1865" s="100" t="s">
        <v>1688</v>
      </c>
      <c r="D1865" s="100" t="s">
        <v>1689</v>
      </c>
      <c r="E1865" s="198">
        <v>25.0</v>
      </c>
      <c r="F1865" s="199" t="s">
        <v>2138</v>
      </c>
    </row>
    <row r="1866" ht="22.5" customHeight="1">
      <c r="A1866" s="197">
        <v>46107.14400165509</v>
      </c>
      <c r="B1866" s="100" t="s">
        <v>3588</v>
      </c>
      <c r="C1866" s="100" t="s">
        <v>1685</v>
      </c>
      <c r="D1866" s="100" t="s">
        <v>1686</v>
      </c>
      <c r="E1866" s="198">
        <v>48.89</v>
      </c>
      <c r="F1866" s="199" t="s">
        <v>3589</v>
      </c>
    </row>
    <row r="1867" ht="22.5" customHeight="1">
      <c r="A1867" s="197">
        <v>46107.14400165509</v>
      </c>
      <c r="B1867" s="100" t="s">
        <v>3588</v>
      </c>
      <c r="C1867" s="100" t="s">
        <v>1688</v>
      </c>
      <c r="D1867" s="100" t="s">
        <v>1689</v>
      </c>
      <c r="E1867" s="198">
        <v>75.56</v>
      </c>
      <c r="F1867" s="199" t="s">
        <v>3591</v>
      </c>
    </row>
    <row r="1868" ht="22.5" customHeight="1">
      <c r="A1868" s="197">
        <v>46107.14400193287</v>
      </c>
      <c r="B1868" s="100" t="s">
        <v>3592</v>
      </c>
      <c r="C1868" s="100" t="s">
        <v>1685</v>
      </c>
      <c r="D1868" s="100" t="s">
        <v>1686</v>
      </c>
      <c r="E1868" s="198">
        <v>20.0</v>
      </c>
      <c r="F1868" s="199" t="s">
        <v>3593</v>
      </c>
    </row>
    <row r="1869" ht="22.5" customHeight="1">
      <c r="A1869" s="197">
        <v>46107.14400193287</v>
      </c>
      <c r="B1869" s="100" t="s">
        <v>3592</v>
      </c>
      <c r="C1869" s="100" t="s">
        <v>1688</v>
      </c>
      <c r="D1869" s="100" t="s">
        <v>1689</v>
      </c>
      <c r="E1869" s="198">
        <v>50.0</v>
      </c>
      <c r="F1869" s="199" t="s">
        <v>3595</v>
      </c>
    </row>
    <row r="1870" ht="22.5" customHeight="1">
      <c r="A1870" s="197">
        <v>46107.14400231482</v>
      </c>
      <c r="B1870" s="100" t="s">
        <v>3596</v>
      </c>
      <c r="C1870" s="100" t="s">
        <v>1685</v>
      </c>
      <c r="D1870" s="100" t="s">
        <v>1686</v>
      </c>
      <c r="E1870" s="198">
        <v>25.0</v>
      </c>
      <c r="F1870" s="199" t="s">
        <v>3597</v>
      </c>
    </row>
    <row r="1871" ht="22.5" customHeight="1">
      <c r="A1871" s="197">
        <v>46107.14400231482</v>
      </c>
      <c r="B1871" s="100" t="s">
        <v>3596</v>
      </c>
      <c r="C1871" s="100" t="s">
        <v>1688</v>
      </c>
      <c r="D1871" s="100" t="s">
        <v>1689</v>
      </c>
      <c r="E1871" s="198">
        <v>50.0</v>
      </c>
      <c r="F1871" s="199" t="s">
        <v>3599</v>
      </c>
    </row>
    <row r="1872" ht="22.5" customHeight="1">
      <c r="A1872" s="197">
        <v>46107.14525930556</v>
      </c>
      <c r="B1872" s="100" t="s">
        <v>3600</v>
      </c>
      <c r="C1872" s="100" t="s">
        <v>1685</v>
      </c>
      <c r="D1872" s="100" t="s">
        <v>1686</v>
      </c>
      <c r="E1872" s="198">
        <v>70.0</v>
      </c>
      <c r="F1872" s="199" t="s">
        <v>2409</v>
      </c>
    </row>
    <row r="1873" ht="22.5" customHeight="1">
      <c r="A1873" s="197">
        <v>46107.14525930556</v>
      </c>
      <c r="B1873" s="100" t="s">
        <v>3600</v>
      </c>
      <c r="C1873" s="100" t="s">
        <v>1688</v>
      </c>
      <c r="D1873" s="100" t="s">
        <v>1689</v>
      </c>
      <c r="E1873" s="198">
        <v>100.0</v>
      </c>
      <c r="F1873" s="199" t="s">
        <v>2411</v>
      </c>
    </row>
    <row r="1874" ht="22.5" customHeight="1">
      <c r="A1874" s="197">
        <v>46107.145259490746</v>
      </c>
      <c r="B1874" s="100" t="s">
        <v>3602</v>
      </c>
      <c r="C1874" s="100" t="s">
        <v>1685</v>
      </c>
      <c r="D1874" s="100" t="s">
        <v>1686</v>
      </c>
      <c r="E1874" s="198">
        <v>70.0</v>
      </c>
      <c r="F1874" s="199" t="s">
        <v>2409</v>
      </c>
    </row>
    <row r="1875" ht="22.5" customHeight="1">
      <c r="A1875" s="197">
        <v>46107.145259490746</v>
      </c>
      <c r="B1875" s="100" t="s">
        <v>3602</v>
      </c>
      <c r="C1875" s="100" t="s">
        <v>1688</v>
      </c>
      <c r="D1875" s="100" t="s">
        <v>1689</v>
      </c>
      <c r="E1875" s="198">
        <v>100.0</v>
      </c>
      <c r="F1875" s="199" t="s">
        <v>2411</v>
      </c>
    </row>
    <row r="1876" ht="22.5" customHeight="1">
      <c r="A1876" s="197">
        <v>46107.149357939816</v>
      </c>
      <c r="B1876" s="100" t="s">
        <v>3604</v>
      </c>
      <c r="C1876" s="100" t="s">
        <v>1685</v>
      </c>
      <c r="D1876" s="100" t="s">
        <v>1686</v>
      </c>
      <c r="E1876" s="198">
        <v>40.0</v>
      </c>
      <c r="F1876" s="199" t="s">
        <v>2356</v>
      </c>
    </row>
    <row r="1877" ht="22.5" customHeight="1">
      <c r="A1877" s="197">
        <v>46107.149357939816</v>
      </c>
      <c r="B1877" s="100" t="s">
        <v>3604</v>
      </c>
      <c r="C1877" s="100" t="s">
        <v>1688</v>
      </c>
      <c r="D1877" s="100" t="s">
        <v>1689</v>
      </c>
      <c r="E1877" s="198">
        <v>100.0</v>
      </c>
      <c r="F1877" s="199" t="s">
        <v>2357</v>
      </c>
    </row>
    <row r="1878" ht="22.5" customHeight="1">
      <c r="A1878" s="197">
        <v>46107.14935851852</v>
      </c>
      <c r="B1878" s="100" t="s">
        <v>3606</v>
      </c>
      <c r="C1878" s="100" t="s">
        <v>1685</v>
      </c>
      <c r="D1878" s="100" t="s">
        <v>1686</v>
      </c>
      <c r="E1878" s="198">
        <v>100.0</v>
      </c>
      <c r="F1878" s="199" t="s">
        <v>2069</v>
      </c>
    </row>
    <row r="1879" ht="22.5" customHeight="1">
      <c r="A1879" s="197">
        <v>46107.14935851852</v>
      </c>
      <c r="B1879" s="100" t="s">
        <v>3606</v>
      </c>
      <c r="C1879" s="100" t="s">
        <v>1688</v>
      </c>
      <c r="D1879" s="100" t="s">
        <v>1689</v>
      </c>
      <c r="E1879" s="198">
        <v>120.0</v>
      </c>
      <c r="F1879" s="199" t="s">
        <v>2070</v>
      </c>
    </row>
    <row r="1880" ht="22.5" customHeight="1">
      <c r="A1880" s="197">
        <v>46107.14998644676</v>
      </c>
      <c r="B1880" s="100" t="s">
        <v>3608</v>
      </c>
      <c r="C1880" s="100" t="s">
        <v>1685</v>
      </c>
      <c r="D1880" s="100" t="s">
        <v>1686</v>
      </c>
      <c r="E1880" s="198">
        <v>10.67</v>
      </c>
      <c r="F1880" s="199" t="s">
        <v>2593</v>
      </c>
    </row>
    <row r="1881" ht="22.5" customHeight="1">
      <c r="A1881" s="197">
        <v>46107.14998644676</v>
      </c>
      <c r="B1881" s="100" t="s">
        <v>3608</v>
      </c>
      <c r="C1881" s="100" t="s">
        <v>1688</v>
      </c>
      <c r="D1881" s="100" t="s">
        <v>1689</v>
      </c>
      <c r="E1881" s="198">
        <v>15.0</v>
      </c>
      <c r="F1881" s="199" t="s">
        <v>2594</v>
      </c>
    </row>
    <row r="1882" ht="22.5" customHeight="1">
      <c r="A1882" s="197">
        <v>46107.59063295139</v>
      </c>
      <c r="B1882" s="100" t="s">
        <v>3609</v>
      </c>
      <c r="C1882" s="100" t="s">
        <v>1685</v>
      </c>
      <c r="D1882" s="100" t="s">
        <v>1686</v>
      </c>
      <c r="E1882" s="198">
        <v>90.0</v>
      </c>
      <c r="F1882" s="199" t="s">
        <v>2325</v>
      </c>
    </row>
    <row r="1883" ht="22.5" customHeight="1">
      <c r="A1883" s="197">
        <v>46107.59063295139</v>
      </c>
      <c r="B1883" s="100" t="s">
        <v>3609</v>
      </c>
      <c r="C1883" s="100" t="s">
        <v>1688</v>
      </c>
      <c r="D1883" s="100" t="s">
        <v>1689</v>
      </c>
      <c r="E1883" s="198">
        <v>250.0</v>
      </c>
      <c r="F1883" s="199" t="s">
        <v>2327</v>
      </c>
    </row>
    <row r="1884" ht="22.5" customHeight="1">
      <c r="A1884" s="197">
        <v>46107.5906333912</v>
      </c>
      <c r="B1884" s="100" t="s">
        <v>3611</v>
      </c>
      <c r="C1884" s="100" t="s">
        <v>1685</v>
      </c>
      <c r="D1884" s="100" t="s">
        <v>1686</v>
      </c>
      <c r="E1884" s="198">
        <v>35.0</v>
      </c>
      <c r="F1884" s="199" t="s">
        <v>2860</v>
      </c>
    </row>
    <row r="1885" ht="22.5" customHeight="1">
      <c r="A1885" s="197">
        <v>46107.59063340278</v>
      </c>
      <c r="B1885" s="100" t="s">
        <v>3611</v>
      </c>
      <c r="C1885" s="100" t="s">
        <v>1688</v>
      </c>
      <c r="D1885" s="100" t="s">
        <v>1689</v>
      </c>
      <c r="E1885" s="198">
        <v>50.0</v>
      </c>
      <c r="F1885" s="199" t="s">
        <v>2862</v>
      </c>
    </row>
    <row r="1886" ht="22.5" customHeight="1">
      <c r="A1886" s="197">
        <v>46107.59063387732</v>
      </c>
      <c r="B1886" s="100" t="s">
        <v>3614</v>
      </c>
      <c r="C1886" s="100" t="s">
        <v>1685</v>
      </c>
      <c r="D1886" s="100" t="s">
        <v>1686</v>
      </c>
      <c r="E1886" s="198">
        <v>46.44</v>
      </c>
      <c r="F1886" s="199" t="s">
        <v>3083</v>
      </c>
    </row>
    <row r="1887" ht="22.5" customHeight="1">
      <c r="A1887" s="197">
        <v>46107.59063387732</v>
      </c>
      <c r="B1887" s="100" t="s">
        <v>3614</v>
      </c>
      <c r="C1887" s="100" t="s">
        <v>1688</v>
      </c>
      <c r="D1887" s="100" t="s">
        <v>1689</v>
      </c>
      <c r="E1887" s="198">
        <v>80.0</v>
      </c>
      <c r="F1887" s="199" t="s">
        <v>3084</v>
      </c>
    </row>
    <row r="1888" ht="22.5" customHeight="1">
      <c r="A1888" s="197">
        <v>46107.590634583335</v>
      </c>
      <c r="B1888" s="100" t="s">
        <v>3615</v>
      </c>
      <c r="C1888" s="100" t="s">
        <v>1685</v>
      </c>
      <c r="D1888" s="100" t="s">
        <v>1686</v>
      </c>
      <c r="E1888" s="198">
        <v>68.0</v>
      </c>
      <c r="F1888" s="199" t="s">
        <v>2286</v>
      </c>
    </row>
    <row r="1889" ht="22.5" customHeight="1">
      <c r="A1889" s="197">
        <v>46107.590634583335</v>
      </c>
      <c r="B1889" s="100" t="s">
        <v>3615</v>
      </c>
      <c r="C1889" s="100" t="s">
        <v>1688</v>
      </c>
      <c r="D1889" s="100" t="s">
        <v>1689</v>
      </c>
      <c r="E1889" s="198">
        <v>100.0</v>
      </c>
      <c r="F1889" s="199" t="s">
        <v>2288</v>
      </c>
    </row>
    <row r="1890" ht="22.5" customHeight="1">
      <c r="A1890" s="197">
        <v>46107.59063523148</v>
      </c>
      <c r="B1890" s="100" t="s">
        <v>3616</v>
      </c>
      <c r="C1890" s="100" t="s">
        <v>1685</v>
      </c>
      <c r="D1890" s="100" t="s">
        <v>1686</v>
      </c>
      <c r="E1890" s="198">
        <v>800.0</v>
      </c>
      <c r="F1890" s="199" t="s">
        <v>3240</v>
      </c>
    </row>
    <row r="1891" ht="22.5" customHeight="1">
      <c r="A1891" s="197">
        <v>46107.59063523148</v>
      </c>
      <c r="B1891" s="100" t="s">
        <v>3616</v>
      </c>
      <c r="C1891" s="100" t="s">
        <v>1688</v>
      </c>
      <c r="D1891" s="100" t="s">
        <v>1689</v>
      </c>
      <c r="E1891" s="198">
        <v>1000.0</v>
      </c>
      <c r="F1891" s="199" t="s">
        <v>3242</v>
      </c>
    </row>
    <row r="1892" ht="22.5" customHeight="1">
      <c r="A1892" s="197">
        <v>46107.59063574074</v>
      </c>
      <c r="B1892" s="100" t="s">
        <v>3619</v>
      </c>
      <c r="C1892" s="100" t="s">
        <v>1685</v>
      </c>
      <c r="D1892" s="100" t="s">
        <v>1686</v>
      </c>
      <c r="E1892" s="198">
        <v>200.0</v>
      </c>
      <c r="F1892" s="199" t="s">
        <v>3069</v>
      </c>
    </row>
    <row r="1893" ht="22.5" customHeight="1">
      <c r="A1893" s="197">
        <v>46107.59063574074</v>
      </c>
      <c r="B1893" s="100" t="s">
        <v>3619</v>
      </c>
      <c r="C1893" s="100" t="s">
        <v>1688</v>
      </c>
      <c r="D1893" s="100" t="s">
        <v>1689</v>
      </c>
      <c r="E1893" s="198">
        <v>300.0</v>
      </c>
      <c r="F1893" s="199" t="s">
        <v>3070</v>
      </c>
    </row>
    <row r="1894" ht="22.5" customHeight="1">
      <c r="A1894" s="197">
        <v>46107.590636354165</v>
      </c>
      <c r="B1894" s="100" t="s">
        <v>3621</v>
      </c>
      <c r="C1894" s="100" t="s">
        <v>1685</v>
      </c>
      <c r="D1894" s="100" t="s">
        <v>1686</v>
      </c>
      <c r="E1894" s="198">
        <v>17.5</v>
      </c>
      <c r="F1894" s="199" t="s">
        <v>2137</v>
      </c>
    </row>
    <row r="1895" ht="22.5" customHeight="1">
      <c r="A1895" s="197">
        <v>46107.590636354165</v>
      </c>
      <c r="B1895" s="100" t="s">
        <v>3621</v>
      </c>
      <c r="C1895" s="100" t="s">
        <v>1688</v>
      </c>
      <c r="D1895" s="100" t="s">
        <v>1689</v>
      </c>
      <c r="E1895" s="198">
        <v>25.0</v>
      </c>
      <c r="F1895" s="199" t="s">
        <v>2138</v>
      </c>
    </row>
    <row r="1896" ht="22.5" customHeight="1">
      <c r="A1896" s="197">
        <v>46107.59063694444</v>
      </c>
      <c r="B1896" s="100" t="s">
        <v>3623</v>
      </c>
      <c r="C1896" s="100" t="s">
        <v>1685</v>
      </c>
      <c r="D1896" s="100" t="s">
        <v>1686</v>
      </c>
      <c r="E1896" s="198">
        <v>15.0</v>
      </c>
      <c r="F1896" s="199" t="s">
        <v>2648</v>
      </c>
    </row>
    <row r="1897" ht="22.5" customHeight="1">
      <c r="A1897" s="197">
        <v>46107.59063694444</v>
      </c>
      <c r="B1897" s="100" t="s">
        <v>3623</v>
      </c>
      <c r="C1897" s="100" t="s">
        <v>1688</v>
      </c>
      <c r="D1897" s="100" t="s">
        <v>1689</v>
      </c>
      <c r="E1897" s="198">
        <v>30.0</v>
      </c>
      <c r="F1897" s="199" t="s">
        <v>2649</v>
      </c>
    </row>
    <row r="1898" ht="22.5" customHeight="1">
      <c r="A1898" s="197">
        <v>46107.590637650464</v>
      </c>
      <c r="B1898" s="100" t="s">
        <v>3625</v>
      </c>
      <c r="C1898" s="100" t="s">
        <v>1685</v>
      </c>
      <c r="D1898" s="100" t="s">
        <v>1686</v>
      </c>
      <c r="E1898" s="198">
        <v>150.0</v>
      </c>
      <c r="F1898" s="199" t="s">
        <v>2432</v>
      </c>
    </row>
    <row r="1899" ht="22.5" customHeight="1">
      <c r="A1899" s="197">
        <v>46107.590637650464</v>
      </c>
      <c r="B1899" s="100" t="s">
        <v>3625</v>
      </c>
      <c r="C1899" s="100" t="s">
        <v>1688</v>
      </c>
      <c r="D1899" s="100" t="s">
        <v>1689</v>
      </c>
      <c r="E1899" s="198">
        <v>300.0</v>
      </c>
      <c r="F1899" s="199" t="s">
        <v>2433</v>
      </c>
    </row>
    <row r="1900" ht="22.5" customHeight="1">
      <c r="A1900" s="197">
        <v>46107.59063854167</v>
      </c>
      <c r="B1900" s="100" t="s">
        <v>3626</v>
      </c>
      <c r="C1900" s="100" t="s">
        <v>1685</v>
      </c>
      <c r="D1900" s="100" t="s">
        <v>1686</v>
      </c>
      <c r="E1900" s="198">
        <v>95.0</v>
      </c>
      <c r="F1900" s="199" t="s">
        <v>3169</v>
      </c>
    </row>
    <row r="1901" ht="22.5" customHeight="1">
      <c r="A1901" s="197">
        <v>46107.59063854167</v>
      </c>
      <c r="B1901" s="100" t="s">
        <v>3626</v>
      </c>
      <c r="C1901" s="100" t="s">
        <v>1688</v>
      </c>
      <c r="D1901" s="100" t="s">
        <v>1689</v>
      </c>
      <c r="E1901" s="198">
        <v>190.0</v>
      </c>
      <c r="F1901" s="199" t="s">
        <v>3170</v>
      </c>
    </row>
    <row r="1902" ht="22.5" customHeight="1">
      <c r="A1902" s="197">
        <v>46107.590639421294</v>
      </c>
      <c r="B1902" s="100" t="s">
        <v>3629</v>
      </c>
      <c r="C1902" s="100" t="s">
        <v>1685</v>
      </c>
      <c r="D1902" s="100" t="s">
        <v>1686</v>
      </c>
      <c r="E1902" s="198">
        <v>24.0</v>
      </c>
      <c r="F1902" s="199" t="s">
        <v>3631</v>
      </c>
    </row>
    <row r="1903" ht="22.5" customHeight="1">
      <c r="A1903" s="197">
        <v>46107.590639421294</v>
      </c>
      <c r="B1903" s="100" t="s">
        <v>3629</v>
      </c>
      <c r="C1903" s="100" t="s">
        <v>1688</v>
      </c>
      <c r="D1903" s="100" t="s">
        <v>1689</v>
      </c>
      <c r="E1903" s="198">
        <v>30.0</v>
      </c>
      <c r="F1903" s="199" t="s">
        <v>3632</v>
      </c>
    </row>
    <row r="1904" ht="22.5" customHeight="1">
      <c r="A1904" s="197">
        <v>46107.59064013889</v>
      </c>
      <c r="B1904" s="100" t="s">
        <v>3633</v>
      </c>
      <c r="C1904" s="100" t="s">
        <v>1685</v>
      </c>
      <c r="D1904" s="100" t="s">
        <v>1686</v>
      </c>
      <c r="E1904" s="198">
        <v>490.0</v>
      </c>
      <c r="F1904" s="199" t="s">
        <v>3244</v>
      </c>
    </row>
    <row r="1905" ht="22.5" customHeight="1">
      <c r="A1905" s="197">
        <v>46107.59064013889</v>
      </c>
      <c r="B1905" s="100" t="s">
        <v>3633</v>
      </c>
      <c r="C1905" s="100" t="s">
        <v>1688</v>
      </c>
      <c r="D1905" s="100" t="s">
        <v>1689</v>
      </c>
      <c r="E1905" s="198">
        <v>650.0</v>
      </c>
      <c r="F1905" s="199" t="s">
        <v>3246</v>
      </c>
    </row>
    <row r="1906" ht="22.5" customHeight="1">
      <c r="A1906" s="197">
        <v>46107.590640740746</v>
      </c>
      <c r="B1906" s="100" t="s">
        <v>3635</v>
      </c>
      <c r="C1906" s="100" t="s">
        <v>1685</v>
      </c>
      <c r="D1906" s="100" t="s">
        <v>1686</v>
      </c>
      <c r="E1906" s="198">
        <v>23.33</v>
      </c>
      <c r="F1906" s="199" t="s">
        <v>2691</v>
      </c>
    </row>
    <row r="1907" ht="22.5" customHeight="1">
      <c r="A1907" s="197">
        <v>46107.590640740746</v>
      </c>
      <c r="B1907" s="100" t="s">
        <v>3635</v>
      </c>
      <c r="C1907" s="100" t="s">
        <v>1688</v>
      </c>
      <c r="D1907" s="100" t="s">
        <v>1689</v>
      </c>
      <c r="E1907" s="198">
        <v>30.0</v>
      </c>
      <c r="F1907" s="199" t="s">
        <v>2692</v>
      </c>
    </row>
    <row r="1908" ht="22.5" customHeight="1">
      <c r="A1908" s="197">
        <v>46107.5906415162</v>
      </c>
      <c r="B1908" s="100" t="s">
        <v>3637</v>
      </c>
      <c r="C1908" s="100" t="s">
        <v>1685</v>
      </c>
      <c r="D1908" s="100" t="s">
        <v>1686</v>
      </c>
      <c r="E1908" s="198">
        <v>200.0</v>
      </c>
      <c r="F1908" s="199" t="s">
        <v>3638</v>
      </c>
    </row>
    <row r="1909" ht="22.5" customHeight="1">
      <c r="A1909" s="197">
        <v>46107.5906415162</v>
      </c>
      <c r="B1909" s="100" t="s">
        <v>3637</v>
      </c>
      <c r="C1909" s="100" t="s">
        <v>1688</v>
      </c>
      <c r="D1909" s="100" t="s">
        <v>1689</v>
      </c>
      <c r="E1909" s="198">
        <v>250.0</v>
      </c>
      <c r="F1909" s="199" t="s">
        <v>3640</v>
      </c>
    </row>
    <row r="1910" ht="22.5" customHeight="1">
      <c r="A1910" s="197">
        <v>46107.59064202546</v>
      </c>
      <c r="B1910" s="100" t="s">
        <v>3641</v>
      </c>
      <c r="C1910" s="100" t="s">
        <v>1685</v>
      </c>
      <c r="D1910" s="100" t="s">
        <v>1686</v>
      </c>
      <c r="E1910" s="198">
        <v>125.0</v>
      </c>
      <c r="F1910" s="199" t="s">
        <v>3642</v>
      </c>
    </row>
    <row r="1911" ht="22.5" customHeight="1">
      <c r="A1911" s="197">
        <v>46107.59064202546</v>
      </c>
      <c r="B1911" s="100" t="s">
        <v>3641</v>
      </c>
      <c r="C1911" s="100" t="s">
        <v>1688</v>
      </c>
      <c r="D1911" s="100" t="s">
        <v>1689</v>
      </c>
      <c r="E1911" s="198">
        <v>150.0</v>
      </c>
      <c r="F1911" s="199" t="s">
        <v>3644</v>
      </c>
    </row>
    <row r="1912" ht="22.5" customHeight="1">
      <c r="A1912" s="197">
        <v>46107.59064241898</v>
      </c>
      <c r="B1912" s="100" t="s">
        <v>3645</v>
      </c>
      <c r="C1912" s="100" t="s">
        <v>1685</v>
      </c>
      <c r="D1912" s="100" t="s">
        <v>1686</v>
      </c>
      <c r="E1912" s="198">
        <v>50.0</v>
      </c>
      <c r="F1912" s="199" t="s">
        <v>2069</v>
      </c>
    </row>
    <row r="1913" ht="22.5" customHeight="1">
      <c r="A1913" s="197">
        <v>46107.59064241898</v>
      </c>
      <c r="B1913" s="100" t="s">
        <v>3645</v>
      </c>
      <c r="C1913" s="100" t="s">
        <v>1688</v>
      </c>
      <c r="D1913" s="100" t="s">
        <v>1689</v>
      </c>
      <c r="E1913" s="198">
        <v>60.0</v>
      </c>
      <c r="F1913" s="199" t="s">
        <v>2070</v>
      </c>
    </row>
    <row r="1914" ht="22.5" customHeight="1">
      <c r="A1914" s="197">
        <v>46107.590642916664</v>
      </c>
      <c r="B1914" s="100" t="s">
        <v>3647</v>
      </c>
      <c r="C1914" s="100" t="s">
        <v>1685</v>
      </c>
      <c r="D1914" s="100" t="s">
        <v>1686</v>
      </c>
      <c r="E1914" s="198">
        <v>17.0</v>
      </c>
      <c r="F1914" s="199" t="s">
        <v>2286</v>
      </c>
    </row>
    <row r="1915" ht="22.5" customHeight="1">
      <c r="A1915" s="197">
        <v>46107.590642916664</v>
      </c>
      <c r="B1915" s="100" t="s">
        <v>3647</v>
      </c>
      <c r="C1915" s="100" t="s">
        <v>1688</v>
      </c>
      <c r="D1915" s="100" t="s">
        <v>1689</v>
      </c>
      <c r="E1915" s="198">
        <v>25.0</v>
      </c>
      <c r="F1915" s="199" t="s">
        <v>2288</v>
      </c>
    </row>
    <row r="1916" ht="22.5" customHeight="1">
      <c r="A1916" s="197">
        <v>46107.59064358796</v>
      </c>
      <c r="B1916" s="100" t="s">
        <v>3649</v>
      </c>
      <c r="C1916" s="100" t="s">
        <v>1685</v>
      </c>
      <c r="D1916" s="100" t="s">
        <v>1686</v>
      </c>
      <c r="E1916" s="198">
        <v>150.0</v>
      </c>
      <c r="F1916" s="199" t="s">
        <v>2912</v>
      </c>
    </row>
    <row r="1917" ht="22.5" customHeight="1">
      <c r="A1917" s="197">
        <v>46107.59064358796</v>
      </c>
      <c r="B1917" s="100" t="s">
        <v>3649</v>
      </c>
      <c r="C1917" s="100" t="s">
        <v>1688</v>
      </c>
      <c r="D1917" s="100" t="s">
        <v>1689</v>
      </c>
      <c r="E1917" s="198">
        <v>200.0</v>
      </c>
      <c r="F1917" s="199" t="s">
        <v>2913</v>
      </c>
    </row>
    <row r="1918" ht="22.5" customHeight="1">
      <c r="A1918" s="197">
        <v>46107.590644571756</v>
      </c>
      <c r="B1918" s="100" t="s">
        <v>3651</v>
      </c>
      <c r="C1918" s="100" t="s">
        <v>1685</v>
      </c>
      <c r="D1918" s="100" t="s">
        <v>1686</v>
      </c>
      <c r="E1918" s="198">
        <v>55.0</v>
      </c>
      <c r="F1918" s="199" t="s">
        <v>2193</v>
      </c>
    </row>
    <row r="1919" ht="22.5" customHeight="1">
      <c r="A1919" s="197">
        <v>46107.590644571756</v>
      </c>
      <c r="B1919" s="100" t="s">
        <v>3651</v>
      </c>
      <c r="C1919" s="100" t="s">
        <v>1688</v>
      </c>
      <c r="D1919" s="100" t="s">
        <v>1689</v>
      </c>
      <c r="E1919" s="198">
        <v>110.0</v>
      </c>
      <c r="F1919" s="199" t="s">
        <v>2194</v>
      </c>
    </row>
    <row r="1920" ht="22.5" customHeight="1">
      <c r="A1920" s="197">
        <v>46107.59064527778</v>
      </c>
      <c r="B1920" s="100" t="s">
        <v>3652</v>
      </c>
      <c r="C1920" s="100" t="s">
        <v>1685</v>
      </c>
      <c r="D1920" s="100" t="s">
        <v>1686</v>
      </c>
      <c r="E1920" s="198">
        <v>24.44</v>
      </c>
      <c r="F1920" s="199" t="s">
        <v>3589</v>
      </c>
    </row>
    <row r="1921" ht="22.5" customHeight="1">
      <c r="A1921" s="197">
        <v>46107.59064527778</v>
      </c>
      <c r="B1921" s="100" t="s">
        <v>3652</v>
      </c>
      <c r="C1921" s="100" t="s">
        <v>1688</v>
      </c>
      <c r="D1921" s="100" t="s">
        <v>1689</v>
      </c>
      <c r="E1921" s="198">
        <v>40.0</v>
      </c>
      <c r="F1921" s="199" t="s">
        <v>3591</v>
      </c>
    </row>
    <row r="1922" ht="22.5" customHeight="1">
      <c r="A1922" s="197">
        <v>46107.5906458449</v>
      </c>
      <c r="B1922" s="100" t="s">
        <v>3654</v>
      </c>
      <c r="C1922" s="100" t="s">
        <v>1685</v>
      </c>
      <c r="D1922" s="100" t="s">
        <v>1686</v>
      </c>
      <c r="E1922" s="198">
        <v>167.0</v>
      </c>
      <c r="F1922" s="199" t="s">
        <v>2958</v>
      </c>
    </row>
    <row r="1923" ht="22.5" customHeight="1">
      <c r="A1923" s="197">
        <v>46107.5906458449</v>
      </c>
      <c r="B1923" s="100" t="s">
        <v>3654</v>
      </c>
      <c r="C1923" s="100" t="s">
        <v>1688</v>
      </c>
      <c r="D1923" s="100" t="s">
        <v>1689</v>
      </c>
      <c r="E1923" s="198">
        <v>210.0</v>
      </c>
      <c r="F1923" s="199" t="s">
        <v>2959</v>
      </c>
    </row>
    <row r="1924" ht="22.5" customHeight="1">
      <c r="A1924" s="197">
        <v>46107.59064642361</v>
      </c>
      <c r="B1924" s="100" t="s">
        <v>3656</v>
      </c>
      <c r="C1924" s="100" t="s">
        <v>1685</v>
      </c>
      <c r="D1924" s="100" t="s">
        <v>1686</v>
      </c>
      <c r="E1924" s="198">
        <v>30.0</v>
      </c>
      <c r="F1924" s="199" t="s">
        <v>2800</v>
      </c>
    </row>
    <row r="1925" ht="22.5" customHeight="1">
      <c r="A1925" s="197">
        <v>46107.59064642361</v>
      </c>
      <c r="B1925" s="100" t="s">
        <v>3656</v>
      </c>
      <c r="C1925" s="100" t="s">
        <v>1688</v>
      </c>
      <c r="D1925" s="100" t="s">
        <v>1689</v>
      </c>
      <c r="E1925" s="198">
        <v>40.0</v>
      </c>
      <c r="F1925" s="199" t="s">
        <v>2801</v>
      </c>
    </row>
    <row r="1926" ht="22.5" customHeight="1">
      <c r="A1926" s="197">
        <v>46107.5906471412</v>
      </c>
      <c r="B1926" s="100" t="s">
        <v>3658</v>
      </c>
      <c r="C1926" s="100" t="s">
        <v>1685</v>
      </c>
      <c r="D1926" s="100" t="s">
        <v>1686</v>
      </c>
      <c r="E1926" s="198">
        <v>85.0</v>
      </c>
      <c r="F1926" s="199" t="s">
        <v>2540</v>
      </c>
    </row>
    <row r="1927" ht="22.5" customHeight="1">
      <c r="A1927" s="197">
        <v>46107.5906471412</v>
      </c>
      <c r="B1927" s="100" t="s">
        <v>3658</v>
      </c>
      <c r="C1927" s="100" t="s">
        <v>1688</v>
      </c>
      <c r="D1927" s="100" t="s">
        <v>1689</v>
      </c>
      <c r="E1927" s="198">
        <v>150.0</v>
      </c>
      <c r="F1927" s="199" t="s">
        <v>2541</v>
      </c>
    </row>
    <row r="1928" ht="22.5" customHeight="1">
      <c r="A1928" s="197">
        <v>46107.590647731486</v>
      </c>
      <c r="B1928" s="100" t="s">
        <v>3660</v>
      </c>
      <c r="C1928" s="100" t="s">
        <v>1685</v>
      </c>
      <c r="D1928" s="100" t="s">
        <v>1686</v>
      </c>
      <c r="E1928" s="198">
        <v>150.0</v>
      </c>
      <c r="F1928" s="199" t="s">
        <v>3063</v>
      </c>
    </row>
    <row r="1929" ht="22.5" customHeight="1">
      <c r="A1929" s="197">
        <v>46107.590647731486</v>
      </c>
      <c r="B1929" s="100" t="s">
        <v>3660</v>
      </c>
      <c r="C1929" s="100" t="s">
        <v>1688</v>
      </c>
      <c r="D1929" s="100" t="s">
        <v>1689</v>
      </c>
      <c r="E1929" s="198">
        <v>240.0</v>
      </c>
      <c r="F1929" s="199" t="s">
        <v>3064</v>
      </c>
    </row>
    <row r="1930" ht="22.5" customHeight="1">
      <c r="A1930" s="197">
        <v>46107.59064836806</v>
      </c>
      <c r="B1930" s="100" t="s">
        <v>3662</v>
      </c>
      <c r="C1930" s="100" t="s">
        <v>1685</v>
      </c>
      <c r="D1930" s="100" t="s">
        <v>1686</v>
      </c>
      <c r="E1930" s="198">
        <v>45.0</v>
      </c>
      <c r="F1930" s="199" t="s">
        <v>2800</v>
      </c>
    </row>
    <row r="1931" ht="22.5" customHeight="1">
      <c r="A1931" s="197">
        <v>46107.59064836806</v>
      </c>
      <c r="B1931" s="100" t="s">
        <v>3662</v>
      </c>
      <c r="C1931" s="100" t="s">
        <v>1688</v>
      </c>
      <c r="D1931" s="100" t="s">
        <v>1689</v>
      </c>
      <c r="E1931" s="198">
        <v>60.0</v>
      </c>
      <c r="F1931" s="199" t="s">
        <v>2801</v>
      </c>
    </row>
    <row r="1932" ht="22.5" customHeight="1">
      <c r="A1932" s="197">
        <v>46107.59064938658</v>
      </c>
      <c r="B1932" s="100" t="s">
        <v>3664</v>
      </c>
      <c r="C1932" s="100" t="s">
        <v>1685</v>
      </c>
      <c r="D1932" s="100" t="s">
        <v>1686</v>
      </c>
      <c r="E1932" s="198">
        <v>350.0</v>
      </c>
      <c r="F1932" s="199" t="s">
        <v>1977</v>
      </c>
    </row>
    <row r="1933" ht="22.5" customHeight="1">
      <c r="A1933" s="197">
        <v>46107.59064938658</v>
      </c>
      <c r="B1933" s="100" t="s">
        <v>3664</v>
      </c>
      <c r="C1933" s="100" t="s">
        <v>1688</v>
      </c>
      <c r="D1933" s="100" t="s">
        <v>1689</v>
      </c>
      <c r="E1933" s="198">
        <v>450.0</v>
      </c>
      <c r="F1933" s="199" t="s">
        <v>1978</v>
      </c>
    </row>
    <row r="1934" ht="22.5" customHeight="1">
      <c r="A1934" s="197">
        <v>46107.590650046295</v>
      </c>
      <c r="B1934" s="100" t="s">
        <v>3666</v>
      </c>
      <c r="C1934" s="100" t="s">
        <v>1685</v>
      </c>
      <c r="D1934" s="100" t="s">
        <v>1686</v>
      </c>
      <c r="E1934" s="198">
        <v>20.0</v>
      </c>
      <c r="F1934" s="199" t="s">
        <v>2356</v>
      </c>
    </row>
    <row r="1935" ht="22.5" customHeight="1">
      <c r="A1935" s="197">
        <v>46107.590650046295</v>
      </c>
      <c r="B1935" s="100" t="s">
        <v>3666</v>
      </c>
      <c r="C1935" s="100" t="s">
        <v>1688</v>
      </c>
      <c r="D1935" s="100" t="s">
        <v>1689</v>
      </c>
      <c r="E1935" s="198">
        <v>50.0</v>
      </c>
      <c r="F1935" s="199" t="s">
        <v>2357</v>
      </c>
    </row>
    <row r="1936" ht="22.5" customHeight="1">
      <c r="A1936" s="197">
        <v>46107.59065054398</v>
      </c>
      <c r="B1936" s="100" t="s">
        <v>3668</v>
      </c>
      <c r="C1936" s="100" t="s">
        <v>1685</v>
      </c>
      <c r="D1936" s="100" t="s">
        <v>1686</v>
      </c>
      <c r="E1936" s="198">
        <v>23.22</v>
      </c>
      <c r="F1936" s="199" t="s">
        <v>3083</v>
      </c>
    </row>
    <row r="1937" ht="22.5" customHeight="1">
      <c r="A1937" s="197">
        <v>46107.59065054398</v>
      </c>
      <c r="B1937" s="100" t="s">
        <v>3668</v>
      </c>
      <c r="C1937" s="100" t="s">
        <v>1688</v>
      </c>
      <c r="D1937" s="100" t="s">
        <v>1689</v>
      </c>
      <c r="E1937" s="198">
        <v>40.0</v>
      </c>
      <c r="F1937" s="199" t="s">
        <v>3084</v>
      </c>
    </row>
    <row r="1938" ht="22.5" customHeight="1">
      <c r="A1938" s="197">
        <v>46107.59065096064</v>
      </c>
      <c r="B1938" s="100" t="s">
        <v>3669</v>
      </c>
      <c r="C1938" s="100" t="s">
        <v>1685</v>
      </c>
      <c r="D1938" s="100" t="s">
        <v>1686</v>
      </c>
      <c r="E1938" s="198">
        <v>150.0</v>
      </c>
      <c r="F1938" s="199" t="s">
        <v>3063</v>
      </c>
    </row>
    <row r="1939" ht="22.5" customHeight="1">
      <c r="A1939" s="197">
        <v>46107.59065096064</v>
      </c>
      <c r="B1939" s="100" t="s">
        <v>3669</v>
      </c>
      <c r="C1939" s="100" t="s">
        <v>1688</v>
      </c>
      <c r="D1939" s="100" t="s">
        <v>1689</v>
      </c>
      <c r="E1939" s="198">
        <v>225.0</v>
      </c>
      <c r="F1939" s="199" t="s">
        <v>3064</v>
      </c>
    </row>
    <row r="1940" ht="22.5" customHeight="1">
      <c r="A1940" s="197">
        <v>46107.590651446764</v>
      </c>
      <c r="B1940" s="100" t="s">
        <v>3671</v>
      </c>
      <c r="C1940" s="100" t="s">
        <v>1685</v>
      </c>
      <c r="D1940" s="100" t="s">
        <v>1686</v>
      </c>
      <c r="E1940" s="198">
        <v>45.0</v>
      </c>
      <c r="F1940" s="199" t="s">
        <v>2800</v>
      </c>
    </row>
    <row r="1941" ht="22.5" customHeight="1">
      <c r="A1941" s="197">
        <v>46107.590651446764</v>
      </c>
      <c r="B1941" s="100" t="s">
        <v>3671</v>
      </c>
      <c r="C1941" s="100" t="s">
        <v>1688</v>
      </c>
      <c r="D1941" s="100" t="s">
        <v>1689</v>
      </c>
      <c r="E1941" s="198">
        <v>75.0</v>
      </c>
      <c r="F1941" s="199" t="s">
        <v>2801</v>
      </c>
    </row>
    <row r="1942" ht="22.5" customHeight="1">
      <c r="A1942" s="197">
        <v>46107.59065193287</v>
      </c>
      <c r="B1942" s="100" t="s">
        <v>3673</v>
      </c>
      <c r="C1942" s="100" t="s">
        <v>1685</v>
      </c>
      <c r="D1942" s="100" t="s">
        <v>1686</v>
      </c>
      <c r="E1942" s="198">
        <v>20.0</v>
      </c>
      <c r="F1942" s="199" t="s">
        <v>2870</v>
      </c>
    </row>
    <row r="1943" ht="22.5" customHeight="1">
      <c r="A1943" s="197">
        <v>46107.59065193287</v>
      </c>
      <c r="B1943" s="100" t="s">
        <v>3673</v>
      </c>
      <c r="C1943" s="100" t="s">
        <v>1688</v>
      </c>
      <c r="D1943" s="100" t="s">
        <v>1689</v>
      </c>
      <c r="E1943" s="198">
        <v>50.0</v>
      </c>
      <c r="F1943" s="199" t="s">
        <v>2872</v>
      </c>
    </row>
    <row r="1944" ht="22.5" customHeight="1">
      <c r="A1944" s="197">
        <v>46107.5906524537</v>
      </c>
      <c r="B1944" s="100" t="s">
        <v>3676</v>
      </c>
      <c r="C1944" s="100" t="s">
        <v>1685</v>
      </c>
      <c r="D1944" s="100" t="s">
        <v>1686</v>
      </c>
      <c r="E1944" s="198">
        <v>50.0</v>
      </c>
      <c r="F1944" s="199" t="s">
        <v>3077</v>
      </c>
    </row>
    <row r="1945" ht="22.5" customHeight="1">
      <c r="A1945" s="197">
        <v>46107.5906524537</v>
      </c>
      <c r="B1945" s="100" t="s">
        <v>3676</v>
      </c>
      <c r="C1945" s="100" t="s">
        <v>1688</v>
      </c>
      <c r="D1945" s="100" t="s">
        <v>1689</v>
      </c>
      <c r="E1945" s="198">
        <v>80.0</v>
      </c>
      <c r="F1945" s="199" t="s">
        <v>3078</v>
      </c>
    </row>
    <row r="1946" ht="22.5" customHeight="1">
      <c r="A1946" s="197">
        <v>46107.5906531713</v>
      </c>
      <c r="B1946" s="100" t="s">
        <v>3678</v>
      </c>
      <c r="C1946" s="100" t="s">
        <v>1685</v>
      </c>
      <c r="D1946" s="100" t="s">
        <v>1686</v>
      </c>
      <c r="E1946" s="198">
        <v>250.0</v>
      </c>
      <c r="F1946" s="199" t="s">
        <v>3679</v>
      </c>
    </row>
    <row r="1947" ht="22.5" customHeight="1">
      <c r="A1947" s="197">
        <v>46107.5906531713</v>
      </c>
      <c r="B1947" s="100" t="s">
        <v>3678</v>
      </c>
      <c r="C1947" s="100" t="s">
        <v>1688</v>
      </c>
      <c r="D1947" s="100" t="s">
        <v>1689</v>
      </c>
      <c r="E1947" s="198">
        <v>300.0</v>
      </c>
      <c r="F1947" s="199" t="s">
        <v>3681</v>
      </c>
    </row>
    <row r="1948" ht="22.5" customHeight="1">
      <c r="A1948" s="197">
        <v>46107.590653761574</v>
      </c>
      <c r="B1948" s="100" t="s">
        <v>3682</v>
      </c>
      <c r="C1948" s="100" t="s">
        <v>1685</v>
      </c>
      <c r="D1948" s="100" t="s">
        <v>1686</v>
      </c>
      <c r="E1948" s="198">
        <v>350.0</v>
      </c>
      <c r="F1948" s="199" t="s">
        <v>1977</v>
      </c>
    </row>
    <row r="1949" ht="22.5" customHeight="1">
      <c r="A1949" s="197">
        <v>46107.590653761574</v>
      </c>
      <c r="B1949" s="100" t="s">
        <v>3682</v>
      </c>
      <c r="C1949" s="100" t="s">
        <v>1688</v>
      </c>
      <c r="D1949" s="100" t="s">
        <v>1689</v>
      </c>
      <c r="E1949" s="198">
        <v>450.0</v>
      </c>
      <c r="F1949" s="199" t="s">
        <v>1978</v>
      </c>
    </row>
    <row r="1950" ht="22.5" customHeight="1">
      <c r="A1950" s="197">
        <v>46107.59065466435</v>
      </c>
      <c r="B1950" s="100" t="s">
        <v>3683</v>
      </c>
      <c r="C1950" s="100" t="s">
        <v>1685</v>
      </c>
      <c r="D1950" s="100" t="s">
        <v>1686</v>
      </c>
      <c r="E1950" s="198">
        <v>18.32</v>
      </c>
      <c r="F1950" s="199" t="s">
        <v>2678</v>
      </c>
    </row>
    <row r="1951" ht="22.5" customHeight="1">
      <c r="A1951" s="197">
        <v>46107.59065466435</v>
      </c>
      <c r="B1951" s="100" t="s">
        <v>3683</v>
      </c>
      <c r="C1951" s="100" t="s">
        <v>1688</v>
      </c>
      <c r="D1951" s="100" t="s">
        <v>1689</v>
      </c>
      <c r="E1951" s="198">
        <v>30.0</v>
      </c>
      <c r="F1951" s="199" t="s">
        <v>2679</v>
      </c>
    </row>
    <row r="1952" ht="22.5" customHeight="1">
      <c r="A1952" s="197">
        <v>46107.590655567124</v>
      </c>
      <c r="B1952" s="100" t="s">
        <v>3685</v>
      </c>
      <c r="C1952" s="100" t="s">
        <v>1685</v>
      </c>
      <c r="D1952" s="100" t="s">
        <v>1686</v>
      </c>
      <c r="E1952" s="198">
        <v>51.0</v>
      </c>
      <c r="F1952" s="100" t="s">
        <v>2174</v>
      </c>
    </row>
    <row r="1953" ht="22.5" customHeight="1">
      <c r="A1953" s="197">
        <v>46107.590655567124</v>
      </c>
      <c r="B1953" s="100" t="s">
        <v>3685</v>
      </c>
      <c r="C1953" s="100" t="s">
        <v>1688</v>
      </c>
      <c r="D1953" s="100" t="s">
        <v>1689</v>
      </c>
      <c r="E1953" s="198">
        <v>75.0</v>
      </c>
      <c r="F1953" s="100" t="s">
        <v>2175</v>
      </c>
    </row>
    <row r="1954" ht="22.5" customHeight="1">
      <c r="A1954" s="197">
        <v>46107.59191150463</v>
      </c>
      <c r="B1954" s="100" t="s">
        <v>3688</v>
      </c>
      <c r="C1954" s="100" t="s">
        <v>1685</v>
      </c>
      <c r="D1954" s="100" t="s">
        <v>1686</v>
      </c>
      <c r="E1954" s="198">
        <v>164.17</v>
      </c>
      <c r="F1954" s="199" t="s">
        <v>1767</v>
      </c>
    </row>
    <row r="1955" ht="22.5" customHeight="1">
      <c r="A1955" s="197">
        <v>46107.59191150463</v>
      </c>
      <c r="B1955" s="100" t="s">
        <v>3688</v>
      </c>
      <c r="C1955" s="100" t="s">
        <v>1688</v>
      </c>
      <c r="D1955" s="100" t="s">
        <v>1689</v>
      </c>
      <c r="E1955" s="198">
        <v>150.0</v>
      </c>
      <c r="F1955" s="199" t="s">
        <v>1768</v>
      </c>
    </row>
    <row r="1956" ht="22.5" customHeight="1">
      <c r="A1956" s="197">
        <v>46107.59191171297</v>
      </c>
      <c r="B1956" s="100" t="s">
        <v>3689</v>
      </c>
      <c r="C1956" s="100" t="s">
        <v>1685</v>
      </c>
      <c r="D1956" s="100" t="s">
        <v>1686</v>
      </c>
      <c r="E1956" s="198">
        <v>10.85</v>
      </c>
      <c r="F1956" s="199" t="s">
        <v>2685</v>
      </c>
    </row>
    <row r="1957" ht="22.5" customHeight="1">
      <c r="A1957" s="197">
        <v>46107.59191171297</v>
      </c>
      <c r="B1957" s="100" t="s">
        <v>3689</v>
      </c>
      <c r="C1957" s="100" t="s">
        <v>1688</v>
      </c>
      <c r="D1957" s="100" t="s">
        <v>1689</v>
      </c>
      <c r="E1957" s="198">
        <v>25.0</v>
      </c>
      <c r="F1957" s="199" t="s">
        <v>2687</v>
      </c>
    </row>
    <row r="1958" ht="22.5" customHeight="1">
      <c r="A1958" s="197">
        <v>46107.59191190972</v>
      </c>
      <c r="B1958" s="100" t="s">
        <v>3691</v>
      </c>
      <c r="C1958" s="100" t="s">
        <v>1685</v>
      </c>
      <c r="D1958" s="100" t="s">
        <v>1686</v>
      </c>
      <c r="E1958" s="198">
        <v>164.17</v>
      </c>
      <c r="F1958" s="199" t="s">
        <v>1767</v>
      </c>
    </row>
    <row r="1959" ht="22.5" customHeight="1">
      <c r="A1959" s="197">
        <v>46107.59191190972</v>
      </c>
      <c r="B1959" s="100" t="s">
        <v>3691</v>
      </c>
      <c r="C1959" s="100" t="s">
        <v>1688</v>
      </c>
      <c r="D1959" s="100" t="s">
        <v>1689</v>
      </c>
      <c r="E1959" s="198">
        <v>150.0</v>
      </c>
      <c r="F1959" s="199" t="s">
        <v>1768</v>
      </c>
    </row>
    <row r="1960" ht="22.5" customHeight="1">
      <c r="A1960" s="197">
        <v>46107.591912118056</v>
      </c>
      <c r="B1960" s="100" t="s">
        <v>3693</v>
      </c>
      <c r="C1960" s="100" t="s">
        <v>1685</v>
      </c>
      <c r="D1960" s="100" t="s">
        <v>1686</v>
      </c>
      <c r="E1960" s="198">
        <v>20.0</v>
      </c>
      <c r="F1960" s="199" t="s">
        <v>2870</v>
      </c>
    </row>
    <row r="1961" ht="22.5" customHeight="1">
      <c r="A1961" s="197">
        <v>46107.591912118056</v>
      </c>
      <c r="B1961" s="100" t="s">
        <v>3693</v>
      </c>
      <c r="C1961" s="100" t="s">
        <v>1688</v>
      </c>
      <c r="D1961" s="100" t="s">
        <v>1689</v>
      </c>
      <c r="E1961" s="198">
        <v>50.0</v>
      </c>
      <c r="F1961" s="199" t="s">
        <v>2872</v>
      </c>
    </row>
    <row r="1962" ht="22.5" customHeight="1">
      <c r="A1962" s="197">
        <v>46107.591912337964</v>
      </c>
      <c r="B1962" s="100" t="s">
        <v>3695</v>
      </c>
      <c r="C1962" s="100" t="s">
        <v>1685</v>
      </c>
      <c r="D1962" s="100" t="s">
        <v>1686</v>
      </c>
      <c r="E1962" s="198">
        <v>20.0</v>
      </c>
      <c r="F1962" s="199" t="s">
        <v>2870</v>
      </c>
    </row>
    <row r="1963" ht="22.5" customHeight="1">
      <c r="A1963" s="197">
        <v>46107.591912337964</v>
      </c>
      <c r="B1963" s="100" t="s">
        <v>3695</v>
      </c>
      <c r="C1963" s="100" t="s">
        <v>1688</v>
      </c>
      <c r="D1963" s="100" t="s">
        <v>1689</v>
      </c>
      <c r="E1963" s="198">
        <v>50.0</v>
      </c>
      <c r="F1963" s="199" t="s">
        <v>2872</v>
      </c>
    </row>
    <row r="1964" ht="22.5" customHeight="1">
      <c r="A1964" s="197">
        <v>46107.60015371528</v>
      </c>
      <c r="B1964" s="100" t="s">
        <v>3697</v>
      </c>
      <c r="C1964" s="100" t="s">
        <v>1685</v>
      </c>
      <c r="D1964" s="100" t="s">
        <v>1686</v>
      </c>
      <c r="E1964" s="198">
        <v>166.0</v>
      </c>
      <c r="F1964" s="199" t="s">
        <v>3698</v>
      </c>
    </row>
    <row r="1965" ht="22.5" customHeight="1">
      <c r="A1965" s="197">
        <v>46107.60015371528</v>
      </c>
      <c r="B1965" s="100" t="s">
        <v>3697</v>
      </c>
      <c r="C1965" s="100" t="s">
        <v>1688</v>
      </c>
      <c r="D1965" s="100" t="s">
        <v>1689</v>
      </c>
      <c r="E1965" s="198">
        <v>100.0</v>
      </c>
      <c r="F1965" s="199" t="s">
        <v>3700</v>
      </c>
    </row>
    <row r="1966" ht="22.5" customHeight="1">
      <c r="A1966" s="197">
        <v>46107.60015392361</v>
      </c>
      <c r="B1966" s="100" t="s">
        <v>3701</v>
      </c>
      <c r="C1966" s="100" t="s">
        <v>1685</v>
      </c>
      <c r="D1966" s="100" t="s">
        <v>1686</v>
      </c>
      <c r="E1966" s="198">
        <v>50.0</v>
      </c>
      <c r="F1966" s="199" t="s">
        <v>3077</v>
      </c>
    </row>
    <row r="1967" ht="22.5" customHeight="1">
      <c r="A1967" s="197">
        <v>46107.60015392361</v>
      </c>
      <c r="B1967" s="100" t="s">
        <v>3701</v>
      </c>
      <c r="C1967" s="100" t="s">
        <v>1688</v>
      </c>
      <c r="D1967" s="100" t="s">
        <v>1689</v>
      </c>
      <c r="E1967" s="198">
        <v>80.0</v>
      </c>
      <c r="F1967" s="199" t="s">
        <v>3078</v>
      </c>
    </row>
    <row r="1968" ht="22.5" customHeight="1">
      <c r="A1968" s="197">
        <v>46107.60015412037</v>
      </c>
      <c r="B1968" s="100" t="s">
        <v>3703</v>
      </c>
      <c r="C1968" s="100" t="s">
        <v>1685</v>
      </c>
      <c r="D1968" s="100" t="s">
        <v>1686</v>
      </c>
      <c r="E1968" s="198">
        <v>260.0</v>
      </c>
      <c r="F1968" s="199" t="s">
        <v>2128</v>
      </c>
    </row>
    <row r="1969" ht="22.5" customHeight="1">
      <c r="A1969" s="197">
        <v>46107.60015412037</v>
      </c>
      <c r="B1969" s="100" t="s">
        <v>3703</v>
      </c>
      <c r="C1969" s="100" t="s">
        <v>1688</v>
      </c>
      <c r="D1969" s="100" t="s">
        <v>1689</v>
      </c>
      <c r="E1969" s="198">
        <v>300.0</v>
      </c>
      <c r="F1969" s="199" t="s">
        <v>2129</v>
      </c>
    </row>
    <row r="1970" ht="22.5" customHeight="1">
      <c r="A1970" s="197">
        <v>46107.6001543287</v>
      </c>
      <c r="B1970" s="100" t="s">
        <v>3705</v>
      </c>
      <c r="C1970" s="100" t="s">
        <v>1685</v>
      </c>
      <c r="D1970" s="100" t="s">
        <v>1686</v>
      </c>
      <c r="E1970" s="198">
        <v>150.0</v>
      </c>
      <c r="F1970" s="100" t="s">
        <v>3016</v>
      </c>
    </row>
    <row r="1971" ht="22.5" customHeight="1">
      <c r="A1971" s="197">
        <v>46107.6001543287</v>
      </c>
      <c r="B1971" s="100" t="s">
        <v>3705</v>
      </c>
      <c r="C1971" s="100" t="s">
        <v>1688</v>
      </c>
      <c r="D1971" s="100" t="s">
        <v>1689</v>
      </c>
      <c r="E1971" s="198">
        <v>180.0</v>
      </c>
      <c r="F1971" s="100" t="s">
        <v>3017</v>
      </c>
    </row>
    <row r="1972" ht="22.5" customHeight="1">
      <c r="A1972" s="197">
        <v>46107.60015453704</v>
      </c>
      <c r="B1972" s="100" t="s">
        <v>3707</v>
      </c>
      <c r="C1972" s="100" t="s">
        <v>1685</v>
      </c>
      <c r="D1972" s="100" t="s">
        <v>1686</v>
      </c>
      <c r="E1972" s="198">
        <v>23.22</v>
      </c>
      <c r="F1972" s="199" t="s">
        <v>3083</v>
      </c>
    </row>
    <row r="1973" ht="22.5" customHeight="1">
      <c r="A1973" s="197">
        <v>46107.60015453704</v>
      </c>
      <c r="B1973" s="100" t="s">
        <v>3707</v>
      </c>
      <c r="C1973" s="100" t="s">
        <v>1688</v>
      </c>
      <c r="D1973" s="100" t="s">
        <v>1689</v>
      </c>
      <c r="E1973" s="198">
        <v>25.0</v>
      </c>
      <c r="F1973" s="199" t="s">
        <v>3084</v>
      </c>
    </row>
    <row r="1974" ht="22.5" customHeight="1">
      <c r="A1974" s="197">
        <v>46107.600154733795</v>
      </c>
      <c r="B1974" s="100" t="s">
        <v>3709</v>
      </c>
      <c r="C1974" s="100" t="s">
        <v>1685</v>
      </c>
      <c r="D1974" s="100" t="s">
        <v>1686</v>
      </c>
      <c r="E1974" s="198">
        <v>75.0</v>
      </c>
      <c r="F1974" s="199" t="s">
        <v>2432</v>
      </c>
    </row>
    <row r="1975" ht="22.5" customHeight="1">
      <c r="A1975" s="197">
        <v>46107.600154733795</v>
      </c>
      <c r="B1975" s="100" t="s">
        <v>3709</v>
      </c>
      <c r="C1975" s="100" t="s">
        <v>1688</v>
      </c>
      <c r="D1975" s="100" t="s">
        <v>1689</v>
      </c>
      <c r="E1975" s="198">
        <v>100.0</v>
      </c>
      <c r="F1975" s="199" t="s">
        <v>2433</v>
      </c>
    </row>
    <row r="1976" ht="22.5" customHeight="1">
      <c r="A1976" s="197">
        <v>46107.600155057866</v>
      </c>
      <c r="B1976" s="100" t="s">
        <v>3710</v>
      </c>
      <c r="C1976" s="100" t="s">
        <v>1685</v>
      </c>
      <c r="D1976" s="100" t="s">
        <v>1686</v>
      </c>
      <c r="E1976" s="198">
        <v>135.0</v>
      </c>
      <c r="F1976" s="199" t="s">
        <v>3712</v>
      </c>
    </row>
    <row r="1977" ht="22.5" customHeight="1">
      <c r="A1977" s="197">
        <v>46107.600155057866</v>
      </c>
      <c r="B1977" s="100" t="s">
        <v>3710</v>
      </c>
      <c r="C1977" s="100" t="s">
        <v>1688</v>
      </c>
      <c r="D1977" s="100" t="s">
        <v>1689</v>
      </c>
      <c r="E1977" s="198">
        <v>175.0</v>
      </c>
      <c r="F1977" s="199" t="s">
        <v>3713</v>
      </c>
    </row>
    <row r="1978" ht="22.5" customHeight="1">
      <c r="A1978" s="197">
        <v>46107.60015532408</v>
      </c>
      <c r="B1978" s="100" t="s">
        <v>3714</v>
      </c>
      <c r="C1978" s="100" t="s">
        <v>1685</v>
      </c>
      <c r="D1978" s="100" t="s">
        <v>1686</v>
      </c>
      <c r="E1978" s="198">
        <v>90.0</v>
      </c>
      <c r="F1978" s="199" t="s">
        <v>3258</v>
      </c>
    </row>
    <row r="1979" ht="22.5" customHeight="1">
      <c r="A1979" s="197">
        <v>46107.60015532408</v>
      </c>
      <c r="B1979" s="100" t="s">
        <v>3714</v>
      </c>
      <c r="C1979" s="100" t="s">
        <v>1688</v>
      </c>
      <c r="D1979" s="100" t="s">
        <v>1689</v>
      </c>
      <c r="E1979" s="198">
        <v>140.0</v>
      </c>
      <c r="F1979" s="199" t="s">
        <v>3259</v>
      </c>
    </row>
    <row r="1980" ht="22.5" customHeight="1">
      <c r="A1980" s="197">
        <v>46107.600155567125</v>
      </c>
      <c r="B1980" s="100" t="s">
        <v>3717</v>
      </c>
      <c r="C1980" s="100" t="s">
        <v>1685</v>
      </c>
      <c r="D1980" s="100" t="s">
        <v>1686</v>
      </c>
      <c r="E1980" s="198">
        <v>33.0</v>
      </c>
      <c r="F1980" s="199" t="s">
        <v>3718</v>
      </c>
    </row>
    <row r="1981" ht="22.5" customHeight="1">
      <c r="A1981" s="197">
        <v>46107.600155567125</v>
      </c>
      <c r="B1981" s="100" t="s">
        <v>3717</v>
      </c>
      <c r="C1981" s="100" t="s">
        <v>1688</v>
      </c>
      <c r="D1981" s="100" t="s">
        <v>1689</v>
      </c>
      <c r="E1981" s="198">
        <v>30.0</v>
      </c>
      <c r="F1981" s="199" t="s">
        <v>3720</v>
      </c>
    </row>
    <row r="1982" ht="22.5" customHeight="1">
      <c r="A1982" s="197">
        <v>46107.600155775464</v>
      </c>
      <c r="B1982" s="100" t="s">
        <v>3721</v>
      </c>
      <c r="C1982" s="100" t="s">
        <v>1685</v>
      </c>
      <c r="D1982" s="100" t="s">
        <v>1686</v>
      </c>
      <c r="E1982" s="198">
        <v>95.0</v>
      </c>
      <c r="F1982" s="199" t="s">
        <v>2025</v>
      </c>
    </row>
    <row r="1983" ht="22.5" customHeight="1">
      <c r="A1983" s="197">
        <v>46107.600155775464</v>
      </c>
      <c r="B1983" s="100" t="s">
        <v>3721</v>
      </c>
      <c r="C1983" s="100" t="s">
        <v>1688</v>
      </c>
      <c r="D1983" s="100" t="s">
        <v>1689</v>
      </c>
      <c r="E1983" s="198">
        <v>120.0</v>
      </c>
      <c r="F1983" s="199" t="s">
        <v>2026</v>
      </c>
    </row>
    <row r="1984" ht="22.5" customHeight="1">
      <c r="A1984" s="197">
        <v>46107.60015597222</v>
      </c>
      <c r="B1984" s="100" t="s">
        <v>3723</v>
      </c>
      <c r="C1984" s="100" t="s">
        <v>1685</v>
      </c>
      <c r="D1984" s="100" t="s">
        <v>1686</v>
      </c>
      <c r="E1984" s="198">
        <v>72.0</v>
      </c>
      <c r="F1984" s="199" t="s">
        <v>2934</v>
      </c>
    </row>
    <row r="1985" ht="22.5" customHeight="1">
      <c r="A1985" s="197">
        <v>46107.60015597222</v>
      </c>
      <c r="B1985" s="100" t="s">
        <v>3723</v>
      </c>
      <c r="C1985" s="100" t="s">
        <v>1688</v>
      </c>
      <c r="D1985" s="100" t="s">
        <v>1689</v>
      </c>
      <c r="E1985" s="198">
        <v>90.0</v>
      </c>
      <c r="F1985" s="199" t="s">
        <v>2935</v>
      </c>
    </row>
    <row r="1986" ht="22.5" customHeight="1">
      <c r="A1986" s="197">
        <v>46107.60015640046</v>
      </c>
      <c r="B1986" s="100" t="s">
        <v>3725</v>
      </c>
      <c r="C1986" s="100" t="s">
        <v>1685</v>
      </c>
      <c r="D1986" s="100" t="s">
        <v>1686</v>
      </c>
      <c r="E1986" s="198">
        <v>35.0</v>
      </c>
      <c r="F1986" s="199" t="s">
        <v>3726</v>
      </c>
    </row>
    <row r="1987" ht="22.5" customHeight="1">
      <c r="A1987" s="197">
        <v>46107.60015640046</v>
      </c>
      <c r="B1987" s="100" t="s">
        <v>3725</v>
      </c>
      <c r="C1987" s="100" t="s">
        <v>1688</v>
      </c>
      <c r="D1987" s="100" t="s">
        <v>1689</v>
      </c>
      <c r="E1987" s="198">
        <v>70.0</v>
      </c>
      <c r="F1987" s="199" t="s">
        <v>3727</v>
      </c>
    </row>
    <row r="1988" ht="22.5" customHeight="1">
      <c r="A1988" s="197">
        <v>46107.600156747685</v>
      </c>
      <c r="B1988" s="100" t="s">
        <v>3729</v>
      </c>
      <c r="C1988" s="100" t="s">
        <v>1685</v>
      </c>
      <c r="D1988" s="100" t="s">
        <v>1686</v>
      </c>
      <c r="E1988" s="198">
        <v>17.5</v>
      </c>
      <c r="F1988" s="199" t="s">
        <v>3726</v>
      </c>
    </row>
    <row r="1989" ht="22.5" customHeight="1">
      <c r="A1989" s="197">
        <v>46107.600156747685</v>
      </c>
      <c r="B1989" s="100" t="s">
        <v>3729</v>
      </c>
      <c r="C1989" s="100" t="s">
        <v>1688</v>
      </c>
      <c r="D1989" s="100" t="s">
        <v>1689</v>
      </c>
      <c r="E1989" s="198">
        <v>30.0</v>
      </c>
      <c r="F1989" s="199" t="s">
        <v>3727</v>
      </c>
    </row>
    <row r="1990" ht="22.5" customHeight="1">
      <c r="A1990" s="197">
        <v>46107.60015706018</v>
      </c>
      <c r="B1990" s="100" t="s">
        <v>3730</v>
      </c>
      <c r="C1990" s="100" t="s">
        <v>1685</v>
      </c>
      <c r="D1990" s="100" t="s">
        <v>1686</v>
      </c>
      <c r="E1990" s="198">
        <v>112.0</v>
      </c>
      <c r="F1990" s="199" t="s">
        <v>3732</v>
      </c>
    </row>
    <row r="1991" ht="22.5" customHeight="1">
      <c r="A1991" s="197">
        <v>46107.60015706018</v>
      </c>
      <c r="B1991" s="100" t="s">
        <v>3730</v>
      </c>
      <c r="C1991" s="100" t="s">
        <v>1688</v>
      </c>
      <c r="D1991" s="100" t="s">
        <v>1689</v>
      </c>
      <c r="E1991" s="198">
        <v>140.0</v>
      </c>
      <c r="F1991" s="199" t="s">
        <v>3733</v>
      </c>
    </row>
    <row r="1992" ht="22.5" customHeight="1">
      <c r="A1992" s="197">
        <v>46107.60015733796</v>
      </c>
      <c r="B1992" s="100" t="s">
        <v>3734</v>
      </c>
      <c r="C1992" s="100" t="s">
        <v>1685</v>
      </c>
      <c r="D1992" s="100" t="s">
        <v>1686</v>
      </c>
      <c r="E1992" s="198">
        <v>53.33</v>
      </c>
      <c r="F1992" s="199" t="s">
        <v>2593</v>
      </c>
    </row>
    <row r="1993" ht="22.5" customHeight="1">
      <c r="A1993" s="197">
        <v>46107.60015733796</v>
      </c>
      <c r="B1993" s="100" t="s">
        <v>3734</v>
      </c>
      <c r="C1993" s="100" t="s">
        <v>1688</v>
      </c>
      <c r="D1993" s="100" t="s">
        <v>1689</v>
      </c>
      <c r="E1993" s="198">
        <v>70.0</v>
      </c>
      <c r="F1993" s="199" t="s">
        <v>2594</v>
      </c>
    </row>
    <row r="1994" ht="22.5" customHeight="1">
      <c r="A1994" s="197">
        <v>46107.600157685185</v>
      </c>
      <c r="B1994" s="100" t="s">
        <v>3736</v>
      </c>
      <c r="C1994" s="100" t="s">
        <v>1685</v>
      </c>
      <c r="D1994" s="100" t="s">
        <v>1686</v>
      </c>
      <c r="E1994" s="198">
        <v>125.0</v>
      </c>
      <c r="F1994" s="199" t="s">
        <v>3642</v>
      </c>
    </row>
    <row r="1995" ht="22.5" customHeight="1">
      <c r="A1995" s="197">
        <v>46107.600157685185</v>
      </c>
      <c r="B1995" s="100" t="s">
        <v>3736</v>
      </c>
      <c r="C1995" s="100" t="s">
        <v>1688</v>
      </c>
      <c r="D1995" s="100" t="s">
        <v>1689</v>
      </c>
      <c r="E1995" s="198">
        <v>170.0</v>
      </c>
      <c r="F1995" s="199" t="s">
        <v>3644</v>
      </c>
    </row>
    <row r="1996" ht="22.5" customHeight="1">
      <c r="A1996" s="197">
        <v>46107.60015799769</v>
      </c>
      <c r="B1996" s="100" t="s">
        <v>3738</v>
      </c>
      <c r="C1996" s="100" t="s">
        <v>1685</v>
      </c>
      <c r="D1996" s="100" t="s">
        <v>1686</v>
      </c>
      <c r="E1996" s="198">
        <v>22.0</v>
      </c>
      <c r="F1996" s="199" t="s">
        <v>3718</v>
      </c>
    </row>
    <row r="1997" ht="22.5" customHeight="1">
      <c r="A1997" s="197">
        <v>46107.60015799769</v>
      </c>
      <c r="B1997" s="100" t="s">
        <v>3738</v>
      </c>
      <c r="C1997" s="100" t="s">
        <v>1688</v>
      </c>
      <c r="D1997" s="100" t="s">
        <v>1689</v>
      </c>
      <c r="E1997" s="198">
        <v>30.0</v>
      </c>
      <c r="F1997" s="199" t="s">
        <v>3720</v>
      </c>
    </row>
    <row r="1998" ht="22.5" customHeight="1">
      <c r="A1998" s="197">
        <v>46142.87025003472</v>
      </c>
      <c r="B1998" s="100" t="s">
        <v>3740</v>
      </c>
      <c r="C1998" s="100" t="s">
        <v>1685</v>
      </c>
      <c r="D1998" s="100" t="s">
        <v>1686</v>
      </c>
      <c r="E1998" s="198">
        <v>17.92</v>
      </c>
      <c r="F1998" s="199" t="s">
        <v>2202</v>
      </c>
    </row>
    <row r="1999" ht="22.5" customHeight="1">
      <c r="A1999" s="197">
        <v>46142.87025003472</v>
      </c>
      <c r="B1999" s="100" t="s">
        <v>3740</v>
      </c>
      <c r="C1999" s="100" t="s">
        <v>1688</v>
      </c>
      <c r="D1999" s="100" t="s">
        <v>1689</v>
      </c>
      <c r="E1999" s="198">
        <v>25.0</v>
      </c>
      <c r="F1999" s="199" t="s">
        <v>2203</v>
      </c>
    </row>
    <row r="2000" ht="22.5" customHeight="1">
      <c r="A2000" s="197">
        <v>46142.870250416665</v>
      </c>
      <c r="B2000" s="100" t="s">
        <v>3742</v>
      </c>
      <c r="C2000" s="100" t="s">
        <v>1685</v>
      </c>
      <c r="D2000" s="100" t="s">
        <v>1686</v>
      </c>
      <c r="E2000" s="198">
        <v>26.0</v>
      </c>
      <c r="F2000" s="199" t="s">
        <v>2424</v>
      </c>
    </row>
    <row r="2001" ht="22.5" customHeight="1">
      <c r="A2001" s="197">
        <v>46142.870250416665</v>
      </c>
      <c r="B2001" s="100" t="s">
        <v>3742</v>
      </c>
      <c r="C2001" s="100" t="s">
        <v>1688</v>
      </c>
      <c r="D2001" s="100" t="s">
        <v>1689</v>
      </c>
      <c r="E2001" s="198">
        <v>40.0</v>
      </c>
      <c r="F2001" s="199" t="s">
        <v>2425</v>
      </c>
    </row>
    <row r="2002" ht="22.5" customHeight="1">
      <c r="A2002" s="197">
        <v>46142.87025075231</v>
      </c>
      <c r="B2002" s="100" t="s">
        <v>3744</v>
      </c>
      <c r="C2002" s="100" t="s">
        <v>1685</v>
      </c>
      <c r="D2002" s="100" t="s">
        <v>1686</v>
      </c>
      <c r="E2002" s="198">
        <v>15.0</v>
      </c>
      <c r="F2002" s="199" t="s">
        <v>2193</v>
      </c>
    </row>
    <row r="2003" ht="22.5" customHeight="1">
      <c r="A2003" s="197">
        <v>46142.87025075231</v>
      </c>
      <c r="B2003" s="100" t="s">
        <v>3744</v>
      </c>
      <c r="C2003" s="100" t="s">
        <v>1688</v>
      </c>
      <c r="D2003" s="100" t="s">
        <v>1689</v>
      </c>
      <c r="E2003" s="198">
        <v>30.0</v>
      </c>
      <c r="F2003" s="199" t="s">
        <v>2194</v>
      </c>
    </row>
    <row r="2004" ht="22.5" customHeight="1">
      <c r="A2004" s="197">
        <v>46142.870251053246</v>
      </c>
      <c r="B2004" s="100" t="s">
        <v>3746</v>
      </c>
      <c r="C2004" s="100" t="s">
        <v>1685</v>
      </c>
      <c r="D2004" s="100" t="s">
        <v>1686</v>
      </c>
      <c r="E2004" s="198">
        <v>18.33</v>
      </c>
      <c r="F2004" s="199" t="s">
        <v>3589</v>
      </c>
    </row>
    <row r="2005" ht="22.5" customHeight="1">
      <c r="A2005" s="197">
        <v>46142.870251053246</v>
      </c>
      <c r="B2005" s="100" t="s">
        <v>3746</v>
      </c>
      <c r="C2005" s="100" t="s">
        <v>1688</v>
      </c>
      <c r="D2005" s="100" t="s">
        <v>1689</v>
      </c>
      <c r="E2005" s="198">
        <v>30.0</v>
      </c>
      <c r="F2005" s="199" t="s">
        <v>3591</v>
      </c>
    </row>
    <row r="2006" ht="22.5" customHeight="1">
      <c r="A2006" s="197">
        <v>46142.870251458335</v>
      </c>
      <c r="B2006" s="100" t="s">
        <v>3748</v>
      </c>
      <c r="C2006" s="100" t="s">
        <v>1685</v>
      </c>
      <c r="D2006" s="100" t="s">
        <v>1686</v>
      </c>
      <c r="E2006" s="198">
        <v>15.0</v>
      </c>
      <c r="F2006" s="199" t="s">
        <v>3749</v>
      </c>
    </row>
    <row r="2007" ht="22.5" customHeight="1">
      <c r="A2007" s="197">
        <v>46142.870251458335</v>
      </c>
      <c r="B2007" s="100" t="s">
        <v>3748</v>
      </c>
      <c r="C2007" s="100" t="s">
        <v>1688</v>
      </c>
      <c r="D2007" s="100" t="s">
        <v>1689</v>
      </c>
      <c r="E2007" s="198">
        <v>25.0</v>
      </c>
      <c r="F2007" s="199" t="s">
        <v>3750</v>
      </c>
    </row>
    <row r="2008" ht="22.5" customHeight="1">
      <c r="A2008" s="197">
        <v>46142.870251747685</v>
      </c>
      <c r="B2008" s="100" t="s">
        <v>3751</v>
      </c>
      <c r="C2008" s="100" t="s">
        <v>1685</v>
      </c>
      <c r="D2008" s="100" t="s">
        <v>1686</v>
      </c>
      <c r="E2008" s="198">
        <v>11.0</v>
      </c>
      <c r="F2008" s="199" t="s">
        <v>3753</v>
      </c>
    </row>
    <row r="2009" ht="22.5" customHeight="1">
      <c r="A2009" s="197">
        <v>46142.870251747685</v>
      </c>
      <c r="B2009" s="100" t="s">
        <v>3751</v>
      </c>
      <c r="C2009" s="100" t="s">
        <v>1688</v>
      </c>
      <c r="D2009" s="100" t="s">
        <v>1689</v>
      </c>
      <c r="E2009" s="198">
        <v>15.0</v>
      </c>
      <c r="F2009" s="199" t="s">
        <v>3754</v>
      </c>
    </row>
    <row r="2010" ht="22.5" customHeight="1">
      <c r="A2010" s="197">
        <v>46142.87025207176</v>
      </c>
      <c r="B2010" s="100" t="s">
        <v>3755</v>
      </c>
      <c r="C2010" s="100" t="s">
        <v>1685</v>
      </c>
      <c r="D2010" s="100" t="s">
        <v>1686</v>
      </c>
      <c r="E2010" s="198">
        <v>23.33</v>
      </c>
      <c r="F2010" s="199" t="s">
        <v>1989</v>
      </c>
    </row>
    <row r="2011" ht="22.5" customHeight="1">
      <c r="A2011" s="197">
        <v>46142.87025207176</v>
      </c>
      <c r="B2011" s="100" t="s">
        <v>3755</v>
      </c>
      <c r="C2011" s="100" t="s">
        <v>1688</v>
      </c>
      <c r="D2011" s="100" t="s">
        <v>1689</v>
      </c>
      <c r="E2011" s="198">
        <v>30.0</v>
      </c>
      <c r="F2011" s="199" t="s">
        <v>1990</v>
      </c>
    </row>
    <row r="2012" ht="22.5" customHeight="1">
      <c r="A2012" s="197">
        <v>46142.87025232639</v>
      </c>
      <c r="B2012" s="100" t="s">
        <v>3757</v>
      </c>
      <c r="C2012" s="100" t="s">
        <v>1685</v>
      </c>
      <c r="D2012" s="100" t="s">
        <v>1686</v>
      </c>
      <c r="E2012" s="198">
        <v>13.5</v>
      </c>
      <c r="F2012" s="100" t="s">
        <v>2331</v>
      </c>
    </row>
    <row r="2013" ht="22.5" customHeight="1">
      <c r="A2013" s="197">
        <v>46142.87025232639</v>
      </c>
      <c r="B2013" s="100" t="s">
        <v>3757</v>
      </c>
      <c r="C2013" s="100" t="s">
        <v>1688</v>
      </c>
      <c r="D2013" s="100" t="s">
        <v>1689</v>
      </c>
      <c r="E2013" s="198">
        <v>30.0</v>
      </c>
      <c r="F2013" s="100" t="s">
        <v>2333</v>
      </c>
    </row>
    <row r="2014" ht="22.5" customHeight="1">
      <c r="A2014" s="197">
        <v>46142.870252824076</v>
      </c>
      <c r="B2014" s="100" t="s">
        <v>3760</v>
      </c>
      <c r="C2014" s="100" t="s">
        <v>1685</v>
      </c>
      <c r="D2014" s="100" t="s">
        <v>1686</v>
      </c>
      <c r="E2014" s="198">
        <v>12.5</v>
      </c>
      <c r="F2014" s="199" t="s">
        <v>3761</v>
      </c>
    </row>
    <row r="2015" ht="22.5" customHeight="1">
      <c r="A2015" s="197">
        <v>46142.870252824076</v>
      </c>
      <c r="B2015" s="100" t="s">
        <v>3760</v>
      </c>
      <c r="C2015" s="100" t="s">
        <v>1688</v>
      </c>
      <c r="D2015" s="100" t="s">
        <v>1689</v>
      </c>
      <c r="E2015" s="198">
        <v>20.0</v>
      </c>
      <c r="F2015" s="199" t="s">
        <v>3763</v>
      </c>
    </row>
    <row r="2016" ht="22.5" customHeight="1">
      <c r="A2016" s="197">
        <v>46142.87025320602</v>
      </c>
      <c r="B2016" s="100" t="s">
        <v>3764</v>
      </c>
      <c r="C2016" s="100" t="s">
        <v>1685</v>
      </c>
      <c r="D2016" s="100" t="s">
        <v>1686</v>
      </c>
      <c r="E2016" s="198">
        <v>106.0</v>
      </c>
      <c r="F2016" s="199" t="s">
        <v>3765</v>
      </c>
    </row>
    <row r="2017" ht="22.5" customHeight="1">
      <c r="A2017" s="197">
        <v>46142.87025320602</v>
      </c>
      <c r="B2017" s="100" t="s">
        <v>3764</v>
      </c>
      <c r="C2017" s="100" t="s">
        <v>1688</v>
      </c>
      <c r="D2017" s="100" t="s">
        <v>1689</v>
      </c>
      <c r="E2017" s="198">
        <v>240.0</v>
      </c>
      <c r="F2017" s="199" t="s">
        <v>3767</v>
      </c>
    </row>
    <row r="2018" ht="22.5" customHeight="1">
      <c r="A2018" s="197">
        <v>46142.87025363426</v>
      </c>
      <c r="B2018" s="100" t="s">
        <v>3768</v>
      </c>
      <c r="C2018" s="100" t="s">
        <v>1685</v>
      </c>
      <c r="D2018" s="100" t="s">
        <v>1686</v>
      </c>
      <c r="E2018" s="198">
        <v>85.0</v>
      </c>
      <c r="F2018" s="199" t="s">
        <v>3769</v>
      </c>
    </row>
    <row r="2019" ht="22.5" customHeight="1">
      <c r="A2019" s="197">
        <v>46142.87025363426</v>
      </c>
      <c r="B2019" s="100" t="s">
        <v>3768</v>
      </c>
      <c r="C2019" s="100" t="s">
        <v>1688</v>
      </c>
      <c r="D2019" s="100" t="s">
        <v>1689</v>
      </c>
      <c r="E2019" s="198">
        <v>130.0</v>
      </c>
      <c r="F2019" s="199" t="s">
        <v>3771</v>
      </c>
    </row>
    <row r="2020" ht="22.5" customHeight="1">
      <c r="A2020" s="197">
        <v>46142.87025416667</v>
      </c>
      <c r="B2020" s="100" t="s">
        <v>3772</v>
      </c>
      <c r="C2020" s="100" t="s">
        <v>1685</v>
      </c>
      <c r="D2020" s="100" t="s">
        <v>1686</v>
      </c>
      <c r="E2020" s="198">
        <v>338.0</v>
      </c>
      <c r="F2020" s="100" t="s">
        <v>3773</v>
      </c>
    </row>
    <row r="2021" ht="22.5" customHeight="1">
      <c r="A2021" s="197">
        <v>46142.87025416667</v>
      </c>
      <c r="B2021" s="100" t="s">
        <v>3772</v>
      </c>
      <c r="C2021" s="100" t="s">
        <v>1688</v>
      </c>
      <c r="D2021" s="100" t="s">
        <v>1689</v>
      </c>
      <c r="E2021" s="198">
        <v>500.0</v>
      </c>
      <c r="F2021" s="100" t="s">
        <v>3775</v>
      </c>
    </row>
    <row r="2022" ht="22.5" customHeight="1">
      <c r="A2022" s="197">
        <v>46142.870254560185</v>
      </c>
      <c r="B2022" s="100" t="s">
        <v>3776</v>
      </c>
      <c r="C2022" s="100" t="s">
        <v>1685</v>
      </c>
      <c r="D2022" s="100" t="s">
        <v>1686</v>
      </c>
      <c r="E2022" s="198">
        <v>15.0</v>
      </c>
      <c r="F2022" s="199" t="s">
        <v>3749</v>
      </c>
    </row>
    <row r="2023" ht="22.5" customHeight="1">
      <c r="A2023" s="197">
        <v>46142.870254560185</v>
      </c>
      <c r="B2023" s="100" t="s">
        <v>3776</v>
      </c>
      <c r="C2023" s="100" t="s">
        <v>1688</v>
      </c>
      <c r="D2023" s="100" t="s">
        <v>1689</v>
      </c>
      <c r="E2023" s="198">
        <v>25.0</v>
      </c>
      <c r="F2023" s="199" t="s">
        <v>3750</v>
      </c>
    </row>
    <row r="2024" ht="22.5" customHeight="1">
      <c r="A2024" s="197">
        <v>46142.870255173606</v>
      </c>
      <c r="B2024" s="100" t="s">
        <v>3778</v>
      </c>
      <c r="C2024" s="100" t="s">
        <v>1685</v>
      </c>
      <c r="D2024" s="100" t="s">
        <v>1686</v>
      </c>
      <c r="E2024" s="198">
        <v>35.0</v>
      </c>
      <c r="F2024" s="199" t="s">
        <v>2137</v>
      </c>
    </row>
    <row r="2025" ht="22.5" customHeight="1">
      <c r="A2025" s="197">
        <v>46142.870255173606</v>
      </c>
      <c r="B2025" s="100" t="s">
        <v>3778</v>
      </c>
      <c r="C2025" s="100" t="s">
        <v>1688</v>
      </c>
      <c r="D2025" s="100" t="s">
        <v>1689</v>
      </c>
      <c r="E2025" s="198">
        <v>50.0</v>
      </c>
      <c r="F2025" s="199" t="s">
        <v>2138</v>
      </c>
    </row>
    <row r="2026" ht="22.5" customHeight="1">
      <c r="A2026" s="197">
        <v>46142.870255625</v>
      </c>
      <c r="B2026" s="100" t="s">
        <v>3780</v>
      </c>
      <c r="C2026" s="100" t="s">
        <v>1685</v>
      </c>
      <c r="D2026" s="100" t="s">
        <v>1686</v>
      </c>
      <c r="E2026" s="198">
        <v>165.5</v>
      </c>
      <c r="F2026" s="199" t="s">
        <v>2600</v>
      </c>
    </row>
    <row r="2027" ht="22.5" customHeight="1">
      <c r="A2027" s="197">
        <v>46142.870255625</v>
      </c>
      <c r="B2027" s="100" t="s">
        <v>3780</v>
      </c>
      <c r="C2027" s="100" t="s">
        <v>1688</v>
      </c>
      <c r="D2027" s="100" t="s">
        <v>1689</v>
      </c>
      <c r="E2027" s="198">
        <v>210.0</v>
      </c>
      <c r="F2027" s="199" t="s">
        <v>2601</v>
      </c>
    </row>
    <row r="2028" ht="22.5" customHeight="1">
      <c r="A2028" s="197">
        <v>46142.87098496528</v>
      </c>
      <c r="B2028" s="100" t="s">
        <v>3782</v>
      </c>
      <c r="C2028" s="100" t="s">
        <v>1685</v>
      </c>
      <c r="D2028" s="100" t="s">
        <v>1686</v>
      </c>
      <c r="E2028" s="198">
        <v>85.0</v>
      </c>
      <c r="F2028" s="199" t="s">
        <v>3300</v>
      </c>
    </row>
    <row r="2029" ht="22.5" customHeight="1">
      <c r="A2029" s="197">
        <v>46142.87098496528</v>
      </c>
      <c r="B2029" s="100" t="s">
        <v>3782</v>
      </c>
      <c r="C2029" s="100" t="s">
        <v>1688</v>
      </c>
      <c r="D2029" s="100" t="s">
        <v>1689</v>
      </c>
      <c r="E2029" s="198">
        <v>130.0</v>
      </c>
      <c r="F2029" s="199" t="s">
        <v>3302</v>
      </c>
    </row>
    <row r="2030" ht="22.5" customHeight="1">
      <c r="A2030" s="197">
        <v>46142.87127923611</v>
      </c>
      <c r="B2030" s="100" t="s">
        <v>3784</v>
      </c>
      <c r="C2030" s="100" t="s">
        <v>1685</v>
      </c>
      <c r="D2030" s="100" t="s">
        <v>1686</v>
      </c>
      <c r="E2030" s="198">
        <v>125.0</v>
      </c>
      <c r="F2030" s="199" t="s">
        <v>3785</v>
      </c>
    </row>
    <row r="2031" ht="22.5" customHeight="1">
      <c r="A2031" s="197">
        <v>46142.87127923611</v>
      </c>
      <c r="B2031" s="100" t="s">
        <v>3784</v>
      </c>
      <c r="C2031" s="100" t="s">
        <v>1688</v>
      </c>
      <c r="D2031" s="100" t="s">
        <v>1689</v>
      </c>
      <c r="E2031" s="198">
        <v>195.0</v>
      </c>
      <c r="F2031" s="199" t="s">
        <v>3787</v>
      </c>
    </row>
    <row r="2032" ht="22.5" customHeight="1">
      <c r="A2032" s="197">
        <v>46142.87127942129</v>
      </c>
      <c r="B2032" s="100" t="s">
        <v>3788</v>
      </c>
      <c r="C2032" s="100" t="s">
        <v>1685</v>
      </c>
      <c r="D2032" s="100" t="s">
        <v>1686</v>
      </c>
      <c r="E2032" s="198">
        <v>85.0</v>
      </c>
      <c r="F2032" s="199" t="s">
        <v>3300</v>
      </c>
    </row>
    <row r="2033" ht="22.5" customHeight="1">
      <c r="A2033" s="197">
        <v>46142.87127942129</v>
      </c>
      <c r="B2033" s="100" t="s">
        <v>3788</v>
      </c>
      <c r="C2033" s="100" t="s">
        <v>1688</v>
      </c>
      <c r="D2033" s="100" t="s">
        <v>1689</v>
      </c>
      <c r="E2033" s="198">
        <v>140.0</v>
      </c>
      <c r="F2033" s="199" t="s">
        <v>3302</v>
      </c>
    </row>
    <row r="2034" ht="22.5" customHeight="1">
      <c r="A2034" s="197">
        <v>46142.874103055554</v>
      </c>
      <c r="B2034" s="100" t="s">
        <v>3790</v>
      </c>
      <c r="C2034" s="100" t="s">
        <v>1685</v>
      </c>
      <c r="D2034" s="100" t="s">
        <v>1686</v>
      </c>
      <c r="E2034" s="198">
        <v>180.0</v>
      </c>
      <c r="F2034" s="199" t="s">
        <v>2440</v>
      </c>
    </row>
    <row r="2035" ht="22.5" customHeight="1">
      <c r="A2035" s="197">
        <v>46142.874103055554</v>
      </c>
      <c r="B2035" s="100" t="s">
        <v>3790</v>
      </c>
      <c r="C2035" s="100" t="s">
        <v>1688</v>
      </c>
      <c r="D2035" s="100" t="s">
        <v>1689</v>
      </c>
      <c r="E2035" s="198">
        <v>200.0</v>
      </c>
      <c r="F2035" s="199" t="s">
        <v>2441</v>
      </c>
    </row>
    <row r="2036" ht="22.5" customHeight="1">
      <c r="A2036" s="197">
        <v>46142.874103379625</v>
      </c>
      <c r="B2036" s="100" t="s">
        <v>3792</v>
      </c>
      <c r="C2036" s="100" t="s">
        <v>1685</v>
      </c>
      <c r="D2036" s="100" t="s">
        <v>1686</v>
      </c>
      <c r="E2036" s="198">
        <v>65.0</v>
      </c>
      <c r="F2036" s="199" t="s">
        <v>3056</v>
      </c>
    </row>
    <row r="2037" ht="22.5" customHeight="1">
      <c r="A2037" s="197">
        <v>46142.874103379625</v>
      </c>
      <c r="B2037" s="100" t="s">
        <v>3792</v>
      </c>
      <c r="C2037" s="100" t="s">
        <v>1688</v>
      </c>
      <c r="D2037" s="100" t="s">
        <v>1689</v>
      </c>
      <c r="E2037" s="198">
        <v>80.0</v>
      </c>
      <c r="F2037" s="199" t="s">
        <v>3057</v>
      </c>
    </row>
    <row r="2038" ht="22.5" customHeight="1">
      <c r="A2038" s="197">
        <v>46142.87410366898</v>
      </c>
      <c r="B2038" s="100" t="s">
        <v>3794</v>
      </c>
      <c r="C2038" s="100" t="s">
        <v>1685</v>
      </c>
      <c r="D2038" s="100" t="s">
        <v>1686</v>
      </c>
      <c r="E2038" s="198">
        <v>17.0</v>
      </c>
      <c r="F2038" s="199" t="s">
        <v>2640</v>
      </c>
    </row>
    <row r="2039" ht="22.5" customHeight="1">
      <c r="A2039" s="197">
        <v>46142.87410366898</v>
      </c>
      <c r="B2039" s="100" t="s">
        <v>3794</v>
      </c>
      <c r="C2039" s="100" t="s">
        <v>1688</v>
      </c>
      <c r="D2039" s="100" t="s">
        <v>1689</v>
      </c>
      <c r="E2039" s="198">
        <v>20.0</v>
      </c>
      <c r="F2039" s="199" t="s">
        <v>2641</v>
      </c>
    </row>
    <row r="2040" ht="22.5" customHeight="1">
      <c r="A2040" s="197">
        <v>46142.87410393519</v>
      </c>
      <c r="B2040" s="100" t="s">
        <v>3795</v>
      </c>
      <c r="C2040" s="100" t="s">
        <v>1685</v>
      </c>
      <c r="D2040" s="100" t="s">
        <v>1686</v>
      </c>
      <c r="E2040" s="198">
        <v>206.11</v>
      </c>
      <c r="F2040" s="199" t="s">
        <v>2427</v>
      </c>
    </row>
    <row r="2041" ht="22.5" customHeight="1">
      <c r="A2041" s="197">
        <v>46142.87410393519</v>
      </c>
      <c r="B2041" s="100" t="s">
        <v>3795</v>
      </c>
      <c r="C2041" s="100" t="s">
        <v>1688</v>
      </c>
      <c r="D2041" s="100" t="s">
        <v>1689</v>
      </c>
      <c r="E2041" s="198">
        <v>350.0</v>
      </c>
      <c r="F2041" s="199" t="s">
        <v>2428</v>
      </c>
    </row>
    <row r="2042" ht="22.5" customHeight="1">
      <c r="A2042" s="197">
        <v>46142.87410427083</v>
      </c>
      <c r="B2042" s="100" t="s">
        <v>3796</v>
      </c>
      <c r="C2042" s="100" t="s">
        <v>1685</v>
      </c>
      <c r="D2042" s="100" t="s">
        <v>1686</v>
      </c>
      <c r="E2042" s="198">
        <v>35.0</v>
      </c>
      <c r="F2042" s="199" t="s">
        <v>2860</v>
      </c>
    </row>
    <row r="2043" ht="22.5" customHeight="1">
      <c r="A2043" s="197">
        <v>46142.87410427083</v>
      </c>
      <c r="B2043" s="100" t="s">
        <v>3796</v>
      </c>
      <c r="C2043" s="100" t="s">
        <v>1688</v>
      </c>
      <c r="D2043" s="100" t="s">
        <v>1689</v>
      </c>
      <c r="E2043" s="198">
        <v>50.0</v>
      </c>
      <c r="F2043" s="199" t="s">
        <v>2862</v>
      </c>
    </row>
    <row r="2044" ht="22.5" customHeight="1">
      <c r="A2044" s="197">
        <v>46142.874104560186</v>
      </c>
      <c r="B2044" s="100" t="s">
        <v>3797</v>
      </c>
      <c r="C2044" s="100" t="s">
        <v>1685</v>
      </c>
      <c r="D2044" s="100" t="s">
        <v>1686</v>
      </c>
      <c r="E2044" s="198">
        <v>200.0</v>
      </c>
      <c r="F2044" s="199" t="s">
        <v>3638</v>
      </c>
    </row>
    <row r="2045" ht="22.5" customHeight="1">
      <c r="A2045" s="197">
        <v>46142.874104560186</v>
      </c>
      <c r="B2045" s="100" t="s">
        <v>3797</v>
      </c>
      <c r="C2045" s="100" t="s">
        <v>1688</v>
      </c>
      <c r="D2045" s="100" t="s">
        <v>1689</v>
      </c>
      <c r="E2045" s="198">
        <v>200.0</v>
      </c>
      <c r="F2045" s="199" t="s">
        <v>3640</v>
      </c>
    </row>
    <row r="2046" ht="22.5" customHeight="1">
      <c r="A2046" s="197">
        <v>46142.874745312496</v>
      </c>
      <c r="B2046" s="100" t="s">
        <v>3798</v>
      </c>
      <c r="C2046" s="100" t="s">
        <v>1685</v>
      </c>
      <c r="D2046" s="100" t="s">
        <v>1686</v>
      </c>
      <c r="E2046" s="198">
        <v>164.17</v>
      </c>
      <c r="F2046" s="199" t="s">
        <v>1767</v>
      </c>
    </row>
    <row r="2047" ht="22.5" customHeight="1">
      <c r="A2047" s="197">
        <v>46142.874745312496</v>
      </c>
      <c r="B2047" s="100" t="s">
        <v>3798</v>
      </c>
      <c r="C2047" s="100" t="s">
        <v>1688</v>
      </c>
      <c r="D2047" s="100" t="s">
        <v>1689</v>
      </c>
      <c r="E2047" s="198">
        <v>100.0</v>
      </c>
      <c r="F2047" s="199" t="s">
        <v>1768</v>
      </c>
    </row>
    <row r="2048" ht="22.5" customHeight="1">
      <c r="A2048" s="197">
        <v>46142.877187962964</v>
      </c>
      <c r="B2048" s="100" t="s">
        <v>3799</v>
      </c>
      <c r="C2048" s="100" t="s">
        <v>1685</v>
      </c>
      <c r="D2048" s="100" t="s">
        <v>1686</v>
      </c>
      <c r="E2048" s="198">
        <v>85.0</v>
      </c>
      <c r="F2048" s="199" t="s">
        <v>3769</v>
      </c>
    </row>
    <row r="2049" ht="22.5" customHeight="1">
      <c r="A2049" s="197">
        <v>46142.877187962964</v>
      </c>
      <c r="B2049" s="100" t="s">
        <v>3799</v>
      </c>
      <c r="C2049" s="100" t="s">
        <v>1688</v>
      </c>
      <c r="D2049" s="100" t="s">
        <v>1689</v>
      </c>
      <c r="E2049" s="198">
        <v>130.0</v>
      </c>
      <c r="F2049" s="199" t="s">
        <v>3771</v>
      </c>
    </row>
    <row r="2050" ht="22.5" customHeight="1">
      <c r="A2050" s="197">
        <v>46142.877189085644</v>
      </c>
      <c r="B2050" s="100" t="s">
        <v>3801</v>
      </c>
      <c r="C2050" s="100" t="s">
        <v>1685</v>
      </c>
      <c r="D2050" s="100" t="s">
        <v>1686</v>
      </c>
      <c r="E2050" s="198">
        <v>10.67</v>
      </c>
      <c r="F2050" s="199" t="s">
        <v>2593</v>
      </c>
    </row>
    <row r="2051" ht="22.5" customHeight="1">
      <c r="A2051" s="197">
        <v>46142.877189085644</v>
      </c>
      <c r="B2051" s="100" t="s">
        <v>3801</v>
      </c>
      <c r="C2051" s="100" t="s">
        <v>1688</v>
      </c>
      <c r="D2051" s="100" t="s">
        <v>1689</v>
      </c>
      <c r="E2051" s="198">
        <v>15.0</v>
      </c>
      <c r="F2051" s="199" t="s">
        <v>2594</v>
      </c>
    </row>
    <row r="2052" ht="22.5" customHeight="1">
      <c r="A2052" s="197">
        <v>46142.87718976852</v>
      </c>
      <c r="B2052" s="100" t="s">
        <v>3803</v>
      </c>
      <c r="C2052" s="100" t="s">
        <v>1685</v>
      </c>
      <c r="D2052" s="100" t="s">
        <v>1686</v>
      </c>
      <c r="E2052" s="198">
        <v>260.0</v>
      </c>
      <c r="F2052" s="100" t="s">
        <v>2814</v>
      </c>
    </row>
    <row r="2053" ht="22.5" customHeight="1">
      <c r="A2053" s="197">
        <v>46142.87718976852</v>
      </c>
      <c r="B2053" s="100" t="s">
        <v>3803</v>
      </c>
      <c r="C2053" s="100" t="s">
        <v>1688</v>
      </c>
      <c r="D2053" s="100" t="s">
        <v>1689</v>
      </c>
      <c r="E2053" s="198">
        <v>300.0</v>
      </c>
      <c r="F2053" s="100" t="s">
        <v>2815</v>
      </c>
    </row>
    <row r="2054" ht="22.5" customHeight="1">
      <c r="A2054" s="197">
        <v>46142.87719064815</v>
      </c>
      <c r="B2054" s="100" t="s">
        <v>3805</v>
      </c>
      <c r="C2054" s="100" t="s">
        <v>1685</v>
      </c>
      <c r="D2054" s="100" t="s">
        <v>1686</v>
      </c>
      <c r="E2054" s="198">
        <v>20.0</v>
      </c>
      <c r="F2054" s="199" t="s">
        <v>2870</v>
      </c>
    </row>
    <row r="2055" ht="22.5" customHeight="1">
      <c r="A2055" s="197">
        <v>46142.87719064815</v>
      </c>
      <c r="B2055" s="100" t="s">
        <v>3805</v>
      </c>
      <c r="C2055" s="100" t="s">
        <v>1688</v>
      </c>
      <c r="D2055" s="100" t="s">
        <v>1689</v>
      </c>
      <c r="E2055" s="198">
        <v>50.0</v>
      </c>
      <c r="F2055" s="199" t="s">
        <v>2872</v>
      </c>
    </row>
    <row r="2056" ht="22.5" customHeight="1">
      <c r="A2056" s="197">
        <v>46142.87719130787</v>
      </c>
      <c r="B2056" s="100" t="s">
        <v>3807</v>
      </c>
      <c r="C2056" s="100" t="s">
        <v>1685</v>
      </c>
      <c r="D2056" s="100" t="s">
        <v>1686</v>
      </c>
      <c r="E2056" s="198">
        <v>150.0</v>
      </c>
      <c r="F2056" s="199" t="s">
        <v>3063</v>
      </c>
    </row>
    <row r="2057" ht="22.5" customHeight="1">
      <c r="A2057" s="197">
        <v>46142.87719130787</v>
      </c>
      <c r="B2057" s="100" t="s">
        <v>3807</v>
      </c>
      <c r="C2057" s="100" t="s">
        <v>1688</v>
      </c>
      <c r="D2057" s="100" t="s">
        <v>1689</v>
      </c>
      <c r="E2057" s="198">
        <v>240.0</v>
      </c>
      <c r="F2057" s="199" t="s">
        <v>3064</v>
      </c>
    </row>
    <row r="2058" ht="22.5" customHeight="1">
      <c r="A2058" s="197">
        <v>46142.87719237269</v>
      </c>
      <c r="B2058" s="100" t="s">
        <v>3808</v>
      </c>
      <c r="C2058" s="100" t="s">
        <v>1685</v>
      </c>
      <c r="D2058" s="100" t="s">
        <v>1686</v>
      </c>
      <c r="E2058" s="198">
        <v>45.0</v>
      </c>
      <c r="F2058" s="199" t="s">
        <v>2609</v>
      </c>
    </row>
    <row r="2059" ht="22.5" customHeight="1">
      <c r="A2059" s="197">
        <v>46142.87719237269</v>
      </c>
      <c r="B2059" s="100" t="s">
        <v>3808</v>
      </c>
      <c r="C2059" s="100" t="s">
        <v>1688</v>
      </c>
      <c r="D2059" s="100" t="s">
        <v>1689</v>
      </c>
      <c r="E2059" s="198">
        <v>60.0</v>
      </c>
      <c r="F2059" s="199" t="s">
        <v>2610</v>
      </c>
    </row>
    <row r="2060" ht="22.5" customHeight="1">
      <c r="A2060" s="197">
        <v>46142.8771933449</v>
      </c>
      <c r="B2060" s="100" t="s">
        <v>3809</v>
      </c>
      <c r="C2060" s="100" t="s">
        <v>1685</v>
      </c>
      <c r="D2060" s="100" t="s">
        <v>1686</v>
      </c>
      <c r="E2060" s="198">
        <v>85.0</v>
      </c>
      <c r="F2060" s="199" t="s">
        <v>2540</v>
      </c>
    </row>
    <row r="2061" ht="22.5" customHeight="1">
      <c r="A2061" s="197">
        <v>46142.8771933449</v>
      </c>
      <c r="B2061" s="100" t="s">
        <v>3809</v>
      </c>
      <c r="C2061" s="100" t="s">
        <v>1688</v>
      </c>
      <c r="D2061" s="100" t="s">
        <v>1689</v>
      </c>
      <c r="E2061" s="198">
        <v>200.0</v>
      </c>
      <c r="F2061" s="199" t="s">
        <v>2541</v>
      </c>
    </row>
    <row r="2062" ht="22.5" customHeight="1">
      <c r="A2062" s="197">
        <v>46142.87719414352</v>
      </c>
      <c r="B2062" s="100" t="s">
        <v>3810</v>
      </c>
      <c r="C2062" s="100" t="s">
        <v>1685</v>
      </c>
      <c r="D2062" s="100" t="s">
        <v>1686</v>
      </c>
      <c r="E2062" s="198">
        <v>180.0</v>
      </c>
      <c r="F2062" s="199" t="s">
        <v>3258</v>
      </c>
    </row>
    <row r="2063" ht="22.5" customHeight="1">
      <c r="A2063" s="197">
        <v>46142.87719414352</v>
      </c>
      <c r="B2063" s="100" t="s">
        <v>3810</v>
      </c>
      <c r="C2063" s="100" t="s">
        <v>1688</v>
      </c>
      <c r="D2063" s="100" t="s">
        <v>1689</v>
      </c>
      <c r="E2063" s="198">
        <v>300.0</v>
      </c>
      <c r="F2063" s="199" t="s">
        <v>3259</v>
      </c>
    </row>
    <row r="2064" ht="22.5" customHeight="1">
      <c r="A2064" s="197">
        <v>46142.87719462963</v>
      </c>
      <c r="B2064" s="100" t="s">
        <v>3812</v>
      </c>
      <c r="C2064" s="100" t="s">
        <v>1685</v>
      </c>
      <c r="D2064" s="100" t="s">
        <v>1686</v>
      </c>
      <c r="E2064" s="198">
        <v>25.0</v>
      </c>
      <c r="F2064" s="199" t="s">
        <v>3761</v>
      </c>
    </row>
    <row r="2065" ht="22.5" customHeight="1">
      <c r="A2065" s="197">
        <v>46142.87719462963</v>
      </c>
      <c r="B2065" s="100" t="s">
        <v>3812</v>
      </c>
      <c r="C2065" s="100" t="s">
        <v>1688</v>
      </c>
      <c r="D2065" s="100" t="s">
        <v>1689</v>
      </c>
      <c r="E2065" s="198">
        <v>40.0</v>
      </c>
      <c r="F2065" s="199" t="s">
        <v>3763</v>
      </c>
    </row>
    <row r="2066" ht="22.5" customHeight="1">
      <c r="A2066" s="197">
        <v>46142.90093945602</v>
      </c>
      <c r="B2066" s="100" t="s">
        <v>3814</v>
      </c>
      <c r="C2066" s="100" t="s">
        <v>1685</v>
      </c>
      <c r="D2066" s="100" t="s">
        <v>1686</v>
      </c>
      <c r="E2066" s="198">
        <v>140.0</v>
      </c>
      <c r="F2066" s="199" t="s">
        <v>1742</v>
      </c>
    </row>
    <row r="2067" ht="22.5" customHeight="1">
      <c r="A2067" s="197">
        <v>46142.90093945602</v>
      </c>
      <c r="B2067" s="100" t="s">
        <v>3814</v>
      </c>
      <c r="C2067" s="100" t="s">
        <v>1688</v>
      </c>
      <c r="D2067" s="100" t="s">
        <v>1689</v>
      </c>
      <c r="E2067" s="198">
        <v>170.0</v>
      </c>
      <c r="F2067" s="199" t="s">
        <v>1743</v>
      </c>
    </row>
    <row r="2068" ht="22.5" customHeight="1">
      <c r="A2068" s="197">
        <v>46142.90094003472</v>
      </c>
      <c r="B2068" s="100" t="s">
        <v>3816</v>
      </c>
      <c r="C2068" s="100" t="s">
        <v>1685</v>
      </c>
      <c r="D2068" s="100" t="s">
        <v>1686</v>
      </c>
      <c r="E2068" s="198">
        <v>30.0</v>
      </c>
      <c r="F2068" s="199" t="s">
        <v>2468</v>
      </c>
    </row>
    <row r="2069" ht="22.5" customHeight="1">
      <c r="A2069" s="197">
        <v>46142.90094003472</v>
      </c>
      <c r="B2069" s="100" t="s">
        <v>3816</v>
      </c>
      <c r="C2069" s="100" t="s">
        <v>1688</v>
      </c>
      <c r="D2069" s="100" t="s">
        <v>1689</v>
      </c>
      <c r="E2069" s="198">
        <v>70.0</v>
      </c>
      <c r="F2069" s="199" t="s">
        <v>2470</v>
      </c>
    </row>
    <row r="2070" ht="22.5" customHeight="1">
      <c r="A2070" s="197">
        <v>46142.900940520834</v>
      </c>
      <c r="B2070" s="100" t="s">
        <v>3818</v>
      </c>
      <c r="C2070" s="100" t="s">
        <v>1685</v>
      </c>
      <c r="D2070" s="100" t="s">
        <v>1686</v>
      </c>
      <c r="E2070" s="198">
        <v>20.0</v>
      </c>
      <c r="F2070" s="199" t="s">
        <v>2870</v>
      </c>
    </row>
    <row r="2071" ht="22.5" customHeight="1">
      <c r="A2071" s="197">
        <v>46142.900940520834</v>
      </c>
      <c r="B2071" s="100" t="s">
        <v>3818</v>
      </c>
      <c r="C2071" s="100" t="s">
        <v>1688</v>
      </c>
      <c r="D2071" s="100" t="s">
        <v>1689</v>
      </c>
      <c r="E2071" s="198">
        <v>50.0</v>
      </c>
      <c r="F2071" s="199" t="s">
        <v>2872</v>
      </c>
    </row>
    <row r="2072" ht="22.5" customHeight="1">
      <c r="A2072" s="197">
        <v>46142.90094104166</v>
      </c>
      <c r="B2072" s="100" t="s">
        <v>3820</v>
      </c>
      <c r="C2072" s="100" t="s">
        <v>1685</v>
      </c>
      <c r="D2072" s="100" t="s">
        <v>1686</v>
      </c>
      <c r="E2072" s="198">
        <v>45.0</v>
      </c>
      <c r="F2072" s="199" t="s">
        <v>2800</v>
      </c>
    </row>
    <row r="2073" ht="22.5" customHeight="1">
      <c r="A2073" s="197">
        <v>46142.90094104166</v>
      </c>
      <c r="B2073" s="100" t="s">
        <v>3820</v>
      </c>
      <c r="C2073" s="100" t="s">
        <v>1688</v>
      </c>
      <c r="D2073" s="100" t="s">
        <v>1689</v>
      </c>
      <c r="E2073" s="198">
        <v>60.0</v>
      </c>
      <c r="F2073" s="199" t="s">
        <v>2801</v>
      </c>
    </row>
    <row r="2074" ht="22.5" customHeight="1">
      <c r="A2074" s="197">
        <v>46142.9009415162</v>
      </c>
      <c r="B2074" s="100" t="s">
        <v>3822</v>
      </c>
      <c r="C2074" s="100" t="s">
        <v>1685</v>
      </c>
      <c r="D2074" s="100" t="s">
        <v>1686</v>
      </c>
      <c r="E2074" s="198">
        <v>28.0</v>
      </c>
      <c r="F2074" s="199" t="s">
        <v>3099</v>
      </c>
    </row>
    <row r="2075" ht="22.5" customHeight="1">
      <c r="A2075" s="197">
        <v>46142.9009415162</v>
      </c>
      <c r="B2075" s="100" t="s">
        <v>3822</v>
      </c>
      <c r="C2075" s="100" t="s">
        <v>1688</v>
      </c>
      <c r="D2075" s="100" t="s">
        <v>1689</v>
      </c>
      <c r="E2075" s="198">
        <v>65.0</v>
      </c>
      <c r="F2075" s="199" t="s">
        <v>3100</v>
      </c>
    </row>
    <row r="2076" ht="22.5" customHeight="1">
      <c r="A2076" s="197">
        <v>46142.90094201389</v>
      </c>
      <c r="B2076" s="100" t="s">
        <v>3824</v>
      </c>
      <c r="C2076" s="100" t="s">
        <v>1685</v>
      </c>
      <c r="D2076" s="100" t="s">
        <v>1686</v>
      </c>
      <c r="E2076" s="198">
        <v>300.0</v>
      </c>
      <c r="F2076" s="199" t="s">
        <v>3548</v>
      </c>
    </row>
    <row r="2077" ht="22.5" customHeight="1">
      <c r="A2077" s="197">
        <v>46142.90094201389</v>
      </c>
      <c r="B2077" s="100" t="s">
        <v>3824</v>
      </c>
      <c r="C2077" s="100" t="s">
        <v>1688</v>
      </c>
      <c r="D2077" s="100" t="s">
        <v>1689</v>
      </c>
      <c r="E2077" s="198">
        <v>400.0</v>
      </c>
      <c r="F2077" s="199" t="s">
        <v>3549</v>
      </c>
    </row>
    <row r="2078" ht="22.5" customHeight="1">
      <c r="A2078" s="197">
        <v>46142.90094261574</v>
      </c>
      <c r="B2078" s="100" t="s">
        <v>3826</v>
      </c>
      <c r="C2078" s="100" t="s">
        <v>1685</v>
      </c>
      <c r="D2078" s="100" t="s">
        <v>1686</v>
      </c>
      <c r="E2078" s="198">
        <v>23.64</v>
      </c>
      <c r="F2078" s="199" t="s">
        <v>2673</v>
      </c>
    </row>
    <row r="2079" ht="22.5" customHeight="1">
      <c r="A2079" s="197">
        <v>46142.90094261574</v>
      </c>
      <c r="B2079" s="100" t="s">
        <v>3826</v>
      </c>
      <c r="C2079" s="100" t="s">
        <v>1688</v>
      </c>
      <c r="D2079" s="100" t="s">
        <v>1689</v>
      </c>
      <c r="E2079" s="198">
        <v>40.0</v>
      </c>
      <c r="F2079" s="199" t="s">
        <v>2675</v>
      </c>
    </row>
    <row r="2080" ht="22.5" customHeight="1">
      <c r="A2080" s="197">
        <v>46142.900943078705</v>
      </c>
      <c r="B2080" s="100" t="s">
        <v>3827</v>
      </c>
      <c r="C2080" s="100" t="s">
        <v>1685</v>
      </c>
      <c r="D2080" s="100" t="s">
        <v>1686</v>
      </c>
      <c r="E2080" s="198">
        <v>93.33</v>
      </c>
      <c r="F2080" s="199" t="s">
        <v>1989</v>
      </c>
    </row>
    <row r="2081" ht="22.5" customHeight="1">
      <c r="A2081" s="197">
        <v>46142.900943078705</v>
      </c>
      <c r="B2081" s="100" t="s">
        <v>3827</v>
      </c>
      <c r="C2081" s="100" t="s">
        <v>1688</v>
      </c>
      <c r="D2081" s="100" t="s">
        <v>1689</v>
      </c>
      <c r="E2081" s="198">
        <v>160.0</v>
      </c>
      <c r="F2081" s="199" t="s">
        <v>1990</v>
      </c>
    </row>
    <row r="2082" ht="22.5" customHeight="1">
      <c r="A2082" s="197">
        <v>46142.900943472225</v>
      </c>
      <c r="B2082" s="100" t="s">
        <v>3829</v>
      </c>
      <c r="C2082" s="100" t="s">
        <v>1685</v>
      </c>
      <c r="D2082" s="100" t="s">
        <v>1686</v>
      </c>
      <c r="E2082" s="198">
        <v>85.0</v>
      </c>
      <c r="F2082" s="199" t="s">
        <v>2540</v>
      </c>
    </row>
    <row r="2083" ht="22.5" customHeight="1">
      <c r="A2083" s="197">
        <v>46142.900943472225</v>
      </c>
      <c r="B2083" s="100" t="s">
        <v>3829</v>
      </c>
      <c r="C2083" s="100" t="s">
        <v>1688</v>
      </c>
      <c r="D2083" s="100" t="s">
        <v>1689</v>
      </c>
      <c r="E2083" s="198">
        <v>150.0</v>
      </c>
      <c r="F2083" s="199" t="s">
        <v>2541</v>
      </c>
    </row>
    <row r="2084" ht="22.5" customHeight="1">
      <c r="A2084" s="197">
        <v>46142.90094375</v>
      </c>
      <c r="B2084" s="100" t="s">
        <v>3831</v>
      </c>
      <c r="C2084" s="100" t="s">
        <v>1685</v>
      </c>
      <c r="D2084" s="100" t="s">
        <v>1686</v>
      </c>
      <c r="E2084" s="198">
        <v>20.0</v>
      </c>
      <c r="F2084" s="199" t="s">
        <v>2870</v>
      </c>
    </row>
    <row r="2085" ht="22.5" customHeight="1">
      <c r="A2085" s="197">
        <v>46142.90094375</v>
      </c>
      <c r="B2085" s="100" t="s">
        <v>3831</v>
      </c>
      <c r="C2085" s="100" t="s">
        <v>1688</v>
      </c>
      <c r="D2085" s="100" t="s">
        <v>1689</v>
      </c>
      <c r="E2085" s="198">
        <v>50.0</v>
      </c>
      <c r="F2085" s="199" t="s">
        <v>2872</v>
      </c>
    </row>
    <row r="2086" ht="22.5" customHeight="1">
      <c r="A2086" s="197">
        <v>46142.90094414352</v>
      </c>
      <c r="B2086" s="100" t="s">
        <v>3833</v>
      </c>
      <c r="C2086" s="100" t="s">
        <v>1685</v>
      </c>
      <c r="D2086" s="100" t="s">
        <v>1686</v>
      </c>
      <c r="E2086" s="198">
        <v>75.0</v>
      </c>
      <c r="F2086" s="199" t="s">
        <v>1914</v>
      </c>
    </row>
    <row r="2087" ht="22.5" customHeight="1">
      <c r="A2087" s="197">
        <v>46142.90094414352</v>
      </c>
      <c r="B2087" s="100" t="s">
        <v>3833</v>
      </c>
      <c r="C2087" s="100" t="s">
        <v>1688</v>
      </c>
      <c r="D2087" s="100" t="s">
        <v>1689</v>
      </c>
      <c r="E2087" s="198">
        <v>120.0</v>
      </c>
      <c r="F2087" s="199" t="s">
        <v>1915</v>
      </c>
    </row>
    <row r="2088" ht="22.5" customHeight="1">
      <c r="A2088" s="197">
        <v>46142.900944583336</v>
      </c>
      <c r="B2088" s="100" t="s">
        <v>3835</v>
      </c>
      <c r="C2088" s="100" t="s">
        <v>1685</v>
      </c>
      <c r="D2088" s="100" t="s">
        <v>1686</v>
      </c>
      <c r="E2088" s="198">
        <v>85.0</v>
      </c>
      <c r="F2088" s="199" t="s">
        <v>2278</v>
      </c>
    </row>
    <row r="2089" ht="22.5" customHeight="1">
      <c r="A2089" s="197">
        <v>46142.900944583336</v>
      </c>
      <c r="B2089" s="100" t="s">
        <v>3835</v>
      </c>
      <c r="C2089" s="100" t="s">
        <v>1688</v>
      </c>
      <c r="D2089" s="100" t="s">
        <v>1689</v>
      </c>
      <c r="E2089" s="198">
        <v>125.0</v>
      </c>
      <c r="F2089" s="199" t="s">
        <v>2279</v>
      </c>
    </row>
    <row r="2090" ht="22.5" customHeight="1">
      <c r="A2090" s="197">
        <v>46142.90094493056</v>
      </c>
      <c r="B2090" s="100" t="s">
        <v>3837</v>
      </c>
      <c r="C2090" s="100" t="s">
        <v>1685</v>
      </c>
      <c r="D2090" s="100" t="s">
        <v>1686</v>
      </c>
      <c r="E2090" s="198">
        <v>195.0</v>
      </c>
      <c r="F2090" s="199" t="s">
        <v>1757</v>
      </c>
    </row>
    <row r="2091" ht="22.5" customHeight="1">
      <c r="A2091" s="197">
        <v>46142.90094493056</v>
      </c>
      <c r="B2091" s="100" t="s">
        <v>3837</v>
      </c>
      <c r="C2091" s="100" t="s">
        <v>1688</v>
      </c>
      <c r="D2091" s="100" t="s">
        <v>1689</v>
      </c>
      <c r="E2091" s="198">
        <v>250.0</v>
      </c>
      <c r="F2091" s="199" t="s">
        <v>1758</v>
      </c>
    </row>
    <row r="2092" ht="22.5" customHeight="1">
      <c r="A2092" s="197">
        <v>46142.900945347224</v>
      </c>
      <c r="B2092" s="100" t="s">
        <v>3839</v>
      </c>
      <c r="C2092" s="100" t="s">
        <v>1685</v>
      </c>
      <c r="D2092" s="100" t="s">
        <v>1686</v>
      </c>
      <c r="E2092" s="198">
        <v>135.0</v>
      </c>
      <c r="F2092" s="199" t="s">
        <v>1947</v>
      </c>
    </row>
    <row r="2093" ht="22.5" customHeight="1">
      <c r="A2093" s="197">
        <v>46142.900945347224</v>
      </c>
      <c r="B2093" s="100" t="s">
        <v>3839</v>
      </c>
      <c r="C2093" s="100" t="s">
        <v>1688</v>
      </c>
      <c r="D2093" s="100" t="s">
        <v>1689</v>
      </c>
      <c r="E2093" s="198">
        <v>220.0</v>
      </c>
      <c r="F2093" s="199" t="s">
        <v>1948</v>
      </c>
    </row>
    <row r="2094" ht="22.5" customHeight="1">
      <c r="A2094" s="197">
        <v>46142.90094608796</v>
      </c>
      <c r="B2094" s="100" t="s">
        <v>3841</v>
      </c>
      <c r="C2094" s="100" t="s">
        <v>1685</v>
      </c>
      <c r="D2094" s="100" t="s">
        <v>1686</v>
      </c>
      <c r="E2094" s="198">
        <v>70.0</v>
      </c>
      <c r="F2094" s="199" t="s">
        <v>2860</v>
      </c>
    </row>
    <row r="2095" ht="22.5" customHeight="1">
      <c r="A2095" s="197">
        <v>46142.90094608796</v>
      </c>
      <c r="B2095" s="100" t="s">
        <v>3841</v>
      </c>
      <c r="C2095" s="100" t="s">
        <v>1688</v>
      </c>
      <c r="D2095" s="100" t="s">
        <v>1689</v>
      </c>
      <c r="E2095" s="198">
        <v>84.0</v>
      </c>
      <c r="F2095" s="199" t="s">
        <v>2862</v>
      </c>
    </row>
    <row r="2096" ht="22.5" customHeight="1">
      <c r="A2096" s="197">
        <v>46142.904354618055</v>
      </c>
      <c r="B2096" s="100" t="s">
        <v>3843</v>
      </c>
      <c r="C2096" s="100" t="s">
        <v>1685</v>
      </c>
      <c r="D2096" s="100" t="s">
        <v>1686</v>
      </c>
      <c r="E2096" s="198">
        <v>65.07</v>
      </c>
      <c r="F2096" s="199" t="s">
        <v>2685</v>
      </c>
    </row>
    <row r="2097" ht="22.5" customHeight="1">
      <c r="A2097" s="197">
        <v>46142.904354618055</v>
      </c>
      <c r="B2097" s="100" t="s">
        <v>3843</v>
      </c>
      <c r="C2097" s="100" t="s">
        <v>1688</v>
      </c>
      <c r="D2097" s="100" t="s">
        <v>1689</v>
      </c>
      <c r="E2097" s="198">
        <v>81.0</v>
      </c>
      <c r="F2097" s="199" t="s">
        <v>2687</v>
      </c>
    </row>
    <row r="2098" ht="22.5" customHeight="1">
      <c r="A2098" s="197">
        <v>46142.90435498842</v>
      </c>
      <c r="B2098" s="100" t="s">
        <v>3845</v>
      </c>
      <c r="C2098" s="100" t="s">
        <v>1685</v>
      </c>
      <c r="D2098" s="100" t="s">
        <v>1686</v>
      </c>
      <c r="E2098" s="198">
        <v>60.0</v>
      </c>
      <c r="F2098" s="199" t="s">
        <v>2800</v>
      </c>
    </row>
    <row r="2099" ht="22.5" customHeight="1">
      <c r="A2099" s="197">
        <v>46142.90435498842</v>
      </c>
      <c r="B2099" s="100" t="s">
        <v>3845</v>
      </c>
      <c r="C2099" s="100" t="s">
        <v>1688</v>
      </c>
      <c r="D2099" s="100" t="s">
        <v>1689</v>
      </c>
      <c r="E2099" s="198">
        <v>80.0</v>
      </c>
      <c r="F2099" s="199" t="s">
        <v>2801</v>
      </c>
    </row>
    <row r="2100" ht="22.5" customHeight="1">
      <c r="A2100" s="197">
        <v>46142.90435534722</v>
      </c>
      <c r="B2100" s="100" t="s">
        <v>3847</v>
      </c>
      <c r="C2100" s="100" t="s">
        <v>1685</v>
      </c>
      <c r="D2100" s="100" t="s">
        <v>1686</v>
      </c>
      <c r="E2100" s="198">
        <v>630.0</v>
      </c>
      <c r="F2100" s="199" t="s">
        <v>2427</v>
      </c>
    </row>
    <row r="2101" ht="22.5" customHeight="1">
      <c r="A2101" s="197">
        <v>46142.90435534722</v>
      </c>
      <c r="B2101" s="100" t="s">
        <v>3847</v>
      </c>
      <c r="C2101" s="100" t="s">
        <v>1688</v>
      </c>
      <c r="D2101" s="100" t="s">
        <v>1689</v>
      </c>
      <c r="E2101" s="198">
        <v>740.0</v>
      </c>
      <c r="F2101" s="199" t="s">
        <v>2428</v>
      </c>
    </row>
    <row r="2102" ht="22.5" customHeight="1">
      <c r="A2102" s="197">
        <v>46142.90435575231</v>
      </c>
      <c r="B2102" s="100" t="s">
        <v>3849</v>
      </c>
      <c r="C2102" s="100" t="s">
        <v>1685</v>
      </c>
      <c r="D2102" s="100" t="s">
        <v>1686</v>
      </c>
      <c r="E2102" s="198">
        <v>280.0</v>
      </c>
      <c r="F2102" s="199" t="s">
        <v>1742</v>
      </c>
    </row>
    <row r="2103" ht="22.5" customHeight="1">
      <c r="A2103" s="197">
        <v>46142.90435575231</v>
      </c>
      <c r="B2103" s="100" t="s">
        <v>3849</v>
      </c>
      <c r="C2103" s="100" t="s">
        <v>1688</v>
      </c>
      <c r="D2103" s="100" t="s">
        <v>1689</v>
      </c>
      <c r="E2103" s="198">
        <v>340.0</v>
      </c>
      <c r="F2103" s="199" t="s">
        <v>1743</v>
      </c>
    </row>
    <row r="2104" ht="22.5" customHeight="1">
      <c r="A2104" s="197">
        <v>46142.90435619213</v>
      </c>
      <c r="B2104" s="100" t="s">
        <v>3851</v>
      </c>
      <c r="C2104" s="100" t="s">
        <v>1685</v>
      </c>
      <c r="D2104" s="100" t="s">
        <v>1686</v>
      </c>
      <c r="E2104" s="198">
        <v>43.38</v>
      </c>
      <c r="F2104" s="199" t="s">
        <v>2685</v>
      </c>
    </row>
    <row r="2105" ht="22.5" customHeight="1">
      <c r="A2105" s="197">
        <v>46142.90435619213</v>
      </c>
      <c r="B2105" s="100" t="s">
        <v>3851</v>
      </c>
      <c r="C2105" s="100" t="s">
        <v>1688</v>
      </c>
      <c r="D2105" s="100" t="s">
        <v>1689</v>
      </c>
      <c r="E2105" s="198">
        <v>100.0</v>
      </c>
      <c r="F2105" s="199" t="s">
        <v>2687</v>
      </c>
    </row>
    <row r="2106" ht="22.5" customHeight="1">
      <c r="A2106" s="197">
        <v>46142.90435655093</v>
      </c>
      <c r="B2106" s="100" t="s">
        <v>3853</v>
      </c>
      <c r="C2106" s="100" t="s">
        <v>1685</v>
      </c>
      <c r="D2106" s="100" t="s">
        <v>1686</v>
      </c>
      <c r="E2106" s="198">
        <v>150.0</v>
      </c>
      <c r="F2106" s="199" t="s">
        <v>3855</v>
      </c>
    </row>
    <row r="2107" ht="22.5" customHeight="1">
      <c r="A2107" s="197">
        <v>46142.90435655093</v>
      </c>
      <c r="B2107" s="100" t="s">
        <v>3853</v>
      </c>
      <c r="C2107" s="100" t="s">
        <v>1688</v>
      </c>
      <c r="D2107" s="100" t="s">
        <v>1689</v>
      </c>
      <c r="E2107" s="198">
        <v>220.0</v>
      </c>
      <c r="F2107" s="199" t="s">
        <v>3856</v>
      </c>
    </row>
    <row r="2108" ht="22.5" customHeight="1">
      <c r="A2108" s="197">
        <v>46142.90435699074</v>
      </c>
      <c r="B2108" s="100" t="s">
        <v>3857</v>
      </c>
      <c r="C2108" s="100" t="s">
        <v>1685</v>
      </c>
      <c r="D2108" s="100" t="s">
        <v>1686</v>
      </c>
      <c r="E2108" s="198">
        <v>50.0</v>
      </c>
      <c r="F2108" s="199" t="s">
        <v>2193</v>
      </c>
    </row>
    <row r="2109" ht="22.5" customHeight="1">
      <c r="A2109" s="197">
        <v>46142.90435699074</v>
      </c>
      <c r="B2109" s="100" t="s">
        <v>3857</v>
      </c>
      <c r="C2109" s="100" t="s">
        <v>1688</v>
      </c>
      <c r="D2109" s="100" t="s">
        <v>1689</v>
      </c>
      <c r="E2109" s="198">
        <v>100.0</v>
      </c>
      <c r="F2109" s="199" t="s">
        <v>2194</v>
      </c>
    </row>
    <row r="2110" ht="22.5" customHeight="1">
      <c r="A2110" s="197">
        <v>46142.906871851854</v>
      </c>
      <c r="B2110" s="100" t="s">
        <v>3859</v>
      </c>
      <c r="C2110" s="100" t="s">
        <v>1685</v>
      </c>
      <c r="D2110" s="100" t="s">
        <v>1686</v>
      </c>
      <c r="E2110" s="198">
        <v>39.0</v>
      </c>
      <c r="F2110" s="199" t="s">
        <v>1805</v>
      </c>
    </row>
    <row r="2111" ht="22.5" customHeight="1">
      <c r="A2111" s="197">
        <v>46142.906871851854</v>
      </c>
      <c r="B2111" s="100" t="s">
        <v>3859</v>
      </c>
      <c r="C2111" s="100" t="s">
        <v>1688</v>
      </c>
      <c r="D2111" s="100" t="s">
        <v>1689</v>
      </c>
      <c r="E2111" s="198">
        <v>100.0</v>
      </c>
      <c r="F2111" s="199" t="s">
        <v>1806</v>
      </c>
    </row>
    <row r="2112" ht="22.5" customHeight="1">
      <c r="A2112" s="197">
        <v>46142.9068724074</v>
      </c>
      <c r="B2112" s="100" t="s">
        <v>3862</v>
      </c>
      <c r="C2112" s="100" t="s">
        <v>1685</v>
      </c>
      <c r="D2112" s="100" t="s">
        <v>1686</v>
      </c>
      <c r="E2112" s="198">
        <v>21.69</v>
      </c>
      <c r="F2112" s="199" t="s">
        <v>2685</v>
      </c>
    </row>
    <row r="2113" ht="22.5" customHeight="1">
      <c r="A2113" s="197">
        <v>46142.9068724074</v>
      </c>
      <c r="B2113" s="100" t="s">
        <v>3862</v>
      </c>
      <c r="C2113" s="100" t="s">
        <v>1688</v>
      </c>
      <c r="D2113" s="100" t="s">
        <v>1689</v>
      </c>
      <c r="E2113" s="198">
        <v>50.0</v>
      </c>
      <c r="F2113" s="199" t="s">
        <v>2687</v>
      </c>
    </row>
    <row r="2114" ht="22.5" customHeight="1">
      <c r="A2114" s="197">
        <v>46142.906872928244</v>
      </c>
      <c r="B2114" s="100" t="s">
        <v>3863</v>
      </c>
      <c r="C2114" s="100" t="s">
        <v>1685</v>
      </c>
      <c r="D2114" s="100" t="s">
        <v>1686</v>
      </c>
      <c r="E2114" s="198">
        <v>12.5</v>
      </c>
      <c r="F2114" s="199" t="s">
        <v>3761</v>
      </c>
    </row>
    <row r="2115" ht="22.5" customHeight="1">
      <c r="A2115" s="197">
        <v>46142.906872928244</v>
      </c>
      <c r="B2115" s="100" t="s">
        <v>3863</v>
      </c>
      <c r="C2115" s="100" t="s">
        <v>1688</v>
      </c>
      <c r="D2115" s="100" t="s">
        <v>1689</v>
      </c>
      <c r="E2115" s="198">
        <v>20.0</v>
      </c>
      <c r="F2115" s="199" t="s">
        <v>3763</v>
      </c>
    </row>
    <row r="2116" ht="22.5" customHeight="1">
      <c r="A2116" s="197">
        <v>46142.909333495365</v>
      </c>
      <c r="B2116" s="100" t="s">
        <v>3864</v>
      </c>
      <c r="C2116" s="100" t="s">
        <v>1685</v>
      </c>
      <c r="D2116" s="100" t="s">
        <v>1686</v>
      </c>
      <c r="E2116" s="198">
        <v>68.7</v>
      </c>
      <c r="F2116" s="199" t="s">
        <v>2678</v>
      </c>
    </row>
    <row r="2117" ht="22.5" customHeight="1">
      <c r="A2117" s="197">
        <v>46142.909333495365</v>
      </c>
      <c r="B2117" s="100" t="s">
        <v>3864</v>
      </c>
      <c r="C2117" s="100" t="s">
        <v>1688</v>
      </c>
      <c r="D2117" s="100" t="s">
        <v>1689</v>
      </c>
      <c r="E2117" s="198">
        <v>75.0</v>
      </c>
      <c r="F2117" s="199" t="s">
        <v>2679</v>
      </c>
    </row>
    <row r="2118" ht="22.5" customHeight="1">
      <c r="A2118" s="197">
        <v>46142.90933390046</v>
      </c>
      <c r="B2118" s="100" t="s">
        <v>3865</v>
      </c>
      <c r="C2118" s="100" t="s">
        <v>1685</v>
      </c>
      <c r="D2118" s="100" t="s">
        <v>1686</v>
      </c>
      <c r="E2118" s="198">
        <v>43.8</v>
      </c>
      <c r="F2118" s="100" t="s">
        <v>2178</v>
      </c>
    </row>
    <row r="2119" ht="22.5" customHeight="1">
      <c r="A2119" s="197">
        <v>46142.90933390046</v>
      </c>
      <c r="B2119" s="100" t="s">
        <v>3865</v>
      </c>
      <c r="C2119" s="100" t="s">
        <v>1688</v>
      </c>
      <c r="D2119" s="100" t="s">
        <v>1689</v>
      </c>
      <c r="E2119" s="198">
        <v>85.0</v>
      </c>
      <c r="F2119" s="100" t="s">
        <v>2179</v>
      </c>
    </row>
    <row r="2120" ht="22.5" customHeight="1">
      <c r="A2120" s="197">
        <v>46142.90933430556</v>
      </c>
      <c r="B2120" s="100" t="s">
        <v>3866</v>
      </c>
      <c r="C2120" s="100" t="s">
        <v>1685</v>
      </c>
      <c r="D2120" s="100" t="s">
        <v>1686</v>
      </c>
      <c r="E2120" s="198">
        <v>90.0</v>
      </c>
      <c r="F2120" s="199" t="s">
        <v>3867</v>
      </c>
    </row>
    <row r="2121" ht="22.5" customHeight="1">
      <c r="A2121" s="197">
        <v>46142.90933430556</v>
      </c>
      <c r="B2121" s="100" t="s">
        <v>3866</v>
      </c>
      <c r="C2121" s="100" t="s">
        <v>1688</v>
      </c>
      <c r="D2121" s="100" t="s">
        <v>1689</v>
      </c>
      <c r="E2121" s="198">
        <v>130.0</v>
      </c>
      <c r="F2121" s="199" t="s">
        <v>3868</v>
      </c>
    </row>
    <row r="2122" ht="22.5" customHeight="1">
      <c r="A2122" s="197">
        <v>46142.97387410879</v>
      </c>
      <c r="B2122" s="100" t="s">
        <v>3869</v>
      </c>
      <c r="C2122" s="100" t="s">
        <v>1685</v>
      </c>
      <c r="D2122" s="100" t="s">
        <v>1686</v>
      </c>
      <c r="E2122" s="198">
        <v>60.0</v>
      </c>
      <c r="F2122" s="199" t="s">
        <v>2609</v>
      </c>
    </row>
    <row r="2123" ht="22.5" customHeight="1">
      <c r="A2123" s="197">
        <v>46142.97387410879</v>
      </c>
      <c r="B2123" s="100" t="s">
        <v>3869</v>
      </c>
      <c r="C2123" s="100" t="s">
        <v>1688</v>
      </c>
      <c r="D2123" s="100" t="s">
        <v>1689</v>
      </c>
      <c r="E2123" s="198">
        <v>80.0</v>
      </c>
      <c r="F2123" s="199" t="s">
        <v>2610</v>
      </c>
    </row>
    <row r="2124" ht="22.5" customHeight="1">
      <c r="A2124" s="197">
        <v>46142.97387436342</v>
      </c>
      <c r="B2124" s="100" t="s">
        <v>3870</v>
      </c>
      <c r="C2124" s="100" t="s">
        <v>1685</v>
      </c>
      <c r="D2124" s="100" t="s">
        <v>1686</v>
      </c>
      <c r="E2124" s="198">
        <v>38.0</v>
      </c>
      <c r="F2124" s="100" t="s">
        <v>3025</v>
      </c>
    </row>
    <row r="2125" ht="22.5" customHeight="1">
      <c r="A2125" s="197">
        <v>46142.97387436342</v>
      </c>
      <c r="B2125" s="100" t="s">
        <v>3870</v>
      </c>
      <c r="C2125" s="100" t="s">
        <v>1688</v>
      </c>
      <c r="D2125" s="100" t="s">
        <v>1689</v>
      </c>
      <c r="E2125" s="198">
        <v>60.0</v>
      </c>
      <c r="F2125" s="100" t="s">
        <v>3026</v>
      </c>
    </row>
    <row r="2126" ht="22.5" customHeight="1">
      <c r="A2126" s="197">
        <v>46142.97387462963</v>
      </c>
      <c r="B2126" s="100" t="s">
        <v>3872</v>
      </c>
      <c r="C2126" s="100" t="s">
        <v>1685</v>
      </c>
      <c r="D2126" s="100" t="s">
        <v>1686</v>
      </c>
      <c r="E2126" s="198">
        <v>20.0</v>
      </c>
      <c r="F2126" s="199" t="s">
        <v>3593</v>
      </c>
    </row>
    <row r="2127" ht="22.5" customHeight="1">
      <c r="A2127" s="197">
        <v>46142.97387462963</v>
      </c>
      <c r="B2127" s="100" t="s">
        <v>3872</v>
      </c>
      <c r="C2127" s="100" t="s">
        <v>1688</v>
      </c>
      <c r="D2127" s="100" t="s">
        <v>1689</v>
      </c>
      <c r="E2127" s="198">
        <v>50.0</v>
      </c>
      <c r="F2127" s="199" t="s">
        <v>3595</v>
      </c>
    </row>
    <row r="2128" ht="22.5" customHeight="1">
      <c r="A2128" s="197">
        <v>46142.973874930554</v>
      </c>
      <c r="B2128" s="100" t="s">
        <v>3873</v>
      </c>
      <c r="C2128" s="100" t="s">
        <v>1685</v>
      </c>
      <c r="D2128" s="100" t="s">
        <v>1686</v>
      </c>
      <c r="E2128" s="198">
        <v>315.0</v>
      </c>
      <c r="F2128" s="199" t="s">
        <v>2427</v>
      </c>
    </row>
    <row r="2129" ht="22.5" customHeight="1">
      <c r="A2129" s="197">
        <v>46142.973874930554</v>
      </c>
      <c r="B2129" s="100" t="s">
        <v>3873</v>
      </c>
      <c r="C2129" s="100" t="s">
        <v>1688</v>
      </c>
      <c r="D2129" s="100" t="s">
        <v>1689</v>
      </c>
      <c r="E2129" s="198">
        <v>400.0</v>
      </c>
      <c r="F2129" s="199" t="s">
        <v>2428</v>
      </c>
    </row>
    <row r="2130" ht="22.5" customHeight="1">
      <c r="A2130" s="197">
        <v>46142.973875324074</v>
      </c>
      <c r="B2130" s="100" t="s">
        <v>3874</v>
      </c>
      <c r="C2130" s="100" t="s">
        <v>1685</v>
      </c>
      <c r="D2130" s="100" t="s">
        <v>1686</v>
      </c>
      <c r="E2130" s="198">
        <v>35.0</v>
      </c>
      <c r="F2130" s="199" t="s">
        <v>2860</v>
      </c>
    </row>
    <row r="2131" ht="22.5" customHeight="1">
      <c r="A2131" s="197">
        <v>46142.973875324074</v>
      </c>
      <c r="B2131" s="100" t="s">
        <v>3874</v>
      </c>
      <c r="C2131" s="100" t="s">
        <v>1688</v>
      </c>
      <c r="D2131" s="100" t="s">
        <v>1689</v>
      </c>
      <c r="E2131" s="198">
        <v>50.0</v>
      </c>
      <c r="F2131" s="199" t="s">
        <v>2862</v>
      </c>
    </row>
    <row r="2132" ht="22.5" customHeight="1">
      <c r="A2132" s="197">
        <v>46142.97387559028</v>
      </c>
      <c r="B2132" s="100" t="s">
        <v>3875</v>
      </c>
      <c r="C2132" s="100" t="s">
        <v>1685</v>
      </c>
      <c r="D2132" s="100" t="s">
        <v>1686</v>
      </c>
      <c r="E2132" s="198">
        <v>53.33</v>
      </c>
      <c r="F2132" s="199" t="s">
        <v>2593</v>
      </c>
    </row>
    <row r="2133" ht="22.5" customHeight="1">
      <c r="A2133" s="197">
        <v>46142.97387559028</v>
      </c>
      <c r="B2133" s="100" t="s">
        <v>3875</v>
      </c>
      <c r="C2133" s="100" t="s">
        <v>1688</v>
      </c>
      <c r="D2133" s="100" t="s">
        <v>1689</v>
      </c>
      <c r="E2133" s="198">
        <v>70.0</v>
      </c>
      <c r="F2133" s="199" t="s">
        <v>2594</v>
      </c>
    </row>
    <row r="2134" ht="22.5" customHeight="1">
      <c r="A2134" s="197">
        <v>46142.9738758912</v>
      </c>
      <c r="B2134" s="100" t="s">
        <v>3876</v>
      </c>
      <c r="C2134" s="100" t="s">
        <v>1685</v>
      </c>
      <c r="D2134" s="100" t="s">
        <v>1686</v>
      </c>
      <c r="E2134" s="198">
        <v>211.67</v>
      </c>
      <c r="F2134" s="199" t="s">
        <v>1746</v>
      </c>
    </row>
    <row r="2135" ht="22.5" customHeight="1">
      <c r="A2135" s="197">
        <v>46142.9738758912</v>
      </c>
      <c r="B2135" s="100" t="s">
        <v>3876</v>
      </c>
      <c r="C2135" s="100" t="s">
        <v>1688</v>
      </c>
      <c r="D2135" s="100" t="s">
        <v>1689</v>
      </c>
      <c r="E2135" s="198">
        <v>250.0</v>
      </c>
      <c r="F2135" s="199" t="s">
        <v>1747</v>
      </c>
    </row>
    <row r="2136" ht="22.5" customHeight="1">
      <c r="A2136" s="197">
        <v>46142.97387606482</v>
      </c>
      <c r="B2136" s="100" t="s">
        <v>3878</v>
      </c>
      <c r="C2136" s="100" t="s">
        <v>1685</v>
      </c>
      <c r="D2136" s="100" t="s">
        <v>1686</v>
      </c>
      <c r="E2136" s="198">
        <v>4.5</v>
      </c>
      <c r="F2136" s="199" t="s">
        <v>2182</v>
      </c>
    </row>
    <row r="2137" ht="22.5" customHeight="1">
      <c r="A2137" s="197">
        <v>46142.97387606482</v>
      </c>
      <c r="B2137" s="100" t="s">
        <v>3878</v>
      </c>
      <c r="C2137" s="100" t="s">
        <v>1688</v>
      </c>
      <c r="D2137" s="100" t="s">
        <v>1689</v>
      </c>
      <c r="E2137" s="198">
        <v>10.0</v>
      </c>
      <c r="F2137" s="199" t="s">
        <v>2183</v>
      </c>
    </row>
    <row r="2138" ht="22.5" customHeight="1">
      <c r="A2138" s="197">
        <v>46142.97387623842</v>
      </c>
      <c r="B2138" s="100" t="s">
        <v>3879</v>
      </c>
      <c r="C2138" s="100" t="s">
        <v>1685</v>
      </c>
      <c r="D2138" s="100" t="s">
        <v>1686</v>
      </c>
      <c r="E2138" s="198">
        <v>75.0</v>
      </c>
      <c r="F2138" s="199" t="s">
        <v>2509</v>
      </c>
    </row>
    <row r="2139" ht="22.5" customHeight="1">
      <c r="A2139" s="197">
        <v>46142.97387623842</v>
      </c>
      <c r="B2139" s="100" t="s">
        <v>3879</v>
      </c>
      <c r="C2139" s="100" t="s">
        <v>1688</v>
      </c>
      <c r="D2139" s="100" t="s">
        <v>1689</v>
      </c>
      <c r="E2139" s="198">
        <v>95.0</v>
      </c>
      <c r="F2139" s="199" t="s">
        <v>2511</v>
      </c>
    </row>
    <row r="2140" ht="22.5" customHeight="1">
      <c r="A2140" s="197">
        <v>46142.973876435186</v>
      </c>
      <c r="B2140" s="100" t="s">
        <v>3880</v>
      </c>
      <c r="C2140" s="100" t="s">
        <v>1685</v>
      </c>
      <c r="D2140" s="100" t="s">
        <v>1686</v>
      </c>
      <c r="E2140" s="198">
        <v>106.0</v>
      </c>
      <c r="F2140" s="199" t="s">
        <v>3765</v>
      </c>
    </row>
    <row r="2141" ht="22.5" customHeight="1">
      <c r="A2141" s="197">
        <v>46142.973876435186</v>
      </c>
      <c r="B2141" s="100" t="s">
        <v>3880</v>
      </c>
      <c r="C2141" s="100" t="s">
        <v>1688</v>
      </c>
      <c r="D2141" s="100" t="s">
        <v>1689</v>
      </c>
      <c r="E2141" s="198">
        <v>135.0</v>
      </c>
      <c r="F2141" s="199" t="s">
        <v>3767</v>
      </c>
    </row>
    <row r="2142" ht="22.5" customHeight="1">
      <c r="A2142" s="197">
        <v>46142.97387663195</v>
      </c>
      <c r="B2142" s="100" t="s">
        <v>3881</v>
      </c>
      <c r="C2142" s="100" t="s">
        <v>1685</v>
      </c>
      <c r="D2142" s="100" t="s">
        <v>1686</v>
      </c>
      <c r="E2142" s="198">
        <v>81.67</v>
      </c>
      <c r="F2142" s="199" t="s">
        <v>2805</v>
      </c>
    </row>
    <row r="2143" ht="22.5" customHeight="1">
      <c r="A2143" s="197">
        <v>46142.97387663195</v>
      </c>
      <c r="B2143" s="100" t="s">
        <v>3881</v>
      </c>
      <c r="C2143" s="100" t="s">
        <v>1688</v>
      </c>
      <c r="D2143" s="100" t="s">
        <v>1689</v>
      </c>
      <c r="E2143" s="198">
        <v>100.0</v>
      </c>
      <c r="F2143" s="199" t="s">
        <v>2806</v>
      </c>
    </row>
    <row r="2144" ht="22.5" customHeight="1">
      <c r="A2144" s="197">
        <v>46142.97387747685</v>
      </c>
      <c r="B2144" s="100" t="s">
        <v>3882</v>
      </c>
      <c r="C2144" s="100" t="s">
        <v>1685</v>
      </c>
      <c r="D2144" s="100" t="s">
        <v>1686</v>
      </c>
      <c r="E2144" s="198">
        <v>280.0</v>
      </c>
      <c r="F2144" s="199" t="s">
        <v>1742</v>
      </c>
    </row>
    <row r="2145" ht="22.5" customHeight="1">
      <c r="A2145" s="197">
        <v>46142.97387747685</v>
      </c>
      <c r="B2145" s="100" t="s">
        <v>3882</v>
      </c>
      <c r="C2145" s="100" t="s">
        <v>1688</v>
      </c>
      <c r="D2145" s="100" t="s">
        <v>1689</v>
      </c>
      <c r="E2145" s="198">
        <v>320.0</v>
      </c>
      <c r="F2145" s="199" t="s">
        <v>1743</v>
      </c>
    </row>
    <row r="2146" ht="22.5" customHeight="1">
      <c r="A2146" s="197">
        <v>46142.973877662036</v>
      </c>
      <c r="B2146" s="100" t="s">
        <v>3883</v>
      </c>
      <c r="C2146" s="100" t="s">
        <v>1685</v>
      </c>
      <c r="D2146" s="100" t="s">
        <v>1686</v>
      </c>
      <c r="E2146" s="198">
        <v>170.0</v>
      </c>
      <c r="F2146" s="199" t="s">
        <v>3300</v>
      </c>
    </row>
    <row r="2147" ht="22.5" customHeight="1">
      <c r="A2147" s="197">
        <v>46142.973877662036</v>
      </c>
      <c r="B2147" s="100" t="s">
        <v>3883</v>
      </c>
      <c r="C2147" s="100" t="s">
        <v>1688</v>
      </c>
      <c r="D2147" s="100" t="s">
        <v>1689</v>
      </c>
      <c r="E2147" s="198">
        <v>270.0</v>
      </c>
      <c r="F2147" s="199" t="s">
        <v>3302</v>
      </c>
    </row>
    <row r="2148" ht="22.5" customHeight="1">
      <c r="A2148" s="197">
        <v>46142.973877847224</v>
      </c>
      <c r="B2148" s="100" t="s">
        <v>3884</v>
      </c>
      <c r="C2148" s="100" t="s">
        <v>1685</v>
      </c>
      <c r="D2148" s="100" t="s">
        <v>1686</v>
      </c>
      <c r="E2148" s="198">
        <v>9.16</v>
      </c>
      <c r="F2148" s="199" t="s">
        <v>2678</v>
      </c>
    </row>
    <row r="2149" ht="22.5" customHeight="1">
      <c r="A2149" s="197">
        <v>46142.973877847224</v>
      </c>
      <c r="B2149" s="100" t="s">
        <v>3884</v>
      </c>
      <c r="C2149" s="100" t="s">
        <v>1688</v>
      </c>
      <c r="D2149" s="100" t="s">
        <v>1689</v>
      </c>
      <c r="E2149" s="198">
        <v>15.0</v>
      </c>
      <c r="F2149" s="199" t="s">
        <v>2679</v>
      </c>
    </row>
    <row r="2150" ht="22.5" customHeight="1">
      <c r="A2150" s="197">
        <v>46142.97387810185</v>
      </c>
      <c r="B2150" s="100" t="s">
        <v>3885</v>
      </c>
      <c r="C2150" s="100" t="s">
        <v>1685</v>
      </c>
      <c r="D2150" s="100" t="s">
        <v>1686</v>
      </c>
      <c r="E2150" s="198">
        <v>17.92</v>
      </c>
      <c r="F2150" s="199" t="s">
        <v>2205</v>
      </c>
    </row>
    <row r="2151" ht="22.5" customHeight="1">
      <c r="A2151" s="197">
        <v>46142.97387810185</v>
      </c>
      <c r="B2151" s="100" t="s">
        <v>3885</v>
      </c>
      <c r="C2151" s="100" t="s">
        <v>1688</v>
      </c>
      <c r="D2151" s="100" t="s">
        <v>1689</v>
      </c>
      <c r="E2151" s="198">
        <v>25.0</v>
      </c>
      <c r="F2151" s="199" t="s">
        <v>2206</v>
      </c>
    </row>
    <row r="2152" ht="22.5" customHeight="1">
      <c r="A2152" s="197">
        <v>46142.97387832176</v>
      </c>
      <c r="B2152" s="100" t="s">
        <v>3886</v>
      </c>
      <c r="C2152" s="100" t="s">
        <v>1685</v>
      </c>
      <c r="D2152" s="100" t="s">
        <v>1686</v>
      </c>
      <c r="E2152" s="198">
        <v>21.69</v>
      </c>
      <c r="F2152" s="199" t="s">
        <v>2685</v>
      </c>
    </row>
    <row r="2153" ht="22.5" customHeight="1">
      <c r="A2153" s="197">
        <v>46142.97387832176</v>
      </c>
      <c r="B2153" s="100" t="s">
        <v>3886</v>
      </c>
      <c r="C2153" s="100" t="s">
        <v>1688</v>
      </c>
      <c r="D2153" s="100" t="s">
        <v>1689</v>
      </c>
      <c r="E2153" s="198">
        <v>40.0</v>
      </c>
      <c r="F2153" s="199" t="s">
        <v>2687</v>
      </c>
    </row>
    <row r="2154" ht="22.5" customHeight="1">
      <c r="A2154" s="197">
        <v>46142.97387858796</v>
      </c>
      <c r="B2154" s="100" t="s">
        <v>3887</v>
      </c>
      <c r="C2154" s="100" t="s">
        <v>1685</v>
      </c>
      <c r="D2154" s="100" t="s">
        <v>1686</v>
      </c>
      <c r="E2154" s="198">
        <v>53.33</v>
      </c>
      <c r="F2154" s="199" t="s">
        <v>2593</v>
      </c>
    </row>
    <row r="2155" ht="22.5" customHeight="1">
      <c r="A2155" s="197">
        <v>46142.97387858796</v>
      </c>
      <c r="B2155" s="100" t="s">
        <v>3887</v>
      </c>
      <c r="C2155" s="100" t="s">
        <v>1688</v>
      </c>
      <c r="D2155" s="100" t="s">
        <v>1689</v>
      </c>
      <c r="E2155" s="198">
        <v>70.0</v>
      </c>
      <c r="F2155" s="199" t="s">
        <v>2594</v>
      </c>
    </row>
    <row r="2156" ht="22.5" customHeight="1">
      <c r="A2156" s="197">
        <v>46142.97387880787</v>
      </c>
      <c r="B2156" s="100" t="s">
        <v>3889</v>
      </c>
      <c r="C2156" s="100" t="s">
        <v>1685</v>
      </c>
      <c r="D2156" s="100" t="s">
        <v>1686</v>
      </c>
      <c r="E2156" s="198">
        <v>17.92</v>
      </c>
      <c r="F2156" s="199" t="s">
        <v>2202</v>
      </c>
    </row>
    <row r="2157" ht="22.5" customHeight="1">
      <c r="A2157" s="197">
        <v>46142.97387880787</v>
      </c>
      <c r="B2157" s="100" t="s">
        <v>3889</v>
      </c>
      <c r="C2157" s="100" t="s">
        <v>1688</v>
      </c>
      <c r="D2157" s="100" t="s">
        <v>1689</v>
      </c>
      <c r="E2157" s="198">
        <v>25.0</v>
      </c>
      <c r="F2157" s="199" t="s">
        <v>2203</v>
      </c>
    </row>
    <row r="2158" ht="22.5" customHeight="1">
      <c r="A2158" s="197">
        <v>46142.97387908565</v>
      </c>
      <c r="B2158" s="100" t="s">
        <v>3890</v>
      </c>
      <c r="C2158" s="100" t="s">
        <v>1685</v>
      </c>
      <c r="D2158" s="100" t="s">
        <v>1686</v>
      </c>
      <c r="E2158" s="198">
        <v>167.0</v>
      </c>
      <c r="F2158" s="199" t="s">
        <v>2835</v>
      </c>
    </row>
    <row r="2159" ht="22.5" customHeight="1">
      <c r="A2159" s="197">
        <v>46142.97387908565</v>
      </c>
      <c r="B2159" s="100" t="s">
        <v>3890</v>
      </c>
      <c r="C2159" s="100" t="s">
        <v>1688</v>
      </c>
      <c r="D2159" s="100" t="s">
        <v>1689</v>
      </c>
      <c r="E2159" s="198">
        <v>220.0</v>
      </c>
      <c r="F2159" s="199" t="s">
        <v>2836</v>
      </c>
    </row>
    <row r="2160" ht="22.5" customHeight="1">
      <c r="A2160" s="197">
        <v>46142.97387931713</v>
      </c>
      <c r="B2160" s="100" t="s">
        <v>3892</v>
      </c>
      <c r="C2160" s="100" t="s">
        <v>1685</v>
      </c>
      <c r="D2160" s="100" t="s">
        <v>1686</v>
      </c>
      <c r="E2160" s="198">
        <v>30.0</v>
      </c>
      <c r="F2160" s="199" t="s">
        <v>2609</v>
      </c>
    </row>
    <row r="2161" ht="22.5" customHeight="1">
      <c r="A2161" s="197">
        <v>46142.97387931713</v>
      </c>
      <c r="B2161" s="100" t="s">
        <v>3892</v>
      </c>
      <c r="C2161" s="100" t="s">
        <v>1688</v>
      </c>
      <c r="D2161" s="100" t="s">
        <v>1689</v>
      </c>
      <c r="E2161" s="198">
        <v>40.0</v>
      </c>
      <c r="F2161" s="199" t="s">
        <v>2610</v>
      </c>
    </row>
    <row r="2162" ht="22.5" customHeight="1">
      <c r="A2162" s="197">
        <v>46142.97387956019</v>
      </c>
      <c r="B2162" s="100" t="s">
        <v>3894</v>
      </c>
      <c r="C2162" s="100" t="s">
        <v>1685</v>
      </c>
      <c r="D2162" s="100" t="s">
        <v>1686</v>
      </c>
      <c r="E2162" s="198">
        <v>95.0</v>
      </c>
      <c r="F2162" s="199" t="s">
        <v>3895</v>
      </c>
    </row>
    <row r="2163" ht="22.5" customHeight="1">
      <c r="A2163" s="197">
        <v>46142.97387956019</v>
      </c>
      <c r="B2163" s="100" t="s">
        <v>3894</v>
      </c>
      <c r="C2163" s="100" t="s">
        <v>1688</v>
      </c>
      <c r="D2163" s="100" t="s">
        <v>1689</v>
      </c>
      <c r="E2163" s="198">
        <v>130.0</v>
      </c>
      <c r="F2163" s="199" t="s">
        <v>3897</v>
      </c>
    </row>
    <row r="2164" ht="22.5" customHeight="1">
      <c r="A2164" s="197">
        <v>46142.973879826386</v>
      </c>
      <c r="B2164" s="100" t="s">
        <v>3898</v>
      </c>
      <c r="C2164" s="100" t="s">
        <v>1685</v>
      </c>
      <c r="D2164" s="100" t="s">
        <v>1686</v>
      </c>
      <c r="E2164" s="198">
        <v>35.0</v>
      </c>
      <c r="F2164" s="199" t="s">
        <v>2137</v>
      </c>
    </row>
    <row r="2165" ht="22.5" customHeight="1">
      <c r="A2165" s="197">
        <v>46142.973879826386</v>
      </c>
      <c r="B2165" s="100" t="s">
        <v>3898</v>
      </c>
      <c r="C2165" s="100" t="s">
        <v>1688</v>
      </c>
      <c r="D2165" s="100" t="s">
        <v>1689</v>
      </c>
      <c r="E2165" s="198">
        <v>50.0</v>
      </c>
      <c r="F2165" s="199" t="s">
        <v>2138</v>
      </c>
    </row>
    <row r="2166" ht="22.5" customHeight="1">
      <c r="A2166" s="197">
        <v>46142.97388010417</v>
      </c>
      <c r="B2166" s="100" t="s">
        <v>3900</v>
      </c>
      <c r="C2166" s="100" t="s">
        <v>1685</v>
      </c>
      <c r="D2166" s="100" t="s">
        <v>1686</v>
      </c>
      <c r="E2166" s="198">
        <v>23.22</v>
      </c>
      <c r="F2166" s="199" t="s">
        <v>3083</v>
      </c>
    </row>
    <row r="2167" ht="22.5" customHeight="1">
      <c r="A2167" s="197">
        <v>46142.97388010417</v>
      </c>
      <c r="B2167" s="100" t="s">
        <v>3900</v>
      </c>
      <c r="C2167" s="100" t="s">
        <v>1688</v>
      </c>
      <c r="D2167" s="100" t="s">
        <v>1689</v>
      </c>
      <c r="E2167" s="198">
        <v>45.0</v>
      </c>
      <c r="F2167" s="199" t="s">
        <v>3084</v>
      </c>
    </row>
    <row r="2168" ht="22.5" customHeight="1">
      <c r="A2168" s="197">
        <v>46142.97388041667</v>
      </c>
      <c r="B2168" s="100" t="s">
        <v>3901</v>
      </c>
      <c r="C2168" s="100" t="s">
        <v>1685</v>
      </c>
      <c r="D2168" s="100" t="s">
        <v>1686</v>
      </c>
      <c r="E2168" s="198">
        <v>8.33</v>
      </c>
      <c r="F2168" s="199" t="s">
        <v>3903</v>
      </c>
    </row>
    <row r="2169" ht="22.5" customHeight="1">
      <c r="A2169" s="197">
        <v>46142.97388041667</v>
      </c>
      <c r="B2169" s="100" t="s">
        <v>3901</v>
      </c>
      <c r="C2169" s="100" t="s">
        <v>1688</v>
      </c>
      <c r="D2169" s="100" t="s">
        <v>1689</v>
      </c>
      <c r="E2169" s="198">
        <v>10.0</v>
      </c>
      <c r="F2169" s="199" t="s">
        <v>3905</v>
      </c>
    </row>
    <row r="2170" ht="22.5" customHeight="1">
      <c r="A2170" s="197">
        <v>46142.97388060185</v>
      </c>
      <c r="B2170" s="100" t="s">
        <v>3906</v>
      </c>
      <c r="C2170" s="100" t="s">
        <v>1685</v>
      </c>
      <c r="D2170" s="100" t="s">
        <v>1686</v>
      </c>
      <c r="E2170" s="198">
        <v>175.0</v>
      </c>
      <c r="F2170" s="100" t="s">
        <v>3907</v>
      </c>
    </row>
    <row r="2171" ht="22.5" customHeight="1">
      <c r="A2171" s="197">
        <v>46142.97388060185</v>
      </c>
      <c r="B2171" s="100" t="s">
        <v>3906</v>
      </c>
      <c r="C2171" s="100" t="s">
        <v>1688</v>
      </c>
      <c r="D2171" s="100" t="s">
        <v>1689</v>
      </c>
      <c r="E2171" s="198">
        <v>210.0</v>
      </c>
      <c r="F2171" s="100" t="s">
        <v>3909</v>
      </c>
    </row>
    <row r="2172" ht="22.5" customHeight="1">
      <c r="A2172" s="197">
        <v>46142.97388082176</v>
      </c>
      <c r="B2172" s="100" t="s">
        <v>3910</v>
      </c>
      <c r="C2172" s="100" t="s">
        <v>1685</v>
      </c>
      <c r="D2172" s="100" t="s">
        <v>1686</v>
      </c>
      <c r="E2172" s="198">
        <v>15.0</v>
      </c>
      <c r="F2172" s="199" t="s">
        <v>3749</v>
      </c>
    </row>
    <row r="2173" ht="22.5" customHeight="1">
      <c r="A2173" s="197">
        <v>46142.97388082176</v>
      </c>
      <c r="B2173" s="100" t="s">
        <v>3910</v>
      </c>
      <c r="C2173" s="100" t="s">
        <v>1688</v>
      </c>
      <c r="D2173" s="100" t="s">
        <v>1689</v>
      </c>
      <c r="E2173" s="198">
        <v>25.0</v>
      </c>
      <c r="F2173" s="199" t="s">
        <v>3750</v>
      </c>
    </row>
    <row r="2174" ht="22.5" customHeight="1">
      <c r="A2174" s="197">
        <v>46142.97388100694</v>
      </c>
      <c r="B2174" s="100" t="s">
        <v>3912</v>
      </c>
      <c r="C2174" s="100" t="s">
        <v>1685</v>
      </c>
      <c r="D2174" s="100" t="s">
        <v>1686</v>
      </c>
      <c r="E2174" s="198">
        <v>175.0</v>
      </c>
      <c r="F2174" s="199" t="s">
        <v>3913</v>
      </c>
    </row>
    <row r="2175" ht="22.5" customHeight="1">
      <c r="A2175" s="197">
        <v>46142.97388100694</v>
      </c>
      <c r="B2175" s="100" t="s">
        <v>3912</v>
      </c>
      <c r="C2175" s="100" t="s">
        <v>1688</v>
      </c>
      <c r="D2175" s="100" t="s">
        <v>1689</v>
      </c>
      <c r="E2175" s="198">
        <v>250.0</v>
      </c>
      <c r="F2175" s="199" t="s">
        <v>3914</v>
      </c>
    </row>
    <row r="2176" ht="22.5" customHeight="1">
      <c r="A2176" s="197">
        <v>46142.97388118056</v>
      </c>
      <c r="B2176" s="100" t="s">
        <v>3916</v>
      </c>
      <c r="C2176" s="100" t="s">
        <v>1685</v>
      </c>
      <c r="D2176" s="100" t="s">
        <v>1686</v>
      </c>
      <c r="E2176" s="198">
        <v>315.0</v>
      </c>
      <c r="F2176" s="199" t="s">
        <v>2427</v>
      </c>
    </row>
    <row r="2177" ht="22.5" customHeight="1">
      <c r="A2177" s="197">
        <v>46142.97388118056</v>
      </c>
      <c r="B2177" s="100" t="s">
        <v>3916</v>
      </c>
      <c r="C2177" s="100" t="s">
        <v>1688</v>
      </c>
      <c r="D2177" s="100" t="s">
        <v>1689</v>
      </c>
      <c r="E2177" s="198">
        <v>400.0</v>
      </c>
      <c r="F2177" s="199" t="s">
        <v>2428</v>
      </c>
    </row>
    <row r="2178" ht="22.5" customHeight="1">
      <c r="A2178" s="197">
        <v>46142.97388148148</v>
      </c>
      <c r="B2178" s="100" t="s">
        <v>3917</v>
      </c>
      <c r="C2178" s="100" t="s">
        <v>1685</v>
      </c>
      <c r="D2178" s="100" t="s">
        <v>1686</v>
      </c>
      <c r="E2178" s="198">
        <v>50.0</v>
      </c>
      <c r="F2178" s="199" t="s">
        <v>3597</v>
      </c>
    </row>
    <row r="2179" ht="22.5" customHeight="1">
      <c r="A2179" s="197">
        <v>46142.97388148148</v>
      </c>
      <c r="B2179" s="100" t="s">
        <v>3917</v>
      </c>
      <c r="C2179" s="100" t="s">
        <v>1688</v>
      </c>
      <c r="D2179" s="100" t="s">
        <v>1689</v>
      </c>
      <c r="E2179" s="198">
        <v>100.0</v>
      </c>
      <c r="F2179" s="199" t="s">
        <v>3599</v>
      </c>
    </row>
    <row r="2180" ht="22.5" customHeight="1">
      <c r="A2180" s="197">
        <v>46142.97388171296</v>
      </c>
      <c r="B2180" s="100" t="s">
        <v>3919</v>
      </c>
      <c r="C2180" s="100" t="s">
        <v>1685</v>
      </c>
      <c r="D2180" s="100" t="s">
        <v>1686</v>
      </c>
      <c r="E2180" s="198">
        <v>7.2</v>
      </c>
      <c r="F2180" s="100" t="s">
        <v>2247</v>
      </c>
    </row>
    <row r="2181" ht="22.5" customHeight="1">
      <c r="A2181" s="197">
        <v>46142.97388171296</v>
      </c>
      <c r="B2181" s="100" t="s">
        <v>3919</v>
      </c>
      <c r="C2181" s="100" t="s">
        <v>1688</v>
      </c>
      <c r="D2181" s="100" t="s">
        <v>1689</v>
      </c>
      <c r="E2181" s="198">
        <v>20.0</v>
      </c>
      <c r="F2181" s="100" t="s">
        <v>2250</v>
      </c>
    </row>
    <row r="2182" ht="22.5" customHeight="1">
      <c r="A2182" s="197">
        <v>46142.97388189815</v>
      </c>
      <c r="B2182" s="100" t="s">
        <v>3921</v>
      </c>
      <c r="C2182" s="100" t="s">
        <v>1685</v>
      </c>
      <c r="D2182" s="100" t="s">
        <v>1686</v>
      </c>
      <c r="E2182" s="198">
        <v>140.0</v>
      </c>
      <c r="F2182" s="199" t="s">
        <v>1742</v>
      </c>
    </row>
    <row r="2183" ht="22.5" customHeight="1">
      <c r="A2183" s="197">
        <v>46142.97388189815</v>
      </c>
      <c r="B2183" s="100" t="s">
        <v>3921</v>
      </c>
      <c r="C2183" s="100" t="s">
        <v>1688</v>
      </c>
      <c r="D2183" s="100" t="s">
        <v>1689</v>
      </c>
      <c r="E2183" s="198">
        <v>170.0</v>
      </c>
      <c r="F2183" s="199" t="s">
        <v>1743</v>
      </c>
    </row>
    <row r="2184" ht="22.5" customHeight="1">
      <c r="A2184" s="197">
        <v>46142.973882094906</v>
      </c>
      <c r="B2184" s="100" t="s">
        <v>3923</v>
      </c>
      <c r="C2184" s="100" t="s">
        <v>1685</v>
      </c>
      <c r="D2184" s="100" t="s">
        <v>1686</v>
      </c>
      <c r="E2184" s="198">
        <v>260.0</v>
      </c>
      <c r="F2184" s="100" t="s">
        <v>2814</v>
      </c>
    </row>
    <row r="2185" ht="22.5" customHeight="1">
      <c r="A2185" s="197">
        <v>46142.973882094906</v>
      </c>
      <c r="B2185" s="100" t="s">
        <v>3923</v>
      </c>
      <c r="C2185" s="100" t="s">
        <v>1688</v>
      </c>
      <c r="D2185" s="100" t="s">
        <v>1689</v>
      </c>
      <c r="E2185" s="198">
        <v>300.0</v>
      </c>
      <c r="F2185" s="100" t="s">
        <v>2815</v>
      </c>
    </row>
    <row r="2186" ht="22.5" customHeight="1">
      <c r="A2186" s="197">
        <v>46142.97388229167</v>
      </c>
      <c r="B2186" s="100" t="s">
        <v>3925</v>
      </c>
      <c r="C2186" s="100" t="s">
        <v>1685</v>
      </c>
      <c r="D2186" s="100" t="s">
        <v>1686</v>
      </c>
      <c r="E2186" s="198">
        <v>12.5</v>
      </c>
      <c r="F2186" s="199" t="s">
        <v>2743</v>
      </c>
    </row>
    <row r="2187" ht="22.5" customHeight="1">
      <c r="A2187" s="197">
        <v>46142.97388229167</v>
      </c>
      <c r="B2187" s="100" t="s">
        <v>3925</v>
      </c>
      <c r="C2187" s="100" t="s">
        <v>1688</v>
      </c>
      <c r="D2187" s="100" t="s">
        <v>1689</v>
      </c>
      <c r="E2187" s="198">
        <v>30.0</v>
      </c>
      <c r="F2187" s="199" t="s">
        <v>2745</v>
      </c>
    </row>
    <row r="2188" ht="22.5" customHeight="1">
      <c r="A2188" s="197">
        <v>46142.97388251158</v>
      </c>
      <c r="B2188" s="100" t="s">
        <v>3927</v>
      </c>
      <c r="C2188" s="100" t="s">
        <v>1685</v>
      </c>
      <c r="D2188" s="100" t="s">
        <v>1686</v>
      </c>
      <c r="E2188" s="198">
        <v>12.5</v>
      </c>
      <c r="F2188" s="199" t="s">
        <v>2743</v>
      </c>
    </row>
    <row r="2189" ht="22.5" customHeight="1">
      <c r="A2189" s="197">
        <v>46142.97388251158</v>
      </c>
      <c r="B2189" s="100" t="s">
        <v>3927</v>
      </c>
      <c r="C2189" s="100" t="s">
        <v>1688</v>
      </c>
      <c r="D2189" s="100" t="s">
        <v>1689</v>
      </c>
      <c r="E2189" s="198">
        <v>30.0</v>
      </c>
      <c r="F2189" s="199" t="s">
        <v>2745</v>
      </c>
    </row>
    <row r="2190" ht="22.5" customHeight="1">
      <c r="A2190" s="197">
        <v>46142.973882708335</v>
      </c>
      <c r="B2190" s="100" t="s">
        <v>3929</v>
      </c>
      <c r="C2190" s="100" t="s">
        <v>1685</v>
      </c>
      <c r="D2190" s="100" t="s">
        <v>1686</v>
      </c>
      <c r="E2190" s="198">
        <v>225.0</v>
      </c>
      <c r="F2190" s="199" t="s">
        <v>3930</v>
      </c>
    </row>
    <row r="2191" ht="22.5" customHeight="1">
      <c r="A2191" s="197">
        <v>46142.973882708335</v>
      </c>
      <c r="B2191" s="100" t="s">
        <v>3929</v>
      </c>
      <c r="C2191" s="100" t="s">
        <v>1688</v>
      </c>
      <c r="D2191" s="100" t="s">
        <v>1689</v>
      </c>
      <c r="E2191" s="198">
        <v>420.0</v>
      </c>
      <c r="F2191" s="199" t="s">
        <v>3932</v>
      </c>
    </row>
    <row r="2192" ht="22.5" customHeight="1">
      <c r="A2192" s="197">
        <v>46142.97388289352</v>
      </c>
      <c r="B2192" s="100" t="s">
        <v>3933</v>
      </c>
      <c r="C2192" s="100" t="s">
        <v>1685</v>
      </c>
      <c r="D2192" s="100" t="s">
        <v>1686</v>
      </c>
      <c r="E2192" s="198">
        <v>175.0</v>
      </c>
      <c r="F2192" s="199" t="s">
        <v>3172</v>
      </c>
    </row>
    <row r="2193" ht="22.5" customHeight="1">
      <c r="A2193" s="197">
        <v>46142.97388289352</v>
      </c>
      <c r="B2193" s="100" t="s">
        <v>3933</v>
      </c>
      <c r="C2193" s="100" t="s">
        <v>1688</v>
      </c>
      <c r="D2193" s="100" t="s">
        <v>1689</v>
      </c>
      <c r="E2193" s="198">
        <v>250.0</v>
      </c>
      <c r="F2193" s="199" t="s">
        <v>3174</v>
      </c>
    </row>
    <row r="2194" ht="22.5" customHeight="1">
      <c r="A2194" s="197">
        <v>46142.97388309028</v>
      </c>
      <c r="B2194" s="100" t="s">
        <v>3935</v>
      </c>
      <c r="C2194" s="100" t="s">
        <v>1685</v>
      </c>
      <c r="D2194" s="100" t="s">
        <v>1686</v>
      </c>
      <c r="E2194" s="198">
        <v>55.0</v>
      </c>
      <c r="F2194" s="199" t="s">
        <v>3718</v>
      </c>
    </row>
    <row r="2195" ht="22.5" customHeight="1">
      <c r="A2195" s="197">
        <v>46142.97388309028</v>
      </c>
      <c r="B2195" s="100" t="s">
        <v>3935</v>
      </c>
      <c r="C2195" s="100" t="s">
        <v>1688</v>
      </c>
      <c r="D2195" s="100" t="s">
        <v>1689</v>
      </c>
      <c r="E2195" s="198">
        <v>75.0</v>
      </c>
      <c r="F2195" s="199" t="s">
        <v>3720</v>
      </c>
    </row>
    <row r="2196" ht="22.5" customHeight="1">
      <c r="A2196" s="197">
        <v>46142.97388327547</v>
      </c>
      <c r="B2196" s="100" t="s">
        <v>3937</v>
      </c>
      <c r="C2196" s="100" t="s">
        <v>1685</v>
      </c>
      <c r="D2196" s="100" t="s">
        <v>1686</v>
      </c>
      <c r="E2196" s="198">
        <v>120.0</v>
      </c>
      <c r="F2196" s="199" t="s">
        <v>3938</v>
      </c>
    </row>
    <row r="2197" ht="22.5" customHeight="1">
      <c r="A2197" s="197">
        <v>46142.97388327547</v>
      </c>
      <c r="B2197" s="100" t="s">
        <v>3937</v>
      </c>
      <c r="C2197" s="100" t="s">
        <v>1688</v>
      </c>
      <c r="D2197" s="100" t="s">
        <v>1689</v>
      </c>
      <c r="E2197" s="198">
        <v>200.0</v>
      </c>
      <c r="F2197" s="199" t="s">
        <v>3940</v>
      </c>
    </row>
    <row r="2198" ht="22.5" customHeight="1">
      <c r="A2198" s="197">
        <v>46142.97388347222</v>
      </c>
      <c r="B2198" s="100" t="s">
        <v>3941</v>
      </c>
      <c r="C2198" s="100" t="s">
        <v>1685</v>
      </c>
      <c r="D2198" s="100" t="s">
        <v>1686</v>
      </c>
      <c r="E2198" s="198">
        <v>60.0</v>
      </c>
      <c r="F2198" s="199" t="s">
        <v>2609</v>
      </c>
    </row>
    <row r="2199" ht="22.5" customHeight="1">
      <c r="A2199" s="197">
        <v>46142.97388347222</v>
      </c>
      <c r="B2199" s="100" t="s">
        <v>3941</v>
      </c>
      <c r="C2199" s="100" t="s">
        <v>1688</v>
      </c>
      <c r="D2199" s="100" t="s">
        <v>1689</v>
      </c>
      <c r="E2199" s="198">
        <v>80.0</v>
      </c>
      <c r="F2199" s="199" t="s">
        <v>2610</v>
      </c>
    </row>
    <row r="2200" ht="22.5" customHeight="1">
      <c r="A2200" s="197">
        <v>46142.97388372685</v>
      </c>
      <c r="B2200" s="100" t="s">
        <v>3943</v>
      </c>
      <c r="C2200" s="100" t="s">
        <v>1685</v>
      </c>
      <c r="D2200" s="100" t="s">
        <v>1686</v>
      </c>
      <c r="E2200" s="198">
        <v>94.5</v>
      </c>
      <c r="F2200" s="100" t="s">
        <v>1701</v>
      </c>
    </row>
    <row r="2201" ht="22.5" customHeight="1">
      <c r="A2201" s="197">
        <v>46142.97388372685</v>
      </c>
      <c r="B2201" s="100" t="s">
        <v>3943</v>
      </c>
      <c r="C2201" s="100" t="s">
        <v>1688</v>
      </c>
      <c r="D2201" s="100" t="s">
        <v>1689</v>
      </c>
      <c r="E2201" s="198">
        <v>150.0</v>
      </c>
      <c r="F2201" s="100" t="s">
        <v>1702</v>
      </c>
    </row>
    <row r="2202" ht="22.5" customHeight="1">
      <c r="A2202" s="197">
        <v>46142.973884004634</v>
      </c>
      <c r="B2202" s="100" t="s">
        <v>3945</v>
      </c>
      <c r="C2202" s="100" t="s">
        <v>1685</v>
      </c>
      <c r="D2202" s="100" t="s">
        <v>1686</v>
      </c>
      <c r="E2202" s="198">
        <v>50.0</v>
      </c>
      <c r="F2202" s="199" t="s">
        <v>2797</v>
      </c>
    </row>
    <row r="2203" ht="22.5" customHeight="1">
      <c r="A2203" s="197">
        <v>46142.973884004634</v>
      </c>
      <c r="B2203" s="100" t="s">
        <v>3945</v>
      </c>
      <c r="C2203" s="100" t="s">
        <v>1688</v>
      </c>
      <c r="D2203" s="100" t="s">
        <v>1689</v>
      </c>
      <c r="E2203" s="198">
        <v>75.0</v>
      </c>
      <c r="F2203" s="199" t="s">
        <v>2798</v>
      </c>
    </row>
    <row r="2204" ht="22.5" customHeight="1">
      <c r="A2204" s="197">
        <v>46142.973884293984</v>
      </c>
      <c r="B2204" s="100" t="s">
        <v>3947</v>
      </c>
      <c r="C2204" s="100" t="s">
        <v>1685</v>
      </c>
      <c r="D2204" s="100" t="s">
        <v>1686</v>
      </c>
      <c r="E2204" s="198">
        <v>27.78</v>
      </c>
      <c r="F2204" s="199" t="s">
        <v>2636</v>
      </c>
    </row>
    <row r="2205" ht="22.5" customHeight="1">
      <c r="A2205" s="197">
        <v>46142.973884293984</v>
      </c>
      <c r="B2205" s="100" t="s">
        <v>3947</v>
      </c>
      <c r="C2205" s="100" t="s">
        <v>1688</v>
      </c>
      <c r="D2205" s="100" t="s">
        <v>1689</v>
      </c>
      <c r="E2205" s="198">
        <v>70.0</v>
      </c>
      <c r="F2205" s="199" t="s">
        <v>2637</v>
      </c>
    </row>
    <row r="2206" ht="22.5" customHeight="1">
      <c r="A2206" s="197">
        <v>46142.97388450231</v>
      </c>
      <c r="B2206" s="100" t="s">
        <v>3949</v>
      </c>
      <c r="C2206" s="100" t="s">
        <v>1685</v>
      </c>
      <c r="D2206" s="100" t="s">
        <v>1686</v>
      </c>
      <c r="E2206" s="198">
        <v>25.0</v>
      </c>
      <c r="F2206" s="199" t="s">
        <v>2088</v>
      </c>
    </row>
    <row r="2207" ht="22.5" customHeight="1">
      <c r="A2207" s="197">
        <v>46142.97388450231</v>
      </c>
      <c r="B2207" s="100" t="s">
        <v>3949</v>
      </c>
      <c r="C2207" s="100" t="s">
        <v>1688</v>
      </c>
      <c r="D2207" s="100" t="s">
        <v>1689</v>
      </c>
      <c r="E2207" s="198">
        <v>50.0</v>
      </c>
      <c r="F2207" s="199" t="s">
        <v>2089</v>
      </c>
    </row>
    <row r="2208" ht="22.5" customHeight="1">
      <c r="A2208" s="197">
        <v>46142.97388472222</v>
      </c>
      <c r="B2208" s="100" t="s">
        <v>3951</v>
      </c>
      <c r="C2208" s="100" t="s">
        <v>1685</v>
      </c>
      <c r="D2208" s="100" t="s">
        <v>1686</v>
      </c>
      <c r="E2208" s="198">
        <v>11.82</v>
      </c>
      <c r="F2208" s="199" t="s">
        <v>2673</v>
      </c>
    </row>
    <row r="2209" ht="22.5" customHeight="1">
      <c r="A2209" s="197">
        <v>46142.97388472222</v>
      </c>
      <c r="B2209" s="100" t="s">
        <v>3951</v>
      </c>
      <c r="C2209" s="100" t="s">
        <v>1688</v>
      </c>
      <c r="D2209" s="100" t="s">
        <v>1689</v>
      </c>
      <c r="E2209" s="198">
        <v>30.0</v>
      </c>
      <c r="F2209" s="199" t="s">
        <v>2675</v>
      </c>
    </row>
    <row r="2210" ht="22.5" customHeight="1">
      <c r="A2210" s="197">
        <v>46142.97388496528</v>
      </c>
      <c r="B2210" s="100" t="s">
        <v>3952</v>
      </c>
      <c r="C2210" s="100" t="s">
        <v>1685</v>
      </c>
      <c r="D2210" s="100" t="s">
        <v>1686</v>
      </c>
      <c r="E2210" s="198">
        <v>229.5</v>
      </c>
      <c r="F2210" s="199" t="s">
        <v>3155</v>
      </c>
    </row>
    <row r="2211" ht="22.5" customHeight="1">
      <c r="A2211" s="197">
        <v>46142.97388496528</v>
      </c>
      <c r="B2211" s="100" t="s">
        <v>3952</v>
      </c>
      <c r="C2211" s="100" t="s">
        <v>1688</v>
      </c>
      <c r="D2211" s="100" t="s">
        <v>1689</v>
      </c>
      <c r="E2211" s="198">
        <v>280.0</v>
      </c>
      <c r="F2211" s="199" t="s">
        <v>3156</v>
      </c>
    </row>
    <row r="2212" ht="22.5" customHeight="1">
      <c r="A2212" s="197">
        <v>46142.97388521991</v>
      </c>
      <c r="B2212" s="100" t="s">
        <v>3954</v>
      </c>
      <c r="C2212" s="100" t="s">
        <v>1685</v>
      </c>
      <c r="D2212" s="100" t="s">
        <v>1686</v>
      </c>
      <c r="E2212" s="198">
        <v>17.92</v>
      </c>
      <c r="F2212" s="199" t="s">
        <v>2202</v>
      </c>
    </row>
    <row r="2213" ht="22.5" customHeight="1">
      <c r="A2213" s="197">
        <v>46142.97388521991</v>
      </c>
      <c r="B2213" s="100" t="s">
        <v>3954</v>
      </c>
      <c r="C2213" s="100" t="s">
        <v>1688</v>
      </c>
      <c r="D2213" s="100" t="s">
        <v>1689</v>
      </c>
      <c r="E2213" s="198">
        <v>25.0</v>
      </c>
      <c r="F2213" s="199" t="s">
        <v>2203</v>
      </c>
    </row>
    <row r="2214" ht="22.5" customHeight="1">
      <c r="A2214" s="197">
        <v>46142.973885451385</v>
      </c>
      <c r="B2214" s="100" t="s">
        <v>3956</v>
      </c>
      <c r="C2214" s="100" t="s">
        <v>1685</v>
      </c>
      <c r="D2214" s="100" t="s">
        <v>1686</v>
      </c>
      <c r="E2214" s="198">
        <v>163.34</v>
      </c>
      <c r="F2214" s="199" t="s">
        <v>2805</v>
      </c>
    </row>
    <row r="2215" ht="22.5" customHeight="1">
      <c r="A2215" s="197">
        <v>46142.973885451385</v>
      </c>
      <c r="B2215" s="100" t="s">
        <v>3956</v>
      </c>
      <c r="C2215" s="100" t="s">
        <v>1688</v>
      </c>
      <c r="D2215" s="100" t="s">
        <v>1689</v>
      </c>
      <c r="E2215" s="198">
        <v>200.0</v>
      </c>
      <c r="F2215" s="199" t="s">
        <v>2806</v>
      </c>
    </row>
    <row r="2216" ht="22.5" customHeight="1">
      <c r="A2216" s="197">
        <v>46142.97388568287</v>
      </c>
      <c r="B2216" s="100" t="s">
        <v>3958</v>
      </c>
      <c r="C2216" s="100" t="s">
        <v>1685</v>
      </c>
      <c r="D2216" s="100" t="s">
        <v>1686</v>
      </c>
      <c r="E2216" s="198">
        <v>135.0</v>
      </c>
      <c r="F2216" s="199" t="s">
        <v>2753</v>
      </c>
    </row>
    <row r="2217" ht="22.5" customHeight="1">
      <c r="A2217" s="197">
        <v>46142.97388568287</v>
      </c>
      <c r="B2217" s="100" t="s">
        <v>3958</v>
      </c>
      <c r="C2217" s="100" t="s">
        <v>1688</v>
      </c>
      <c r="D2217" s="100" t="s">
        <v>1689</v>
      </c>
      <c r="E2217" s="198">
        <v>150.0</v>
      </c>
      <c r="F2217" s="199" t="s">
        <v>2755</v>
      </c>
    </row>
    <row r="2218" ht="22.5" customHeight="1">
      <c r="A2218" s="197">
        <v>46142.97388590278</v>
      </c>
      <c r="B2218" s="100" t="s">
        <v>3960</v>
      </c>
      <c r="C2218" s="100" t="s">
        <v>1685</v>
      </c>
      <c r="D2218" s="100" t="s">
        <v>1686</v>
      </c>
      <c r="E2218" s="198">
        <v>206.11</v>
      </c>
      <c r="F2218" s="199" t="s">
        <v>2427</v>
      </c>
    </row>
    <row r="2219" ht="22.5" customHeight="1">
      <c r="A2219" s="197">
        <v>46142.97388590278</v>
      </c>
      <c r="B2219" s="100" t="s">
        <v>3960</v>
      </c>
      <c r="C2219" s="100" t="s">
        <v>1688</v>
      </c>
      <c r="D2219" s="100" t="s">
        <v>1689</v>
      </c>
      <c r="E2219" s="198">
        <v>430.0</v>
      </c>
      <c r="F2219" s="199" t="s">
        <v>2428</v>
      </c>
    </row>
    <row r="2220" ht="22.5" customHeight="1">
      <c r="A2220" s="197">
        <v>46142.97388613426</v>
      </c>
      <c r="B2220" s="100" t="s">
        <v>3962</v>
      </c>
      <c r="C2220" s="100" t="s">
        <v>1685</v>
      </c>
      <c r="D2220" s="100" t="s">
        <v>1686</v>
      </c>
      <c r="E2220" s="198">
        <v>35.0</v>
      </c>
      <c r="F2220" s="199" t="s">
        <v>2860</v>
      </c>
    </row>
    <row r="2221" ht="22.5" customHeight="1">
      <c r="A2221" s="197">
        <v>46142.97388613426</v>
      </c>
      <c r="B2221" s="100" t="s">
        <v>3962</v>
      </c>
      <c r="C2221" s="100" t="s">
        <v>1688</v>
      </c>
      <c r="D2221" s="100" t="s">
        <v>1689</v>
      </c>
      <c r="E2221" s="198">
        <v>50.0</v>
      </c>
      <c r="F2221" s="199" t="s">
        <v>2862</v>
      </c>
    </row>
    <row r="2222" ht="22.5" customHeight="1">
      <c r="A2222" s="197">
        <v>46142.97388631944</v>
      </c>
      <c r="B2222" s="100" t="s">
        <v>3964</v>
      </c>
      <c r="C2222" s="100" t="s">
        <v>1685</v>
      </c>
      <c r="D2222" s="100" t="s">
        <v>1686</v>
      </c>
      <c r="E2222" s="198">
        <v>200.0</v>
      </c>
      <c r="F2222" s="199" t="s">
        <v>3761</v>
      </c>
    </row>
    <row r="2223" ht="22.5" customHeight="1">
      <c r="A2223" s="197">
        <v>46142.97388631944</v>
      </c>
      <c r="B2223" s="100" t="s">
        <v>3964</v>
      </c>
      <c r="C2223" s="100" t="s">
        <v>1688</v>
      </c>
      <c r="D2223" s="100" t="s">
        <v>1689</v>
      </c>
      <c r="E2223" s="198">
        <v>320.0</v>
      </c>
      <c r="F2223" s="199" t="s">
        <v>3763</v>
      </c>
    </row>
    <row r="2224" ht="22.5" customHeight="1">
      <c r="A2224" s="197">
        <v>46142.97388651621</v>
      </c>
      <c r="B2224" s="100" t="s">
        <v>3965</v>
      </c>
      <c r="C2224" s="100" t="s">
        <v>1685</v>
      </c>
      <c r="D2224" s="100" t="s">
        <v>1686</v>
      </c>
      <c r="E2224" s="198">
        <v>8.57</v>
      </c>
      <c r="F2224" s="199" t="s">
        <v>2468</v>
      </c>
    </row>
    <row r="2225" ht="22.5" customHeight="1">
      <c r="A2225" s="197">
        <v>46142.97388651621</v>
      </c>
      <c r="B2225" s="100" t="s">
        <v>3965</v>
      </c>
      <c r="C2225" s="100" t="s">
        <v>1688</v>
      </c>
      <c r="D2225" s="100" t="s">
        <v>1689</v>
      </c>
      <c r="E2225" s="198">
        <v>20.0</v>
      </c>
      <c r="F2225" s="199" t="s">
        <v>2470</v>
      </c>
    </row>
    <row r="2226" ht="22.5" customHeight="1">
      <c r="A2226" s="197">
        <v>46142.973886747684</v>
      </c>
      <c r="B2226" s="100" t="s">
        <v>3967</v>
      </c>
      <c r="C2226" s="100" t="s">
        <v>1685</v>
      </c>
      <c r="D2226" s="100" t="s">
        <v>1686</v>
      </c>
      <c r="E2226" s="198">
        <v>81.67</v>
      </c>
      <c r="F2226" s="199" t="s">
        <v>2805</v>
      </c>
    </row>
    <row r="2227" ht="22.5" customHeight="1">
      <c r="A2227" s="197">
        <v>46142.973886747684</v>
      </c>
      <c r="B2227" s="100" t="s">
        <v>3967</v>
      </c>
      <c r="C2227" s="100" t="s">
        <v>1688</v>
      </c>
      <c r="D2227" s="100" t="s">
        <v>1689</v>
      </c>
      <c r="E2227" s="198">
        <v>100.0</v>
      </c>
      <c r="F2227" s="199" t="s">
        <v>2806</v>
      </c>
    </row>
    <row r="2228" ht="22.5" customHeight="1">
      <c r="A2228" s="197">
        <v>46142.97388710648</v>
      </c>
      <c r="B2228" s="100" t="s">
        <v>3970</v>
      </c>
      <c r="C2228" s="100" t="s">
        <v>1685</v>
      </c>
      <c r="D2228" s="100" t="s">
        <v>1686</v>
      </c>
      <c r="E2228" s="198">
        <v>53.33</v>
      </c>
      <c r="F2228" s="199" t="s">
        <v>2593</v>
      </c>
    </row>
    <row r="2229" ht="22.5" customHeight="1">
      <c r="A2229" s="197">
        <v>46142.97388710648</v>
      </c>
      <c r="B2229" s="100" t="s">
        <v>3970</v>
      </c>
      <c r="C2229" s="100" t="s">
        <v>1688</v>
      </c>
      <c r="D2229" s="100" t="s">
        <v>1689</v>
      </c>
      <c r="E2229" s="198">
        <v>70.0</v>
      </c>
      <c r="F2229" s="199" t="s">
        <v>2594</v>
      </c>
    </row>
    <row r="2230" ht="22.5" customHeight="1">
      <c r="A2230" s="197">
        <v>46143.66956546296</v>
      </c>
      <c r="B2230" s="100" t="s">
        <v>3973</v>
      </c>
      <c r="C2230" s="100" t="s">
        <v>1685</v>
      </c>
      <c r="D2230" s="100" t="s">
        <v>1686</v>
      </c>
      <c r="E2230" s="198">
        <v>18.34</v>
      </c>
      <c r="F2230" s="199" t="s">
        <v>1859</v>
      </c>
    </row>
    <row r="2231" ht="22.5" customHeight="1">
      <c r="A2231" s="197">
        <v>46143.66956547454</v>
      </c>
      <c r="B2231" s="100" t="s">
        <v>3973</v>
      </c>
      <c r="C2231" s="100" t="s">
        <v>1688</v>
      </c>
      <c r="D2231" s="100" t="s">
        <v>1689</v>
      </c>
      <c r="E2231" s="198">
        <v>50.0</v>
      </c>
      <c r="F2231" s="199" t="s">
        <v>1860</v>
      </c>
    </row>
    <row r="2232" ht="22.5" customHeight="1">
      <c r="A2232" s="197">
        <v>46149.49905721065</v>
      </c>
      <c r="B2232" s="100" t="s">
        <v>3975</v>
      </c>
      <c r="C2232" s="100" t="s">
        <v>1685</v>
      </c>
      <c r="D2232" s="100" t="s">
        <v>1686</v>
      </c>
      <c r="E2232" s="198">
        <v>30.0</v>
      </c>
      <c r="F2232" s="199" t="s">
        <v>3089</v>
      </c>
    </row>
    <row r="2233" ht="22.5" customHeight="1">
      <c r="A2233" s="197">
        <v>46149.49905721065</v>
      </c>
      <c r="B2233" s="100" t="s">
        <v>3975</v>
      </c>
      <c r="C2233" s="100" t="s">
        <v>1688</v>
      </c>
      <c r="D2233" s="100" t="s">
        <v>1689</v>
      </c>
      <c r="E2233" s="198">
        <v>59.97</v>
      </c>
      <c r="F2233" s="199" t="s">
        <v>3090</v>
      </c>
    </row>
    <row r="2234" ht="22.5" customHeight="1">
      <c r="A2234" s="197">
        <v>46149.49905759259</v>
      </c>
      <c r="B2234" s="100" t="s">
        <v>3976</v>
      </c>
      <c r="C2234" s="100" t="s">
        <v>1685</v>
      </c>
      <c r="D2234" s="100" t="s">
        <v>1686</v>
      </c>
      <c r="E2234" s="198">
        <v>45.0</v>
      </c>
      <c r="F2234" s="199" t="s">
        <v>2609</v>
      </c>
    </row>
    <row r="2235" ht="22.5" customHeight="1">
      <c r="A2235" s="197">
        <v>46149.49905759259</v>
      </c>
      <c r="B2235" s="100" t="s">
        <v>3976</v>
      </c>
      <c r="C2235" s="100" t="s">
        <v>1688</v>
      </c>
      <c r="D2235" s="100" t="s">
        <v>1689</v>
      </c>
      <c r="E2235" s="198">
        <v>59.97</v>
      </c>
      <c r="F2235" s="199" t="s">
        <v>2610</v>
      </c>
    </row>
    <row r="2236" ht="22.5" customHeight="1">
      <c r="A2236" s="197">
        <v>46149.49905795139</v>
      </c>
      <c r="B2236" s="100" t="s">
        <v>3977</v>
      </c>
      <c r="C2236" s="100" t="s">
        <v>1685</v>
      </c>
      <c r="D2236" s="100" t="s">
        <v>1686</v>
      </c>
      <c r="E2236" s="198">
        <v>334.0</v>
      </c>
      <c r="F2236" s="199" t="s">
        <v>3137</v>
      </c>
    </row>
    <row r="2237" ht="22.5" customHeight="1">
      <c r="A2237" s="197">
        <v>46149.49905795139</v>
      </c>
      <c r="B2237" s="100" t="s">
        <v>3977</v>
      </c>
      <c r="C2237" s="100" t="s">
        <v>1688</v>
      </c>
      <c r="D2237" s="100" t="s">
        <v>1689</v>
      </c>
      <c r="E2237" s="198">
        <v>419.58</v>
      </c>
      <c r="F2237" s="199" t="s">
        <v>3138</v>
      </c>
    </row>
    <row r="2238" ht="22.5" customHeight="1">
      <c r="A2238" s="197">
        <v>46149.499058368056</v>
      </c>
      <c r="B2238" s="100" t="s">
        <v>3978</v>
      </c>
      <c r="C2238" s="100" t="s">
        <v>1685</v>
      </c>
      <c r="D2238" s="100" t="s">
        <v>1686</v>
      </c>
      <c r="E2238" s="198">
        <v>90.0</v>
      </c>
      <c r="F2238" s="199" t="s">
        <v>2609</v>
      </c>
    </row>
    <row r="2239" ht="22.5" customHeight="1">
      <c r="A2239" s="197">
        <v>46149.499058368056</v>
      </c>
      <c r="B2239" s="100" t="s">
        <v>3978</v>
      </c>
      <c r="C2239" s="100" t="s">
        <v>1688</v>
      </c>
      <c r="D2239" s="100" t="s">
        <v>1689</v>
      </c>
      <c r="E2239" s="198">
        <v>119.94</v>
      </c>
      <c r="F2239" s="199" t="s">
        <v>2610</v>
      </c>
    </row>
    <row r="2240" ht="22.5" customHeight="1">
      <c r="A2240" s="197">
        <v>46149.49905857639</v>
      </c>
      <c r="B2240" s="100" t="s">
        <v>3979</v>
      </c>
      <c r="C2240" s="100" t="s">
        <v>1685</v>
      </c>
      <c r="D2240" s="100" t="s">
        <v>1686</v>
      </c>
      <c r="E2240" s="198">
        <v>175.0</v>
      </c>
      <c r="F2240" s="199" t="s">
        <v>3172</v>
      </c>
    </row>
    <row r="2241" ht="22.5" customHeight="1">
      <c r="A2241" s="197">
        <v>46149.49905857639</v>
      </c>
      <c r="B2241" s="100" t="s">
        <v>3979</v>
      </c>
      <c r="C2241" s="100" t="s">
        <v>1688</v>
      </c>
      <c r="D2241" s="100" t="s">
        <v>1689</v>
      </c>
      <c r="E2241" s="198">
        <v>294.71</v>
      </c>
      <c r="F2241" s="199" t="s">
        <v>3174</v>
      </c>
    </row>
    <row r="2242" ht="22.5" customHeight="1">
      <c r="A2242" s="197">
        <v>46149.4990587963</v>
      </c>
      <c r="B2242" s="100" t="s">
        <v>3980</v>
      </c>
      <c r="C2242" s="100" t="s">
        <v>1685</v>
      </c>
      <c r="D2242" s="100" t="s">
        <v>1686</v>
      </c>
      <c r="E2242" s="198">
        <v>55.0</v>
      </c>
      <c r="F2242" s="199" t="s">
        <v>3178</v>
      </c>
    </row>
    <row r="2243" ht="22.5" customHeight="1">
      <c r="A2243" s="197">
        <v>46149.4990587963</v>
      </c>
      <c r="B2243" s="100" t="s">
        <v>3980</v>
      </c>
      <c r="C2243" s="100" t="s">
        <v>1688</v>
      </c>
      <c r="D2243" s="100" t="s">
        <v>1689</v>
      </c>
      <c r="E2243" s="198">
        <v>74.95</v>
      </c>
      <c r="F2243" s="199" t="s">
        <v>3180</v>
      </c>
    </row>
    <row r="2244" ht="22.5" customHeight="1">
      <c r="A2244" s="197">
        <v>46149.499059027774</v>
      </c>
      <c r="B2244" s="100" t="s">
        <v>3981</v>
      </c>
      <c r="C2244" s="100" t="s">
        <v>1685</v>
      </c>
      <c r="D2244" s="100" t="s">
        <v>1686</v>
      </c>
      <c r="E2244" s="198">
        <v>29.0</v>
      </c>
      <c r="F2244" s="100" t="s">
        <v>2209</v>
      </c>
    </row>
    <row r="2245" ht="22.5" customHeight="1">
      <c r="A2245" s="197">
        <v>46149.499059027774</v>
      </c>
      <c r="B2245" s="100" t="s">
        <v>3981</v>
      </c>
      <c r="C2245" s="100" t="s">
        <v>1688</v>
      </c>
      <c r="D2245" s="100" t="s">
        <v>1689</v>
      </c>
      <c r="E2245" s="198">
        <v>49.98</v>
      </c>
      <c r="F2245" s="100" t="s">
        <v>2210</v>
      </c>
    </row>
    <row r="2246" ht="22.5" customHeight="1">
      <c r="A2246" s="197">
        <v>46149.49905940972</v>
      </c>
      <c r="B2246" s="100" t="s">
        <v>3987</v>
      </c>
      <c r="C2246" s="100" t="s">
        <v>1685</v>
      </c>
      <c r="D2246" s="100" t="s">
        <v>1686</v>
      </c>
      <c r="E2246" s="198">
        <v>80.0</v>
      </c>
      <c r="F2246" s="199" t="s">
        <v>2059</v>
      </c>
    </row>
    <row r="2247" ht="22.5" customHeight="1">
      <c r="A2247" s="197">
        <v>46149.49905940972</v>
      </c>
      <c r="B2247" s="100" t="s">
        <v>3987</v>
      </c>
      <c r="C2247" s="100" t="s">
        <v>1688</v>
      </c>
      <c r="D2247" s="100" t="s">
        <v>1689</v>
      </c>
      <c r="E2247" s="198">
        <v>119.94</v>
      </c>
      <c r="F2247" s="199" t="s">
        <v>2060</v>
      </c>
    </row>
    <row r="2248" ht="22.5" customHeight="1">
      <c r="A2248" s="197">
        <v>46149.4990596412</v>
      </c>
      <c r="B2248" s="100" t="s">
        <v>3989</v>
      </c>
      <c r="C2248" s="100" t="s">
        <v>1685</v>
      </c>
      <c r="D2248" s="100" t="s">
        <v>1686</v>
      </c>
      <c r="E2248" s="198">
        <v>55.0</v>
      </c>
      <c r="F2248" s="199" t="s">
        <v>3990</v>
      </c>
    </row>
    <row r="2249" ht="22.5" customHeight="1">
      <c r="A2249" s="197">
        <v>46149.4990596412</v>
      </c>
      <c r="B2249" s="100" t="s">
        <v>3989</v>
      </c>
      <c r="C2249" s="100" t="s">
        <v>1688</v>
      </c>
      <c r="D2249" s="100" t="s">
        <v>1689</v>
      </c>
      <c r="E2249" s="198">
        <v>60.0</v>
      </c>
      <c r="F2249" s="199" t="s">
        <v>3991</v>
      </c>
    </row>
    <row r="2250" ht="22.5" customHeight="1">
      <c r="A2250" s="197">
        <v>46149.499059884256</v>
      </c>
      <c r="B2250" s="100" t="s">
        <v>3992</v>
      </c>
      <c r="C2250" s="100" t="s">
        <v>1685</v>
      </c>
      <c r="D2250" s="100" t="s">
        <v>1686</v>
      </c>
      <c r="E2250" s="198">
        <v>540.0</v>
      </c>
      <c r="F2250" s="199" t="s">
        <v>3993</v>
      </c>
    </row>
    <row r="2251" ht="22.5" customHeight="1">
      <c r="A2251" s="197">
        <v>46149.499059884256</v>
      </c>
      <c r="B2251" s="100" t="s">
        <v>3992</v>
      </c>
      <c r="C2251" s="100" t="s">
        <v>1688</v>
      </c>
      <c r="D2251" s="100" t="s">
        <v>1689</v>
      </c>
      <c r="E2251" s="198">
        <v>600.0</v>
      </c>
      <c r="F2251" s="199" t="s">
        <v>3995</v>
      </c>
    </row>
    <row r="2252" ht="22.5" customHeight="1">
      <c r="A2252" s="197">
        <v>46149.49906018519</v>
      </c>
      <c r="B2252" s="100" t="s">
        <v>3996</v>
      </c>
      <c r="C2252" s="100" t="s">
        <v>1685</v>
      </c>
      <c r="D2252" s="100" t="s">
        <v>1686</v>
      </c>
      <c r="E2252" s="198">
        <v>100.0</v>
      </c>
      <c r="F2252" s="199" t="s">
        <v>3997</v>
      </c>
    </row>
    <row r="2253" ht="22.5" customHeight="1">
      <c r="A2253" s="197">
        <v>46149.49906018519</v>
      </c>
      <c r="B2253" s="100" t="s">
        <v>3996</v>
      </c>
      <c r="C2253" s="100" t="s">
        <v>1688</v>
      </c>
      <c r="D2253" s="100" t="s">
        <v>1689</v>
      </c>
      <c r="E2253" s="198">
        <v>120.0</v>
      </c>
      <c r="F2253" s="199" t="s">
        <v>3998</v>
      </c>
    </row>
    <row r="2254" ht="22.5" customHeight="1">
      <c r="A2254" s="197">
        <v>46149.499060567134</v>
      </c>
      <c r="B2254" s="100" t="s">
        <v>4000</v>
      </c>
      <c r="C2254" s="100" t="s">
        <v>1685</v>
      </c>
      <c r="D2254" s="100" t="s">
        <v>1686</v>
      </c>
      <c r="E2254" s="198">
        <v>10.0</v>
      </c>
      <c r="F2254" s="199" t="s">
        <v>3045</v>
      </c>
    </row>
    <row r="2255" ht="22.5" customHeight="1">
      <c r="A2255" s="197">
        <v>46149.499060567134</v>
      </c>
      <c r="B2255" s="100" t="s">
        <v>4000</v>
      </c>
      <c r="C2255" s="100" t="s">
        <v>1688</v>
      </c>
      <c r="D2255" s="100" t="s">
        <v>1689</v>
      </c>
      <c r="E2255" s="198">
        <v>15.0</v>
      </c>
      <c r="F2255" s="199" t="s">
        <v>3046</v>
      </c>
    </row>
    <row r="2256" ht="22.5" customHeight="1">
      <c r="A2256" s="197">
        <v>46149.50790840278</v>
      </c>
      <c r="B2256" s="100" t="s">
        <v>4001</v>
      </c>
      <c r="C2256" s="100" t="s">
        <v>1685</v>
      </c>
      <c r="D2256" s="100" t="s">
        <v>1686</v>
      </c>
      <c r="E2256" s="198">
        <v>258.0</v>
      </c>
      <c r="F2256" s="199" t="s">
        <v>3441</v>
      </c>
    </row>
    <row r="2257" ht="22.5" customHeight="1">
      <c r="A2257" s="197">
        <v>46149.50790840278</v>
      </c>
      <c r="B2257" s="100" t="s">
        <v>4001</v>
      </c>
      <c r="C2257" s="100" t="s">
        <v>1688</v>
      </c>
      <c r="D2257" s="100" t="s">
        <v>1689</v>
      </c>
      <c r="E2257" s="198">
        <v>339.84</v>
      </c>
      <c r="F2257" s="199" t="s">
        <v>3442</v>
      </c>
    </row>
    <row r="2258" ht="22.5" customHeight="1">
      <c r="A2258" s="197">
        <v>46149.50790862269</v>
      </c>
      <c r="B2258" s="100" t="s">
        <v>4003</v>
      </c>
      <c r="C2258" s="100" t="s">
        <v>1685</v>
      </c>
      <c r="D2258" s="100" t="s">
        <v>1686</v>
      </c>
      <c r="E2258" s="198">
        <v>120.0</v>
      </c>
      <c r="F2258" s="199" t="s">
        <v>4004</v>
      </c>
    </row>
    <row r="2259" ht="22.5" customHeight="1">
      <c r="A2259" s="197">
        <v>46149.50790862269</v>
      </c>
      <c r="B2259" s="100" t="s">
        <v>4003</v>
      </c>
      <c r="C2259" s="100" t="s">
        <v>1688</v>
      </c>
      <c r="D2259" s="100" t="s">
        <v>1689</v>
      </c>
      <c r="E2259" s="198">
        <v>149.93</v>
      </c>
      <c r="F2259" s="199" t="s">
        <v>4005</v>
      </c>
    </row>
    <row r="2260" ht="22.5" customHeight="1">
      <c r="A2260" s="197">
        <v>46149.50790886574</v>
      </c>
      <c r="B2260" s="100" t="s">
        <v>4006</v>
      </c>
      <c r="C2260" s="100" t="s">
        <v>1685</v>
      </c>
      <c r="D2260" s="100" t="s">
        <v>1686</v>
      </c>
      <c r="E2260" s="198">
        <v>135.0</v>
      </c>
      <c r="F2260" s="199" t="s">
        <v>2800</v>
      </c>
    </row>
    <row r="2261" ht="22.5" customHeight="1">
      <c r="A2261" s="197">
        <v>46149.50790886574</v>
      </c>
      <c r="B2261" s="100" t="s">
        <v>4006</v>
      </c>
      <c r="C2261" s="100" t="s">
        <v>1688</v>
      </c>
      <c r="D2261" s="100" t="s">
        <v>1689</v>
      </c>
      <c r="E2261" s="198">
        <v>179.91</v>
      </c>
      <c r="F2261" s="199" t="s">
        <v>2801</v>
      </c>
    </row>
    <row r="2262" ht="22.5" customHeight="1">
      <c r="A2262" s="197">
        <v>46149.50790913195</v>
      </c>
      <c r="B2262" s="100" t="s">
        <v>4007</v>
      </c>
      <c r="C2262" s="100" t="s">
        <v>1685</v>
      </c>
      <c r="D2262" s="100" t="s">
        <v>1686</v>
      </c>
      <c r="E2262" s="198">
        <v>90.0</v>
      </c>
      <c r="F2262" s="199" t="s">
        <v>2800</v>
      </c>
    </row>
    <row r="2263" ht="22.5" customHeight="1">
      <c r="A2263" s="197">
        <v>46149.50790913195</v>
      </c>
      <c r="B2263" s="100" t="s">
        <v>4007</v>
      </c>
      <c r="C2263" s="100" t="s">
        <v>1688</v>
      </c>
      <c r="D2263" s="100" t="s">
        <v>1689</v>
      </c>
      <c r="E2263" s="198">
        <v>119.94</v>
      </c>
      <c r="F2263" s="199" t="s">
        <v>2801</v>
      </c>
    </row>
    <row r="2264" ht="22.5" customHeight="1">
      <c r="A2264" s="197">
        <v>46150.79059674768</v>
      </c>
      <c r="B2264" s="100" t="s">
        <v>4008</v>
      </c>
      <c r="C2264" s="100" t="s">
        <v>1685</v>
      </c>
      <c r="D2264" s="100" t="s">
        <v>1686</v>
      </c>
      <c r="E2264" s="198">
        <v>17.5</v>
      </c>
      <c r="F2264" s="199" t="s">
        <v>3726</v>
      </c>
    </row>
    <row r="2265" ht="22.5" customHeight="1">
      <c r="A2265" s="197">
        <v>46150.79059674768</v>
      </c>
      <c r="B2265" s="100" t="s">
        <v>4008</v>
      </c>
      <c r="C2265" s="100" t="s">
        <v>1688</v>
      </c>
      <c r="D2265" s="100" t="s">
        <v>1689</v>
      </c>
      <c r="E2265" s="198">
        <v>35.0</v>
      </c>
      <c r="F2265" s="199" t="s">
        <v>3727</v>
      </c>
    </row>
    <row r="2266" ht="22.5" customHeight="1">
      <c r="A2266" s="197">
        <v>46150.790597314815</v>
      </c>
      <c r="B2266" s="100" t="s">
        <v>4009</v>
      </c>
      <c r="C2266" s="100" t="s">
        <v>1685</v>
      </c>
      <c r="D2266" s="100" t="s">
        <v>1686</v>
      </c>
      <c r="E2266" s="198">
        <v>18.17</v>
      </c>
      <c r="F2266" s="199" t="s">
        <v>4010</v>
      </c>
    </row>
    <row r="2267" ht="22.5" customHeight="1">
      <c r="A2267" s="197">
        <v>46150.790597314815</v>
      </c>
      <c r="B2267" s="100" t="s">
        <v>4009</v>
      </c>
      <c r="C2267" s="100" t="s">
        <v>1688</v>
      </c>
      <c r="D2267" s="100" t="s">
        <v>1689</v>
      </c>
      <c r="E2267" s="198">
        <v>50.0</v>
      </c>
      <c r="F2267" s="199" t="s">
        <v>4011</v>
      </c>
    </row>
    <row r="2268" ht="22.5" customHeight="1">
      <c r="A2268" s="197">
        <v>46150.79059797454</v>
      </c>
      <c r="B2268" s="100" t="s">
        <v>4012</v>
      </c>
      <c r="C2268" s="100" t="s">
        <v>1685</v>
      </c>
      <c r="D2268" s="100" t="s">
        <v>1686</v>
      </c>
      <c r="E2268" s="198">
        <v>11.82</v>
      </c>
      <c r="F2268" s="199" t="s">
        <v>2673</v>
      </c>
    </row>
    <row r="2269" ht="22.5" customHeight="1">
      <c r="A2269" s="197">
        <v>46150.79059797454</v>
      </c>
      <c r="B2269" s="100" t="s">
        <v>4012</v>
      </c>
      <c r="C2269" s="100" t="s">
        <v>1688</v>
      </c>
      <c r="D2269" s="100" t="s">
        <v>1689</v>
      </c>
      <c r="E2269" s="198">
        <v>25.0</v>
      </c>
      <c r="F2269" s="199" t="s">
        <v>2675</v>
      </c>
    </row>
    <row r="2270" ht="22.5" customHeight="1">
      <c r="A2270" s="197">
        <v>46150.79059881944</v>
      </c>
      <c r="B2270" s="100" t="s">
        <v>4013</v>
      </c>
      <c r="C2270" s="100" t="s">
        <v>1685</v>
      </c>
      <c r="D2270" s="100" t="s">
        <v>1686</v>
      </c>
      <c r="E2270" s="198">
        <v>25.0</v>
      </c>
      <c r="F2270" s="199" t="s">
        <v>2088</v>
      </c>
    </row>
    <row r="2271" ht="22.5" customHeight="1">
      <c r="A2271" s="197">
        <v>46150.79059881944</v>
      </c>
      <c r="B2271" s="100" t="s">
        <v>4013</v>
      </c>
      <c r="C2271" s="100" t="s">
        <v>1688</v>
      </c>
      <c r="D2271" s="100" t="s">
        <v>1689</v>
      </c>
      <c r="E2271" s="198">
        <v>70.0</v>
      </c>
      <c r="F2271" s="199" t="s">
        <v>2089</v>
      </c>
    </row>
    <row r="2272" ht="22.5" customHeight="1">
      <c r="A2272" s="197">
        <v>46150.7905990625</v>
      </c>
      <c r="B2272" s="100" t="s">
        <v>4014</v>
      </c>
      <c r="C2272" s="100" t="s">
        <v>1685</v>
      </c>
      <c r="D2272" s="100" t="s">
        <v>1686</v>
      </c>
      <c r="E2272" s="198">
        <v>17.5</v>
      </c>
      <c r="F2272" s="199" t="s">
        <v>3726</v>
      </c>
    </row>
    <row r="2273" ht="22.5" customHeight="1">
      <c r="A2273" s="197">
        <v>46150.7905990625</v>
      </c>
      <c r="B2273" s="100" t="s">
        <v>4014</v>
      </c>
      <c r="C2273" s="100" t="s">
        <v>1688</v>
      </c>
      <c r="D2273" s="100" t="s">
        <v>1689</v>
      </c>
      <c r="E2273" s="198">
        <v>30.0</v>
      </c>
      <c r="F2273" s="199" t="s">
        <v>3727</v>
      </c>
    </row>
    <row r="2274" ht="22.5" customHeight="1">
      <c r="A2274" s="197">
        <v>46150.790599444445</v>
      </c>
      <c r="B2274" s="100" t="s">
        <v>4015</v>
      </c>
      <c r="C2274" s="100" t="s">
        <v>1685</v>
      </c>
      <c r="D2274" s="100" t="s">
        <v>1686</v>
      </c>
      <c r="E2274" s="198">
        <v>175.0</v>
      </c>
      <c r="F2274" s="199" t="s">
        <v>4016</v>
      </c>
    </row>
    <row r="2275" ht="22.5" customHeight="1">
      <c r="A2275" s="197">
        <v>46150.790599444445</v>
      </c>
      <c r="B2275" s="100" t="s">
        <v>4015</v>
      </c>
      <c r="C2275" s="100" t="s">
        <v>1688</v>
      </c>
      <c r="D2275" s="100" t="s">
        <v>1689</v>
      </c>
      <c r="E2275" s="198">
        <v>250.0</v>
      </c>
      <c r="F2275" s="199" t="s">
        <v>4017</v>
      </c>
    </row>
    <row r="2276" ht="22.5" customHeight="1">
      <c r="A2276" s="197">
        <v>46150.790599699074</v>
      </c>
      <c r="B2276" s="100" t="s">
        <v>4018</v>
      </c>
      <c r="C2276" s="100" t="s">
        <v>1685</v>
      </c>
      <c r="D2276" s="100" t="s">
        <v>1686</v>
      </c>
      <c r="E2276" s="198">
        <v>120.0</v>
      </c>
      <c r="F2276" s="199" t="s">
        <v>4019</v>
      </c>
    </row>
    <row r="2277" ht="22.5" customHeight="1">
      <c r="A2277" s="197">
        <v>46150.790599699074</v>
      </c>
      <c r="B2277" s="100" t="s">
        <v>4018</v>
      </c>
      <c r="C2277" s="100" t="s">
        <v>1688</v>
      </c>
      <c r="D2277" s="100" t="s">
        <v>1689</v>
      </c>
      <c r="E2277" s="198">
        <v>250.0</v>
      </c>
      <c r="F2277" s="199" t="s">
        <v>4020</v>
      </c>
    </row>
    <row r="2278" ht="22.5" customHeight="1">
      <c r="A2278" s="197">
        <v>46150.790600011576</v>
      </c>
      <c r="B2278" s="100" t="s">
        <v>4021</v>
      </c>
      <c r="C2278" s="100" t="s">
        <v>1685</v>
      </c>
      <c r="D2278" s="100" t="s">
        <v>1686</v>
      </c>
      <c r="E2278" s="198">
        <v>45.0</v>
      </c>
      <c r="F2278" s="199" t="s">
        <v>2800</v>
      </c>
    </row>
    <row r="2279" ht="22.5" customHeight="1">
      <c r="A2279" s="197">
        <v>46150.790600011576</v>
      </c>
      <c r="B2279" s="100" t="s">
        <v>4021</v>
      </c>
      <c r="C2279" s="100" t="s">
        <v>1688</v>
      </c>
      <c r="D2279" s="100" t="s">
        <v>1689</v>
      </c>
      <c r="E2279" s="198">
        <v>75.0</v>
      </c>
      <c r="F2279" s="199" t="s">
        <v>2801</v>
      </c>
    </row>
    <row r="2280" ht="22.5" customHeight="1">
      <c r="A2280" s="197">
        <v>46150.790600266206</v>
      </c>
      <c r="B2280" s="100" t="s">
        <v>4022</v>
      </c>
      <c r="C2280" s="100" t="s">
        <v>1685</v>
      </c>
      <c r="D2280" s="100" t="s">
        <v>1686</v>
      </c>
      <c r="E2280" s="198">
        <v>20.0</v>
      </c>
      <c r="F2280" s="199" t="s">
        <v>2870</v>
      </c>
    </row>
    <row r="2281" ht="22.5" customHeight="1">
      <c r="A2281" s="197">
        <v>46150.790600266206</v>
      </c>
      <c r="B2281" s="100" t="s">
        <v>4022</v>
      </c>
      <c r="C2281" s="100" t="s">
        <v>1688</v>
      </c>
      <c r="D2281" s="100" t="s">
        <v>1689</v>
      </c>
      <c r="E2281" s="198">
        <v>25.0</v>
      </c>
      <c r="F2281" s="199" t="s">
        <v>2872</v>
      </c>
    </row>
    <row r="2282" ht="22.5" customHeight="1">
      <c r="A2282" s="197">
        <v>46150.79060049768</v>
      </c>
      <c r="B2282" s="100" t="s">
        <v>4024</v>
      </c>
      <c r="C2282" s="100" t="s">
        <v>1685</v>
      </c>
      <c r="D2282" s="100" t="s">
        <v>1686</v>
      </c>
      <c r="E2282" s="198">
        <v>6.75</v>
      </c>
      <c r="F2282" s="100" t="s">
        <v>2331</v>
      </c>
    </row>
    <row r="2283" ht="22.5" customHeight="1">
      <c r="A2283" s="197">
        <v>46150.79060049768</v>
      </c>
      <c r="B2283" s="100" t="s">
        <v>4024</v>
      </c>
      <c r="C2283" s="100" t="s">
        <v>1688</v>
      </c>
      <c r="D2283" s="100" t="s">
        <v>1689</v>
      </c>
      <c r="E2283" s="198">
        <v>10.0</v>
      </c>
      <c r="F2283" s="100" t="s">
        <v>2333</v>
      </c>
    </row>
    <row r="2284" ht="22.5" customHeight="1">
      <c r="A2284" s="197">
        <v>46150.79060075231</v>
      </c>
      <c r="B2284" s="100" t="s">
        <v>4026</v>
      </c>
      <c r="C2284" s="100" t="s">
        <v>1685</v>
      </c>
      <c r="D2284" s="100" t="s">
        <v>1686</v>
      </c>
      <c r="E2284" s="198">
        <v>100.0</v>
      </c>
      <c r="F2284" s="199" t="s">
        <v>3997</v>
      </c>
    </row>
    <row r="2285" ht="22.5" customHeight="1">
      <c r="A2285" s="197">
        <v>46150.79060075231</v>
      </c>
      <c r="B2285" s="100" t="s">
        <v>4026</v>
      </c>
      <c r="C2285" s="100" t="s">
        <v>1688</v>
      </c>
      <c r="D2285" s="100" t="s">
        <v>1689</v>
      </c>
      <c r="E2285" s="198">
        <v>150.0</v>
      </c>
      <c r="F2285" s="199" t="s">
        <v>3998</v>
      </c>
    </row>
    <row r="2286" ht="22.5" customHeight="1">
      <c r="A2286" s="197">
        <v>46150.79060107638</v>
      </c>
      <c r="B2286" s="100" t="s">
        <v>4028</v>
      </c>
      <c r="C2286" s="100" t="s">
        <v>1685</v>
      </c>
      <c r="D2286" s="100" t="s">
        <v>1686</v>
      </c>
      <c r="E2286" s="198">
        <v>92.5</v>
      </c>
      <c r="F2286" s="199" t="s">
        <v>3315</v>
      </c>
    </row>
    <row r="2287" ht="22.5" customHeight="1">
      <c r="A2287" s="197">
        <v>46150.79060107638</v>
      </c>
      <c r="B2287" s="100" t="s">
        <v>4028</v>
      </c>
      <c r="C2287" s="100" t="s">
        <v>1688</v>
      </c>
      <c r="D2287" s="100" t="s">
        <v>1689</v>
      </c>
      <c r="E2287" s="198">
        <v>250.0</v>
      </c>
      <c r="F2287" s="199" t="s">
        <v>3316</v>
      </c>
    </row>
    <row r="2288" ht="22.5" customHeight="1">
      <c r="A2288" s="197">
        <v>46150.79060136574</v>
      </c>
      <c r="B2288" s="100" t="s">
        <v>4030</v>
      </c>
      <c r="C2288" s="100" t="s">
        <v>1685</v>
      </c>
      <c r="D2288" s="100" t="s">
        <v>1686</v>
      </c>
      <c r="E2288" s="198">
        <v>28.8</v>
      </c>
      <c r="F2288" s="100" t="s">
        <v>2247</v>
      </c>
    </row>
    <row r="2289" ht="22.5" customHeight="1">
      <c r="A2289" s="197">
        <v>46150.79060136574</v>
      </c>
      <c r="B2289" s="100" t="s">
        <v>4030</v>
      </c>
      <c r="C2289" s="100" t="s">
        <v>1688</v>
      </c>
      <c r="D2289" s="100" t="s">
        <v>1689</v>
      </c>
      <c r="E2289" s="198">
        <v>60.0</v>
      </c>
      <c r="F2289" s="100" t="s">
        <v>2250</v>
      </c>
    </row>
    <row r="2290" ht="22.5" customHeight="1">
      <c r="A2290" s="197">
        <v>46150.79060190972</v>
      </c>
      <c r="B2290" s="100" t="s">
        <v>4032</v>
      </c>
      <c r="C2290" s="100" t="s">
        <v>1685</v>
      </c>
      <c r="D2290" s="100" t="s">
        <v>1686</v>
      </c>
      <c r="E2290" s="198">
        <v>50.0</v>
      </c>
      <c r="F2290" s="199" t="s">
        <v>2797</v>
      </c>
    </row>
    <row r="2291" ht="22.5" customHeight="1">
      <c r="A2291" s="197">
        <v>46150.79060190972</v>
      </c>
      <c r="B2291" s="100" t="s">
        <v>4032</v>
      </c>
      <c r="C2291" s="100" t="s">
        <v>1688</v>
      </c>
      <c r="D2291" s="100" t="s">
        <v>1689</v>
      </c>
      <c r="E2291" s="198">
        <v>65.0</v>
      </c>
      <c r="F2291" s="199" t="s">
        <v>2798</v>
      </c>
    </row>
    <row r="2292" ht="22.5" customHeight="1">
      <c r="A2292" s="197">
        <v>46150.790602152774</v>
      </c>
      <c r="B2292" s="100" t="s">
        <v>4034</v>
      </c>
      <c r="C2292" s="100" t="s">
        <v>1685</v>
      </c>
      <c r="D2292" s="100" t="s">
        <v>1686</v>
      </c>
      <c r="E2292" s="198">
        <v>55.0</v>
      </c>
      <c r="F2292" s="199" t="s">
        <v>2402</v>
      </c>
    </row>
    <row r="2293" ht="22.5" customHeight="1">
      <c r="A2293" s="197">
        <v>46150.790602152774</v>
      </c>
      <c r="B2293" s="100" t="s">
        <v>4034</v>
      </c>
      <c r="C2293" s="100" t="s">
        <v>1688</v>
      </c>
      <c r="D2293" s="100" t="s">
        <v>1689</v>
      </c>
      <c r="E2293" s="198">
        <v>65.0</v>
      </c>
      <c r="F2293" s="199" t="s">
        <v>2403</v>
      </c>
    </row>
    <row r="2294" ht="22.5" customHeight="1">
      <c r="A2294" s="197">
        <v>46150.79060251157</v>
      </c>
      <c r="B2294" s="100" t="s">
        <v>4035</v>
      </c>
      <c r="C2294" s="100" t="s">
        <v>1685</v>
      </c>
      <c r="D2294" s="100" t="s">
        <v>1686</v>
      </c>
      <c r="E2294" s="198">
        <v>45.0</v>
      </c>
      <c r="F2294" s="199" t="s">
        <v>1838</v>
      </c>
    </row>
    <row r="2295" ht="22.5" customHeight="1">
      <c r="A2295" s="197">
        <v>46150.79060251157</v>
      </c>
      <c r="B2295" s="100" t="s">
        <v>4035</v>
      </c>
      <c r="C2295" s="100" t="s">
        <v>1688</v>
      </c>
      <c r="D2295" s="100" t="s">
        <v>1689</v>
      </c>
      <c r="E2295" s="198">
        <v>60.0</v>
      </c>
      <c r="F2295" s="199" t="s">
        <v>1839</v>
      </c>
    </row>
    <row r="2296" ht="22.5" customHeight="1">
      <c r="A2296" s="197">
        <v>46150.79060275463</v>
      </c>
      <c r="B2296" s="100" t="s">
        <v>4037</v>
      </c>
      <c r="C2296" s="100" t="s">
        <v>1685</v>
      </c>
      <c r="D2296" s="100" t="s">
        <v>1686</v>
      </c>
      <c r="E2296" s="198">
        <v>30.66</v>
      </c>
      <c r="F2296" s="100" t="s">
        <v>2178</v>
      </c>
    </row>
    <row r="2297" ht="22.5" customHeight="1">
      <c r="A2297" s="197">
        <v>46150.79060275463</v>
      </c>
      <c r="B2297" s="100" t="s">
        <v>4037</v>
      </c>
      <c r="C2297" s="100" t="s">
        <v>1688</v>
      </c>
      <c r="D2297" s="100" t="s">
        <v>1689</v>
      </c>
      <c r="E2297" s="198">
        <v>59.5</v>
      </c>
      <c r="F2297" s="100" t="s">
        <v>2179</v>
      </c>
    </row>
    <row r="2298" ht="22.5" customHeight="1">
      <c r="A2298" s="197">
        <v>46150.79060302083</v>
      </c>
      <c r="B2298" s="100" t="s">
        <v>4039</v>
      </c>
      <c r="C2298" s="100" t="s">
        <v>1685</v>
      </c>
      <c r="D2298" s="100" t="s">
        <v>1686</v>
      </c>
      <c r="E2298" s="198">
        <v>14.4</v>
      </c>
      <c r="F2298" s="100" t="s">
        <v>2247</v>
      </c>
    </row>
    <row r="2299" ht="22.5" customHeight="1">
      <c r="A2299" s="197">
        <v>46150.79060302083</v>
      </c>
      <c r="B2299" s="100" t="s">
        <v>4039</v>
      </c>
      <c r="C2299" s="100" t="s">
        <v>1688</v>
      </c>
      <c r="D2299" s="100" t="s">
        <v>1689</v>
      </c>
      <c r="E2299" s="198">
        <v>40.0</v>
      </c>
      <c r="F2299" s="100" t="s">
        <v>2250</v>
      </c>
    </row>
    <row r="2300" ht="22.5" customHeight="1">
      <c r="A2300" s="197">
        <v>46150.79060328704</v>
      </c>
      <c r="B2300" s="100" t="s">
        <v>4041</v>
      </c>
      <c r="C2300" s="100" t="s">
        <v>1685</v>
      </c>
      <c r="D2300" s="100" t="s">
        <v>1686</v>
      </c>
      <c r="E2300" s="198">
        <v>18.32</v>
      </c>
      <c r="F2300" s="199" t="s">
        <v>2678</v>
      </c>
    </row>
    <row r="2301" ht="22.5" customHeight="1">
      <c r="A2301" s="197">
        <v>46150.79060328704</v>
      </c>
      <c r="B2301" s="100" t="s">
        <v>4041</v>
      </c>
      <c r="C2301" s="100" t="s">
        <v>1688</v>
      </c>
      <c r="D2301" s="100" t="s">
        <v>1689</v>
      </c>
      <c r="E2301" s="198">
        <v>30.0</v>
      </c>
      <c r="F2301" s="199" t="s">
        <v>2679</v>
      </c>
    </row>
    <row r="2302" ht="22.5" customHeight="1">
      <c r="A2302" s="197">
        <v>46150.81058689815</v>
      </c>
      <c r="B2302" s="100" t="s">
        <v>4043</v>
      </c>
      <c r="C2302" s="100" t="s">
        <v>1685</v>
      </c>
      <c r="D2302" s="100" t="s">
        <v>1686</v>
      </c>
      <c r="E2302" s="198">
        <v>92.89</v>
      </c>
      <c r="F2302" s="199" t="s">
        <v>3083</v>
      </c>
    </row>
    <row r="2303" ht="22.5" customHeight="1">
      <c r="A2303" s="197">
        <v>46150.81058689815</v>
      </c>
      <c r="B2303" s="100" t="s">
        <v>4043</v>
      </c>
      <c r="C2303" s="100" t="s">
        <v>1688</v>
      </c>
      <c r="D2303" s="100" t="s">
        <v>1689</v>
      </c>
      <c r="E2303" s="198">
        <v>160.0</v>
      </c>
      <c r="F2303" s="199" t="s">
        <v>3084</v>
      </c>
    </row>
    <row r="2304" ht="22.5" customHeight="1">
      <c r="A2304" s="197">
        <v>46150.81058712963</v>
      </c>
      <c r="B2304" s="100" t="s">
        <v>4045</v>
      </c>
      <c r="C2304" s="100" t="s">
        <v>1685</v>
      </c>
      <c r="D2304" s="100" t="s">
        <v>1686</v>
      </c>
      <c r="E2304" s="198">
        <v>23.22</v>
      </c>
      <c r="F2304" s="199" t="s">
        <v>3083</v>
      </c>
    </row>
    <row r="2305" ht="22.5" customHeight="1">
      <c r="A2305" s="197">
        <v>46150.81058712963</v>
      </c>
      <c r="B2305" s="100" t="s">
        <v>4045</v>
      </c>
      <c r="C2305" s="100" t="s">
        <v>1688</v>
      </c>
      <c r="D2305" s="100" t="s">
        <v>1689</v>
      </c>
      <c r="E2305" s="198">
        <v>45.0</v>
      </c>
      <c r="F2305" s="199" t="s">
        <v>3084</v>
      </c>
    </row>
    <row r="2306" ht="22.5" customHeight="1">
      <c r="A2306" s="197">
        <v>46150.81058748843</v>
      </c>
      <c r="B2306" s="100" t="s">
        <v>4047</v>
      </c>
      <c r="C2306" s="100" t="s">
        <v>1685</v>
      </c>
      <c r="D2306" s="100" t="s">
        <v>1686</v>
      </c>
      <c r="E2306" s="198">
        <v>46.44</v>
      </c>
      <c r="F2306" s="199" t="s">
        <v>3083</v>
      </c>
    </row>
    <row r="2307" ht="22.5" customHeight="1">
      <c r="A2307" s="197">
        <v>46150.81058748843</v>
      </c>
      <c r="B2307" s="100" t="s">
        <v>4047</v>
      </c>
      <c r="C2307" s="100" t="s">
        <v>1688</v>
      </c>
      <c r="D2307" s="100" t="s">
        <v>1689</v>
      </c>
      <c r="E2307" s="198">
        <v>90.0</v>
      </c>
      <c r="F2307" s="199" t="s">
        <v>3084</v>
      </c>
    </row>
    <row r="2308" ht="22.5" customHeight="1">
      <c r="A2308" s="197">
        <v>46150.81058771991</v>
      </c>
      <c r="B2308" s="100" t="s">
        <v>4048</v>
      </c>
      <c r="C2308" s="100" t="s">
        <v>1685</v>
      </c>
      <c r="D2308" s="100" t="s">
        <v>1686</v>
      </c>
      <c r="E2308" s="198">
        <v>150.0</v>
      </c>
      <c r="F2308" s="199" t="s">
        <v>3063</v>
      </c>
    </row>
    <row r="2309" ht="22.5" customHeight="1">
      <c r="A2309" s="197">
        <v>46150.81058771991</v>
      </c>
      <c r="B2309" s="100" t="s">
        <v>4048</v>
      </c>
      <c r="C2309" s="100" t="s">
        <v>1688</v>
      </c>
      <c r="D2309" s="100" t="s">
        <v>1689</v>
      </c>
      <c r="E2309" s="198">
        <v>200.0</v>
      </c>
      <c r="F2309" s="199" t="s">
        <v>3064</v>
      </c>
    </row>
    <row r="2310" ht="22.5" customHeight="1">
      <c r="A2310" s="197">
        <v>46150.81058799769</v>
      </c>
      <c r="B2310" s="100" t="s">
        <v>4050</v>
      </c>
      <c r="C2310" s="100" t="s">
        <v>1685</v>
      </c>
      <c r="D2310" s="100" t="s">
        <v>1686</v>
      </c>
      <c r="E2310" s="198">
        <v>150.0</v>
      </c>
      <c r="F2310" s="199" t="s">
        <v>3063</v>
      </c>
    </row>
    <row r="2311" ht="22.5" customHeight="1">
      <c r="A2311" s="197">
        <v>46150.81058799769</v>
      </c>
      <c r="B2311" s="100" t="s">
        <v>4050</v>
      </c>
      <c r="C2311" s="100" t="s">
        <v>1688</v>
      </c>
      <c r="D2311" s="100" t="s">
        <v>1689</v>
      </c>
      <c r="E2311" s="198">
        <v>250.0</v>
      </c>
      <c r="F2311" s="199" t="s">
        <v>3064</v>
      </c>
    </row>
    <row r="2312" ht="22.5" customHeight="1">
      <c r="A2312" s="197">
        <v>46150.810588148146</v>
      </c>
      <c r="B2312" s="100" t="s">
        <v>4052</v>
      </c>
      <c r="C2312" s="100" t="s">
        <v>1685</v>
      </c>
      <c r="D2312" s="100" t="s">
        <v>1686</v>
      </c>
      <c r="E2312" s="198">
        <v>9.94</v>
      </c>
      <c r="F2312" s="199" t="s">
        <v>4053</v>
      </c>
    </row>
    <row r="2313" ht="22.5" customHeight="1">
      <c r="A2313" s="197">
        <v>46150.810588148146</v>
      </c>
      <c r="B2313" s="100" t="s">
        <v>4052</v>
      </c>
      <c r="C2313" s="100" t="s">
        <v>1688</v>
      </c>
      <c r="D2313" s="100" t="s">
        <v>1689</v>
      </c>
      <c r="E2313" s="198">
        <v>25.0</v>
      </c>
      <c r="F2313" s="199" t="s">
        <v>4055</v>
      </c>
    </row>
    <row r="2314" ht="22.5" customHeight="1">
      <c r="A2314" s="197">
        <v>46150.81058827546</v>
      </c>
      <c r="B2314" s="100" t="s">
        <v>4056</v>
      </c>
      <c r="C2314" s="100" t="s">
        <v>1685</v>
      </c>
      <c r="D2314" s="100" t="s">
        <v>1686</v>
      </c>
      <c r="E2314" s="198">
        <v>25.83</v>
      </c>
      <c r="F2314" s="199" t="s">
        <v>2817</v>
      </c>
    </row>
    <row r="2315" ht="22.5" customHeight="1">
      <c r="A2315" s="197">
        <v>46150.81058827546</v>
      </c>
      <c r="B2315" s="100" t="s">
        <v>4056</v>
      </c>
      <c r="C2315" s="100" t="s">
        <v>1688</v>
      </c>
      <c r="D2315" s="100" t="s">
        <v>1689</v>
      </c>
      <c r="E2315" s="198">
        <v>50.0</v>
      </c>
      <c r="F2315" s="199" t="s">
        <v>2819</v>
      </c>
    </row>
    <row r="2316" ht="22.5" customHeight="1">
      <c r="A2316" s="197">
        <v>46150.81058842593</v>
      </c>
      <c r="B2316" s="100" t="s">
        <v>4058</v>
      </c>
      <c r="C2316" s="100" t="s">
        <v>1685</v>
      </c>
      <c r="D2316" s="100" t="s">
        <v>1686</v>
      </c>
      <c r="E2316" s="198">
        <v>9.08</v>
      </c>
      <c r="F2316" s="199" t="s">
        <v>4010</v>
      </c>
    </row>
    <row r="2317" ht="22.5" customHeight="1">
      <c r="A2317" s="197">
        <v>46150.81058842593</v>
      </c>
      <c r="B2317" s="100" t="s">
        <v>4058</v>
      </c>
      <c r="C2317" s="100" t="s">
        <v>1688</v>
      </c>
      <c r="D2317" s="100" t="s">
        <v>1689</v>
      </c>
      <c r="E2317" s="198">
        <v>25.0</v>
      </c>
      <c r="F2317" s="199" t="s">
        <v>4011</v>
      </c>
    </row>
    <row r="2318" ht="22.5" customHeight="1">
      <c r="A2318" s="197">
        <v>46150.81058856481</v>
      </c>
      <c r="B2318" s="100" t="s">
        <v>4060</v>
      </c>
      <c r="C2318" s="100" t="s">
        <v>1685</v>
      </c>
      <c r="D2318" s="100" t="s">
        <v>1686</v>
      </c>
      <c r="E2318" s="198">
        <v>23.22</v>
      </c>
      <c r="F2318" s="199" t="s">
        <v>3083</v>
      </c>
    </row>
    <row r="2319" ht="22.5" customHeight="1">
      <c r="A2319" s="197">
        <v>46150.81058856481</v>
      </c>
      <c r="B2319" s="100" t="s">
        <v>4060</v>
      </c>
      <c r="C2319" s="100" t="s">
        <v>1688</v>
      </c>
      <c r="D2319" s="100" t="s">
        <v>1689</v>
      </c>
      <c r="E2319" s="198">
        <v>45.0</v>
      </c>
      <c r="F2319" s="199" t="s">
        <v>3084</v>
      </c>
    </row>
    <row r="2320" ht="22.5" customHeight="1">
      <c r="A2320" s="197">
        <v>46150.81058871528</v>
      </c>
      <c r="B2320" s="100" t="s">
        <v>4062</v>
      </c>
      <c r="C2320" s="100" t="s">
        <v>1685</v>
      </c>
      <c r="D2320" s="100" t="s">
        <v>1686</v>
      </c>
      <c r="E2320" s="198">
        <v>18.32</v>
      </c>
      <c r="F2320" s="199" t="s">
        <v>2678</v>
      </c>
    </row>
    <row r="2321" ht="22.5" customHeight="1">
      <c r="A2321" s="197">
        <v>46150.81058871528</v>
      </c>
      <c r="B2321" s="100" t="s">
        <v>4062</v>
      </c>
      <c r="C2321" s="100" t="s">
        <v>1688</v>
      </c>
      <c r="D2321" s="100" t="s">
        <v>1689</v>
      </c>
      <c r="E2321" s="198">
        <v>22.0</v>
      </c>
      <c r="F2321" s="199" t="s">
        <v>2679</v>
      </c>
    </row>
    <row r="2322" ht="22.5" customHeight="1">
      <c r="A2322" s="197">
        <v>46150.81058885416</v>
      </c>
      <c r="B2322" s="100" t="s">
        <v>4064</v>
      </c>
      <c r="C2322" s="100" t="s">
        <v>1685</v>
      </c>
      <c r="D2322" s="100" t="s">
        <v>1686</v>
      </c>
      <c r="E2322" s="198">
        <v>95.0</v>
      </c>
      <c r="F2322" s="199" t="s">
        <v>4065</v>
      </c>
    </row>
    <row r="2323" ht="22.5" customHeight="1">
      <c r="A2323" s="197">
        <v>46150.81058885416</v>
      </c>
      <c r="B2323" s="100" t="s">
        <v>4064</v>
      </c>
      <c r="C2323" s="100" t="s">
        <v>1688</v>
      </c>
      <c r="D2323" s="100" t="s">
        <v>1689</v>
      </c>
      <c r="E2323" s="198">
        <v>135.0</v>
      </c>
      <c r="F2323" s="199" t="s">
        <v>4066</v>
      </c>
    </row>
    <row r="2324" ht="22.5" customHeight="1">
      <c r="A2324" s="197">
        <v>46150.81058899306</v>
      </c>
      <c r="B2324" s="100" t="s">
        <v>4068</v>
      </c>
      <c r="C2324" s="100" t="s">
        <v>1685</v>
      </c>
      <c r="D2324" s="100" t="s">
        <v>1686</v>
      </c>
      <c r="E2324" s="198">
        <v>17.5</v>
      </c>
      <c r="F2324" s="199" t="s">
        <v>2137</v>
      </c>
    </row>
    <row r="2325" ht="22.5" customHeight="1">
      <c r="A2325" s="197">
        <v>46150.81058899306</v>
      </c>
      <c r="B2325" s="100" t="s">
        <v>4068</v>
      </c>
      <c r="C2325" s="100" t="s">
        <v>1688</v>
      </c>
      <c r="D2325" s="100" t="s">
        <v>1689</v>
      </c>
      <c r="E2325" s="198">
        <v>25.0</v>
      </c>
      <c r="F2325" s="199" t="s">
        <v>2138</v>
      </c>
    </row>
    <row r="2326" ht="22.5" customHeight="1">
      <c r="A2326" s="197">
        <v>46172.86236555556</v>
      </c>
      <c r="B2326" s="100" t="s">
        <v>4070</v>
      </c>
      <c r="C2326" s="100" t="s">
        <v>1685</v>
      </c>
      <c r="D2326" s="100" t="s">
        <v>1686</v>
      </c>
      <c r="E2326" s="198">
        <v>45.0</v>
      </c>
      <c r="F2326" s="199" t="s">
        <v>2912</v>
      </c>
    </row>
    <row r="2327" ht="22.5" customHeight="1">
      <c r="A2327" s="197">
        <v>46172.86236555556</v>
      </c>
      <c r="B2327" s="100" t="s">
        <v>4070</v>
      </c>
      <c r="C2327" s="100" t="s">
        <v>1688</v>
      </c>
      <c r="D2327" s="100" t="s">
        <v>1689</v>
      </c>
      <c r="E2327" s="198">
        <v>69.0</v>
      </c>
      <c r="F2327" s="199" t="s">
        <v>2913</v>
      </c>
    </row>
    <row r="2328" ht="22.5" customHeight="1">
      <c r="A2328" s="197">
        <v>46172.86236601852</v>
      </c>
      <c r="B2328" s="100" t="s">
        <v>4071</v>
      </c>
      <c r="C2328" s="100" t="s">
        <v>1685</v>
      </c>
      <c r="D2328" s="100" t="s">
        <v>1686</v>
      </c>
      <c r="E2328" s="198">
        <v>30.0</v>
      </c>
      <c r="F2328" s="199" t="s">
        <v>2468</v>
      </c>
    </row>
    <row r="2329" ht="22.5" customHeight="1">
      <c r="A2329" s="197">
        <v>46172.86236601852</v>
      </c>
      <c r="B2329" s="100" t="s">
        <v>4071</v>
      </c>
      <c r="C2329" s="100" t="s">
        <v>1688</v>
      </c>
      <c r="D2329" s="100" t="s">
        <v>1689</v>
      </c>
      <c r="E2329" s="198">
        <v>100.0</v>
      </c>
      <c r="F2329" s="199" t="s">
        <v>2470</v>
      </c>
    </row>
    <row r="2330" ht="22.5" customHeight="1">
      <c r="A2330" s="197">
        <v>46172.86236629629</v>
      </c>
      <c r="B2330" s="100" t="s">
        <v>4073</v>
      </c>
      <c r="C2330" s="100" t="s">
        <v>1685</v>
      </c>
      <c r="D2330" s="100" t="s">
        <v>1686</v>
      </c>
      <c r="E2330" s="198">
        <v>128.0</v>
      </c>
      <c r="F2330" s="199" t="s">
        <v>2243</v>
      </c>
    </row>
    <row r="2331" ht="22.5" customHeight="1">
      <c r="A2331" s="197">
        <v>46172.86236629629</v>
      </c>
      <c r="B2331" s="100" t="s">
        <v>4073</v>
      </c>
      <c r="C2331" s="100" t="s">
        <v>1688</v>
      </c>
      <c r="D2331" s="100" t="s">
        <v>1689</v>
      </c>
      <c r="E2331" s="198">
        <v>170.0</v>
      </c>
      <c r="F2331" s="199" t="s">
        <v>2244</v>
      </c>
    </row>
    <row r="2332" ht="22.5" customHeight="1">
      <c r="A2332" s="197">
        <v>46172.8623665625</v>
      </c>
      <c r="B2332" s="100" t="s">
        <v>4075</v>
      </c>
      <c r="C2332" s="100" t="s">
        <v>1685</v>
      </c>
      <c r="D2332" s="100" t="s">
        <v>1686</v>
      </c>
      <c r="E2332" s="198">
        <v>25.0</v>
      </c>
      <c r="F2332" s="199" t="s">
        <v>3597</v>
      </c>
    </row>
    <row r="2333" ht="22.5" customHeight="1">
      <c r="A2333" s="197">
        <v>46172.8623665625</v>
      </c>
      <c r="B2333" s="100" t="s">
        <v>4075</v>
      </c>
      <c r="C2333" s="100" t="s">
        <v>1688</v>
      </c>
      <c r="D2333" s="100" t="s">
        <v>1689</v>
      </c>
      <c r="E2333" s="198">
        <v>40.0</v>
      </c>
      <c r="F2333" s="199" t="s">
        <v>3599</v>
      </c>
    </row>
    <row r="2334" ht="22.5" customHeight="1">
      <c r="A2334" s="197">
        <v>46172.86236690972</v>
      </c>
      <c r="B2334" s="100" t="s">
        <v>4077</v>
      </c>
      <c r="C2334" s="100" t="s">
        <v>1685</v>
      </c>
      <c r="D2334" s="100" t="s">
        <v>1686</v>
      </c>
      <c r="E2334" s="198">
        <v>90.0</v>
      </c>
      <c r="F2334" s="199" t="s">
        <v>2468</v>
      </c>
    </row>
    <row r="2335" ht="22.5" customHeight="1">
      <c r="A2335" s="197">
        <v>46172.86236690972</v>
      </c>
      <c r="B2335" s="100" t="s">
        <v>4077</v>
      </c>
      <c r="C2335" s="100" t="s">
        <v>1688</v>
      </c>
      <c r="D2335" s="100" t="s">
        <v>1689</v>
      </c>
      <c r="E2335" s="198">
        <v>210.0</v>
      </c>
      <c r="F2335" s="199" t="s">
        <v>2470</v>
      </c>
    </row>
    <row r="2336" ht="22.5" customHeight="1">
      <c r="A2336" s="197">
        <v>46172.862367141206</v>
      </c>
      <c r="B2336" s="100" t="s">
        <v>4079</v>
      </c>
      <c r="C2336" s="100" t="s">
        <v>1685</v>
      </c>
      <c r="D2336" s="100" t="s">
        <v>1686</v>
      </c>
      <c r="E2336" s="198">
        <v>120.0</v>
      </c>
      <c r="F2336" s="199" t="s">
        <v>2468</v>
      </c>
    </row>
    <row r="2337" ht="22.5" customHeight="1">
      <c r="A2337" s="197">
        <v>46172.862367141206</v>
      </c>
      <c r="B2337" s="100" t="s">
        <v>4079</v>
      </c>
      <c r="C2337" s="100" t="s">
        <v>1688</v>
      </c>
      <c r="D2337" s="100" t="s">
        <v>1689</v>
      </c>
      <c r="E2337" s="198">
        <v>280.0</v>
      </c>
      <c r="F2337" s="199" t="s">
        <v>2470</v>
      </c>
    </row>
    <row r="2338" ht="22.5" customHeight="1">
      <c r="A2338" s="197">
        <v>46172.86236733796</v>
      </c>
      <c r="B2338" s="100" t="s">
        <v>4081</v>
      </c>
      <c r="C2338" s="100" t="s">
        <v>1685</v>
      </c>
      <c r="D2338" s="100" t="s">
        <v>1686</v>
      </c>
      <c r="E2338" s="198">
        <v>270.0</v>
      </c>
      <c r="F2338" s="199" t="s">
        <v>4082</v>
      </c>
    </row>
    <row r="2339" ht="22.5" customHeight="1">
      <c r="A2339" s="197">
        <v>46172.86236733796</v>
      </c>
      <c r="B2339" s="100" t="s">
        <v>4081</v>
      </c>
      <c r="C2339" s="100" t="s">
        <v>1688</v>
      </c>
      <c r="D2339" s="100" t="s">
        <v>1689</v>
      </c>
      <c r="E2339" s="198">
        <v>360.0</v>
      </c>
      <c r="F2339" s="199" t="s">
        <v>4083</v>
      </c>
    </row>
    <row r="2340" ht="22.5" customHeight="1">
      <c r="A2340" s="197">
        <v>46172.86236753472</v>
      </c>
      <c r="B2340" s="100" t="s">
        <v>4085</v>
      </c>
      <c r="C2340" s="100" t="s">
        <v>1685</v>
      </c>
      <c r="D2340" s="100" t="s">
        <v>1686</v>
      </c>
      <c r="E2340" s="198">
        <v>338.0</v>
      </c>
      <c r="F2340" s="199" t="s">
        <v>4086</v>
      </c>
    </row>
    <row r="2341" ht="22.5" customHeight="1">
      <c r="A2341" s="197">
        <v>46172.86236753472</v>
      </c>
      <c r="B2341" s="100" t="s">
        <v>4085</v>
      </c>
      <c r="C2341" s="100" t="s">
        <v>1688</v>
      </c>
      <c r="D2341" s="100" t="s">
        <v>1689</v>
      </c>
      <c r="E2341" s="198">
        <v>500.0</v>
      </c>
      <c r="F2341" s="199" t="s">
        <v>4087</v>
      </c>
    </row>
    <row r="2342" ht="22.5" customHeight="1">
      <c r="A2342" s="197">
        <v>46172.86236770834</v>
      </c>
      <c r="B2342" s="100" t="s">
        <v>4089</v>
      </c>
      <c r="C2342" s="100" t="s">
        <v>1685</v>
      </c>
      <c r="D2342" s="100" t="s">
        <v>1686</v>
      </c>
      <c r="E2342" s="198">
        <v>128.0</v>
      </c>
      <c r="F2342" s="199" t="s">
        <v>2243</v>
      </c>
    </row>
    <row r="2343" ht="22.5" customHeight="1">
      <c r="A2343" s="197">
        <v>46172.86236770834</v>
      </c>
      <c r="B2343" s="100" t="s">
        <v>4089</v>
      </c>
      <c r="C2343" s="100" t="s">
        <v>1688</v>
      </c>
      <c r="D2343" s="100" t="s">
        <v>1689</v>
      </c>
      <c r="E2343" s="198">
        <v>170.0</v>
      </c>
      <c r="F2343" s="199" t="s">
        <v>2244</v>
      </c>
    </row>
    <row r="2344" ht="22.5" customHeight="1">
      <c r="A2344" s="197">
        <v>46172.86236787037</v>
      </c>
      <c r="B2344" s="100" t="s">
        <v>4090</v>
      </c>
      <c r="C2344" s="100" t="s">
        <v>1685</v>
      </c>
      <c r="D2344" s="100" t="s">
        <v>1686</v>
      </c>
      <c r="E2344" s="198">
        <v>170.0</v>
      </c>
      <c r="F2344" s="199" t="s">
        <v>4092</v>
      </c>
    </row>
    <row r="2345" ht="22.5" customHeight="1">
      <c r="A2345" s="197">
        <v>46172.86236787037</v>
      </c>
      <c r="B2345" s="100" t="s">
        <v>4090</v>
      </c>
      <c r="C2345" s="100" t="s">
        <v>1688</v>
      </c>
      <c r="D2345" s="100" t="s">
        <v>1689</v>
      </c>
      <c r="E2345" s="198">
        <v>200.0</v>
      </c>
      <c r="F2345" s="199" t="s">
        <v>4093</v>
      </c>
    </row>
    <row r="2346" ht="22.5" customHeight="1">
      <c r="A2346" s="197">
        <v>46172.86236804398</v>
      </c>
      <c r="B2346" s="100" t="s">
        <v>4094</v>
      </c>
      <c r="C2346" s="100" t="s">
        <v>1685</v>
      </c>
      <c r="D2346" s="100" t="s">
        <v>1686</v>
      </c>
      <c r="E2346" s="198">
        <v>120.0</v>
      </c>
      <c r="F2346" s="199" t="s">
        <v>2800</v>
      </c>
    </row>
    <row r="2347" ht="22.5" customHeight="1">
      <c r="A2347" s="197">
        <v>46172.86236804398</v>
      </c>
      <c r="B2347" s="100" t="s">
        <v>4094</v>
      </c>
      <c r="C2347" s="100" t="s">
        <v>1688</v>
      </c>
      <c r="D2347" s="100" t="s">
        <v>1689</v>
      </c>
      <c r="E2347" s="198">
        <v>160.0</v>
      </c>
      <c r="F2347" s="199" t="s">
        <v>2801</v>
      </c>
    </row>
    <row r="2348" ht="22.5" customHeight="1">
      <c r="A2348" s="197">
        <v>46172.862368229165</v>
      </c>
      <c r="B2348" s="100" t="s">
        <v>4096</v>
      </c>
      <c r="C2348" s="100" t="s">
        <v>1685</v>
      </c>
      <c r="D2348" s="100" t="s">
        <v>1686</v>
      </c>
      <c r="E2348" s="198">
        <v>200.0</v>
      </c>
      <c r="F2348" s="199" t="s">
        <v>3997</v>
      </c>
    </row>
    <row r="2349" ht="22.5" customHeight="1">
      <c r="A2349" s="197">
        <v>46172.862368229165</v>
      </c>
      <c r="B2349" s="100" t="s">
        <v>4096</v>
      </c>
      <c r="C2349" s="100" t="s">
        <v>1688</v>
      </c>
      <c r="D2349" s="100" t="s">
        <v>1689</v>
      </c>
      <c r="E2349" s="198">
        <v>310.0</v>
      </c>
      <c r="F2349" s="199" t="s">
        <v>3998</v>
      </c>
    </row>
    <row r="2350" ht="22.5" customHeight="1">
      <c r="A2350" s="197">
        <v>46172.86236842592</v>
      </c>
      <c r="B2350" s="100" t="s">
        <v>4098</v>
      </c>
      <c r="C2350" s="100" t="s">
        <v>1685</v>
      </c>
      <c r="D2350" s="100" t="s">
        <v>1686</v>
      </c>
      <c r="E2350" s="198">
        <v>110.0</v>
      </c>
      <c r="F2350" s="199" t="s">
        <v>4099</v>
      </c>
    </row>
    <row r="2351" ht="22.5" customHeight="1">
      <c r="A2351" s="197">
        <v>46172.86236842592</v>
      </c>
      <c r="B2351" s="100" t="s">
        <v>4098</v>
      </c>
      <c r="C2351" s="100" t="s">
        <v>1688</v>
      </c>
      <c r="D2351" s="100" t="s">
        <v>1689</v>
      </c>
      <c r="E2351" s="198">
        <v>200.0</v>
      </c>
      <c r="F2351" s="199" t="s">
        <v>4101</v>
      </c>
    </row>
    <row r="2352" ht="22.5" customHeight="1">
      <c r="A2352" s="197">
        <v>46172.8623687037</v>
      </c>
      <c r="B2352" s="100" t="s">
        <v>4102</v>
      </c>
      <c r="C2352" s="100" t="s">
        <v>1685</v>
      </c>
      <c r="D2352" s="100" t="s">
        <v>1686</v>
      </c>
      <c r="E2352" s="198">
        <v>60.0</v>
      </c>
      <c r="F2352" s="199" t="s">
        <v>2106</v>
      </c>
    </row>
    <row r="2353" ht="22.5" customHeight="1">
      <c r="A2353" s="197">
        <v>46172.8623687037</v>
      </c>
      <c r="B2353" s="100" t="s">
        <v>4102</v>
      </c>
      <c r="C2353" s="100" t="s">
        <v>1688</v>
      </c>
      <c r="D2353" s="100" t="s">
        <v>1689</v>
      </c>
      <c r="E2353" s="198">
        <v>80.0</v>
      </c>
      <c r="F2353" s="199" t="s">
        <v>2107</v>
      </c>
    </row>
    <row r="2354" ht="22.5" customHeight="1">
      <c r="A2354" s="197">
        <v>46172.86236893518</v>
      </c>
      <c r="B2354" s="100" t="s">
        <v>4104</v>
      </c>
      <c r="C2354" s="100" t="s">
        <v>1685</v>
      </c>
      <c r="D2354" s="100" t="s">
        <v>1686</v>
      </c>
      <c r="E2354" s="198">
        <v>95.0</v>
      </c>
      <c r="F2354" s="100" t="s">
        <v>4105</v>
      </c>
    </row>
    <row r="2355" ht="22.5" customHeight="1">
      <c r="A2355" s="197">
        <v>46172.86236893518</v>
      </c>
      <c r="B2355" s="100" t="s">
        <v>4104</v>
      </c>
      <c r="C2355" s="100" t="s">
        <v>1688</v>
      </c>
      <c r="D2355" s="100" t="s">
        <v>1689</v>
      </c>
      <c r="E2355" s="198">
        <v>100.0</v>
      </c>
      <c r="F2355" s="100" t="s">
        <v>4107</v>
      </c>
    </row>
    <row r="2356" ht="22.5" customHeight="1">
      <c r="A2356" s="197">
        <v>46172.86236924768</v>
      </c>
      <c r="B2356" s="100" t="s">
        <v>4108</v>
      </c>
      <c r="C2356" s="100" t="s">
        <v>1685</v>
      </c>
      <c r="D2356" s="100" t="s">
        <v>1686</v>
      </c>
      <c r="E2356" s="198">
        <v>180.0</v>
      </c>
      <c r="F2356" s="199" t="s">
        <v>4082</v>
      </c>
    </row>
    <row r="2357" ht="22.5" customHeight="1">
      <c r="A2357" s="197">
        <v>46172.86236924768</v>
      </c>
      <c r="B2357" s="100" t="s">
        <v>4108</v>
      </c>
      <c r="C2357" s="100" t="s">
        <v>1688</v>
      </c>
      <c r="D2357" s="100" t="s">
        <v>1689</v>
      </c>
      <c r="E2357" s="198">
        <v>280.0</v>
      </c>
      <c r="F2357" s="199" t="s">
        <v>4083</v>
      </c>
    </row>
    <row r="2358" ht="22.5" customHeight="1">
      <c r="A2358" s="197">
        <v>46172.899635532405</v>
      </c>
      <c r="B2358" s="100" t="s">
        <v>4111</v>
      </c>
      <c r="C2358" s="100" t="s">
        <v>1685</v>
      </c>
      <c r="D2358" s="100" t="s">
        <v>1686</v>
      </c>
      <c r="E2358" s="198">
        <v>12.11</v>
      </c>
      <c r="F2358" s="199" t="s">
        <v>4112</v>
      </c>
    </row>
    <row r="2359" ht="22.5" customHeight="1">
      <c r="A2359" s="197">
        <v>46172.899635532405</v>
      </c>
      <c r="B2359" s="100" t="s">
        <v>4111</v>
      </c>
      <c r="C2359" s="100" t="s">
        <v>1688</v>
      </c>
      <c r="D2359" s="100" t="s">
        <v>1689</v>
      </c>
      <c r="E2359" s="198">
        <v>30.0</v>
      </c>
      <c r="F2359" s="199" t="s">
        <v>4113</v>
      </c>
    </row>
    <row r="2360" ht="22.5" customHeight="1">
      <c r="A2360" s="197">
        <v>46172.899635925925</v>
      </c>
      <c r="B2360" s="100" t="s">
        <v>4115</v>
      </c>
      <c r="C2360" s="100" t="s">
        <v>1685</v>
      </c>
      <c r="D2360" s="100" t="s">
        <v>1686</v>
      </c>
      <c r="E2360" s="198">
        <v>20.0</v>
      </c>
      <c r="F2360" s="199" t="s">
        <v>2870</v>
      </c>
    </row>
    <row r="2361" ht="22.5" customHeight="1">
      <c r="A2361" s="197">
        <v>46172.899635925925</v>
      </c>
      <c r="B2361" s="100" t="s">
        <v>4115</v>
      </c>
      <c r="C2361" s="100" t="s">
        <v>1688</v>
      </c>
      <c r="D2361" s="100" t="s">
        <v>1689</v>
      </c>
      <c r="E2361" s="198">
        <v>50.0</v>
      </c>
      <c r="F2361" s="199" t="s">
        <v>2872</v>
      </c>
    </row>
    <row r="2362" ht="22.5" customHeight="1">
      <c r="A2362" s="197">
        <v>46172.899636319446</v>
      </c>
      <c r="B2362" s="100" t="s">
        <v>4116</v>
      </c>
      <c r="C2362" s="100" t="s">
        <v>1685</v>
      </c>
      <c r="D2362" s="100" t="s">
        <v>1686</v>
      </c>
      <c r="E2362" s="198">
        <v>338.0</v>
      </c>
      <c r="F2362" s="199" t="s">
        <v>4118</v>
      </c>
    </row>
    <row r="2363" ht="22.5" customHeight="1">
      <c r="A2363" s="197">
        <v>46172.899636319446</v>
      </c>
      <c r="B2363" s="100" t="s">
        <v>4116</v>
      </c>
      <c r="C2363" s="100" t="s">
        <v>1688</v>
      </c>
      <c r="D2363" s="100" t="s">
        <v>1689</v>
      </c>
      <c r="E2363" s="198">
        <v>500.0</v>
      </c>
      <c r="F2363" s="199" t="s">
        <v>4119</v>
      </c>
    </row>
    <row r="2364" ht="22.5" customHeight="1">
      <c r="A2364" s="197">
        <v>46172.89963674769</v>
      </c>
      <c r="B2364" s="100" t="s">
        <v>4120</v>
      </c>
      <c r="C2364" s="100" t="s">
        <v>1685</v>
      </c>
      <c r="D2364" s="100" t="s">
        <v>1686</v>
      </c>
      <c r="E2364" s="198">
        <v>18.34</v>
      </c>
      <c r="F2364" s="199" t="s">
        <v>1859</v>
      </c>
    </row>
    <row r="2365" ht="22.5" customHeight="1">
      <c r="A2365" s="197">
        <v>46172.89963674769</v>
      </c>
      <c r="B2365" s="100" t="s">
        <v>4120</v>
      </c>
      <c r="C2365" s="100" t="s">
        <v>1688</v>
      </c>
      <c r="D2365" s="100" t="s">
        <v>1689</v>
      </c>
      <c r="E2365" s="198">
        <v>50.0</v>
      </c>
      <c r="F2365" s="199" t="s">
        <v>1860</v>
      </c>
    </row>
    <row r="2366" ht="22.5" customHeight="1">
      <c r="A2366" s="197">
        <v>46172.8996371875</v>
      </c>
      <c r="B2366" s="100" t="s">
        <v>4122</v>
      </c>
      <c r="C2366" s="100" t="s">
        <v>1685</v>
      </c>
      <c r="D2366" s="100" t="s">
        <v>1686</v>
      </c>
      <c r="E2366" s="198">
        <v>37.5</v>
      </c>
      <c r="F2366" s="199" t="s">
        <v>3761</v>
      </c>
    </row>
    <row r="2367" ht="22.5" customHeight="1">
      <c r="A2367" s="197">
        <v>46172.8996371875</v>
      </c>
      <c r="B2367" s="100" t="s">
        <v>4122</v>
      </c>
      <c r="C2367" s="100" t="s">
        <v>1688</v>
      </c>
      <c r="D2367" s="100" t="s">
        <v>1689</v>
      </c>
      <c r="E2367" s="198">
        <v>75.0</v>
      </c>
      <c r="F2367" s="199" t="s">
        <v>3763</v>
      </c>
    </row>
    <row r="2368" ht="22.5" customHeight="1">
      <c r="A2368" s="197">
        <v>46172.899637731476</v>
      </c>
      <c r="B2368" s="100" t="s">
        <v>4123</v>
      </c>
      <c r="C2368" s="100" t="s">
        <v>1685</v>
      </c>
      <c r="D2368" s="100" t="s">
        <v>1686</v>
      </c>
      <c r="E2368" s="198">
        <v>90.29</v>
      </c>
      <c r="F2368" s="199" t="s">
        <v>2805</v>
      </c>
    </row>
    <row r="2369" ht="22.5" customHeight="1">
      <c r="A2369" s="197">
        <v>46172.899637731476</v>
      </c>
      <c r="B2369" s="100" t="s">
        <v>4123</v>
      </c>
      <c r="C2369" s="100" t="s">
        <v>1688</v>
      </c>
      <c r="D2369" s="100" t="s">
        <v>1689</v>
      </c>
      <c r="E2369" s="198">
        <v>130.0</v>
      </c>
      <c r="F2369" s="199" t="s">
        <v>2806</v>
      </c>
    </row>
    <row r="2370" ht="22.5" customHeight="1">
      <c r="A2370" s="197">
        <v>46172.89963804398</v>
      </c>
      <c r="B2370" s="100" t="s">
        <v>4124</v>
      </c>
      <c r="C2370" s="100" t="s">
        <v>1685</v>
      </c>
      <c r="D2370" s="100" t="s">
        <v>1686</v>
      </c>
      <c r="E2370" s="198">
        <v>35.0</v>
      </c>
      <c r="F2370" s="199" t="s">
        <v>2860</v>
      </c>
    </row>
    <row r="2371" ht="22.5" customHeight="1">
      <c r="A2371" s="197">
        <v>46172.89963804398</v>
      </c>
      <c r="B2371" s="100" t="s">
        <v>4124</v>
      </c>
      <c r="C2371" s="100" t="s">
        <v>1688</v>
      </c>
      <c r="D2371" s="100" t="s">
        <v>1689</v>
      </c>
      <c r="E2371" s="198">
        <v>50.0</v>
      </c>
      <c r="F2371" s="199" t="s">
        <v>2862</v>
      </c>
    </row>
    <row r="2372" ht="22.5" customHeight="1">
      <c r="A2372" s="197">
        <v>46172.89963825232</v>
      </c>
      <c r="B2372" s="100" t="s">
        <v>4125</v>
      </c>
      <c r="C2372" s="100" t="s">
        <v>1685</v>
      </c>
      <c r="D2372" s="100" t="s">
        <v>1686</v>
      </c>
      <c r="E2372" s="198">
        <v>160.0</v>
      </c>
      <c r="F2372" s="199" t="s">
        <v>2747</v>
      </c>
    </row>
    <row r="2373" ht="22.5" customHeight="1">
      <c r="A2373" s="197">
        <v>46172.89963825232</v>
      </c>
      <c r="B2373" s="100" t="s">
        <v>4125</v>
      </c>
      <c r="C2373" s="100" t="s">
        <v>1688</v>
      </c>
      <c r="D2373" s="100" t="s">
        <v>1689</v>
      </c>
      <c r="E2373" s="198">
        <v>200.0</v>
      </c>
      <c r="F2373" s="199" t="s">
        <v>2749</v>
      </c>
    </row>
    <row r="2374" ht="22.5" customHeight="1">
      <c r="A2374" s="197">
        <v>46172.89963851852</v>
      </c>
      <c r="B2374" s="100" t="s">
        <v>4126</v>
      </c>
      <c r="C2374" s="100" t="s">
        <v>1685</v>
      </c>
      <c r="D2374" s="100" t="s">
        <v>1686</v>
      </c>
      <c r="E2374" s="198">
        <v>11.0</v>
      </c>
      <c r="F2374" s="199" t="s">
        <v>3178</v>
      </c>
    </row>
    <row r="2375" ht="22.5" customHeight="1">
      <c r="A2375" s="197">
        <v>46172.89963851852</v>
      </c>
      <c r="B2375" s="100" t="s">
        <v>4126</v>
      </c>
      <c r="C2375" s="100" t="s">
        <v>1688</v>
      </c>
      <c r="D2375" s="100" t="s">
        <v>1689</v>
      </c>
      <c r="E2375" s="198">
        <v>10.0</v>
      </c>
      <c r="F2375" s="199" t="s">
        <v>3180</v>
      </c>
    </row>
    <row r="2376" ht="22.5" customHeight="1">
      <c r="A2376" s="197">
        <v>46172.89963878472</v>
      </c>
      <c r="B2376" s="100" t="s">
        <v>4127</v>
      </c>
      <c r="C2376" s="100" t="s">
        <v>1685</v>
      </c>
      <c r="D2376" s="100" t="s">
        <v>1686</v>
      </c>
      <c r="E2376" s="198">
        <v>70.0</v>
      </c>
      <c r="F2376" s="199" t="s">
        <v>4128</v>
      </c>
    </row>
    <row r="2377" ht="22.5" customHeight="1">
      <c r="A2377" s="197">
        <v>46172.89963878472</v>
      </c>
      <c r="B2377" s="100" t="s">
        <v>4127</v>
      </c>
      <c r="C2377" s="100" t="s">
        <v>1688</v>
      </c>
      <c r="D2377" s="100" t="s">
        <v>1689</v>
      </c>
      <c r="E2377" s="198">
        <v>125.0</v>
      </c>
      <c r="F2377" s="199" t="s">
        <v>4129</v>
      </c>
    </row>
    <row r="2378" ht="22.5" customHeight="1">
      <c r="A2378" s="197">
        <v>46172.89963903935</v>
      </c>
      <c r="B2378" s="100" t="s">
        <v>4130</v>
      </c>
      <c r="C2378" s="100" t="s">
        <v>1685</v>
      </c>
      <c r="D2378" s="100" t="s">
        <v>1686</v>
      </c>
      <c r="E2378" s="198">
        <v>20.0</v>
      </c>
      <c r="F2378" s="199" t="s">
        <v>2870</v>
      </c>
    </row>
    <row r="2379" ht="22.5" customHeight="1">
      <c r="A2379" s="197">
        <v>46172.89963903935</v>
      </c>
      <c r="B2379" s="100" t="s">
        <v>4130</v>
      </c>
      <c r="C2379" s="100" t="s">
        <v>1688</v>
      </c>
      <c r="D2379" s="100" t="s">
        <v>1689</v>
      </c>
      <c r="E2379" s="198">
        <v>50.0</v>
      </c>
      <c r="F2379" s="199" t="s">
        <v>2872</v>
      </c>
    </row>
    <row r="2380" ht="22.5" customHeight="1">
      <c r="A2380" s="197">
        <v>46172.89963930556</v>
      </c>
      <c r="B2380" s="100" t="s">
        <v>4131</v>
      </c>
      <c r="C2380" s="100" t="s">
        <v>1685</v>
      </c>
      <c r="D2380" s="100" t="s">
        <v>1686</v>
      </c>
      <c r="E2380" s="198">
        <v>70.0</v>
      </c>
      <c r="F2380" s="199" t="s">
        <v>4128</v>
      </c>
    </row>
    <row r="2381" ht="22.5" customHeight="1">
      <c r="A2381" s="197">
        <v>46172.89963930556</v>
      </c>
      <c r="B2381" s="100" t="s">
        <v>4131</v>
      </c>
      <c r="C2381" s="100" t="s">
        <v>1688</v>
      </c>
      <c r="D2381" s="100" t="s">
        <v>1689</v>
      </c>
      <c r="E2381" s="198">
        <v>150.0</v>
      </c>
      <c r="F2381" s="199" t="s">
        <v>4129</v>
      </c>
    </row>
    <row r="2382" ht="22.5" customHeight="1">
      <c r="A2382" s="197">
        <v>46172.899639537034</v>
      </c>
      <c r="B2382" s="100" t="s">
        <v>4132</v>
      </c>
      <c r="C2382" s="100" t="s">
        <v>1685</v>
      </c>
      <c r="D2382" s="100" t="s">
        <v>1686</v>
      </c>
      <c r="E2382" s="198">
        <v>20.0</v>
      </c>
      <c r="F2382" s="199" t="s">
        <v>2870</v>
      </c>
    </row>
    <row r="2383" ht="22.5" customHeight="1">
      <c r="A2383" s="197">
        <v>46172.899639537034</v>
      </c>
      <c r="B2383" s="100" t="s">
        <v>4132</v>
      </c>
      <c r="C2383" s="100" t="s">
        <v>1688</v>
      </c>
      <c r="D2383" s="100" t="s">
        <v>1689</v>
      </c>
      <c r="E2383" s="198">
        <v>50.0</v>
      </c>
      <c r="F2383" s="199" t="s">
        <v>2872</v>
      </c>
    </row>
    <row r="2384" ht="22.5" customHeight="1">
      <c r="A2384" s="197">
        <v>46172.8996397338</v>
      </c>
      <c r="B2384" s="100" t="s">
        <v>4133</v>
      </c>
      <c r="C2384" s="100" t="s">
        <v>1685</v>
      </c>
      <c r="D2384" s="100" t="s">
        <v>1686</v>
      </c>
      <c r="E2384" s="198">
        <v>90.0</v>
      </c>
      <c r="F2384" s="199" t="s">
        <v>4134</v>
      </c>
    </row>
    <row r="2385" ht="22.5" customHeight="1">
      <c r="A2385" s="197">
        <v>46172.8996397338</v>
      </c>
      <c r="B2385" s="100" t="s">
        <v>4133</v>
      </c>
      <c r="C2385" s="100" t="s">
        <v>1688</v>
      </c>
      <c r="D2385" s="100" t="s">
        <v>1689</v>
      </c>
      <c r="E2385" s="198">
        <v>150.0</v>
      </c>
      <c r="F2385" s="199" t="s">
        <v>4135</v>
      </c>
    </row>
    <row r="2386" ht="22.5" customHeight="1">
      <c r="A2386" s="197">
        <v>46172.89964</v>
      </c>
      <c r="B2386" s="100" t="s">
        <v>4136</v>
      </c>
      <c r="C2386" s="100" t="s">
        <v>1685</v>
      </c>
      <c r="D2386" s="100" t="s">
        <v>1686</v>
      </c>
      <c r="E2386" s="198">
        <v>10.0</v>
      </c>
      <c r="F2386" s="199" t="s">
        <v>2864</v>
      </c>
    </row>
    <row r="2387" ht="22.5" customHeight="1">
      <c r="A2387" s="197">
        <v>46172.89964</v>
      </c>
      <c r="B2387" s="100" t="s">
        <v>4136</v>
      </c>
      <c r="C2387" s="100" t="s">
        <v>1688</v>
      </c>
      <c r="D2387" s="100" t="s">
        <v>1689</v>
      </c>
      <c r="E2387" s="198">
        <v>50.0</v>
      </c>
      <c r="F2387" s="199" t="s">
        <v>2866</v>
      </c>
    </row>
    <row r="2388" ht="22.5" customHeight="1">
      <c r="A2388" s="197">
        <v>46172.89964023148</v>
      </c>
      <c r="B2388" s="100" t="s">
        <v>4137</v>
      </c>
      <c r="C2388" s="100" t="s">
        <v>1685</v>
      </c>
      <c r="D2388" s="100" t="s">
        <v>1686</v>
      </c>
      <c r="E2388" s="198">
        <v>100.0</v>
      </c>
      <c r="F2388" s="199" t="s">
        <v>3997</v>
      </c>
    </row>
    <row r="2389" ht="22.5" customHeight="1">
      <c r="A2389" s="197">
        <v>46172.89964023148</v>
      </c>
      <c r="B2389" s="100" t="s">
        <v>4137</v>
      </c>
      <c r="C2389" s="100" t="s">
        <v>1688</v>
      </c>
      <c r="D2389" s="100" t="s">
        <v>1689</v>
      </c>
      <c r="E2389" s="198">
        <v>150.0</v>
      </c>
      <c r="F2389" s="199" t="s">
        <v>3998</v>
      </c>
    </row>
    <row r="2390" ht="22.5" customHeight="1">
      <c r="A2390" s="197">
        <v>46172.89964050926</v>
      </c>
      <c r="B2390" s="100" t="s">
        <v>4139</v>
      </c>
      <c r="C2390" s="100" t="s">
        <v>1685</v>
      </c>
      <c r="D2390" s="100" t="s">
        <v>1686</v>
      </c>
      <c r="E2390" s="198">
        <v>95.0</v>
      </c>
      <c r="F2390" s="199" t="s">
        <v>3169</v>
      </c>
    </row>
    <row r="2391" ht="22.5" customHeight="1">
      <c r="A2391" s="197">
        <v>46172.89964050926</v>
      </c>
      <c r="B2391" s="100" t="s">
        <v>4139</v>
      </c>
      <c r="C2391" s="100" t="s">
        <v>1688</v>
      </c>
      <c r="D2391" s="100" t="s">
        <v>1689</v>
      </c>
      <c r="E2391" s="198">
        <v>140.0</v>
      </c>
      <c r="F2391" s="199" t="s">
        <v>3170</v>
      </c>
    </row>
    <row r="2392" ht="22.5" customHeight="1">
      <c r="A2392" s="197">
        <v>46172.899640868054</v>
      </c>
      <c r="B2392" s="100" t="s">
        <v>4141</v>
      </c>
      <c r="C2392" s="100" t="s">
        <v>1685</v>
      </c>
      <c r="D2392" s="100" t="s">
        <v>1686</v>
      </c>
      <c r="E2392" s="198">
        <v>200.0</v>
      </c>
      <c r="F2392" s="199" t="s">
        <v>4142</v>
      </c>
    </row>
    <row r="2393" ht="22.5" customHeight="1">
      <c r="A2393" s="197">
        <v>46172.899640868054</v>
      </c>
      <c r="B2393" s="100" t="s">
        <v>4141</v>
      </c>
      <c r="C2393" s="100" t="s">
        <v>1688</v>
      </c>
      <c r="D2393" s="100" t="s">
        <v>1689</v>
      </c>
      <c r="E2393" s="198">
        <v>250.0</v>
      </c>
      <c r="F2393" s="199" t="s">
        <v>4144</v>
      </c>
    </row>
    <row r="2394" ht="22.5" customHeight="1">
      <c r="A2394" s="197">
        <v>46172.89964118056</v>
      </c>
      <c r="B2394" s="100" t="s">
        <v>4145</v>
      </c>
      <c r="C2394" s="100" t="s">
        <v>1685</v>
      </c>
      <c r="D2394" s="100" t="s">
        <v>1686</v>
      </c>
      <c r="E2394" s="198">
        <v>150.0</v>
      </c>
      <c r="F2394" s="199" t="s">
        <v>4146</v>
      </c>
    </row>
    <row r="2395" ht="22.5" customHeight="1">
      <c r="A2395" s="197">
        <v>46172.89964118056</v>
      </c>
      <c r="B2395" s="100" t="s">
        <v>4145</v>
      </c>
      <c r="C2395" s="100" t="s">
        <v>1688</v>
      </c>
      <c r="D2395" s="100" t="s">
        <v>1689</v>
      </c>
      <c r="E2395" s="198">
        <v>275.0</v>
      </c>
      <c r="F2395" s="199" t="s">
        <v>4148</v>
      </c>
    </row>
    <row r="2396" ht="22.5" customHeight="1">
      <c r="A2396" s="197">
        <v>46172.89964137731</v>
      </c>
      <c r="B2396" s="100" t="s">
        <v>4149</v>
      </c>
      <c r="C2396" s="100" t="s">
        <v>1685</v>
      </c>
      <c r="D2396" s="100" t="s">
        <v>1686</v>
      </c>
      <c r="E2396" s="198">
        <v>100.0</v>
      </c>
      <c r="F2396" s="199" t="s">
        <v>3997</v>
      </c>
    </row>
    <row r="2397" ht="22.5" customHeight="1">
      <c r="A2397" s="197">
        <v>46172.89964137731</v>
      </c>
      <c r="B2397" s="100" t="s">
        <v>4149</v>
      </c>
      <c r="C2397" s="100" t="s">
        <v>1688</v>
      </c>
      <c r="D2397" s="100" t="s">
        <v>1689</v>
      </c>
      <c r="E2397" s="198">
        <v>150.0</v>
      </c>
      <c r="F2397" s="199" t="s">
        <v>3998</v>
      </c>
    </row>
    <row r="2398" ht="22.5" customHeight="1">
      <c r="A2398" s="197">
        <v>46172.899641655094</v>
      </c>
      <c r="B2398" s="100" t="s">
        <v>4151</v>
      </c>
      <c r="C2398" s="100" t="s">
        <v>1685</v>
      </c>
      <c r="D2398" s="100" t="s">
        <v>1686</v>
      </c>
      <c r="E2398" s="198">
        <v>10.0</v>
      </c>
      <c r="F2398" s="199" t="s">
        <v>2864</v>
      </c>
    </row>
    <row r="2399" ht="22.5" customHeight="1">
      <c r="A2399" s="197">
        <v>46172.899641655094</v>
      </c>
      <c r="B2399" s="100" t="s">
        <v>4151</v>
      </c>
      <c r="C2399" s="100" t="s">
        <v>1688</v>
      </c>
      <c r="D2399" s="100" t="s">
        <v>1689</v>
      </c>
      <c r="E2399" s="198">
        <v>25.0</v>
      </c>
      <c r="F2399" s="199" t="s">
        <v>2866</v>
      </c>
    </row>
    <row r="2400" ht="22.5" customHeight="1">
      <c r="A2400" s="197">
        <v>46172.89964201389</v>
      </c>
      <c r="B2400" s="100" t="s">
        <v>4153</v>
      </c>
      <c r="C2400" s="100" t="s">
        <v>1685</v>
      </c>
      <c r="D2400" s="100" t="s">
        <v>1686</v>
      </c>
      <c r="E2400" s="198">
        <v>105.0</v>
      </c>
      <c r="F2400" s="199" t="s">
        <v>2007</v>
      </c>
    </row>
    <row r="2401" ht="22.5" customHeight="1">
      <c r="A2401" s="197">
        <v>46172.89964201389</v>
      </c>
      <c r="B2401" s="100" t="s">
        <v>4153</v>
      </c>
      <c r="C2401" s="100" t="s">
        <v>1688</v>
      </c>
      <c r="D2401" s="100" t="s">
        <v>1689</v>
      </c>
      <c r="E2401" s="198">
        <v>130.0</v>
      </c>
      <c r="F2401" s="199" t="s">
        <v>2008</v>
      </c>
    </row>
    <row r="2402" ht="22.5" customHeight="1">
      <c r="A2402" s="197">
        <v>46172.89964232639</v>
      </c>
      <c r="B2402" s="100" t="s">
        <v>4155</v>
      </c>
      <c r="C2402" s="100" t="s">
        <v>1685</v>
      </c>
      <c r="D2402" s="100" t="s">
        <v>1686</v>
      </c>
      <c r="E2402" s="198">
        <v>20.0</v>
      </c>
      <c r="F2402" s="199" t="s">
        <v>2870</v>
      </c>
    </row>
    <row r="2403" ht="22.5" customHeight="1">
      <c r="A2403" s="197">
        <v>46172.89964232639</v>
      </c>
      <c r="B2403" s="100" t="s">
        <v>4155</v>
      </c>
      <c r="C2403" s="100" t="s">
        <v>1688</v>
      </c>
      <c r="D2403" s="100" t="s">
        <v>1689</v>
      </c>
      <c r="E2403" s="198">
        <v>40.0</v>
      </c>
      <c r="F2403" s="199" t="s">
        <v>2872</v>
      </c>
    </row>
    <row r="2404" ht="22.5" customHeight="1">
      <c r="A2404" s="197">
        <v>46172.899642766206</v>
      </c>
      <c r="B2404" s="100" t="s">
        <v>4157</v>
      </c>
      <c r="C2404" s="100" t="s">
        <v>1685</v>
      </c>
      <c r="D2404" s="100" t="s">
        <v>1686</v>
      </c>
      <c r="E2404" s="198">
        <v>70.0</v>
      </c>
      <c r="F2404" s="199" t="s">
        <v>4158</v>
      </c>
    </row>
    <row r="2405" ht="22.5" customHeight="1">
      <c r="A2405" s="197">
        <v>46172.899642766206</v>
      </c>
      <c r="B2405" s="100" t="s">
        <v>4157</v>
      </c>
      <c r="C2405" s="100" t="s">
        <v>1688</v>
      </c>
      <c r="D2405" s="100" t="s">
        <v>1689</v>
      </c>
      <c r="E2405" s="198">
        <v>100.0</v>
      </c>
      <c r="F2405" s="199" t="s">
        <v>4159</v>
      </c>
    </row>
    <row r="2406" ht="22.5" customHeight="1">
      <c r="A2406" s="197">
        <v>46172.89964300926</v>
      </c>
      <c r="B2406" s="100" t="s">
        <v>4160</v>
      </c>
      <c r="C2406" s="100" t="s">
        <v>1685</v>
      </c>
      <c r="D2406" s="100" t="s">
        <v>1686</v>
      </c>
      <c r="E2406" s="198">
        <v>45.0</v>
      </c>
      <c r="F2406" s="199" t="s">
        <v>2800</v>
      </c>
    </row>
    <row r="2407" ht="22.5" customHeight="1">
      <c r="A2407" s="197">
        <v>46172.89964300926</v>
      </c>
      <c r="B2407" s="100" t="s">
        <v>4160</v>
      </c>
      <c r="C2407" s="100" t="s">
        <v>1688</v>
      </c>
      <c r="D2407" s="100" t="s">
        <v>1689</v>
      </c>
      <c r="E2407" s="198">
        <v>60.0</v>
      </c>
      <c r="F2407" s="199" t="s">
        <v>2801</v>
      </c>
    </row>
    <row r="2408" ht="22.5" customHeight="1">
      <c r="A2408" s="197">
        <v>46172.89964336806</v>
      </c>
      <c r="B2408" s="100" t="s">
        <v>4162</v>
      </c>
      <c r="C2408" s="100" t="s">
        <v>1685</v>
      </c>
      <c r="D2408" s="100" t="s">
        <v>1686</v>
      </c>
      <c r="E2408" s="198">
        <v>150.0</v>
      </c>
      <c r="F2408" s="199" t="s">
        <v>4146</v>
      </c>
    </row>
    <row r="2409" ht="22.5" customHeight="1">
      <c r="A2409" s="197">
        <v>46172.89964336806</v>
      </c>
      <c r="B2409" s="100" t="s">
        <v>4162</v>
      </c>
      <c r="C2409" s="100" t="s">
        <v>1688</v>
      </c>
      <c r="D2409" s="100" t="s">
        <v>1689</v>
      </c>
      <c r="E2409" s="198">
        <v>210.0</v>
      </c>
      <c r="F2409" s="199" t="s">
        <v>4148</v>
      </c>
    </row>
    <row r="2410" ht="22.5" customHeight="1">
      <c r="A2410" s="197">
        <v>46172.899643599536</v>
      </c>
      <c r="B2410" s="100" t="s">
        <v>4164</v>
      </c>
      <c r="C2410" s="100" t="s">
        <v>1685</v>
      </c>
      <c r="D2410" s="100" t="s">
        <v>1686</v>
      </c>
      <c r="E2410" s="198">
        <v>20.0</v>
      </c>
      <c r="F2410" s="199" t="s">
        <v>2870</v>
      </c>
    </row>
    <row r="2411" ht="22.5" customHeight="1">
      <c r="A2411" s="197">
        <v>46172.899643599536</v>
      </c>
      <c r="B2411" s="100" t="s">
        <v>4164</v>
      </c>
      <c r="C2411" s="100" t="s">
        <v>1688</v>
      </c>
      <c r="D2411" s="100" t="s">
        <v>1689</v>
      </c>
      <c r="E2411" s="198">
        <v>50.0</v>
      </c>
      <c r="F2411" s="199" t="s">
        <v>2872</v>
      </c>
    </row>
    <row r="2412" ht="22.5" customHeight="1">
      <c r="A2412" s="197">
        <v>46172.89964387732</v>
      </c>
      <c r="B2412" s="100" t="s">
        <v>4166</v>
      </c>
      <c r="C2412" s="100" t="s">
        <v>1685</v>
      </c>
      <c r="D2412" s="100" t="s">
        <v>1686</v>
      </c>
      <c r="E2412" s="198">
        <v>90.0</v>
      </c>
      <c r="F2412" s="199" t="s">
        <v>4082</v>
      </c>
    </row>
    <row r="2413" ht="22.5" customHeight="1">
      <c r="A2413" s="197">
        <v>46172.89964387732</v>
      </c>
      <c r="B2413" s="100" t="s">
        <v>4166</v>
      </c>
      <c r="C2413" s="100" t="s">
        <v>1688</v>
      </c>
      <c r="D2413" s="100" t="s">
        <v>1689</v>
      </c>
      <c r="E2413" s="198">
        <v>120.0</v>
      </c>
      <c r="F2413" s="199" t="s">
        <v>4083</v>
      </c>
    </row>
    <row r="2414" ht="22.5" customHeight="1">
      <c r="A2414" s="197">
        <v>46172.89964428241</v>
      </c>
      <c r="B2414" s="100" t="s">
        <v>4168</v>
      </c>
      <c r="C2414" s="100" t="s">
        <v>1685</v>
      </c>
      <c r="D2414" s="100" t="s">
        <v>1686</v>
      </c>
      <c r="E2414" s="198">
        <v>20.0</v>
      </c>
      <c r="F2414" s="199" t="s">
        <v>3593</v>
      </c>
    </row>
    <row r="2415" ht="22.5" customHeight="1">
      <c r="A2415" s="197">
        <v>46172.89964428241</v>
      </c>
      <c r="B2415" s="100" t="s">
        <v>4168</v>
      </c>
      <c r="C2415" s="100" t="s">
        <v>1688</v>
      </c>
      <c r="D2415" s="100" t="s">
        <v>1689</v>
      </c>
      <c r="E2415" s="198">
        <v>50.0</v>
      </c>
      <c r="F2415" s="199" t="s">
        <v>3595</v>
      </c>
    </row>
    <row r="2416" ht="22.5" customHeight="1">
      <c r="A2416" s="197">
        <v>46172.89964451389</v>
      </c>
      <c r="B2416" s="100" t="s">
        <v>4170</v>
      </c>
      <c r="C2416" s="100" t="s">
        <v>1685</v>
      </c>
      <c r="D2416" s="100" t="s">
        <v>1686</v>
      </c>
      <c r="E2416" s="198">
        <v>90.0</v>
      </c>
      <c r="F2416" s="199" t="s">
        <v>4082</v>
      </c>
    </row>
    <row r="2417" ht="22.5" customHeight="1">
      <c r="A2417" s="197">
        <v>46172.89964451389</v>
      </c>
      <c r="B2417" s="100" t="s">
        <v>4170</v>
      </c>
      <c r="C2417" s="100" t="s">
        <v>1688</v>
      </c>
      <c r="D2417" s="100" t="s">
        <v>1689</v>
      </c>
      <c r="E2417" s="198">
        <v>140.0</v>
      </c>
      <c r="F2417" s="199" t="s">
        <v>4083</v>
      </c>
    </row>
    <row r="2418" ht="22.5" customHeight="1">
      <c r="A2418" s="197">
        <v>46172.89964483796</v>
      </c>
      <c r="B2418" s="100" t="s">
        <v>4172</v>
      </c>
      <c r="C2418" s="100" t="s">
        <v>1685</v>
      </c>
      <c r="D2418" s="100" t="s">
        <v>1686</v>
      </c>
      <c r="E2418" s="198">
        <v>28.0</v>
      </c>
      <c r="F2418" s="199" t="s">
        <v>3099</v>
      </c>
    </row>
    <row r="2419" ht="22.5" customHeight="1">
      <c r="A2419" s="197">
        <v>46172.89964483796</v>
      </c>
      <c r="B2419" s="100" t="s">
        <v>4172</v>
      </c>
      <c r="C2419" s="100" t="s">
        <v>1688</v>
      </c>
      <c r="D2419" s="100" t="s">
        <v>1689</v>
      </c>
      <c r="E2419" s="198">
        <v>60.0</v>
      </c>
      <c r="F2419" s="199" t="s">
        <v>3100</v>
      </c>
    </row>
    <row r="2420" ht="22.5" customHeight="1">
      <c r="A2420" s="197">
        <v>46172.89964520834</v>
      </c>
      <c r="B2420" s="100" t="s">
        <v>4174</v>
      </c>
      <c r="C2420" s="100" t="s">
        <v>1685</v>
      </c>
      <c r="D2420" s="100" t="s">
        <v>1686</v>
      </c>
      <c r="E2420" s="198">
        <v>9.16</v>
      </c>
      <c r="F2420" s="199" t="s">
        <v>2678</v>
      </c>
    </row>
    <row r="2421" ht="22.5" customHeight="1">
      <c r="A2421" s="197">
        <v>46172.89964520834</v>
      </c>
      <c r="B2421" s="100" t="s">
        <v>4174</v>
      </c>
      <c r="C2421" s="100" t="s">
        <v>1688</v>
      </c>
      <c r="D2421" s="100" t="s">
        <v>1689</v>
      </c>
      <c r="E2421" s="198">
        <v>15.0</v>
      </c>
      <c r="F2421" s="199" t="s">
        <v>2679</v>
      </c>
    </row>
    <row r="2422" ht="22.5" customHeight="1">
      <c r="A2422" s="197">
        <v>46172.89964554398</v>
      </c>
      <c r="B2422" s="100" t="s">
        <v>4176</v>
      </c>
      <c r="C2422" s="100" t="s">
        <v>1685</v>
      </c>
      <c r="D2422" s="100" t="s">
        <v>1686</v>
      </c>
      <c r="E2422" s="198">
        <v>150.0</v>
      </c>
      <c r="F2422" s="199" t="s">
        <v>3063</v>
      </c>
    </row>
    <row r="2423" ht="22.5" customHeight="1">
      <c r="A2423" s="197">
        <v>46172.89964554398</v>
      </c>
      <c r="B2423" s="100" t="s">
        <v>4176</v>
      </c>
      <c r="C2423" s="100" t="s">
        <v>1688</v>
      </c>
      <c r="D2423" s="100" t="s">
        <v>1689</v>
      </c>
      <c r="E2423" s="198">
        <v>200.0</v>
      </c>
      <c r="F2423" s="199" t="s">
        <v>3064</v>
      </c>
    </row>
    <row r="2424" ht="22.5" customHeight="1">
      <c r="A2424" s="197">
        <v>46172.8996458912</v>
      </c>
      <c r="B2424" s="100" t="s">
        <v>4178</v>
      </c>
      <c r="C2424" s="100" t="s">
        <v>1685</v>
      </c>
      <c r="D2424" s="100" t="s">
        <v>1686</v>
      </c>
      <c r="E2424" s="198">
        <v>45.0</v>
      </c>
      <c r="F2424" s="199" t="s">
        <v>2800</v>
      </c>
    </row>
    <row r="2425" ht="22.5" customHeight="1">
      <c r="A2425" s="197">
        <v>46172.8996458912</v>
      </c>
      <c r="B2425" s="100" t="s">
        <v>4178</v>
      </c>
      <c r="C2425" s="100" t="s">
        <v>1688</v>
      </c>
      <c r="D2425" s="100" t="s">
        <v>1689</v>
      </c>
      <c r="E2425" s="198">
        <v>60.0</v>
      </c>
      <c r="F2425" s="199" t="s">
        <v>2801</v>
      </c>
    </row>
    <row r="2426" ht="22.5" customHeight="1">
      <c r="A2426" s="197">
        <v>46172.899646157406</v>
      </c>
      <c r="B2426" s="100" t="s">
        <v>4179</v>
      </c>
      <c r="C2426" s="100" t="s">
        <v>1685</v>
      </c>
      <c r="D2426" s="100" t="s">
        <v>1686</v>
      </c>
      <c r="E2426" s="198">
        <v>20.0</v>
      </c>
      <c r="F2426" s="199" t="s">
        <v>2870</v>
      </c>
    </row>
    <row r="2427" ht="22.5" customHeight="1">
      <c r="A2427" s="197">
        <v>46172.899646157406</v>
      </c>
      <c r="B2427" s="100" t="s">
        <v>4179</v>
      </c>
      <c r="C2427" s="100" t="s">
        <v>1688</v>
      </c>
      <c r="D2427" s="100" t="s">
        <v>1689</v>
      </c>
      <c r="E2427" s="198">
        <v>30.0</v>
      </c>
      <c r="F2427" s="199" t="s">
        <v>2872</v>
      </c>
    </row>
    <row r="2428" ht="22.5" customHeight="1">
      <c r="A2428" s="197">
        <v>46172.899646481485</v>
      </c>
      <c r="B2428" s="100" t="s">
        <v>4181</v>
      </c>
      <c r="C2428" s="100" t="s">
        <v>1685</v>
      </c>
      <c r="D2428" s="100" t="s">
        <v>1686</v>
      </c>
      <c r="E2428" s="198">
        <v>30.0</v>
      </c>
      <c r="F2428" s="199" t="s">
        <v>2468</v>
      </c>
    </row>
    <row r="2429" ht="22.5" customHeight="1">
      <c r="A2429" s="197">
        <v>46172.899646481485</v>
      </c>
      <c r="B2429" s="100" t="s">
        <v>4181</v>
      </c>
      <c r="C2429" s="100" t="s">
        <v>1688</v>
      </c>
      <c r="D2429" s="100" t="s">
        <v>1689</v>
      </c>
      <c r="E2429" s="198">
        <v>60.0</v>
      </c>
      <c r="F2429" s="199" t="s">
        <v>2470</v>
      </c>
    </row>
    <row r="2430" ht="22.5" customHeight="1">
      <c r="A2430" s="197">
        <v>46172.899646770835</v>
      </c>
      <c r="B2430" s="100" t="s">
        <v>4183</v>
      </c>
      <c r="C2430" s="100" t="s">
        <v>1685</v>
      </c>
      <c r="D2430" s="100" t="s">
        <v>1686</v>
      </c>
      <c r="E2430" s="198">
        <v>12.11</v>
      </c>
      <c r="F2430" s="199" t="s">
        <v>4112</v>
      </c>
    </row>
    <row r="2431" ht="22.5" customHeight="1">
      <c r="A2431" s="197">
        <v>46172.899646770835</v>
      </c>
      <c r="B2431" s="100" t="s">
        <v>4183</v>
      </c>
      <c r="C2431" s="100" t="s">
        <v>1688</v>
      </c>
      <c r="D2431" s="100" t="s">
        <v>1689</v>
      </c>
      <c r="E2431" s="198">
        <v>20.0</v>
      </c>
      <c r="F2431" s="199" t="s">
        <v>4113</v>
      </c>
    </row>
    <row r="2432" ht="22.5" customHeight="1">
      <c r="A2432" s="197">
        <v>46172.8996471875</v>
      </c>
      <c r="B2432" s="100" t="s">
        <v>4185</v>
      </c>
      <c r="C2432" s="100" t="s">
        <v>1685</v>
      </c>
      <c r="D2432" s="100" t="s">
        <v>1686</v>
      </c>
      <c r="E2432" s="198">
        <v>84.17</v>
      </c>
      <c r="F2432" s="199" t="s">
        <v>4187</v>
      </c>
    </row>
    <row r="2433" ht="22.5" customHeight="1">
      <c r="A2433" s="197">
        <v>46172.8996471875</v>
      </c>
      <c r="B2433" s="100" t="s">
        <v>4185</v>
      </c>
      <c r="C2433" s="100" t="s">
        <v>1688</v>
      </c>
      <c r="D2433" s="100" t="s">
        <v>1689</v>
      </c>
      <c r="E2433" s="198">
        <v>200.0</v>
      </c>
      <c r="F2433" s="199" t="s">
        <v>4188</v>
      </c>
    </row>
    <row r="2434" ht="22.5" customHeight="1">
      <c r="A2434" s="197">
        <v>46172.89964740741</v>
      </c>
      <c r="B2434" s="100" t="s">
        <v>4189</v>
      </c>
      <c r="C2434" s="100" t="s">
        <v>1685</v>
      </c>
      <c r="D2434" s="100" t="s">
        <v>1686</v>
      </c>
      <c r="E2434" s="198">
        <v>17.0</v>
      </c>
      <c r="F2434" s="199" t="s">
        <v>2640</v>
      </c>
    </row>
    <row r="2435" ht="22.5" customHeight="1">
      <c r="A2435" s="197">
        <v>46172.89964740741</v>
      </c>
      <c r="B2435" s="100" t="s">
        <v>4189</v>
      </c>
      <c r="C2435" s="100" t="s">
        <v>1688</v>
      </c>
      <c r="D2435" s="100" t="s">
        <v>1689</v>
      </c>
      <c r="E2435" s="198">
        <v>25.0</v>
      </c>
      <c r="F2435" s="199" t="s">
        <v>2641</v>
      </c>
    </row>
    <row r="2436" ht="22.5" customHeight="1">
      <c r="A2436" s="197">
        <v>46172.89964762732</v>
      </c>
      <c r="B2436" s="100" t="s">
        <v>4191</v>
      </c>
      <c r="C2436" s="100" t="s">
        <v>1685</v>
      </c>
      <c r="D2436" s="100" t="s">
        <v>1686</v>
      </c>
      <c r="E2436" s="198">
        <v>55.0</v>
      </c>
      <c r="F2436" s="199" t="s">
        <v>4192</v>
      </c>
    </row>
    <row r="2437" ht="22.5" customHeight="1">
      <c r="A2437" s="197">
        <v>46172.89964762732</v>
      </c>
      <c r="B2437" s="100" t="s">
        <v>4191</v>
      </c>
      <c r="C2437" s="100" t="s">
        <v>1688</v>
      </c>
      <c r="D2437" s="100" t="s">
        <v>1689</v>
      </c>
      <c r="E2437" s="198">
        <v>75.0</v>
      </c>
      <c r="F2437" s="199" t="s">
        <v>4194</v>
      </c>
    </row>
    <row r="2438" ht="22.5" customHeight="1">
      <c r="A2438" s="197">
        <v>46172.899647812505</v>
      </c>
      <c r="B2438" s="100" t="s">
        <v>4195</v>
      </c>
      <c r="C2438" s="100" t="s">
        <v>1685</v>
      </c>
      <c r="D2438" s="100" t="s">
        <v>1686</v>
      </c>
      <c r="E2438" s="198">
        <v>12.11</v>
      </c>
      <c r="F2438" s="199" t="s">
        <v>4112</v>
      </c>
    </row>
    <row r="2439" ht="22.5" customHeight="1">
      <c r="A2439" s="197">
        <v>46172.899647812505</v>
      </c>
      <c r="B2439" s="100" t="s">
        <v>4195</v>
      </c>
      <c r="C2439" s="100" t="s">
        <v>1688</v>
      </c>
      <c r="D2439" s="100" t="s">
        <v>1689</v>
      </c>
      <c r="E2439" s="198">
        <v>20.0</v>
      </c>
      <c r="F2439" s="199" t="s">
        <v>4113</v>
      </c>
    </row>
    <row r="2440" ht="22.5" customHeight="1">
      <c r="A2440" s="197">
        <v>46172.89964805555</v>
      </c>
      <c r="B2440" s="100" t="s">
        <v>4197</v>
      </c>
      <c r="C2440" s="100" t="s">
        <v>1685</v>
      </c>
      <c r="D2440" s="100" t="s">
        <v>1686</v>
      </c>
      <c r="E2440" s="198">
        <v>36.0</v>
      </c>
      <c r="F2440" s="199" t="s">
        <v>4198</v>
      </c>
    </row>
    <row r="2441" ht="22.5" customHeight="1">
      <c r="A2441" s="197">
        <v>46172.89964805555</v>
      </c>
      <c r="B2441" s="100" t="s">
        <v>4197</v>
      </c>
      <c r="C2441" s="100" t="s">
        <v>1688</v>
      </c>
      <c r="D2441" s="100" t="s">
        <v>1689</v>
      </c>
      <c r="E2441" s="198">
        <v>80.0</v>
      </c>
      <c r="F2441" s="199" t="s">
        <v>4200</v>
      </c>
    </row>
    <row r="2442" ht="22.5" customHeight="1">
      <c r="A2442" s="197">
        <v>46172.89964827546</v>
      </c>
      <c r="B2442" s="100" t="s">
        <v>4201</v>
      </c>
      <c r="C2442" s="100" t="s">
        <v>1685</v>
      </c>
      <c r="D2442" s="100" t="s">
        <v>1686</v>
      </c>
      <c r="E2442" s="198">
        <v>12.5</v>
      </c>
      <c r="F2442" s="199" t="s">
        <v>3761</v>
      </c>
    </row>
    <row r="2443" ht="22.5" customHeight="1">
      <c r="A2443" s="197">
        <v>46172.89964827546</v>
      </c>
      <c r="B2443" s="100" t="s">
        <v>4201</v>
      </c>
      <c r="C2443" s="100" t="s">
        <v>1688</v>
      </c>
      <c r="D2443" s="100" t="s">
        <v>1689</v>
      </c>
      <c r="E2443" s="198">
        <v>25.0</v>
      </c>
      <c r="F2443" s="199" t="s">
        <v>3763</v>
      </c>
    </row>
    <row r="2444" ht="22.5" customHeight="1">
      <c r="A2444" s="197">
        <v>46172.8996484838</v>
      </c>
      <c r="B2444" s="100" t="s">
        <v>4203</v>
      </c>
      <c r="C2444" s="100" t="s">
        <v>1685</v>
      </c>
      <c r="D2444" s="100" t="s">
        <v>1686</v>
      </c>
      <c r="E2444" s="198">
        <v>25.0</v>
      </c>
      <c r="F2444" s="199" t="s">
        <v>3761</v>
      </c>
    </row>
    <row r="2445" ht="22.5" customHeight="1">
      <c r="A2445" s="197">
        <v>46172.8996484838</v>
      </c>
      <c r="B2445" s="100" t="s">
        <v>4203</v>
      </c>
      <c r="C2445" s="100" t="s">
        <v>1688</v>
      </c>
      <c r="D2445" s="100" t="s">
        <v>1689</v>
      </c>
      <c r="E2445" s="198">
        <v>50.0</v>
      </c>
      <c r="F2445" s="199" t="s">
        <v>3763</v>
      </c>
    </row>
    <row r="2446" ht="22.5" customHeight="1">
      <c r="A2446" s="197">
        <v>46172.89964878472</v>
      </c>
      <c r="B2446" s="100" t="s">
        <v>4205</v>
      </c>
      <c r="C2446" s="100" t="s">
        <v>1685</v>
      </c>
      <c r="D2446" s="100" t="s">
        <v>1686</v>
      </c>
      <c r="E2446" s="198">
        <v>46.44</v>
      </c>
      <c r="F2446" s="199" t="s">
        <v>3083</v>
      </c>
    </row>
    <row r="2447" ht="22.5" customHeight="1">
      <c r="A2447" s="197">
        <v>46172.89964878472</v>
      </c>
      <c r="B2447" s="100" t="s">
        <v>4205</v>
      </c>
      <c r="C2447" s="100" t="s">
        <v>1688</v>
      </c>
      <c r="D2447" s="100" t="s">
        <v>1689</v>
      </c>
      <c r="E2447" s="198">
        <v>90.0</v>
      </c>
      <c r="F2447" s="199" t="s">
        <v>3084</v>
      </c>
    </row>
    <row r="2448" ht="22.5" customHeight="1">
      <c r="A2448" s="197">
        <v>46172.899649178245</v>
      </c>
      <c r="B2448" s="100" t="s">
        <v>4207</v>
      </c>
      <c r="C2448" s="100" t="s">
        <v>1685</v>
      </c>
      <c r="D2448" s="100" t="s">
        <v>1686</v>
      </c>
      <c r="E2448" s="198">
        <v>130.0</v>
      </c>
      <c r="F2448" s="199" t="s">
        <v>4208</v>
      </c>
    </row>
    <row r="2449" ht="22.5" customHeight="1">
      <c r="A2449" s="197">
        <v>46172.899649178245</v>
      </c>
      <c r="B2449" s="100" t="s">
        <v>4207</v>
      </c>
      <c r="C2449" s="100" t="s">
        <v>1688</v>
      </c>
      <c r="D2449" s="100" t="s">
        <v>1689</v>
      </c>
      <c r="E2449" s="198">
        <v>190.0</v>
      </c>
      <c r="F2449" s="199" t="s">
        <v>4209</v>
      </c>
    </row>
    <row r="2450" ht="22.5" customHeight="1">
      <c r="A2450" s="197">
        <v>46172.899649548606</v>
      </c>
      <c r="B2450" s="100" t="s">
        <v>4211</v>
      </c>
      <c r="C2450" s="100" t="s">
        <v>1685</v>
      </c>
      <c r="D2450" s="100" t="s">
        <v>1686</v>
      </c>
      <c r="E2450" s="198">
        <v>145.0</v>
      </c>
      <c r="F2450" s="100" t="s">
        <v>4212</v>
      </c>
    </row>
    <row r="2451" ht="22.5" customHeight="1">
      <c r="A2451" s="197">
        <v>46172.899649548606</v>
      </c>
      <c r="B2451" s="100" t="s">
        <v>4211</v>
      </c>
      <c r="C2451" s="100" t="s">
        <v>1688</v>
      </c>
      <c r="D2451" s="100" t="s">
        <v>1689</v>
      </c>
      <c r="E2451" s="198">
        <v>210.0</v>
      </c>
      <c r="F2451" s="100" t="s">
        <v>4213</v>
      </c>
    </row>
    <row r="2452" ht="22.5" customHeight="1">
      <c r="A2452" s="197">
        <v>46172.89964991898</v>
      </c>
      <c r="B2452" s="100" t="s">
        <v>4214</v>
      </c>
      <c r="C2452" s="100" t="s">
        <v>1685</v>
      </c>
      <c r="D2452" s="100" t="s">
        <v>1686</v>
      </c>
      <c r="E2452" s="198">
        <v>40.0</v>
      </c>
      <c r="F2452" s="199" t="s">
        <v>2870</v>
      </c>
    </row>
    <row r="2453" ht="22.5" customHeight="1">
      <c r="A2453" s="197">
        <v>46172.89964991898</v>
      </c>
      <c r="B2453" s="100" t="s">
        <v>4214</v>
      </c>
      <c r="C2453" s="100" t="s">
        <v>1688</v>
      </c>
      <c r="D2453" s="100" t="s">
        <v>1689</v>
      </c>
      <c r="E2453" s="198">
        <v>100.0</v>
      </c>
      <c r="F2453" s="199" t="s">
        <v>2872</v>
      </c>
    </row>
    <row r="2454" ht="22.5" customHeight="1">
      <c r="A2454" s="197">
        <v>46172.89965017361</v>
      </c>
      <c r="B2454" s="100" t="s">
        <v>4216</v>
      </c>
      <c r="C2454" s="100" t="s">
        <v>1685</v>
      </c>
      <c r="D2454" s="100" t="s">
        <v>1686</v>
      </c>
      <c r="E2454" s="198">
        <v>125.0</v>
      </c>
      <c r="F2454" s="199" t="s">
        <v>2636</v>
      </c>
    </row>
    <row r="2455" ht="22.5" customHeight="1">
      <c r="A2455" s="197">
        <v>46172.89965017361</v>
      </c>
      <c r="B2455" s="100" t="s">
        <v>4216</v>
      </c>
      <c r="C2455" s="100" t="s">
        <v>1688</v>
      </c>
      <c r="D2455" s="100" t="s">
        <v>1689</v>
      </c>
      <c r="E2455" s="198">
        <v>200.0</v>
      </c>
      <c r="F2455" s="199" t="s">
        <v>2637</v>
      </c>
    </row>
    <row r="2456" ht="22.5" customHeight="1">
      <c r="A2456" s="197">
        <v>46172.89965048611</v>
      </c>
      <c r="B2456" s="100" t="s">
        <v>4218</v>
      </c>
      <c r="C2456" s="100" t="s">
        <v>1685</v>
      </c>
      <c r="D2456" s="100" t="s">
        <v>1686</v>
      </c>
      <c r="E2456" s="198">
        <v>90.0</v>
      </c>
      <c r="F2456" s="199" t="s">
        <v>4082</v>
      </c>
    </row>
    <row r="2457" ht="22.5" customHeight="1">
      <c r="A2457" s="197">
        <v>46172.89965048611</v>
      </c>
      <c r="B2457" s="100" t="s">
        <v>4218</v>
      </c>
      <c r="C2457" s="100" t="s">
        <v>1688</v>
      </c>
      <c r="D2457" s="100" t="s">
        <v>1689</v>
      </c>
      <c r="E2457" s="198">
        <v>140.0</v>
      </c>
      <c r="F2457" s="199" t="s">
        <v>4083</v>
      </c>
    </row>
    <row r="2458" ht="22.5" customHeight="1">
      <c r="A2458" s="197">
        <v>46172.89965071759</v>
      </c>
      <c r="B2458" s="100" t="s">
        <v>4220</v>
      </c>
      <c r="C2458" s="100" t="s">
        <v>1685</v>
      </c>
      <c r="D2458" s="100" t="s">
        <v>1686</v>
      </c>
      <c r="E2458" s="198">
        <v>55.0</v>
      </c>
      <c r="F2458" s="199" t="s">
        <v>4192</v>
      </c>
    </row>
    <row r="2459" ht="22.5" customHeight="1">
      <c r="A2459" s="197">
        <v>46172.89965071759</v>
      </c>
      <c r="B2459" s="100" t="s">
        <v>4220</v>
      </c>
      <c r="C2459" s="100" t="s">
        <v>1688</v>
      </c>
      <c r="D2459" s="100" t="s">
        <v>1689</v>
      </c>
      <c r="E2459" s="198">
        <v>60.0</v>
      </c>
      <c r="F2459" s="199" t="s">
        <v>4194</v>
      </c>
    </row>
    <row r="2460" ht="22.5" customHeight="1">
      <c r="A2460" s="197">
        <v>46172.899650983796</v>
      </c>
      <c r="B2460" s="100" t="s">
        <v>4222</v>
      </c>
      <c r="C2460" s="100" t="s">
        <v>1685</v>
      </c>
      <c r="D2460" s="100" t="s">
        <v>1686</v>
      </c>
      <c r="E2460" s="198">
        <v>12.11</v>
      </c>
      <c r="F2460" s="199" t="s">
        <v>4112</v>
      </c>
    </row>
    <row r="2461" ht="22.5" customHeight="1">
      <c r="A2461" s="197">
        <v>46172.899650983796</v>
      </c>
      <c r="B2461" s="100" t="s">
        <v>4222</v>
      </c>
      <c r="C2461" s="100" t="s">
        <v>1688</v>
      </c>
      <c r="D2461" s="100" t="s">
        <v>1689</v>
      </c>
      <c r="E2461" s="198">
        <v>20.0</v>
      </c>
      <c r="F2461" s="199" t="s">
        <v>4113</v>
      </c>
    </row>
    <row r="2462" ht="22.5" customHeight="1">
      <c r="A2462" s="197">
        <v>46172.89965122685</v>
      </c>
      <c r="B2462" s="100" t="s">
        <v>4224</v>
      </c>
      <c r="C2462" s="100" t="s">
        <v>1685</v>
      </c>
      <c r="D2462" s="100" t="s">
        <v>1686</v>
      </c>
      <c r="E2462" s="198">
        <v>84.0</v>
      </c>
      <c r="F2462" s="199" t="s">
        <v>1870</v>
      </c>
    </row>
    <row r="2463" ht="22.5" customHeight="1">
      <c r="A2463" s="197">
        <v>46172.89965122685</v>
      </c>
      <c r="B2463" s="100" t="s">
        <v>4224</v>
      </c>
      <c r="C2463" s="100" t="s">
        <v>1688</v>
      </c>
      <c r="D2463" s="100" t="s">
        <v>1689</v>
      </c>
      <c r="E2463" s="198">
        <v>100.0</v>
      </c>
      <c r="F2463" s="199" t="s">
        <v>1871</v>
      </c>
    </row>
    <row r="2464" ht="22.5" customHeight="1">
      <c r="A2464" s="197">
        <v>46172.8996515162</v>
      </c>
      <c r="B2464" s="100" t="s">
        <v>4226</v>
      </c>
      <c r="C2464" s="100" t="s">
        <v>1685</v>
      </c>
      <c r="D2464" s="100" t="s">
        <v>1686</v>
      </c>
      <c r="E2464" s="198">
        <v>20.0</v>
      </c>
      <c r="F2464" s="199" t="s">
        <v>2870</v>
      </c>
    </row>
    <row r="2465" ht="22.5" customHeight="1">
      <c r="A2465" s="197">
        <v>46172.8996515162</v>
      </c>
      <c r="B2465" s="100" t="s">
        <v>4226</v>
      </c>
      <c r="C2465" s="100" t="s">
        <v>1688</v>
      </c>
      <c r="D2465" s="100" t="s">
        <v>1689</v>
      </c>
      <c r="E2465" s="198">
        <v>50.0</v>
      </c>
      <c r="F2465" s="199" t="s">
        <v>2872</v>
      </c>
    </row>
    <row r="2466" ht="22.5" customHeight="1">
      <c r="A2466" s="197">
        <v>46172.89965184028</v>
      </c>
      <c r="B2466" s="100" t="s">
        <v>4228</v>
      </c>
      <c r="C2466" s="100" t="s">
        <v>1685</v>
      </c>
      <c r="D2466" s="100" t="s">
        <v>1686</v>
      </c>
      <c r="E2466" s="198">
        <v>30.0</v>
      </c>
      <c r="F2466" s="199" t="s">
        <v>2468</v>
      </c>
    </row>
    <row r="2467" ht="22.5" customHeight="1">
      <c r="A2467" s="197">
        <v>46172.89965184028</v>
      </c>
      <c r="B2467" s="100" t="s">
        <v>4228</v>
      </c>
      <c r="C2467" s="100" t="s">
        <v>1688</v>
      </c>
      <c r="D2467" s="100" t="s">
        <v>1689</v>
      </c>
      <c r="E2467" s="198">
        <v>70.0</v>
      </c>
      <c r="F2467" s="199" t="s">
        <v>2470</v>
      </c>
    </row>
    <row r="2468" ht="22.5" customHeight="1">
      <c r="A2468" s="197">
        <v>46172.89965212963</v>
      </c>
      <c r="B2468" s="100" t="s">
        <v>4230</v>
      </c>
      <c r="C2468" s="100" t="s">
        <v>1685</v>
      </c>
      <c r="D2468" s="100" t="s">
        <v>1686</v>
      </c>
      <c r="E2468" s="198">
        <v>12.11</v>
      </c>
      <c r="F2468" s="199" t="s">
        <v>4112</v>
      </c>
    </row>
    <row r="2469" ht="22.5" customHeight="1">
      <c r="A2469" s="197">
        <v>46172.89965212963</v>
      </c>
      <c r="B2469" s="100" t="s">
        <v>4230</v>
      </c>
      <c r="C2469" s="100" t="s">
        <v>1688</v>
      </c>
      <c r="D2469" s="100" t="s">
        <v>1689</v>
      </c>
      <c r="E2469" s="198">
        <v>30.0</v>
      </c>
      <c r="F2469" s="199" t="s">
        <v>4113</v>
      </c>
    </row>
    <row r="2470" ht="22.5" customHeight="1">
      <c r="A2470" s="197">
        <v>46172.899652314816</v>
      </c>
      <c r="B2470" s="100" t="s">
        <v>4232</v>
      </c>
      <c r="C2470" s="100" t="s">
        <v>1685</v>
      </c>
      <c r="D2470" s="100" t="s">
        <v>1686</v>
      </c>
      <c r="E2470" s="198">
        <v>30.0</v>
      </c>
      <c r="F2470" s="199" t="s">
        <v>3045</v>
      </c>
    </row>
    <row r="2471" ht="22.5" customHeight="1">
      <c r="A2471" s="197">
        <v>46172.899652314816</v>
      </c>
      <c r="B2471" s="100" t="s">
        <v>4232</v>
      </c>
      <c r="C2471" s="100" t="s">
        <v>1688</v>
      </c>
      <c r="D2471" s="100" t="s">
        <v>1689</v>
      </c>
      <c r="E2471" s="198">
        <v>75.0</v>
      </c>
      <c r="F2471" s="199" t="s">
        <v>3046</v>
      </c>
    </row>
    <row r="2472" ht="22.5" customHeight="1">
      <c r="A2472" s="197">
        <v>46172.89965258102</v>
      </c>
      <c r="B2472" s="100" t="s">
        <v>4234</v>
      </c>
      <c r="C2472" s="100" t="s">
        <v>1685</v>
      </c>
      <c r="D2472" s="100" t="s">
        <v>1686</v>
      </c>
      <c r="E2472" s="198">
        <v>195.0</v>
      </c>
      <c r="F2472" s="199" t="s">
        <v>2036</v>
      </c>
    </row>
    <row r="2473" ht="22.5" customHeight="1">
      <c r="A2473" s="197">
        <v>46172.89965258102</v>
      </c>
      <c r="B2473" s="100" t="s">
        <v>4234</v>
      </c>
      <c r="C2473" s="100" t="s">
        <v>1688</v>
      </c>
      <c r="D2473" s="100" t="s">
        <v>1689</v>
      </c>
      <c r="E2473" s="198">
        <v>250.0</v>
      </c>
      <c r="F2473" s="199" t="s">
        <v>2037</v>
      </c>
    </row>
    <row r="2474" ht="22.5" customHeight="1">
      <c r="A2474" s="197">
        <v>46172.89965288194</v>
      </c>
      <c r="B2474" s="100" t="s">
        <v>4236</v>
      </c>
      <c r="C2474" s="100" t="s">
        <v>1685</v>
      </c>
      <c r="D2474" s="100" t="s">
        <v>1686</v>
      </c>
      <c r="E2474" s="198">
        <v>150.0</v>
      </c>
      <c r="F2474" s="199" t="s">
        <v>3063</v>
      </c>
    </row>
    <row r="2475" ht="22.5" customHeight="1">
      <c r="A2475" s="197">
        <v>46172.89965288194</v>
      </c>
      <c r="B2475" s="100" t="s">
        <v>4236</v>
      </c>
      <c r="C2475" s="100" t="s">
        <v>1688</v>
      </c>
      <c r="D2475" s="100" t="s">
        <v>1689</v>
      </c>
      <c r="E2475" s="198">
        <v>190.0</v>
      </c>
      <c r="F2475" s="199" t="s">
        <v>3064</v>
      </c>
    </row>
    <row r="2476" ht="22.5" customHeight="1">
      <c r="A2476" s="197">
        <v>46172.899653229164</v>
      </c>
      <c r="B2476" s="100" t="s">
        <v>4240</v>
      </c>
      <c r="C2476" s="100" t="s">
        <v>1685</v>
      </c>
      <c r="D2476" s="100" t="s">
        <v>1686</v>
      </c>
      <c r="E2476" s="198">
        <v>60.0</v>
      </c>
      <c r="F2476" s="199" t="s">
        <v>2800</v>
      </c>
    </row>
    <row r="2477" ht="22.5" customHeight="1">
      <c r="A2477" s="197">
        <v>46172.899653229164</v>
      </c>
      <c r="B2477" s="100" t="s">
        <v>4240</v>
      </c>
      <c r="C2477" s="100" t="s">
        <v>1688</v>
      </c>
      <c r="D2477" s="100" t="s">
        <v>1689</v>
      </c>
      <c r="E2477" s="198">
        <v>80.0</v>
      </c>
      <c r="F2477" s="199" t="s">
        <v>2801</v>
      </c>
    </row>
    <row r="2478" ht="22.5" customHeight="1">
      <c r="A2478" s="197">
        <v>46172.899653506945</v>
      </c>
      <c r="B2478" s="100" t="s">
        <v>4242</v>
      </c>
      <c r="C2478" s="100" t="s">
        <v>1685</v>
      </c>
      <c r="D2478" s="100" t="s">
        <v>1686</v>
      </c>
      <c r="E2478" s="198">
        <v>18.06</v>
      </c>
      <c r="F2478" s="199" t="s">
        <v>4243</v>
      </c>
    </row>
    <row r="2479" ht="22.5" customHeight="1">
      <c r="A2479" s="197">
        <v>46172.899653506945</v>
      </c>
      <c r="B2479" s="100" t="s">
        <v>4242</v>
      </c>
      <c r="C2479" s="100" t="s">
        <v>1688</v>
      </c>
      <c r="D2479" s="100" t="s">
        <v>1689</v>
      </c>
      <c r="E2479" s="198">
        <v>50.0</v>
      </c>
      <c r="F2479" s="199" t="s">
        <v>4244</v>
      </c>
    </row>
    <row r="2480" ht="22.5" customHeight="1">
      <c r="A2480" s="197">
        <v>46172.89965378473</v>
      </c>
      <c r="B2480" s="100" t="s">
        <v>4245</v>
      </c>
      <c r="C2480" s="100" t="s">
        <v>1685</v>
      </c>
      <c r="D2480" s="100" t="s">
        <v>1686</v>
      </c>
      <c r="E2480" s="198">
        <v>130.0</v>
      </c>
      <c r="F2480" s="199" t="s">
        <v>4208</v>
      </c>
    </row>
    <row r="2481" ht="22.5" customHeight="1">
      <c r="A2481" s="197">
        <v>46172.89965378473</v>
      </c>
      <c r="B2481" s="100" t="s">
        <v>4245</v>
      </c>
      <c r="C2481" s="100" t="s">
        <v>1688</v>
      </c>
      <c r="D2481" s="100" t="s">
        <v>1689</v>
      </c>
      <c r="E2481" s="198">
        <v>170.0</v>
      </c>
      <c r="F2481" s="199" t="s">
        <v>4209</v>
      </c>
    </row>
    <row r="2482" ht="22.5" customHeight="1">
      <c r="A2482" s="197">
        <v>46172.89965402777</v>
      </c>
      <c r="B2482" s="100" t="s">
        <v>4247</v>
      </c>
      <c r="C2482" s="100" t="s">
        <v>1685</v>
      </c>
      <c r="D2482" s="100" t="s">
        <v>1686</v>
      </c>
      <c r="E2482" s="198">
        <v>195.0</v>
      </c>
      <c r="F2482" s="199" t="s">
        <v>2036</v>
      </c>
    </row>
    <row r="2483" ht="22.5" customHeight="1">
      <c r="A2483" s="197">
        <v>46172.89965402777</v>
      </c>
      <c r="B2483" s="100" t="s">
        <v>4247</v>
      </c>
      <c r="C2483" s="100" t="s">
        <v>1688</v>
      </c>
      <c r="D2483" s="100" t="s">
        <v>1689</v>
      </c>
      <c r="E2483" s="198">
        <v>240.0</v>
      </c>
      <c r="F2483" s="199" t="s">
        <v>2037</v>
      </c>
    </row>
    <row r="2484" ht="22.5" customHeight="1">
      <c r="A2484" s="197">
        <v>46172.89965432871</v>
      </c>
      <c r="B2484" s="100" t="s">
        <v>4249</v>
      </c>
      <c r="C2484" s="100" t="s">
        <v>1685</v>
      </c>
      <c r="D2484" s="100" t="s">
        <v>1686</v>
      </c>
      <c r="E2484" s="198">
        <v>150.0</v>
      </c>
      <c r="F2484" s="199" t="s">
        <v>3063</v>
      </c>
    </row>
    <row r="2485" ht="22.5" customHeight="1">
      <c r="A2485" s="197">
        <v>46172.89965432871</v>
      </c>
      <c r="B2485" s="100" t="s">
        <v>4249</v>
      </c>
      <c r="C2485" s="100" t="s">
        <v>1688</v>
      </c>
      <c r="D2485" s="100" t="s">
        <v>1689</v>
      </c>
      <c r="E2485" s="198">
        <v>190.0</v>
      </c>
      <c r="F2485" s="199" t="s">
        <v>3064</v>
      </c>
    </row>
    <row r="2486" ht="22.5" customHeight="1">
      <c r="A2486" s="197">
        <v>46172.89965460648</v>
      </c>
      <c r="B2486" s="100" t="s">
        <v>4251</v>
      </c>
      <c r="C2486" s="100" t="s">
        <v>1685</v>
      </c>
      <c r="D2486" s="100" t="s">
        <v>1686</v>
      </c>
      <c r="E2486" s="198">
        <v>60.0</v>
      </c>
      <c r="F2486" s="199" t="s">
        <v>2800</v>
      </c>
    </row>
    <row r="2487" ht="22.5" customHeight="1">
      <c r="A2487" s="197">
        <v>46172.89965460648</v>
      </c>
      <c r="B2487" s="100" t="s">
        <v>4251</v>
      </c>
      <c r="C2487" s="100" t="s">
        <v>1688</v>
      </c>
      <c r="D2487" s="100" t="s">
        <v>1689</v>
      </c>
      <c r="E2487" s="198">
        <v>80.0</v>
      </c>
      <c r="F2487" s="199" t="s">
        <v>2801</v>
      </c>
    </row>
    <row r="2488" ht="22.5" customHeight="1">
      <c r="A2488" s="197">
        <v>46172.89965501157</v>
      </c>
      <c r="B2488" s="100" t="s">
        <v>4253</v>
      </c>
      <c r="C2488" s="100" t="s">
        <v>1685</v>
      </c>
      <c r="D2488" s="100" t="s">
        <v>1686</v>
      </c>
      <c r="E2488" s="198">
        <v>24.44</v>
      </c>
      <c r="F2488" s="199" t="s">
        <v>3589</v>
      </c>
    </row>
    <row r="2489" ht="22.5" customHeight="1">
      <c r="A2489" s="197">
        <v>46172.89965501157</v>
      </c>
      <c r="B2489" s="100" t="s">
        <v>4253</v>
      </c>
      <c r="C2489" s="100" t="s">
        <v>1688</v>
      </c>
      <c r="D2489" s="100" t="s">
        <v>1689</v>
      </c>
      <c r="E2489" s="198">
        <v>40.0</v>
      </c>
      <c r="F2489" s="199" t="s">
        <v>3591</v>
      </c>
    </row>
    <row r="2490" ht="22.5" customHeight="1">
      <c r="A2490" s="197">
        <v>46172.89965535879</v>
      </c>
      <c r="B2490" s="100" t="s">
        <v>4258</v>
      </c>
      <c r="C2490" s="100" t="s">
        <v>1685</v>
      </c>
      <c r="D2490" s="100" t="s">
        <v>1686</v>
      </c>
      <c r="E2490" s="198">
        <v>290.0</v>
      </c>
      <c r="F2490" s="199" t="s">
        <v>4263</v>
      </c>
    </row>
    <row r="2491" ht="22.5" customHeight="1">
      <c r="A2491" s="197">
        <v>46172.89965535879</v>
      </c>
      <c r="B2491" s="100" t="s">
        <v>4258</v>
      </c>
      <c r="C2491" s="100" t="s">
        <v>1688</v>
      </c>
      <c r="D2491" s="100" t="s">
        <v>1689</v>
      </c>
      <c r="E2491" s="198">
        <v>400.0</v>
      </c>
      <c r="F2491" s="199" t="s">
        <v>4264</v>
      </c>
    </row>
    <row r="2492" ht="22.5" customHeight="1">
      <c r="A2492" s="197">
        <v>46172.899655636575</v>
      </c>
      <c r="B2492" s="100" t="s">
        <v>4265</v>
      </c>
      <c r="C2492" s="100" t="s">
        <v>1685</v>
      </c>
      <c r="D2492" s="100" t="s">
        <v>1686</v>
      </c>
      <c r="E2492" s="198">
        <v>120.0</v>
      </c>
      <c r="F2492" s="199" t="s">
        <v>1742</v>
      </c>
    </row>
    <row r="2493" ht="22.5" customHeight="1">
      <c r="A2493" s="197">
        <v>46172.899655636575</v>
      </c>
      <c r="B2493" s="100" t="s">
        <v>4265</v>
      </c>
      <c r="C2493" s="100" t="s">
        <v>1688</v>
      </c>
      <c r="D2493" s="100" t="s">
        <v>1689</v>
      </c>
      <c r="E2493" s="198">
        <v>170.0</v>
      </c>
      <c r="F2493" s="199" t="s">
        <v>1743</v>
      </c>
    </row>
    <row r="2494" ht="22.5" customHeight="1">
      <c r="A2494" s="197">
        <v>46172.899655914356</v>
      </c>
      <c r="B2494" s="100" t="s">
        <v>4267</v>
      </c>
      <c r="C2494" s="100" t="s">
        <v>1685</v>
      </c>
      <c r="D2494" s="100" t="s">
        <v>1686</v>
      </c>
      <c r="E2494" s="198">
        <v>88.0</v>
      </c>
      <c r="F2494" s="199" t="s">
        <v>4268</v>
      </c>
    </row>
    <row r="2495" ht="22.5" customHeight="1">
      <c r="A2495" s="197">
        <v>46172.899655914356</v>
      </c>
      <c r="B2495" s="100" t="s">
        <v>4267</v>
      </c>
      <c r="C2495" s="100" t="s">
        <v>1688</v>
      </c>
      <c r="D2495" s="100" t="s">
        <v>1689</v>
      </c>
      <c r="E2495" s="198">
        <v>135.0</v>
      </c>
      <c r="F2495" s="199" t="s">
        <v>4270</v>
      </c>
    </row>
    <row r="2496" ht="22.5" customHeight="1">
      <c r="A2496" s="197">
        <v>46172.899656180554</v>
      </c>
      <c r="B2496" s="100" t="s">
        <v>4271</v>
      </c>
      <c r="C2496" s="100" t="s">
        <v>1685</v>
      </c>
      <c r="D2496" s="100" t="s">
        <v>1686</v>
      </c>
      <c r="E2496" s="198">
        <v>36.68</v>
      </c>
      <c r="F2496" s="199" t="s">
        <v>1859</v>
      </c>
    </row>
    <row r="2497" ht="22.5" customHeight="1">
      <c r="A2497" s="197">
        <v>46172.899656180554</v>
      </c>
      <c r="B2497" s="100" t="s">
        <v>4271</v>
      </c>
      <c r="C2497" s="100" t="s">
        <v>1688</v>
      </c>
      <c r="D2497" s="100" t="s">
        <v>1689</v>
      </c>
      <c r="E2497" s="198">
        <v>80.0</v>
      </c>
      <c r="F2497" s="199" t="s">
        <v>1860</v>
      </c>
    </row>
    <row r="2498" ht="22.5" customHeight="1">
      <c r="A2498" s="197">
        <v>46172.89965651621</v>
      </c>
      <c r="B2498" s="100" t="s">
        <v>4273</v>
      </c>
      <c r="C2498" s="100" t="s">
        <v>1685</v>
      </c>
      <c r="D2498" s="100" t="s">
        <v>1686</v>
      </c>
      <c r="E2498" s="198">
        <v>300.0</v>
      </c>
      <c r="F2498" s="199" t="s">
        <v>4274</v>
      </c>
    </row>
    <row r="2499" ht="22.5" customHeight="1">
      <c r="A2499" s="197">
        <v>46172.89965651621</v>
      </c>
      <c r="B2499" s="100" t="s">
        <v>4273</v>
      </c>
      <c r="C2499" s="100" t="s">
        <v>1688</v>
      </c>
      <c r="D2499" s="100" t="s">
        <v>1689</v>
      </c>
      <c r="E2499" s="198">
        <v>375.0</v>
      </c>
      <c r="F2499" s="199" t="s">
        <v>4276</v>
      </c>
    </row>
    <row r="2500" ht="22.5" customHeight="1">
      <c r="A2500" s="197">
        <v>46172.899656875</v>
      </c>
      <c r="B2500" s="100" t="s">
        <v>4277</v>
      </c>
      <c r="C2500" s="100" t="s">
        <v>1685</v>
      </c>
      <c r="D2500" s="100" t="s">
        <v>1686</v>
      </c>
      <c r="E2500" s="198">
        <v>65.0</v>
      </c>
      <c r="F2500" s="199" t="s">
        <v>4278</v>
      </c>
    </row>
    <row r="2501" ht="22.5" customHeight="1">
      <c r="A2501" s="197">
        <v>46172.899656875</v>
      </c>
      <c r="B2501" s="100" t="s">
        <v>4277</v>
      </c>
      <c r="C2501" s="100" t="s">
        <v>1688</v>
      </c>
      <c r="D2501" s="100" t="s">
        <v>1689</v>
      </c>
      <c r="E2501" s="198">
        <v>75.0</v>
      </c>
      <c r="F2501" s="199" t="s">
        <v>4280</v>
      </c>
    </row>
    <row r="2502" ht="22.5" customHeight="1">
      <c r="A2502" s="197">
        <v>46172.899657268514</v>
      </c>
      <c r="B2502" s="100" t="s">
        <v>4281</v>
      </c>
      <c r="C2502" s="100" t="s">
        <v>1685</v>
      </c>
      <c r="D2502" s="100" t="s">
        <v>1686</v>
      </c>
      <c r="E2502" s="198">
        <v>35.84</v>
      </c>
      <c r="F2502" s="199" t="s">
        <v>2202</v>
      </c>
    </row>
    <row r="2503" ht="22.5" customHeight="1">
      <c r="A2503" s="197">
        <v>46172.899657268514</v>
      </c>
      <c r="B2503" s="100" t="s">
        <v>4281</v>
      </c>
      <c r="C2503" s="100" t="s">
        <v>1688</v>
      </c>
      <c r="D2503" s="100" t="s">
        <v>1689</v>
      </c>
      <c r="E2503" s="198">
        <v>60.0</v>
      </c>
      <c r="F2503" s="199" t="s">
        <v>2203</v>
      </c>
    </row>
    <row r="2504" ht="22.5" customHeight="1">
      <c r="A2504" s="197">
        <v>46172.89965767361</v>
      </c>
      <c r="B2504" s="100" t="s">
        <v>4283</v>
      </c>
      <c r="C2504" s="100" t="s">
        <v>1685</v>
      </c>
      <c r="D2504" s="100" t="s">
        <v>1686</v>
      </c>
      <c r="E2504" s="198">
        <v>40.0</v>
      </c>
      <c r="F2504" s="199" t="s">
        <v>2870</v>
      </c>
    </row>
    <row r="2505" ht="22.5" customHeight="1">
      <c r="A2505" s="197">
        <v>46172.89965767361</v>
      </c>
      <c r="B2505" s="100" t="s">
        <v>4283</v>
      </c>
      <c r="C2505" s="100" t="s">
        <v>1688</v>
      </c>
      <c r="D2505" s="100" t="s">
        <v>1689</v>
      </c>
      <c r="E2505" s="198">
        <v>100.0</v>
      </c>
      <c r="F2505" s="199" t="s">
        <v>2872</v>
      </c>
    </row>
    <row r="2506" ht="22.5" customHeight="1">
      <c r="A2506" s="197">
        <v>46172.89965806713</v>
      </c>
      <c r="B2506" s="100" t="s">
        <v>4285</v>
      </c>
      <c r="C2506" s="100" t="s">
        <v>1685</v>
      </c>
      <c r="D2506" s="100" t="s">
        <v>1686</v>
      </c>
      <c r="E2506" s="198">
        <v>37.5</v>
      </c>
      <c r="F2506" s="199" t="s">
        <v>4286</v>
      </c>
    </row>
    <row r="2507" ht="22.5" customHeight="1">
      <c r="A2507" s="197">
        <v>46172.89965806713</v>
      </c>
      <c r="B2507" s="100" t="s">
        <v>4285</v>
      </c>
      <c r="C2507" s="100" t="s">
        <v>1688</v>
      </c>
      <c r="D2507" s="100" t="s">
        <v>1689</v>
      </c>
      <c r="E2507" s="198">
        <v>80.0</v>
      </c>
      <c r="F2507" s="199" t="s">
        <v>4287</v>
      </c>
    </row>
    <row r="2508" ht="22.5" customHeight="1">
      <c r="A2508" s="197">
        <v>46172.89965850694</v>
      </c>
      <c r="B2508" s="100" t="s">
        <v>4289</v>
      </c>
      <c r="C2508" s="100" t="s">
        <v>1685</v>
      </c>
      <c r="D2508" s="100" t="s">
        <v>1686</v>
      </c>
      <c r="E2508" s="198">
        <v>125.0</v>
      </c>
      <c r="F2508" s="199" t="s">
        <v>2636</v>
      </c>
    </row>
    <row r="2509" ht="22.5" customHeight="1">
      <c r="A2509" s="197">
        <v>46172.89965850694</v>
      </c>
      <c r="B2509" s="100" t="s">
        <v>4289</v>
      </c>
      <c r="C2509" s="100" t="s">
        <v>1688</v>
      </c>
      <c r="D2509" s="100" t="s">
        <v>1689</v>
      </c>
      <c r="E2509" s="198">
        <v>155.0</v>
      </c>
      <c r="F2509" s="199" t="s">
        <v>2637</v>
      </c>
    </row>
    <row r="2510" ht="22.5" customHeight="1">
      <c r="A2510" s="197">
        <v>46172.89965892361</v>
      </c>
      <c r="B2510" s="100" t="s">
        <v>4290</v>
      </c>
      <c r="C2510" s="100" t="s">
        <v>1685</v>
      </c>
      <c r="D2510" s="100" t="s">
        <v>1686</v>
      </c>
      <c r="E2510" s="198">
        <v>21.67</v>
      </c>
      <c r="F2510" s="199" t="s">
        <v>4243</v>
      </c>
    </row>
    <row r="2511" ht="22.5" customHeight="1">
      <c r="A2511" s="197">
        <v>46172.89965892361</v>
      </c>
      <c r="B2511" s="100" t="s">
        <v>4290</v>
      </c>
      <c r="C2511" s="100" t="s">
        <v>1688</v>
      </c>
      <c r="D2511" s="100" t="s">
        <v>1689</v>
      </c>
      <c r="E2511" s="198">
        <v>30.0</v>
      </c>
      <c r="F2511" s="199" t="s">
        <v>4244</v>
      </c>
    </row>
    <row r="2512" ht="22.5" customHeight="1">
      <c r="A2512" s="197">
        <v>46172.899659386574</v>
      </c>
      <c r="B2512" s="100" t="s">
        <v>4292</v>
      </c>
      <c r="C2512" s="100" t="s">
        <v>1685</v>
      </c>
      <c r="D2512" s="100" t="s">
        <v>1686</v>
      </c>
      <c r="E2512" s="198">
        <v>20.0</v>
      </c>
      <c r="F2512" s="199" t="s">
        <v>2870</v>
      </c>
    </row>
    <row r="2513" ht="22.5" customHeight="1">
      <c r="A2513" s="197">
        <v>46172.899659386574</v>
      </c>
      <c r="B2513" s="100" t="s">
        <v>4292</v>
      </c>
      <c r="C2513" s="100" t="s">
        <v>1688</v>
      </c>
      <c r="D2513" s="100" t="s">
        <v>1689</v>
      </c>
      <c r="E2513" s="198">
        <v>35.0</v>
      </c>
      <c r="F2513" s="199" t="s">
        <v>2872</v>
      </c>
    </row>
    <row r="2514" ht="22.5" customHeight="1">
      <c r="A2514" s="197">
        <v>46172.89965994213</v>
      </c>
      <c r="B2514" s="100" t="s">
        <v>4294</v>
      </c>
      <c r="C2514" s="100" t="s">
        <v>1685</v>
      </c>
      <c r="D2514" s="100" t="s">
        <v>1686</v>
      </c>
      <c r="E2514" s="198">
        <v>55.0</v>
      </c>
      <c r="F2514" s="199" t="s">
        <v>4192</v>
      </c>
    </row>
    <row r="2515" ht="22.5" customHeight="1">
      <c r="A2515" s="197">
        <v>46172.89965994213</v>
      </c>
      <c r="B2515" s="100" t="s">
        <v>4294</v>
      </c>
      <c r="C2515" s="100" t="s">
        <v>1688</v>
      </c>
      <c r="D2515" s="100" t="s">
        <v>1689</v>
      </c>
      <c r="E2515" s="198">
        <v>75.0</v>
      </c>
      <c r="F2515" s="199" t="s">
        <v>4194</v>
      </c>
    </row>
    <row r="2516" ht="22.5" customHeight="1">
      <c r="A2516" s="197">
        <v>46172.899660254625</v>
      </c>
      <c r="B2516" s="100" t="s">
        <v>4296</v>
      </c>
      <c r="C2516" s="100" t="s">
        <v>1685</v>
      </c>
      <c r="D2516" s="100" t="s">
        <v>1686</v>
      </c>
      <c r="E2516" s="198">
        <v>24.44</v>
      </c>
      <c r="F2516" s="199" t="s">
        <v>3589</v>
      </c>
    </row>
    <row r="2517" ht="22.5" customHeight="1">
      <c r="A2517" s="197">
        <v>46172.899660254625</v>
      </c>
      <c r="B2517" s="100" t="s">
        <v>4296</v>
      </c>
      <c r="C2517" s="100" t="s">
        <v>1688</v>
      </c>
      <c r="D2517" s="100" t="s">
        <v>1689</v>
      </c>
      <c r="E2517" s="198">
        <v>40.0</v>
      </c>
      <c r="F2517" s="199" t="s">
        <v>3591</v>
      </c>
    </row>
    <row r="2518" ht="22.5" customHeight="1">
      <c r="A2518" s="197">
        <v>46172.89966052084</v>
      </c>
      <c r="B2518" s="100" t="s">
        <v>4298</v>
      </c>
      <c r="C2518" s="100" t="s">
        <v>1685</v>
      </c>
      <c r="D2518" s="100" t="s">
        <v>1686</v>
      </c>
      <c r="E2518" s="198">
        <v>8.33</v>
      </c>
      <c r="F2518" s="199" t="s">
        <v>3597</v>
      </c>
    </row>
    <row r="2519" ht="22.5" customHeight="1">
      <c r="A2519" s="197">
        <v>46172.89966052084</v>
      </c>
      <c r="B2519" s="100" t="s">
        <v>4298</v>
      </c>
      <c r="C2519" s="100" t="s">
        <v>1688</v>
      </c>
      <c r="D2519" s="100" t="s">
        <v>1689</v>
      </c>
      <c r="E2519" s="198">
        <v>15.0</v>
      </c>
      <c r="F2519" s="199" t="s">
        <v>3599</v>
      </c>
    </row>
    <row r="2520" ht="22.5" customHeight="1">
      <c r="A2520" s="197">
        <v>46172.899660995376</v>
      </c>
      <c r="B2520" s="100" t="s">
        <v>4300</v>
      </c>
      <c r="C2520" s="100" t="s">
        <v>1685</v>
      </c>
      <c r="D2520" s="100" t="s">
        <v>1686</v>
      </c>
      <c r="E2520" s="198">
        <v>70.0</v>
      </c>
      <c r="F2520" s="199" t="s">
        <v>4128</v>
      </c>
    </row>
    <row r="2521" ht="22.5" customHeight="1">
      <c r="A2521" s="197">
        <v>46172.899660995376</v>
      </c>
      <c r="B2521" s="100" t="s">
        <v>4300</v>
      </c>
      <c r="C2521" s="100" t="s">
        <v>1688</v>
      </c>
      <c r="D2521" s="100" t="s">
        <v>1689</v>
      </c>
      <c r="E2521" s="198">
        <v>150.0</v>
      </c>
      <c r="F2521" s="199" t="s">
        <v>4129</v>
      </c>
    </row>
    <row r="2522" ht="22.5" customHeight="1">
      <c r="A2522" s="197">
        <v>46172.899661331016</v>
      </c>
      <c r="B2522" s="100" t="s">
        <v>4302</v>
      </c>
      <c r="C2522" s="100" t="s">
        <v>1685</v>
      </c>
      <c r="D2522" s="100" t="s">
        <v>1686</v>
      </c>
      <c r="E2522" s="198">
        <v>20.0</v>
      </c>
      <c r="F2522" s="199" t="s">
        <v>2870</v>
      </c>
    </row>
    <row r="2523" ht="22.5" customHeight="1">
      <c r="A2523" s="197">
        <v>46172.899661331016</v>
      </c>
      <c r="B2523" s="100" t="s">
        <v>4302</v>
      </c>
      <c r="C2523" s="100" t="s">
        <v>1688</v>
      </c>
      <c r="D2523" s="100" t="s">
        <v>1689</v>
      </c>
      <c r="E2523" s="198">
        <v>50.0</v>
      </c>
      <c r="F2523" s="199" t="s">
        <v>2872</v>
      </c>
    </row>
    <row r="2524" ht="22.5" customHeight="1">
      <c r="A2524" s="197">
        <v>46172.89966159722</v>
      </c>
      <c r="B2524" s="100" t="s">
        <v>4304</v>
      </c>
      <c r="C2524" s="100" t="s">
        <v>1685</v>
      </c>
      <c r="D2524" s="100" t="s">
        <v>1686</v>
      </c>
      <c r="E2524" s="198">
        <v>17.92</v>
      </c>
      <c r="F2524" s="199" t="s">
        <v>2202</v>
      </c>
    </row>
    <row r="2525" ht="22.5" customHeight="1">
      <c r="A2525" s="197">
        <v>46172.89966159722</v>
      </c>
      <c r="B2525" s="100" t="s">
        <v>4304</v>
      </c>
      <c r="C2525" s="100" t="s">
        <v>1688</v>
      </c>
      <c r="D2525" s="100" t="s">
        <v>1689</v>
      </c>
      <c r="E2525" s="198">
        <v>30.0</v>
      </c>
      <c r="F2525" s="199" t="s">
        <v>2203</v>
      </c>
    </row>
    <row r="2526" ht="22.5" customHeight="1">
      <c r="A2526" s="197">
        <v>46172.89966181713</v>
      </c>
      <c r="B2526" s="100" t="s">
        <v>4306</v>
      </c>
      <c r="C2526" s="100" t="s">
        <v>1685</v>
      </c>
      <c r="D2526" s="100" t="s">
        <v>1686</v>
      </c>
      <c r="E2526" s="198">
        <v>33.0</v>
      </c>
      <c r="F2526" s="199" t="s">
        <v>4192</v>
      </c>
    </row>
    <row r="2527" ht="22.5" customHeight="1">
      <c r="A2527" s="197">
        <v>46172.89966181713</v>
      </c>
      <c r="B2527" s="100" t="s">
        <v>4306</v>
      </c>
      <c r="C2527" s="100" t="s">
        <v>1688</v>
      </c>
      <c r="D2527" s="100" t="s">
        <v>1689</v>
      </c>
      <c r="E2527" s="198">
        <v>30.0</v>
      </c>
      <c r="F2527" s="199" t="s">
        <v>4194</v>
      </c>
    </row>
    <row r="2528" ht="22.5" customHeight="1">
      <c r="A2528" s="197">
        <v>46172.899662048614</v>
      </c>
      <c r="B2528" s="100" t="s">
        <v>4307</v>
      </c>
      <c r="C2528" s="100" t="s">
        <v>1685</v>
      </c>
      <c r="D2528" s="100" t="s">
        <v>1686</v>
      </c>
      <c r="E2528" s="198">
        <v>65.0</v>
      </c>
      <c r="F2528" s="199" t="s">
        <v>4309</v>
      </c>
    </row>
    <row r="2529" ht="22.5" customHeight="1">
      <c r="A2529" s="197">
        <v>46172.899662048614</v>
      </c>
      <c r="B2529" s="100" t="s">
        <v>4307</v>
      </c>
      <c r="C2529" s="100" t="s">
        <v>1688</v>
      </c>
      <c r="D2529" s="100" t="s">
        <v>1689</v>
      </c>
      <c r="E2529" s="198">
        <v>110.0</v>
      </c>
      <c r="F2529" s="199" t="s">
        <v>4310</v>
      </c>
    </row>
    <row r="2530" ht="22.5" customHeight="1">
      <c r="A2530" s="197">
        <v>46172.91083163195</v>
      </c>
      <c r="B2530" s="100" t="s">
        <v>3871</v>
      </c>
      <c r="C2530" s="100" t="s">
        <v>1685</v>
      </c>
      <c r="D2530" s="100" t="s">
        <v>1686</v>
      </c>
      <c r="E2530" s="198">
        <v>110.0</v>
      </c>
      <c r="F2530" s="199" t="s">
        <v>1874</v>
      </c>
    </row>
    <row r="2531" ht="22.5" customHeight="1">
      <c r="A2531" s="197">
        <v>46172.91083163195</v>
      </c>
      <c r="B2531" s="100" t="s">
        <v>3871</v>
      </c>
      <c r="C2531" s="100" t="s">
        <v>1688</v>
      </c>
      <c r="D2531" s="100" t="s">
        <v>1689</v>
      </c>
      <c r="E2531" s="198">
        <v>170.0</v>
      </c>
      <c r="F2531" s="199" t="s">
        <v>1875</v>
      </c>
    </row>
    <row r="2532" ht="22.5" customHeight="1">
      <c r="A2532" s="197">
        <v>46172.910832106485</v>
      </c>
      <c r="B2532" s="100" t="s">
        <v>4312</v>
      </c>
      <c r="C2532" s="100" t="s">
        <v>1685</v>
      </c>
      <c r="D2532" s="100" t="s">
        <v>1686</v>
      </c>
      <c r="E2532" s="198">
        <v>110.0</v>
      </c>
      <c r="F2532" s="199" t="s">
        <v>1947</v>
      </c>
    </row>
    <row r="2533" ht="22.5" customHeight="1">
      <c r="A2533" s="197">
        <v>46172.910832106485</v>
      </c>
      <c r="B2533" s="100" t="s">
        <v>4312</v>
      </c>
      <c r="C2533" s="100" t="s">
        <v>1688</v>
      </c>
      <c r="D2533" s="100" t="s">
        <v>1689</v>
      </c>
      <c r="E2533" s="198">
        <v>220.0</v>
      </c>
      <c r="F2533" s="199" t="s">
        <v>1948</v>
      </c>
    </row>
    <row r="2534" ht="22.5" customHeight="1">
      <c r="A2534" s="197">
        <v>46172.91083252315</v>
      </c>
      <c r="B2534" s="100" t="s">
        <v>4314</v>
      </c>
      <c r="C2534" s="100" t="s">
        <v>1685</v>
      </c>
      <c r="D2534" s="100" t="s">
        <v>1686</v>
      </c>
      <c r="E2534" s="198">
        <v>22.5</v>
      </c>
      <c r="F2534" s="199" t="s">
        <v>2580</v>
      </c>
    </row>
    <row r="2535" ht="22.5" customHeight="1">
      <c r="A2535" s="197">
        <v>46172.91083252315</v>
      </c>
      <c r="B2535" s="100" t="s">
        <v>4314</v>
      </c>
      <c r="C2535" s="100" t="s">
        <v>1688</v>
      </c>
      <c r="D2535" s="100" t="s">
        <v>1689</v>
      </c>
      <c r="E2535" s="198">
        <v>40.0</v>
      </c>
      <c r="F2535" s="199" t="s">
        <v>2582</v>
      </c>
    </row>
    <row r="2536" ht="22.5" customHeight="1">
      <c r="A2536" s="197">
        <v>46172.910832951384</v>
      </c>
      <c r="B2536" s="100" t="s">
        <v>4316</v>
      </c>
      <c r="C2536" s="100" t="s">
        <v>1685</v>
      </c>
      <c r="D2536" s="100" t="s">
        <v>1686</v>
      </c>
      <c r="E2536" s="198">
        <v>412.0</v>
      </c>
      <c r="F2536" s="199" t="s">
        <v>4318</v>
      </c>
    </row>
    <row r="2537" ht="22.5" customHeight="1">
      <c r="A2537" s="197">
        <v>46172.910832951384</v>
      </c>
      <c r="B2537" s="100" t="s">
        <v>4316</v>
      </c>
      <c r="C2537" s="100" t="s">
        <v>1688</v>
      </c>
      <c r="D2537" s="100" t="s">
        <v>1689</v>
      </c>
      <c r="E2537" s="198">
        <v>600.0</v>
      </c>
      <c r="F2537" s="199" t="s">
        <v>4319</v>
      </c>
    </row>
    <row r="2538" ht="22.5" customHeight="1">
      <c r="A2538" s="197">
        <v>46172.91083334491</v>
      </c>
      <c r="B2538" s="100" t="s">
        <v>4320</v>
      </c>
      <c r="C2538" s="100" t="s">
        <v>1685</v>
      </c>
      <c r="D2538" s="100" t="s">
        <v>1686</v>
      </c>
      <c r="E2538" s="198">
        <v>100.0</v>
      </c>
      <c r="F2538" s="199" t="s">
        <v>3997</v>
      </c>
    </row>
    <row r="2539" ht="22.5" customHeight="1">
      <c r="A2539" s="197">
        <v>46172.91083334491</v>
      </c>
      <c r="B2539" s="100" t="s">
        <v>4320</v>
      </c>
      <c r="C2539" s="100" t="s">
        <v>1688</v>
      </c>
      <c r="D2539" s="100" t="s">
        <v>1689</v>
      </c>
      <c r="E2539" s="198">
        <v>150.0</v>
      </c>
      <c r="F2539" s="199" t="s">
        <v>3998</v>
      </c>
    </row>
    <row r="2540" ht="22.5" customHeight="1">
      <c r="A2540" s="197">
        <v>46172.91083381945</v>
      </c>
      <c r="B2540" s="100" t="s">
        <v>4322</v>
      </c>
      <c r="C2540" s="100" t="s">
        <v>1685</v>
      </c>
      <c r="D2540" s="100" t="s">
        <v>1686</v>
      </c>
      <c r="E2540" s="198">
        <v>103.75</v>
      </c>
      <c r="F2540" s="199" t="s">
        <v>2303</v>
      </c>
    </row>
    <row r="2541" ht="22.5" customHeight="1">
      <c r="A2541" s="197">
        <v>46172.91083381945</v>
      </c>
      <c r="B2541" s="100" t="s">
        <v>4322</v>
      </c>
      <c r="C2541" s="100" t="s">
        <v>1688</v>
      </c>
      <c r="D2541" s="100" t="s">
        <v>1689</v>
      </c>
      <c r="E2541" s="198">
        <v>200.0</v>
      </c>
      <c r="F2541" s="199" t="s">
        <v>2304</v>
      </c>
    </row>
    <row r="2542" ht="22.5" customHeight="1">
      <c r="A2542" s="197">
        <v>46172.910834375</v>
      </c>
      <c r="B2542" s="100" t="s">
        <v>4323</v>
      </c>
      <c r="C2542" s="100" t="s">
        <v>1685</v>
      </c>
      <c r="D2542" s="100" t="s">
        <v>1686</v>
      </c>
      <c r="E2542" s="198">
        <v>178.75</v>
      </c>
      <c r="F2542" s="199" t="s">
        <v>1817</v>
      </c>
    </row>
    <row r="2543" ht="22.5" customHeight="1">
      <c r="A2543" s="197">
        <v>46172.910834375</v>
      </c>
      <c r="B2543" s="100" t="s">
        <v>4323</v>
      </c>
      <c r="C2543" s="100" t="s">
        <v>1688</v>
      </c>
      <c r="D2543" s="100" t="s">
        <v>1689</v>
      </c>
      <c r="E2543" s="198">
        <v>250.0</v>
      </c>
      <c r="F2543" s="199" t="s">
        <v>1819</v>
      </c>
    </row>
    <row r="2544" ht="22.5" customHeight="1">
      <c r="A2544" s="197">
        <v>46172.91083460648</v>
      </c>
      <c r="B2544" s="100" t="s">
        <v>4324</v>
      </c>
      <c r="C2544" s="100" t="s">
        <v>1685</v>
      </c>
      <c r="D2544" s="100" t="s">
        <v>1686</v>
      </c>
      <c r="E2544" s="198">
        <v>110.0</v>
      </c>
      <c r="F2544" s="199" t="s">
        <v>1947</v>
      </c>
    </row>
    <row r="2545" ht="22.5" customHeight="1">
      <c r="A2545" s="197">
        <v>46172.91083460648</v>
      </c>
      <c r="B2545" s="100" t="s">
        <v>4324</v>
      </c>
      <c r="C2545" s="100" t="s">
        <v>1688</v>
      </c>
      <c r="D2545" s="100" t="s">
        <v>1689</v>
      </c>
      <c r="E2545" s="198">
        <v>160.0</v>
      </c>
      <c r="F2545" s="199" t="s">
        <v>1948</v>
      </c>
    </row>
    <row r="2546" ht="22.5" customHeight="1">
      <c r="A2546" s="197">
        <v>46172.91083491898</v>
      </c>
      <c r="B2546" s="100" t="s">
        <v>4326</v>
      </c>
      <c r="C2546" s="100" t="s">
        <v>1685</v>
      </c>
      <c r="D2546" s="100" t="s">
        <v>1686</v>
      </c>
      <c r="E2546" s="198">
        <v>206.0</v>
      </c>
      <c r="F2546" s="199" t="s">
        <v>4318</v>
      </c>
    </row>
    <row r="2547" ht="22.5" customHeight="1">
      <c r="A2547" s="197">
        <v>46172.91083491898</v>
      </c>
      <c r="B2547" s="100" t="s">
        <v>4326</v>
      </c>
      <c r="C2547" s="100" t="s">
        <v>1688</v>
      </c>
      <c r="D2547" s="100" t="s">
        <v>1689</v>
      </c>
      <c r="E2547" s="198">
        <v>300.0</v>
      </c>
      <c r="F2547" s="199" t="s">
        <v>4319</v>
      </c>
    </row>
    <row r="2548" ht="22.5" customHeight="1">
      <c r="A2548" s="197">
        <v>46172.91083515046</v>
      </c>
      <c r="B2548" s="100" t="s">
        <v>4328</v>
      </c>
      <c r="C2548" s="100" t="s">
        <v>1685</v>
      </c>
      <c r="D2548" s="100" t="s">
        <v>1686</v>
      </c>
      <c r="E2548" s="198">
        <v>56.67</v>
      </c>
      <c r="F2548" s="199" t="s">
        <v>3110</v>
      </c>
    </row>
    <row r="2549" ht="22.5" customHeight="1">
      <c r="A2549" s="197">
        <v>46172.91083515046</v>
      </c>
      <c r="B2549" s="100" t="s">
        <v>4328</v>
      </c>
      <c r="C2549" s="100" t="s">
        <v>1688</v>
      </c>
      <c r="D2549" s="100" t="s">
        <v>1689</v>
      </c>
      <c r="E2549" s="198">
        <v>70.0</v>
      </c>
      <c r="F2549" s="199" t="s">
        <v>3111</v>
      </c>
    </row>
    <row r="2550" ht="22.5" customHeight="1">
      <c r="A2550" s="197">
        <v>46172.91083540509</v>
      </c>
      <c r="B2550" s="100" t="s">
        <v>4330</v>
      </c>
      <c r="C2550" s="100" t="s">
        <v>1685</v>
      </c>
      <c r="D2550" s="100" t="s">
        <v>1686</v>
      </c>
      <c r="E2550" s="198">
        <v>170.0</v>
      </c>
      <c r="F2550" s="199" t="s">
        <v>4092</v>
      </c>
    </row>
    <row r="2551" ht="22.5" customHeight="1">
      <c r="A2551" s="197">
        <v>46172.91083540509</v>
      </c>
      <c r="B2551" s="100" t="s">
        <v>4330</v>
      </c>
      <c r="C2551" s="100" t="s">
        <v>1688</v>
      </c>
      <c r="D2551" s="100" t="s">
        <v>1689</v>
      </c>
      <c r="E2551" s="198">
        <v>200.0</v>
      </c>
      <c r="F2551" s="199" t="s">
        <v>4093</v>
      </c>
    </row>
  </sheetData>
  <drawing ns1:id="rId1"/>
  <tableParts count="1">
    <tablePart ns1:id="rId3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3" max="3" width="19.75"/>
    <col customWidth="1" min="6" max="6" width="17.5"/>
    <col customWidth="1" min="8" max="8" width="19.63"/>
    <col customWidth="1" min="11" max="11" width="13.38"/>
    <col customWidth="1" min="12" max="12" width="33.75"/>
    <col customWidth="1" min="13" max="13" width="21.25"/>
  </cols>
  <sheetData>
    <row r="1" ht="22.5" customHeight="1">
      <c r="A1" s="6" t="s">
        <v>2215</v>
      </c>
      <c r="B1" s="6" t="s">
        <v>2217</v>
      </c>
      <c r="C1" s="6" t="s">
        <v>53</v>
      </c>
      <c r="D1" s="6" t="s">
        <v>57</v>
      </c>
      <c r="E1" s="6" t="s">
        <v>58</v>
      </c>
      <c r="F1" s="154" t="s">
        <v>1475</v>
      </c>
      <c r="G1" s="154" t="s">
        <v>2219</v>
      </c>
      <c r="H1" s="154" t="s">
        <v>1477</v>
      </c>
      <c r="I1" s="154" t="s">
        <v>2220</v>
      </c>
      <c r="J1" s="6" t="s">
        <v>11</v>
      </c>
      <c r="K1" s="6" t="s">
        <v>2221</v>
      </c>
      <c r="L1" s="6" t="s">
        <v>2222</v>
      </c>
      <c r="M1" s="6" t="s">
        <v>2223</v>
      </c>
    </row>
    <row r="2" ht="22.5" hidden="1" customHeight="1">
      <c r="A2" s="37">
        <v>46081.971447233795</v>
      </c>
      <c r="B2" s="5" t="s">
        <v>2225</v>
      </c>
      <c r="C2" s="19" t="s">
        <v>255</v>
      </c>
      <c r="D2" s="17">
        <v>1.0</v>
      </c>
      <c r="E2" s="17">
        <v>22.75</v>
      </c>
      <c r="F2" s="17"/>
      <c r="G2" s="5"/>
      <c r="H2" s="5">
        <v>22.75</v>
      </c>
      <c r="I2" s="5"/>
      <c r="J2" s="5" t="s">
        <v>54</v>
      </c>
      <c r="K2" s="19" t="s">
        <v>2227</v>
      </c>
      <c r="L2" s="5" t="s">
        <v>2228</v>
      </c>
      <c r="M2" s="5" t="s">
        <v>2230</v>
      </c>
    </row>
    <row r="3" ht="22.5" hidden="1" customHeight="1">
      <c r="A3" s="37">
        <v>46081.971446944444</v>
      </c>
      <c r="B3" s="5" t="s">
        <v>2225</v>
      </c>
      <c r="C3" s="19" t="s">
        <v>858</v>
      </c>
      <c r="D3" s="17">
        <v>3.0</v>
      </c>
      <c r="E3" s="17">
        <v>14.083333333333334</v>
      </c>
      <c r="F3" s="17"/>
      <c r="G3" s="5"/>
      <c r="H3" s="5">
        <v>42.25</v>
      </c>
      <c r="I3" s="5"/>
      <c r="J3" s="5" t="s">
        <v>54</v>
      </c>
      <c r="K3" s="19" t="s">
        <v>2227</v>
      </c>
      <c r="L3" s="5" t="s">
        <v>2228</v>
      </c>
      <c r="M3" s="5" t="s">
        <v>2230</v>
      </c>
    </row>
    <row r="4" ht="22.5" hidden="1" customHeight="1">
      <c r="A4" s="37">
        <v>46081.97144674769</v>
      </c>
      <c r="B4" s="5" t="s">
        <v>2234</v>
      </c>
      <c r="C4" s="19" t="s">
        <v>392</v>
      </c>
      <c r="D4" s="17">
        <v>1.0</v>
      </c>
      <c r="E4" s="17">
        <v>65.0</v>
      </c>
      <c r="F4" s="17"/>
      <c r="G4" s="5"/>
      <c r="H4" s="5">
        <v>65.0</v>
      </c>
      <c r="I4" s="5"/>
      <c r="J4" s="19" t="s">
        <v>31</v>
      </c>
      <c r="K4" s="19" t="s">
        <v>2227</v>
      </c>
      <c r="L4" s="5" t="s">
        <v>2237</v>
      </c>
      <c r="M4" s="5" t="s">
        <v>2230</v>
      </c>
    </row>
    <row r="5" ht="22.5" hidden="1" customHeight="1">
      <c r="A5" s="37">
        <v>46081.96765423611</v>
      </c>
      <c r="B5" s="5" t="s">
        <v>2225</v>
      </c>
      <c r="C5" s="19" t="s">
        <v>255</v>
      </c>
      <c r="D5" s="17">
        <v>2.0</v>
      </c>
      <c r="E5" s="17">
        <v>22.75</v>
      </c>
      <c r="F5" s="17"/>
      <c r="G5" s="5"/>
      <c r="H5" s="5">
        <v>45.5</v>
      </c>
      <c r="I5" s="5"/>
      <c r="J5" s="5" t="s">
        <v>54</v>
      </c>
      <c r="K5" s="19" t="s">
        <v>2227</v>
      </c>
      <c r="L5" s="5" t="s">
        <v>2228</v>
      </c>
      <c r="M5" s="5" t="s">
        <v>2230</v>
      </c>
    </row>
    <row r="6" ht="22.5" hidden="1" customHeight="1">
      <c r="A6" s="37">
        <v>46081.96765185185</v>
      </c>
      <c r="B6" s="5" t="s">
        <v>2225</v>
      </c>
      <c r="C6" s="19" t="s">
        <v>858</v>
      </c>
      <c r="D6" s="17">
        <v>6.0</v>
      </c>
      <c r="E6" s="17">
        <v>14.083333333333334</v>
      </c>
      <c r="F6" s="17"/>
      <c r="G6" s="5"/>
      <c r="H6" s="5">
        <v>84.5</v>
      </c>
      <c r="I6" s="5"/>
      <c r="J6" s="5" t="s">
        <v>54</v>
      </c>
      <c r="K6" s="19" t="s">
        <v>2227</v>
      </c>
      <c r="L6" s="5" t="s">
        <v>2228</v>
      </c>
      <c r="M6" s="5" t="s">
        <v>2230</v>
      </c>
    </row>
    <row r="7" ht="22.5" hidden="1" customHeight="1">
      <c r="A7" s="37">
        <v>46081.96765034722</v>
      </c>
      <c r="B7" s="5" t="s">
        <v>2234</v>
      </c>
      <c r="C7" s="19" t="s">
        <v>392</v>
      </c>
      <c r="D7" s="17">
        <v>2.0</v>
      </c>
      <c r="E7" s="17">
        <v>65.0</v>
      </c>
      <c r="F7" s="17"/>
      <c r="G7" s="5"/>
      <c r="H7" s="5">
        <v>130.0</v>
      </c>
      <c r="I7" s="5"/>
      <c r="J7" s="19" t="s">
        <v>31</v>
      </c>
      <c r="K7" s="19" t="s">
        <v>2227</v>
      </c>
      <c r="L7" s="5" t="s">
        <v>2237</v>
      </c>
      <c r="M7" s="5" t="s">
        <v>2230</v>
      </c>
    </row>
    <row r="8" ht="22.5" hidden="1" customHeight="1">
      <c r="A8" s="14">
        <v>46150.80803528935</v>
      </c>
      <c r="B8" s="6" t="s">
        <v>2245</v>
      </c>
      <c r="C8" s="10" t="s">
        <v>363</v>
      </c>
      <c r="D8" s="13">
        <v>1.0</v>
      </c>
      <c r="E8" s="13">
        <v>110.0</v>
      </c>
      <c r="F8" s="13"/>
      <c r="G8" s="6"/>
      <c r="H8" s="6">
        <v>110.0</v>
      </c>
      <c r="I8" s="6"/>
      <c r="J8" s="10" t="s">
        <v>51</v>
      </c>
      <c r="K8" s="10" t="s">
        <v>2248</v>
      </c>
      <c r="L8" s="6" t="s">
        <v>2249</v>
      </c>
      <c r="M8" s="6" t="s">
        <v>2230</v>
      </c>
    </row>
    <row r="9" ht="22.5" hidden="1" customHeight="1">
      <c r="A9" s="37">
        <v>46081.94467167824</v>
      </c>
      <c r="B9" s="5" t="s">
        <v>2225</v>
      </c>
      <c r="C9" s="19" t="s">
        <v>2252</v>
      </c>
      <c r="D9" s="17">
        <v>1.0</v>
      </c>
      <c r="E9" s="17">
        <v>28.5</v>
      </c>
      <c r="F9" s="17"/>
      <c r="G9" s="5"/>
      <c r="H9" s="5">
        <v>28.5</v>
      </c>
      <c r="I9" s="5"/>
      <c r="J9" s="5" t="s">
        <v>54</v>
      </c>
      <c r="K9" s="19" t="s">
        <v>2227</v>
      </c>
      <c r="L9" s="5" t="s">
        <v>2228</v>
      </c>
      <c r="M9" s="5" t="s">
        <v>2230</v>
      </c>
    </row>
    <row r="10" ht="22.5" hidden="1" customHeight="1">
      <c r="A10" s="37">
        <v>46081.9446620949</v>
      </c>
      <c r="B10" s="5" t="s">
        <v>2225</v>
      </c>
      <c r="C10" s="19" t="s">
        <v>858</v>
      </c>
      <c r="D10" s="17">
        <v>3.0</v>
      </c>
      <c r="E10" s="17">
        <v>22.166666666666668</v>
      </c>
      <c r="F10" s="17"/>
      <c r="G10" s="5"/>
      <c r="H10" s="5">
        <v>66.5</v>
      </c>
      <c r="I10" s="5"/>
      <c r="J10" s="5" t="s">
        <v>54</v>
      </c>
      <c r="K10" s="19" t="s">
        <v>2227</v>
      </c>
      <c r="L10" s="5" t="s">
        <v>2228</v>
      </c>
      <c r="M10" s="5" t="s">
        <v>2230</v>
      </c>
    </row>
    <row r="11" ht="22.5" hidden="1" customHeight="1">
      <c r="A11" s="37">
        <v>46081.944660787034</v>
      </c>
      <c r="B11" s="5" t="s">
        <v>2234</v>
      </c>
      <c r="C11" s="19" t="s">
        <v>852</v>
      </c>
      <c r="D11" s="17">
        <v>3.0</v>
      </c>
      <c r="E11" s="17">
        <v>10.0</v>
      </c>
      <c r="F11" s="17"/>
      <c r="G11" s="5"/>
      <c r="H11" s="5">
        <v>30.0</v>
      </c>
      <c r="I11" s="5"/>
      <c r="J11" s="19" t="s">
        <v>154</v>
      </c>
      <c r="K11" s="19" t="s">
        <v>2227</v>
      </c>
      <c r="L11" s="5" t="s">
        <v>2237</v>
      </c>
      <c r="M11" s="5" t="s">
        <v>2230</v>
      </c>
    </row>
    <row r="12" ht="22.5" hidden="1" customHeight="1">
      <c r="A12" s="37">
        <v>46081.944660636575</v>
      </c>
      <c r="B12" s="5" t="s">
        <v>2234</v>
      </c>
      <c r="C12" s="19" t="s">
        <v>392</v>
      </c>
      <c r="D12" s="17">
        <v>1.0</v>
      </c>
      <c r="E12" s="17">
        <v>65.0</v>
      </c>
      <c r="F12" s="17"/>
      <c r="G12" s="5"/>
      <c r="H12" s="5">
        <v>65.0</v>
      </c>
      <c r="I12" s="5"/>
      <c r="J12" s="19" t="s">
        <v>31</v>
      </c>
      <c r="K12" s="19" t="s">
        <v>2227</v>
      </c>
      <c r="L12" s="5" t="s">
        <v>2237</v>
      </c>
      <c r="M12" s="5" t="s">
        <v>2230</v>
      </c>
    </row>
    <row r="13" ht="22.5" hidden="1" customHeight="1">
      <c r="A13" s="14">
        <v>46150.80803528935</v>
      </c>
      <c r="B13" s="6" t="s">
        <v>2245</v>
      </c>
      <c r="C13" s="10" t="s">
        <v>1208</v>
      </c>
      <c r="D13" s="13">
        <v>18.0</v>
      </c>
      <c r="E13" s="13">
        <v>3.5</v>
      </c>
      <c r="F13" s="13"/>
      <c r="G13" s="6"/>
      <c r="H13" s="6">
        <v>63.0</v>
      </c>
      <c r="I13" s="6"/>
      <c r="J13" s="10" t="s">
        <v>154</v>
      </c>
      <c r="K13" s="10" t="s">
        <v>2248</v>
      </c>
      <c r="L13" s="6" t="s">
        <v>2249</v>
      </c>
      <c r="M13" s="6" t="s">
        <v>2230</v>
      </c>
    </row>
    <row r="14" ht="22.5" hidden="1" customHeight="1">
      <c r="A14" s="14">
        <v>46150.78321849537</v>
      </c>
      <c r="B14" s="6" t="s">
        <v>2245</v>
      </c>
      <c r="C14" s="10" t="s">
        <v>1280</v>
      </c>
      <c r="D14" s="13">
        <v>1.0</v>
      </c>
      <c r="E14" s="13">
        <v>65.0</v>
      </c>
      <c r="F14" s="13"/>
      <c r="G14" s="6"/>
      <c r="H14" s="6">
        <v>65.0</v>
      </c>
      <c r="I14" s="6"/>
      <c r="J14" s="10" t="s">
        <v>436</v>
      </c>
      <c r="K14" s="10" t="s">
        <v>2259</v>
      </c>
      <c r="L14" s="6" t="s">
        <v>2249</v>
      </c>
      <c r="M14" s="6" t="s">
        <v>2230</v>
      </c>
    </row>
    <row r="15" ht="22.5" hidden="1" customHeight="1">
      <c r="A15" s="14">
        <v>46150.78321849537</v>
      </c>
      <c r="B15" s="6" t="s">
        <v>2245</v>
      </c>
      <c r="C15" s="10" t="s">
        <v>929</v>
      </c>
      <c r="D15" s="13">
        <v>1.0</v>
      </c>
      <c r="E15" s="13">
        <v>21.88</v>
      </c>
      <c r="F15" s="13"/>
      <c r="G15" s="6"/>
      <c r="H15" s="6">
        <v>21.88</v>
      </c>
      <c r="I15" s="6"/>
      <c r="J15" s="10" t="s">
        <v>436</v>
      </c>
      <c r="K15" s="10" t="s">
        <v>2259</v>
      </c>
      <c r="L15" s="6" t="s">
        <v>2249</v>
      </c>
      <c r="M15" s="6" t="s">
        <v>2230</v>
      </c>
    </row>
    <row r="16" ht="22.5" hidden="1" customHeight="1">
      <c r="A16" s="14">
        <v>46150.78321849537</v>
      </c>
      <c r="B16" s="6" t="s">
        <v>2245</v>
      </c>
      <c r="C16" s="10" t="s">
        <v>933</v>
      </c>
      <c r="D16" s="13">
        <v>1.0</v>
      </c>
      <c r="E16" s="13">
        <v>10.0</v>
      </c>
      <c r="F16" s="13"/>
      <c r="G16" s="6"/>
      <c r="H16" s="6">
        <v>10.0</v>
      </c>
      <c r="I16" s="6"/>
      <c r="J16" s="10" t="s">
        <v>436</v>
      </c>
      <c r="K16" s="10" t="s">
        <v>2259</v>
      </c>
      <c r="L16" s="6" t="s">
        <v>2249</v>
      </c>
      <c r="M16" s="6" t="s">
        <v>2230</v>
      </c>
    </row>
    <row r="17" ht="22.5" hidden="1" customHeight="1">
      <c r="A17" s="14">
        <v>46096.001488657406</v>
      </c>
      <c r="B17" s="6" t="s">
        <v>2262</v>
      </c>
      <c r="C17" s="10" t="s">
        <v>345</v>
      </c>
      <c r="D17" s="13">
        <v>2.0</v>
      </c>
      <c r="E17" s="13">
        <v>250.0</v>
      </c>
      <c r="F17" s="13">
        <v>500.0</v>
      </c>
      <c r="G17" s="10" t="s">
        <v>154</v>
      </c>
      <c r="H17" s="6">
        <v>500.0</v>
      </c>
      <c r="I17" s="6" t="s">
        <v>1317</v>
      </c>
      <c r="J17" s="6" t="s">
        <v>2264</v>
      </c>
      <c r="K17" s="6" t="s">
        <v>2230</v>
      </c>
      <c r="L17" s="6"/>
      <c r="M17" s="6"/>
    </row>
    <row r="18" ht="22.5" hidden="1" customHeight="1">
      <c r="A18" s="14">
        <v>46096.001488587965</v>
      </c>
      <c r="B18" s="6" t="s">
        <v>2262</v>
      </c>
      <c r="C18" s="10" t="s">
        <v>275</v>
      </c>
      <c r="D18" s="13">
        <v>2.0</v>
      </c>
      <c r="E18" s="13">
        <v>300.0</v>
      </c>
      <c r="F18" s="13">
        <v>600.0</v>
      </c>
      <c r="G18" s="10" t="s">
        <v>154</v>
      </c>
      <c r="H18" s="6">
        <v>499.0</v>
      </c>
      <c r="I18" s="6" t="s">
        <v>1315</v>
      </c>
      <c r="J18" s="6" t="s">
        <v>2267</v>
      </c>
      <c r="K18" s="6" t="s">
        <v>2230</v>
      </c>
      <c r="L18" s="6"/>
      <c r="M18" s="6"/>
    </row>
    <row r="19" ht="22.5" hidden="1" customHeight="1">
      <c r="A19" s="14">
        <v>46096.001488483795</v>
      </c>
      <c r="B19" s="6" t="s">
        <v>2262</v>
      </c>
      <c r="C19" s="10" t="s">
        <v>166</v>
      </c>
      <c r="D19" s="13">
        <v>3.0</v>
      </c>
      <c r="E19" s="13">
        <v>400.0</v>
      </c>
      <c r="F19" s="13">
        <v>1200.0</v>
      </c>
      <c r="G19" s="10" t="s">
        <v>154</v>
      </c>
      <c r="H19" s="6">
        <v>498.0</v>
      </c>
      <c r="I19" s="6"/>
      <c r="J19" s="6" t="s">
        <v>2270</v>
      </c>
      <c r="K19" s="6" t="s">
        <v>2230</v>
      </c>
      <c r="L19" s="6"/>
      <c r="M19" s="6"/>
    </row>
    <row r="20" ht="22.5" hidden="1" customHeight="1">
      <c r="A20" s="14">
        <v>46150.729273379635</v>
      </c>
      <c r="B20" s="6" t="s">
        <v>2245</v>
      </c>
      <c r="C20" s="10" t="s">
        <v>1208</v>
      </c>
      <c r="D20" s="13">
        <v>35.0</v>
      </c>
      <c r="E20" s="13">
        <v>3.5</v>
      </c>
      <c r="F20" s="13"/>
      <c r="G20" s="6"/>
      <c r="H20" s="6">
        <v>122.5</v>
      </c>
      <c r="I20" s="6"/>
      <c r="J20" s="10" t="s">
        <v>154</v>
      </c>
      <c r="K20" s="10" t="s">
        <v>2272</v>
      </c>
      <c r="L20" s="6" t="s">
        <v>2249</v>
      </c>
      <c r="M20" s="6" t="s">
        <v>2230</v>
      </c>
    </row>
    <row r="21" ht="22.5" hidden="1" customHeight="1">
      <c r="A21" s="37">
        <v>46066.90567206018</v>
      </c>
      <c r="B21" s="5" t="s">
        <v>2225</v>
      </c>
      <c r="C21" s="19" t="s">
        <v>699</v>
      </c>
      <c r="D21" s="17">
        <v>4.0</v>
      </c>
      <c r="E21" s="17">
        <v>10.0</v>
      </c>
      <c r="F21" s="19"/>
      <c r="G21" s="5"/>
      <c r="H21" s="5">
        <v>40.0</v>
      </c>
      <c r="I21" s="19"/>
      <c r="J21" s="5" t="s">
        <v>54</v>
      </c>
      <c r="K21" s="19" t="s">
        <v>2272</v>
      </c>
      <c r="L21" s="5" t="s">
        <v>2228</v>
      </c>
      <c r="M21" s="5" t="s">
        <v>2230</v>
      </c>
    </row>
    <row r="22" ht="22.5" hidden="1" customHeight="1">
      <c r="A22" s="37">
        <v>46066.90567059028</v>
      </c>
      <c r="B22" s="5" t="s">
        <v>2234</v>
      </c>
      <c r="C22" s="19" t="s">
        <v>852</v>
      </c>
      <c r="D22" s="17">
        <v>1.0</v>
      </c>
      <c r="E22" s="17">
        <v>10.0</v>
      </c>
      <c r="F22" s="19"/>
      <c r="G22" s="5"/>
      <c r="H22" s="5">
        <v>10.0</v>
      </c>
      <c r="I22" s="19"/>
      <c r="J22" s="19" t="s">
        <v>154</v>
      </c>
      <c r="K22" s="19" t="s">
        <v>2272</v>
      </c>
      <c r="L22" s="5" t="s">
        <v>2237</v>
      </c>
      <c r="M22" s="5" t="s">
        <v>2230</v>
      </c>
    </row>
    <row r="23" ht="22.5" hidden="1" customHeight="1">
      <c r="A23" s="37">
        <v>46066.90567047454</v>
      </c>
      <c r="B23" s="5" t="s">
        <v>2234</v>
      </c>
      <c r="C23" s="19" t="s">
        <v>756</v>
      </c>
      <c r="D23" s="17">
        <v>1.0</v>
      </c>
      <c r="E23" s="17">
        <v>30.0</v>
      </c>
      <c r="F23" s="19"/>
      <c r="G23" s="5"/>
      <c r="H23" s="5">
        <v>30.0</v>
      </c>
      <c r="I23" s="19"/>
      <c r="J23" s="19" t="s">
        <v>154</v>
      </c>
      <c r="K23" s="19" t="s">
        <v>2272</v>
      </c>
      <c r="L23" s="5" t="s">
        <v>2237</v>
      </c>
      <c r="M23" s="5" t="s">
        <v>2230</v>
      </c>
    </row>
    <row r="24" ht="22.5" hidden="1" customHeight="1">
      <c r="A24" s="14">
        <v>46150.729273379635</v>
      </c>
      <c r="B24" s="6" t="s">
        <v>2245</v>
      </c>
      <c r="C24" s="10" t="s">
        <v>1426</v>
      </c>
      <c r="D24" s="13">
        <v>5.0</v>
      </c>
      <c r="E24" s="13">
        <v>30.0</v>
      </c>
      <c r="F24" s="13"/>
      <c r="G24" s="6"/>
      <c r="H24" s="6">
        <v>150.0</v>
      </c>
      <c r="I24" s="6"/>
      <c r="J24" s="10" t="s">
        <v>154</v>
      </c>
      <c r="K24" s="10" t="s">
        <v>2272</v>
      </c>
      <c r="L24" s="6" t="s">
        <v>2249</v>
      </c>
      <c r="M24" s="6" t="s">
        <v>2230</v>
      </c>
    </row>
    <row r="25" ht="22.5" customHeight="1">
      <c r="A25" s="14">
        <v>46172.91083540509</v>
      </c>
      <c r="B25" s="6" t="s">
        <v>2282</v>
      </c>
      <c r="C25" s="10" t="s">
        <v>609</v>
      </c>
      <c r="D25" s="13">
        <v>1.0</v>
      </c>
      <c r="E25" s="13">
        <v>170.0</v>
      </c>
      <c r="F25" s="13">
        <v>200.0</v>
      </c>
      <c r="G25" s="6">
        <v>200.0</v>
      </c>
      <c r="H25" s="6">
        <v>200.0</v>
      </c>
      <c r="I25" s="6">
        <v>30.0</v>
      </c>
      <c r="J25" s="10" t="s">
        <v>581</v>
      </c>
      <c r="K25" s="6">
        <v>1433.0</v>
      </c>
      <c r="L25" s="6" t="s">
        <v>2284</v>
      </c>
      <c r="M25" s="6" t="s">
        <v>2230</v>
      </c>
    </row>
    <row r="26" ht="22.5" hidden="1" customHeight="1">
      <c r="A26" s="37">
        <v>46083.00082615741</v>
      </c>
      <c r="B26" s="5" t="s">
        <v>2225</v>
      </c>
      <c r="C26" s="19" t="s">
        <v>863</v>
      </c>
      <c r="D26" s="17">
        <v>7.0</v>
      </c>
      <c r="E26" s="17">
        <v>30.0</v>
      </c>
      <c r="F26" s="17"/>
      <c r="G26" s="5"/>
      <c r="H26" s="5">
        <v>210.0</v>
      </c>
      <c r="I26" s="5"/>
      <c r="J26" s="5" t="s">
        <v>54</v>
      </c>
      <c r="K26" s="19" t="s">
        <v>2287</v>
      </c>
      <c r="L26" s="5" t="s">
        <v>2228</v>
      </c>
      <c r="M26" s="5" t="s">
        <v>2230</v>
      </c>
    </row>
    <row r="27" ht="22.5" hidden="1" customHeight="1">
      <c r="A27" s="37">
        <v>46083.000825034724</v>
      </c>
      <c r="B27" s="5" t="s">
        <v>2234</v>
      </c>
      <c r="C27" s="19" t="s">
        <v>852</v>
      </c>
      <c r="D27" s="17">
        <v>7.0</v>
      </c>
      <c r="E27" s="17">
        <v>10.0</v>
      </c>
      <c r="F27" s="17"/>
      <c r="G27" s="5"/>
      <c r="H27" s="5">
        <v>70.0</v>
      </c>
      <c r="I27" s="5"/>
      <c r="J27" s="19"/>
      <c r="K27" s="19" t="s">
        <v>2287</v>
      </c>
      <c r="L27" s="5" t="s">
        <v>2237</v>
      </c>
      <c r="M27" s="5" t="s">
        <v>2230</v>
      </c>
    </row>
    <row r="28" ht="22.5" hidden="1" customHeight="1">
      <c r="A28" s="37">
        <v>46083.000824965275</v>
      </c>
      <c r="B28" s="5" t="s">
        <v>2234</v>
      </c>
      <c r="C28" s="19" t="s">
        <v>806</v>
      </c>
      <c r="D28" s="17">
        <v>1.0</v>
      </c>
      <c r="E28" s="17">
        <v>140.0</v>
      </c>
      <c r="F28" s="17"/>
      <c r="G28" s="5"/>
      <c r="H28" s="5">
        <v>140.0</v>
      </c>
      <c r="I28" s="5"/>
      <c r="J28" s="19" t="s">
        <v>51</v>
      </c>
      <c r="K28" s="19" t="s">
        <v>2287</v>
      </c>
      <c r="L28" s="5" t="s">
        <v>2237</v>
      </c>
      <c r="M28" s="5" t="s">
        <v>2230</v>
      </c>
    </row>
    <row r="29" ht="22.5" hidden="1" customHeight="1">
      <c r="A29" s="37">
        <v>46082.99940767361</v>
      </c>
      <c r="B29" s="5" t="s">
        <v>2225</v>
      </c>
      <c r="C29" s="19" t="s">
        <v>863</v>
      </c>
      <c r="D29" s="17">
        <v>7.0</v>
      </c>
      <c r="E29" s="17">
        <v>20.0</v>
      </c>
      <c r="F29" s="17"/>
      <c r="G29" s="5"/>
      <c r="H29" s="5">
        <v>140.0</v>
      </c>
      <c r="I29" s="5"/>
      <c r="J29" s="5" t="s">
        <v>54</v>
      </c>
      <c r="K29" s="19" t="s">
        <v>2287</v>
      </c>
      <c r="L29" s="5" t="s">
        <v>2228</v>
      </c>
      <c r="M29" s="5" t="s">
        <v>2230</v>
      </c>
    </row>
    <row r="30" ht="22.5" hidden="1" customHeight="1">
      <c r="A30" s="37">
        <v>46082.99940622685</v>
      </c>
      <c r="B30" s="5" t="s">
        <v>2234</v>
      </c>
      <c r="C30" s="19" t="s">
        <v>806</v>
      </c>
      <c r="D30" s="17">
        <v>1.0</v>
      </c>
      <c r="E30" s="17">
        <v>140.0</v>
      </c>
      <c r="F30" s="17"/>
      <c r="G30" s="5"/>
      <c r="H30" s="5">
        <v>140.0</v>
      </c>
      <c r="I30" s="5"/>
      <c r="J30" s="19" t="s">
        <v>51</v>
      </c>
      <c r="K30" s="19" t="s">
        <v>2287</v>
      </c>
      <c r="L30" s="5" t="s">
        <v>2237</v>
      </c>
      <c r="M30" s="5" t="s">
        <v>2230</v>
      </c>
    </row>
    <row r="31" ht="22.5" hidden="1" customHeight="1">
      <c r="A31" s="37">
        <v>46082.99710795139</v>
      </c>
      <c r="B31" s="5" t="s">
        <v>2225</v>
      </c>
      <c r="C31" s="19" t="s">
        <v>863</v>
      </c>
      <c r="D31" s="17">
        <v>7.0</v>
      </c>
      <c r="E31" s="17">
        <v>20.0</v>
      </c>
      <c r="F31" s="17"/>
      <c r="G31" s="5"/>
      <c r="H31" s="5">
        <v>140.0</v>
      </c>
      <c r="I31" s="5"/>
      <c r="J31" s="5" t="s">
        <v>54</v>
      </c>
      <c r="K31" s="19" t="s">
        <v>2287</v>
      </c>
      <c r="L31" s="5" t="s">
        <v>2228</v>
      </c>
      <c r="M31" s="5" t="s">
        <v>2230</v>
      </c>
    </row>
    <row r="32" ht="22.5" hidden="1" customHeight="1">
      <c r="A32" s="37">
        <v>46082.9971061574</v>
      </c>
      <c r="B32" s="5" t="s">
        <v>2234</v>
      </c>
      <c r="C32" s="19" t="s">
        <v>806</v>
      </c>
      <c r="D32" s="17">
        <v>1.0</v>
      </c>
      <c r="E32" s="17">
        <v>140.0</v>
      </c>
      <c r="F32" s="17"/>
      <c r="G32" s="5"/>
      <c r="H32" s="5">
        <v>140.0</v>
      </c>
      <c r="I32" s="5"/>
      <c r="J32" s="19" t="s">
        <v>51</v>
      </c>
      <c r="K32" s="19" t="s">
        <v>2287</v>
      </c>
      <c r="L32" s="5" t="s">
        <v>2237</v>
      </c>
      <c r="M32" s="5" t="s">
        <v>2230</v>
      </c>
    </row>
    <row r="33" ht="22.5" customHeight="1">
      <c r="A33" s="14">
        <v>46172.910835138886</v>
      </c>
      <c r="B33" s="6" t="s">
        <v>2282</v>
      </c>
      <c r="C33" s="10" t="s">
        <v>1029</v>
      </c>
      <c r="D33" s="13">
        <v>1.0</v>
      </c>
      <c r="E33" s="13">
        <v>56.666666666666664</v>
      </c>
      <c r="F33" s="13">
        <v>70.0</v>
      </c>
      <c r="G33" s="6">
        <v>70.0</v>
      </c>
      <c r="H33" s="6">
        <v>70.0</v>
      </c>
      <c r="I33" s="6">
        <v>13.33</v>
      </c>
      <c r="J33" s="6" t="s">
        <v>54</v>
      </c>
      <c r="K33" s="6">
        <v>1387.0</v>
      </c>
      <c r="L33" s="6" t="s">
        <v>2307</v>
      </c>
      <c r="M33" s="6" t="s">
        <v>2230</v>
      </c>
    </row>
    <row r="34" ht="22.5" hidden="1" customHeight="1">
      <c r="A34" s="37">
        <v>46075.02242623843</v>
      </c>
      <c r="B34" s="5" t="s">
        <v>2225</v>
      </c>
      <c r="C34" s="19" t="s">
        <v>77</v>
      </c>
      <c r="D34" s="17">
        <v>1.0</v>
      </c>
      <c r="E34" s="17">
        <v>315.0</v>
      </c>
      <c r="F34" s="17"/>
      <c r="G34" s="5"/>
      <c r="H34" s="5">
        <v>315.0</v>
      </c>
      <c r="I34" s="5"/>
      <c r="J34" s="5" t="s">
        <v>54</v>
      </c>
      <c r="K34" s="19" t="s">
        <v>2309</v>
      </c>
      <c r="L34" s="5" t="s">
        <v>2228</v>
      </c>
      <c r="M34" s="5" t="s">
        <v>2230</v>
      </c>
    </row>
    <row r="35" ht="22.5" hidden="1" customHeight="1">
      <c r="A35" s="37">
        <v>46075.022424525465</v>
      </c>
      <c r="B35" s="5" t="s">
        <v>2234</v>
      </c>
      <c r="C35" s="19" t="s">
        <v>91</v>
      </c>
      <c r="D35" s="17">
        <v>1.0</v>
      </c>
      <c r="E35" s="17">
        <v>35.0</v>
      </c>
      <c r="F35" s="17"/>
      <c r="G35" s="5"/>
      <c r="H35" s="5">
        <v>35.0</v>
      </c>
      <c r="I35" s="5"/>
      <c r="J35" s="19" t="s">
        <v>436</v>
      </c>
      <c r="K35" s="19" t="s">
        <v>2309</v>
      </c>
      <c r="L35" s="5" t="s">
        <v>2237</v>
      </c>
      <c r="M35" s="5" t="s">
        <v>2230</v>
      </c>
    </row>
    <row r="36" ht="22.5" hidden="1" customHeight="1">
      <c r="A36" s="37">
        <v>46075.02242444444</v>
      </c>
      <c r="B36" s="5" t="s">
        <v>2234</v>
      </c>
      <c r="C36" s="19" t="s">
        <v>935</v>
      </c>
      <c r="D36" s="17">
        <v>1.0</v>
      </c>
      <c r="E36" s="17">
        <v>5.0</v>
      </c>
      <c r="F36" s="17"/>
      <c r="G36" s="5"/>
      <c r="H36" s="5">
        <v>5.0</v>
      </c>
      <c r="I36" s="5"/>
      <c r="J36" s="19" t="s">
        <v>436</v>
      </c>
      <c r="K36" s="19" t="s">
        <v>2309</v>
      </c>
      <c r="L36" s="5" t="s">
        <v>2237</v>
      </c>
      <c r="M36" s="5" t="s">
        <v>2230</v>
      </c>
    </row>
    <row r="37" ht="22.5" hidden="1" customHeight="1">
      <c r="A37" s="37">
        <v>46075.02242435185</v>
      </c>
      <c r="B37" s="5" t="s">
        <v>2234</v>
      </c>
      <c r="C37" s="19" t="s">
        <v>926</v>
      </c>
      <c r="D37" s="17">
        <v>1.0</v>
      </c>
      <c r="E37" s="17">
        <v>20.0</v>
      </c>
      <c r="F37" s="17"/>
      <c r="G37" s="5"/>
      <c r="H37" s="5">
        <v>20.0</v>
      </c>
      <c r="I37" s="5"/>
      <c r="J37" s="19" t="s">
        <v>436</v>
      </c>
      <c r="K37" s="19" t="s">
        <v>2309</v>
      </c>
      <c r="L37" s="5" t="s">
        <v>2237</v>
      </c>
      <c r="M37" s="5" t="s">
        <v>2230</v>
      </c>
    </row>
    <row r="38" ht="22.5" hidden="1" customHeight="1">
      <c r="A38" s="37">
        <v>46075.022424270835</v>
      </c>
      <c r="B38" s="5" t="s">
        <v>2234</v>
      </c>
      <c r="C38" s="19" t="s">
        <v>356</v>
      </c>
      <c r="D38" s="17">
        <v>3.0</v>
      </c>
      <c r="E38" s="17">
        <v>85.0</v>
      </c>
      <c r="F38" s="17"/>
      <c r="G38" s="5"/>
      <c r="H38" s="5">
        <v>255.0</v>
      </c>
      <c r="I38" s="5"/>
      <c r="J38" s="19" t="s">
        <v>51</v>
      </c>
      <c r="K38" s="19" t="s">
        <v>2309</v>
      </c>
      <c r="L38" s="5" t="s">
        <v>2237</v>
      </c>
      <c r="M38" s="5" t="s">
        <v>2230</v>
      </c>
    </row>
    <row r="39" ht="22.5" customHeight="1">
      <c r="A39" s="14">
        <v>46172.91083489583</v>
      </c>
      <c r="B39" s="6" t="s">
        <v>2282</v>
      </c>
      <c r="C39" s="10" t="s">
        <v>590</v>
      </c>
      <c r="D39" s="13">
        <v>2.0</v>
      </c>
      <c r="E39" s="13">
        <v>103.0</v>
      </c>
      <c r="F39" s="13">
        <v>150.0</v>
      </c>
      <c r="G39" s="6">
        <v>150.0</v>
      </c>
      <c r="H39" s="6">
        <v>300.0</v>
      </c>
      <c r="I39" s="6">
        <v>94.0</v>
      </c>
      <c r="J39" s="10" t="s">
        <v>119</v>
      </c>
      <c r="K39" s="6">
        <v>1380.0</v>
      </c>
      <c r="L39" s="6" t="s">
        <v>2317</v>
      </c>
      <c r="M39" s="6" t="s">
        <v>2230</v>
      </c>
    </row>
    <row r="40" ht="22.5" customHeight="1">
      <c r="A40" s="14">
        <v>46172.910834594906</v>
      </c>
      <c r="B40" s="6" t="s">
        <v>2282</v>
      </c>
      <c r="C40" s="10" t="s">
        <v>168</v>
      </c>
      <c r="D40" s="13">
        <v>1.0</v>
      </c>
      <c r="E40" s="13">
        <v>110.0</v>
      </c>
      <c r="F40" s="13">
        <v>160.0</v>
      </c>
      <c r="G40" s="6">
        <v>160.0</v>
      </c>
      <c r="H40" s="6">
        <v>160.0</v>
      </c>
      <c r="I40" s="6">
        <v>50.0</v>
      </c>
      <c r="J40" s="10" t="s">
        <v>154</v>
      </c>
      <c r="K40" s="6">
        <v>1373.0</v>
      </c>
      <c r="L40" s="6" t="s">
        <v>2321</v>
      </c>
      <c r="M40" s="6" t="s">
        <v>2230</v>
      </c>
    </row>
    <row r="41" ht="22.5" hidden="1" customHeight="1">
      <c r="A41" s="37">
        <v>46074.01757016203</v>
      </c>
      <c r="B41" s="5" t="s">
        <v>2262</v>
      </c>
      <c r="C41" s="19" t="s">
        <v>936</v>
      </c>
      <c r="D41" s="17">
        <v>12.0</v>
      </c>
      <c r="E41" s="17">
        <v>28.0</v>
      </c>
      <c r="F41" s="17">
        <v>336.0</v>
      </c>
      <c r="G41" s="5"/>
      <c r="H41" s="5">
        <v>447.0</v>
      </c>
      <c r="I41" s="5" t="s">
        <v>1227</v>
      </c>
      <c r="J41" s="5" t="s">
        <v>2323</v>
      </c>
      <c r="K41" s="5" t="s">
        <v>2230</v>
      </c>
      <c r="L41" s="5"/>
      <c r="M41" s="5"/>
    </row>
    <row r="42" ht="22.5" hidden="1" customHeight="1">
      <c r="A42" s="37">
        <v>46074.017570069445</v>
      </c>
      <c r="B42" s="5" t="s">
        <v>2262</v>
      </c>
      <c r="C42" s="19" t="s">
        <v>1124</v>
      </c>
      <c r="D42" s="17">
        <v>12.0</v>
      </c>
      <c r="E42" s="17">
        <v>20.0</v>
      </c>
      <c r="F42" s="17">
        <v>240.0</v>
      </c>
      <c r="G42" s="5"/>
      <c r="H42" s="5">
        <v>446.0</v>
      </c>
      <c r="I42" s="5" t="s">
        <v>1225</v>
      </c>
      <c r="J42" s="5" t="s">
        <v>2326</v>
      </c>
      <c r="K42" s="5" t="s">
        <v>2230</v>
      </c>
      <c r="L42" s="5"/>
      <c r="M42" s="5"/>
    </row>
    <row r="43" ht="22.5" hidden="1" customHeight="1">
      <c r="A43" s="37">
        <v>46074.01757001157</v>
      </c>
      <c r="B43" s="5" t="s">
        <v>2262</v>
      </c>
      <c r="C43" s="19" t="s">
        <v>841</v>
      </c>
      <c r="D43" s="17">
        <v>12.0</v>
      </c>
      <c r="E43" s="17">
        <v>15.0</v>
      </c>
      <c r="F43" s="17">
        <v>180.0</v>
      </c>
      <c r="G43" s="5"/>
      <c r="H43" s="5">
        <v>445.0</v>
      </c>
      <c r="I43" s="5" t="s">
        <v>1222</v>
      </c>
      <c r="J43" s="5" t="s">
        <v>2329</v>
      </c>
      <c r="K43" s="5" t="s">
        <v>2230</v>
      </c>
      <c r="L43" s="5"/>
      <c r="M43" s="5"/>
    </row>
    <row r="44" ht="22.5" hidden="1" customHeight="1">
      <c r="A44" s="37">
        <v>46074.01756995371</v>
      </c>
      <c r="B44" s="5" t="s">
        <v>2262</v>
      </c>
      <c r="C44" s="19" t="s">
        <v>255</v>
      </c>
      <c r="D44" s="17">
        <v>24.0</v>
      </c>
      <c r="E44" s="17">
        <v>20.0</v>
      </c>
      <c r="F44" s="17">
        <v>480.0</v>
      </c>
      <c r="G44" s="5"/>
      <c r="H44" s="5">
        <v>444.0</v>
      </c>
      <c r="I44" s="5" t="s">
        <v>1221</v>
      </c>
      <c r="J44" s="5" t="s">
        <v>2332</v>
      </c>
      <c r="K44" s="5" t="s">
        <v>2230</v>
      </c>
      <c r="L44" s="5"/>
      <c r="M44" s="5"/>
    </row>
    <row r="45" ht="22.5" hidden="1" customHeight="1">
      <c r="A45" s="37">
        <v>46074.017569895834</v>
      </c>
      <c r="B45" s="5" t="s">
        <v>2262</v>
      </c>
      <c r="C45" s="19" t="s">
        <v>852</v>
      </c>
      <c r="D45" s="17">
        <v>24.0</v>
      </c>
      <c r="E45" s="17">
        <v>10.0</v>
      </c>
      <c r="F45" s="17">
        <v>240.0</v>
      </c>
      <c r="G45" s="5"/>
      <c r="H45" s="5">
        <v>443.0</v>
      </c>
      <c r="I45" s="5" t="s">
        <v>1219</v>
      </c>
      <c r="J45" s="5" t="s">
        <v>2336</v>
      </c>
      <c r="K45" s="5" t="s">
        <v>2230</v>
      </c>
      <c r="L45" s="5"/>
      <c r="M45" s="5"/>
    </row>
    <row r="46" ht="22.5" hidden="1" customHeight="1">
      <c r="A46" s="37">
        <v>46074.01756982639</v>
      </c>
      <c r="B46" s="5" t="s">
        <v>2262</v>
      </c>
      <c r="C46" s="19" t="s">
        <v>1087</v>
      </c>
      <c r="D46" s="17">
        <v>40.0</v>
      </c>
      <c r="E46" s="17">
        <v>11.0</v>
      </c>
      <c r="F46" s="17">
        <v>440.0</v>
      </c>
      <c r="G46" s="5"/>
      <c r="H46" s="5">
        <v>442.0</v>
      </c>
      <c r="I46" s="5" t="s">
        <v>1216</v>
      </c>
      <c r="J46" s="5" t="s">
        <v>2341</v>
      </c>
      <c r="K46" s="5" t="s">
        <v>2230</v>
      </c>
      <c r="L46" s="5"/>
      <c r="M46" s="5"/>
    </row>
    <row r="47" ht="22.5" hidden="1" customHeight="1">
      <c r="A47" s="37">
        <v>46074.01756974537</v>
      </c>
      <c r="B47" s="5" t="s">
        <v>2262</v>
      </c>
      <c r="C47" s="19" t="s">
        <v>879</v>
      </c>
      <c r="D47" s="17">
        <v>40.0</v>
      </c>
      <c r="E47" s="17">
        <v>3.25</v>
      </c>
      <c r="F47" s="17">
        <v>130.0</v>
      </c>
      <c r="G47" s="5"/>
      <c r="H47" s="5">
        <v>441.0</v>
      </c>
      <c r="I47" s="5"/>
      <c r="J47" s="5" t="s">
        <v>2346</v>
      </c>
      <c r="K47" s="5" t="s">
        <v>2230</v>
      </c>
      <c r="L47" s="5"/>
      <c r="M47" s="5"/>
    </row>
    <row r="48" ht="22.5" hidden="1" customHeight="1">
      <c r="A48" s="37">
        <v>46073.872045763885</v>
      </c>
      <c r="B48" s="5" t="s">
        <v>2225</v>
      </c>
      <c r="C48" s="19" t="s">
        <v>858</v>
      </c>
      <c r="D48" s="17">
        <v>3.0</v>
      </c>
      <c r="E48" s="17">
        <v>15.166666666666666</v>
      </c>
      <c r="F48" s="17"/>
      <c r="G48" s="5"/>
      <c r="H48" s="5">
        <v>45.5</v>
      </c>
      <c r="I48" s="5"/>
      <c r="J48" s="5" t="s">
        <v>54</v>
      </c>
      <c r="K48" s="19" t="s">
        <v>2227</v>
      </c>
      <c r="L48" s="5" t="s">
        <v>2228</v>
      </c>
      <c r="M48" s="5" t="s">
        <v>2230</v>
      </c>
    </row>
    <row r="49" ht="22.5" hidden="1" customHeight="1">
      <c r="A49" s="37">
        <v>46073.87204234954</v>
      </c>
      <c r="B49" s="5" t="s">
        <v>2225</v>
      </c>
      <c r="C49" s="19" t="s">
        <v>255</v>
      </c>
      <c r="D49" s="17">
        <v>1.0</v>
      </c>
      <c r="E49" s="17">
        <v>19.5</v>
      </c>
      <c r="F49" s="17"/>
      <c r="G49" s="5"/>
      <c r="H49" s="5">
        <v>19.5</v>
      </c>
      <c r="I49" s="5"/>
      <c r="J49" s="5" t="s">
        <v>54</v>
      </c>
      <c r="K49" s="19" t="s">
        <v>2227</v>
      </c>
      <c r="L49" s="5" t="s">
        <v>2228</v>
      </c>
      <c r="M49" s="5" t="s">
        <v>2230</v>
      </c>
    </row>
    <row r="50" ht="22.5" hidden="1" customHeight="1">
      <c r="A50" s="37">
        <v>46073.87204033565</v>
      </c>
      <c r="B50" s="5" t="s">
        <v>2234</v>
      </c>
      <c r="C50" s="19" t="s">
        <v>392</v>
      </c>
      <c r="D50" s="17">
        <v>1.0</v>
      </c>
      <c r="E50" s="17">
        <v>65.0</v>
      </c>
      <c r="F50" s="17"/>
      <c r="G50" s="5"/>
      <c r="H50" s="5">
        <v>65.0</v>
      </c>
      <c r="I50" s="5"/>
      <c r="J50" s="19" t="s">
        <v>31</v>
      </c>
      <c r="K50" s="19" t="s">
        <v>2227</v>
      </c>
      <c r="L50" s="5" t="s">
        <v>2237</v>
      </c>
      <c r="M50" s="5" t="s">
        <v>2230</v>
      </c>
    </row>
    <row r="51" ht="22.5" customHeight="1">
      <c r="A51" s="14">
        <v>46172.91083435185</v>
      </c>
      <c r="B51" s="6" t="s">
        <v>2282</v>
      </c>
      <c r="C51" s="10" t="s">
        <v>268</v>
      </c>
      <c r="D51" s="13">
        <v>1.0</v>
      </c>
      <c r="E51" s="13">
        <v>178.75</v>
      </c>
      <c r="F51" s="13">
        <v>250.0</v>
      </c>
      <c r="G51" s="6">
        <v>250.0</v>
      </c>
      <c r="H51" s="6">
        <v>250.0</v>
      </c>
      <c r="I51" s="6">
        <v>71.25</v>
      </c>
      <c r="J51" s="10" t="s">
        <v>154</v>
      </c>
      <c r="K51" s="6">
        <v>1370.0</v>
      </c>
      <c r="L51" s="6" t="s">
        <v>2359</v>
      </c>
      <c r="M51" s="6" t="s">
        <v>2230</v>
      </c>
    </row>
    <row r="52" ht="22.5" customHeight="1">
      <c r="A52" s="14">
        <v>46172.9108337963</v>
      </c>
      <c r="B52" s="6" t="s">
        <v>2282</v>
      </c>
      <c r="C52" s="10" t="s">
        <v>29</v>
      </c>
      <c r="D52" s="13">
        <v>1.0</v>
      </c>
      <c r="E52" s="13">
        <v>103.75</v>
      </c>
      <c r="F52" s="13">
        <v>200.0</v>
      </c>
      <c r="G52" s="6">
        <v>200.0</v>
      </c>
      <c r="H52" s="6">
        <v>200.0</v>
      </c>
      <c r="I52" s="6">
        <v>96.25</v>
      </c>
      <c r="J52" s="6" t="s">
        <v>54</v>
      </c>
      <c r="K52" s="6">
        <v>1352.0</v>
      </c>
      <c r="L52" s="6" t="s">
        <v>2363</v>
      </c>
      <c r="M52" s="6" t="s">
        <v>2230</v>
      </c>
    </row>
    <row r="53" ht="22.5" customHeight="1">
      <c r="A53" s="14">
        <v>46172.91083333333</v>
      </c>
      <c r="B53" s="6" t="s">
        <v>2282</v>
      </c>
      <c r="C53" s="10" t="s">
        <v>336</v>
      </c>
      <c r="D53" s="13">
        <v>1.0</v>
      </c>
      <c r="E53" s="13">
        <v>100.0</v>
      </c>
      <c r="F53" s="13">
        <v>150.0</v>
      </c>
      <c r="G53" s="6">
        <v>150.0</v>
      </c>
      <c r="H53" s="6">
        <v>150.0</v>
      </c>
      <c r="I53" s="6">
        <v>50.0</v>
      </c>
      <c r="J53" s="10" t="s">
        <v>154</v>
      </c>
      <c r="K53" s="6">
        <v>1127.0</v>
      </c>
      <c r="L53" s="6" t="s">
        <v>2365</v>
      </c>
      <c r="M53" s="6" t="s">
        <v>2230</v>
      </c>
    </row>
    <row r="54" ht="22.5" customHeight="1">
      <c r="A54" s="14">
        <v>46172.910832939815</v>
      </c>
      <c r="B54" s="6" t="s">
        <v>2282</v>
      </c>
      <c r="C54" s="10" t="s">
        <v>590</v>
      </c>
      <c r="D54" s="13">
        <v>4.0</v>
      </c>
      <c r="E54" s="13">
        <v>103.0</v>
      </c>
      <c r="F54" s="13">
        <v>150.0</v>
      </c>
      <c r="G54" s="6">
        <v>150.0</v>
      </c>
      <c r="H54" s="6">
        <v>600.0</v>
      </c>
      <c r="I54" s="6">
        <v>188.0</v>
      </c>
      <c r="J54" s="10" t="s">
        <v>119</v>
      </c>
      <c r="K54" s="6">
        <v>1116.0</v>
      </c>
      <c r="L54" s="6" t="s">
        <v>2367</v>
      </c>
      <c r="M54" s="6" t="s">
        <v>2230</v>
      </c>
    </row>
    <row r="55" ht="22.5" customHeight="1">
      <c r="A55" s="14">
        <v>46172.91083248843</v>
      </c>
      <c r="B55" s="6" t="s">
        <v>2282</v>
      </c>
      <c r="C55" s="10" t="s">
        <v>800</v>
      </c>
      <c r="D55" s="13">
        <v>2.0</v>
      </c>
      <c r="E55" s="13">
        <v>11.25</v>
      </c>
      <c r="F55" s="13">
        <v>20.0</v>
      </c>
      <c r="G55" s="6">
        <v>20.0</v>
      </c>
      <c r="H55" s="6">
        <v>40.0</v>
      </c>
      <c r="I55" s="6">
        <v>17.5</v>
      </c>
      <c r="J55" s="10" t="s">
        <v>119</v>
      </c>
      <c r="K55" s="6">
        <v>1103.0</v>
      </c>
      <c r="L55" s="6" t="s">
        <v>2369</v>
      </c>
      <c r="M55" s="6" t="s">
        <v>2230</v>
      </c>
    </row>
    <row r="56" ht="22.5" customHeight="1">
      <c r="A56" s="14">
        <v>46172.91083209491</v>
      </c>
      <c r="B56" s="6" t="s">
        <v>2282</v>
      </c>
      <c r="C56" s="10" t="s">
        <v>168</v>
      </c>
      <c r="D56" s="13">
        <v>1.0</v>
      </c>
      <c r="E56" s="13">
        <v>110.0</v>
      </c>
      <c r="F56" s="13">
        <v>220.0</v>
      </c>
      <c r="G56" s="6">
        <v>220.0</v>
      </c>
      <c r="H56" s="6">
        <v>220.0</v>
      </c>
      <c r="I56" s="6">
        <v>110.0</v>
      </c>
      <c r="J56" s="10" t="s">
        <v>154</v>
      </c>
      <c r="K56" s="6">
        <v>1092.0</v>
      </c>
      <c r="L56" s="6" t="s">
        <v>2373</v>
      </c>
      <c r="M56" s="6" t="s">
        <v>2230</v>
      </c>
    </row>
    <row r="57" ht="22.5" customHeight="1">
      <c r="A57" s="14">
        <v>46172.91083162037</v>
      </c>
      <c r="B57" s="6" t="s">
        <v>2282</v>
      </c>
      <c r="C57" s="10" t="s">
        <v>329</v>
      </c>
      <c r="D57" s="13">
        <v>1.0</v>
      </c>
      <c r="E57" s="13">
        <v>110.0</v>
      </c>
      <c r="F57" s="13">
        <v>170.0</v>
      </c>
      <c r="G57" s="6">
        <v>170.0</v>
      </c>
      <c r="H57" s="6">
        <v>170.0</v>
      </c>
      <c r="I57" s="6">
        <v>60.0</v>
      </c>
      <c r="J57" s="10" t="s">
        <v>31</v>
      </c>
      <c r="K57" s="6">
        <v>321.0</v>
      </c>
      <c r="L57" s="6" t="s">
        <v>2375</v>
      </c>
      <c r="M57" s="6" t="s">
        <v>2230</v>
      </c>
    </row>
    <row r="58" ht="22.5" customHeight="1">
      <c r="A58" s="14">
        <v>46172.89966203704</v>
      </c>
      <c r="B58" s="6" t="s">
        <v>2282</v>
      </c>
      <c r="C58" s="10" t="s">
        <v>1176</v>
      </c>
      <c r="D58" s="13">
        <v>1.0</v>
      </c>
      <c r="E58" s="13">
        <v>65.0</v>
      </c>
      <c r="F58" s="13">
        <v>110.0</v>
      </c>
      <c r="G58" s="6">
        <v>110.0</v>
      </c>
      <c r="H58" s="6">
        <v>110.0</v>
      </c>
      <c r="I58" s="6">
        <v>45.0</v>
      </c>
      <c r="J58" s="10" t="s">
        <v>119</v>
      </c>
      <c r="K58" s="6">
        <v>1438.0</v>
      </c>
      <c r="L58" s="6" t="s">
        <v>2377</v>
      </c>
      <c r="M58" s="6" t="s">
        <v>2230</v>
      </c>
    </row>
    <row r="59" ht="22.5" customHeight="1">
      <c r="A59" s="14">
        <v>46172.899661793985</v>
      </c>
      <c r="B59" s="6" t="s">
        <v>2282</v>
      </c>
      <c r="C59" s="10" t="s">
        <v>1173</v>
      </c>
      <c r="D59" s="13">
        <v>0.6</v>
      </c>
      <c r="E59" s="13">
        <v>55.0</v>
      </c>
      <c r="F59" s="13">
        <v>50.0</v>
      </c>
      <c r="G59" s="6">
        <v>50.0</v>
      </c>
      <c r="H59" s="6">
        <v>30.0</v>
      </c>
      <c r="I59" s="6">
        <v>-3.0</v>
      </c>
      <c r="J59" s="10" t="s">
        <v>1059</v>
      </c>
      <c r="K59" s="6">
        <v>1437.0</v>
      </c>
      <c r="L59" s="6" t="s">
        <v>2381</v>
      </c>
      <c r="M59" s="6" t="s">
        <v>2230</v>
      </c>
    </row>
    <row r="60" ht="22.5" hidden="1" customHeight="1">
      <c r="A60" s="37">
        <v>46060.79462111111</v>
      </c>
      <c r="B60" s="5" t="s">
        <v>2262</v>
      </c>
      <c r="C60" s="19" t="s">
        <v>1100</v>
      </c>
      <c r="D60" s="17">
        <v>5.0</v>
      </c>
      <c r="E60" s="17">
        <v>50.0</v>
      </c>
      <c r="F60" s="5">
        <v>250.0</v>
      </c>
      <c r="G60" s="19" t="s">
        <v>119</v>
      </c>
      <c r="H60" s="5">
        <v>381.0</v>
      </c>
      <c r="I60" s="19"/>
      <c r="J60" s="5" t="s">
        <v>2382</v>
      </c>
      <c r="K60" s="5" t="s">
        <v>2230</v>
      </c>
      <c r="L60" s="5"/>
      <c r="M60" s="5"/>
    </row>
    <row r="61" ht="22.5" customHeight="1">
      <c r="A61" s="14">
        <v>46172.899661574076</v>
      </c>
      <c r="B61" s="6" t="s">
        <v>2282</v>
      </c>
      <c r="C61" s="10" t="s">
        <v>596</v>
      </c>
      <c r="D61" s="13">
        <v>1.0</v>
      </c>
      <c r="E61" s="13">
        <v>17.92</v>
      </c>
      <c r="F61" s="13">
        <v>30.0</v>
      </c>
      <c r="G61" s="6">
        <v>30.0</v>
      </c>
      <c r="H61" s="6">
        <v>30.0</v>
      </c>
      <c r="I61" s="6">
        <v>12.08</v>
      </c>
      <c r="J61" s="10" t="s">
        <v>119</v>
      </c>
      <c r="K61" s="6">
        <v>1436.0</v>
      </c>
      <c r="L61" s="6" t="s">
        <v>2385</v>
      </c>
      <c r="M61" s="6" t="s">
        <v>2230</v>
      </c>
    </row>
    <row r="62" ht="22.5" customHeight="1">
      <c r="A62" s="14">
        <v>46172.89966130787</v>
      </c>
      <c r="B62" s="6" t="s">
        <v>2282</v>
      </c>
      <c r="C62" s="10" t="s">
        <v>309</v>
      </c>
      <c r="D62" s="13">
        <v>1.0</v>
      </c>
      <c r="E62" s="13">
        <v>20.0</v>
      </c>
      <c r="F62" s="13">
        <v>50.0</v>
      </c>
      <c r="G62" s="6">
        <v>50.0</v>
      </c>
      <c r="H62" s="6">
        <v>50.0</v>
      </c>
      <c r="I62" s="6">
        <v>30.0</v>
      </c>
      <c r="J62" s="10" t="s">
        <v>154</v>
      </c>
      <c r="K62" s="6">
        <v>1435.0</v>
      </c>
      <c r="L62" s="6" t="s">
        <v>2387</v>
      </c>
      <c r="M62" s="6" t="s">
        <v>2230</v>
      </c>
    </row>
    <row r="63" ht="22.5" customHeight="1">
      <c r="A63" s="14">
        <v>46172.89966097222</v>
      </c>
      <c r="B63" s="6" t="s">
        <v>2282</v>
      </c>
      <c r="C63" s="10" t="s">
        <v>303</v>
      </c>
      <c r="D63" s="13">
        <v>1.0</v>
      </c>
      <c r="E63" s="13">
        <v>70.0</v>
      </c>
      <c r="F63" s="13">
        <v>150.0</v>
      </c>
      <c r="G63" s="6">
        <v>150.0</v>
      </c>
      <c r="H63" s="6">
        <v>150.0</v>
      </c>
      <c r="I63" s="6">
        <v>80.0</v>
      </c>
      <c r="J63" s="10" t="s">
        <v>484</v>
      </c>
      <c r="K63" s="6">
        <v>1434.0</v>
      </c>
      <c r="L63" s="6" t="s">
        <v>2389</v>
      </c>
      <c r="M63" s="6" t="s">
        <v>2230</v>
      </c>
    </row>
    <row r="64" ht="22.5" customHeight="1">
      <c r="A64" s="14">
        <v>46172.89966048611</v>
      </c>
      <c r="B64" s="6" t="s">
        <v>2282</v>
      </c>
      <c r="C64" s="10" t="s">
        <v>395</v>
      </c>
      <c r="D64" s="13">
        <v>0.16666666666666666</v>
      </c>
      <c r="E64" s="13">
        <v>50.0</v>
      </c>
      <c r="F64" s="13">
        <v>90.0</v>
      </c>
      <c r="G64" s="6">
        <v>90.0</v>
      </c>
      <c r="H64" s="6">
        <v>15.0</v>
      </c>
      <c r="I64" s="6">
        <v>6.67</v>
      </c>
      <c r="J64" s="10" t="s">
        <v>154</v>
      </c>
      <c r="K64" s="6">
        <v>1432.0</v>
      </c>
      <c r="L64" s="6" t="s">
        <v>2394</v>
      </c>
      <c r="M64" s="6" t="s">
        <v>2230</v>
      </c>
    </row>
    <row r="65" ht="22.5" customHeight="1">
      <c r="A65" s="14">
        <v>46172.89966023148</v>
      </c>
      <c r="B65" s="6" t="s">
        <v>2282</v>
      </c>
      <c r="C65" s="10" t="s">
        <v>363</v>
      </c>
      <c r="D65" s="13">
        <v>0.2222222222222222</v>
      </c>
      <c r="E65" s="13">
        <v>110.0</v>
      </c>
      <c r="F65" s="13">
        <v>180.0</v>
      </c>
      <c r="G65" s="6">
        <v>180.0</v>
      </c>
      <c r="H65" s="6">
        <v>40.0</v>
      </c>
      <c r="I65" s="6">
        <v>15.56</v>
      </c>
      <c r="J65" s="10" t="s">
        <v>51</v>
      </c>
      <c r="K65" s="6">
        <v>1431.0</v>
      </c>
      <c r="L65" s="6" t="s">
        <v>2396</v>
      </c>
      <c r="M65" s="6" t="s">
        <v>2230</v>
      </c>
    </row>
    <row r="66" ht="22.5" customHeight="1">
      <c r="A66" s="14">
        <v>46172.899659918985</v>
      </c>
      <c r="B66" s="6" t="s">
        <v>2282</v>
      </c>
      <c r="C66" s="10" t="s">
        <v>1173</v>
      </c>
      <c r="D66" s="13">
        <v>1.0</v>
      </c>
      <c r="E66" s="13">
        <v>55.0</v>
      </c>
      <c r="F66" s="13">
        <v>75.0</v>
      </c>
      <c r="G66" s="6">
        <v>75.0</v>
      </c>
      <c r="H66" s="6">
        <v>75.0</v>
      </c>
      <c r="I66" s="6">
        <v>20.0</v>
      </c>
      <c r="J66" s="10" t="s">
        <v>1059</v>
      </c>
      <c r="K66" s="6">
        <v>1430.0</v>
      </c>
      <c r="L66" s="6" t="s">
        <v>2399</v>
      </c>
      <c r="M66" s="6" t="s">
        <v>2230</v>
      </c>
    </row>
    <row r="67" ht="22.5" hidden="1" customHeight="1">
      <c r="A67" s="37">
        <v>46058.8203825463</v>
      </c>
      <c r="B67" s="5" t="s">
        <v>2262</v>
      </c>
      <c r="C67" s="19" t="s">
        <v>1096</v>
      </c>
      <c r="D67" s="17">
        <v>12.0</v>
      </c>
      <c r="E67" s="17">
        <v>34.166666666666664</v>
      </c>
      <c r="F67" s="5">
        <v>410.0</v>
      </c>
      <c r="G67" s="5"/>
      <c r="H67" s="5">
        <v>380.0</v>
      </c>
      <c r="I67" s="5" t="s">
        <v>1095</v>
      </c>
      <c r="J67" s="5" t="s">
        <v>2405</v>
      </c>
      <c r="K67" s="5" t="s">
        <v>2230</v>
      </c>
      <c r="L67" s="5"/>
      <c r="M67" s="5"/>
    </row>
    <row r="68" ht="22.5" hidden="1" customHeight="1">
      <c r="A68" s="37">
        <v>46058.82038239583</v>
      </c>
      <c r="B68" s="5" t="s">
        <v>2262</v>
      </c>
      <c r="C68" s="19" t="s">
        <v>802</v>
      </c>
      <c r="D68" s="17">
        <v>24.0</v>
      </c>
      <c r="E68" s="17">
        <v>53.333333333333336</v>
      </c>
      <c r="F68" s="5">
        <v>1280.0</v>
      </c>
      <c r="G68" s="5"/>
      <c r="H68" s="5">
        <v>379.0</v>
      </c>
      <c r="I68" s="5" t="s">
        <v>1093</v>
      </c>
      <c r="J68" s="5" t="s">
        <v>2407</v>
      </c>
      <c r="K68" s="5" t="s">
        <v>2230</v>
      </c>
      <c r="L68" s="5"/>
      <c r="M68" s="5"/>
    </row>
    <row r="69" ht="22.5" hidden="1" customHeight="1">
      <c r="A69" s="37">
        <v>46058.82038222223</v>
      </c>
      <c r="B69" s="5" t="s">
        <v>2262</v>
      </c>
      <c r="C69" s="19" t="s">
        <v>861</v>
      </c>
      <c r="D69" s="17">
        <v>12.0</v>
      </c>
      <c r="E69" s="17">
        <v>23.333333333333332</v>
      </c>
      <c r="F69" s="5">
        <v>280.0</v>
      </c>
      <c r="G69" s="5"/>
      <c r="H69" s="5">
        <v>378.0</v>
      </c>
      <c r="I69" s="5" t="s">
        <v>1092</v>
      </c>
      <c r="J69" s="5" t="s">
        <v>2410</v>
      </c>
      <c r="K69" s="5" t="s">
        <v>2230</v>
      </c>
      <c r="L69" s="5"/>
      <c r="M69" s="5"/>
    </row>
    <row r="70" ht="22.5" hidden="1" customHeight="1">
      <c r="A70" s="37">
        <v>46058.82038178241</v>
      </c>
      <c r="B70" s="5" t="s">
        <v>2262</v>
      </c>
      <c r="C70" s="19" t="s">
        <v>415</v>
      </c>
      <c r="D70" s="17">
        <v>3.0</v>
      </c>
      <c r="E70" s="17">
        <v>225.0</v>
      </c>
      <c r="F70" s="5">
        <v>675.0</v>
      </c>
      <c r="G70" s="19" t="s">
        <v>119</v>
      </c>
      <c r="H70" s="5">
        <v>377.0</v>
      </c>
      <c r="I70" s="19"/>
      <c r="J70" s="5" t="s">
        <v>2270</v>
      </c>
      <c r="K70" s="5" t="s">
        <v>2230</v>
      </c>
      <c r="L70" s="5"/>
      <c r="M70" s="5"/>
    </row>
    <row r="71" ht="22.5" customHeight="1">
      <c r="A71" s="14">
        <v>46172.89965936342</v>
      </c>
      <c r="B71" s="6" t="s">
        <v>2282</v>
      </c>
      <c r="C71" s="10" t="s">
        <v>309</v>
      </c>
      <c r="D71" s="13">
        <v>1.0</v>
      </c>
      <c r="E71" s="13">
        <v>20.0</v>
      </c>
      <c r="F71" s="13">
        <v>35.0</v>
      </c>
      <c r="G71" s="6">
        <v>35.0</v>
      </c>
      <c r="H71" s="6">
        <v>35.0</v>
      </c>
      <c r="I71" s="6">
        <v>15.0</v>
      </c>
      <c r="J71" s="10" t="s">
        <v>154</v>
      </c>
      <c r="K71" s="6">
        <v>1429.0</v>
      </c>
      <c r="L71" s="6" t="s">
        <v>2415</v>
      </c>
      <c r="M71" s="6" t="s">
        <v>2230</v>
      </c>
    </row>
    <row r="72" ht="22.5" customHeight="1">
      <c r="A72" s="14">
        <v>46172.89965890047</v>
      </c>
      <c r="B72" s="6" t="s">
        <v>2282</v>
      </c>
      <c r="C72" s="10" t="s">
        <v>1067</v>
      </c>
      <c r="D72" s="13">
        <v>0.3333333333333333</v>
      </c>
      <c r="E72" s="13">
        <v>65.0</v>
      </c>
      <c r="F72" s="13">
        <v>90.0</v>
      </c>
      <c r="G72" s="6">
        <v>90.0</v>
      </c>
      <c r="H72" s="6">
        <v>30.0</v>
      </c>
      <c r="I72" s="6">
        <v>8.33</v>
      </c>
      <c r="J72" s="10" t="s">
        <v>154</v>
      </c>
      <c r="K72" s="6">
        <v>1428.0</v>
      </c>
      <c r="L72" s="6" t="s">
        <v>2418</v>
      </c>
      <c r="M72" s="6" t="s">
        <v>2230</v>
      </c>
    </row>
    <row r="73" ht="22.5" hidden="1" customHeight="1">
      <c r="A73" s="37">
        <v>46090.941854641205</v>
      </c>
      <c r="B73" s="5" t="s">
        <v>2225</v>
      </c>
      <c r="C73" s="19" t="s">
        <v>858</v>
      </c>
      <c r="D73" s="17">
        <v>6.0</v>
      </c>
      <c r="E73" s="17">
        <v>11.416666666666666</v>
      </c>
      <c r="F73" s="5"/>
      <c r="G73" s="5"/>
      <c r="H73" s="5">
        <v>68.5</v>
      </c>
      <c r="I73" s="5"/>
      <c r="J73" s="5" t="s">
        <v>54</v>
      </c>
      <c r="K73" s="19" t="s">
        <v>2420</v>
      </c>
      <c r="L73" s="5" t="s">
        <v>2228</v>
      </c>
      <c r="M73" s="5" t="s">
        <v>2230</v>
      </c>
    </row>
    <row r="74" ht="22.5" hidden="1" customHeight="1">
      <c r="A74" s="37">
        <v>46090.941854375</v>
      </c>
      <c r="B74" s="5" t="s">
        <v>2234</v>
      </c>
      <c r="C74" s="19" t="s">
        <v>1250</v>
      </c>
      <c r="D74" s="17">
        <v>6.0</v>
      </c>
      <c r="E74" s="17">
        <v>6.0</v>
      </c>
      <c r="F74" s="5"/>
      <c r="G74" s="5"/>
      <c r="H74" s="5">
        <v>36.0</v>
      </c>
      <c r="I74" s="5"/>
      <c r="J74" s="19" t="s">
        <v>1052</v>
      </c>
      <c r="K74" s="19" t="s">
        <v>2420</v>
      </c>
      <c r="L74" s="5" t="s">
        <v>2237</v>
      </c>
      <c r="M74" s="5" t="s">
        <v>2230</v>
      </c>
    </row>
    <row r="75" ht="22.5" hidden="1" customHeight="1">
      <c r="A75" s="37">
        <v>46090.941854282406</v>
      </c>
      <c r="B75" s="5" t="s">
        <v>2234</v>
      </c>
      <c r="C75" s="19" t="s">
        <v>1290</v>
      </c>
      <c r="D75" s="17">
        <v>0.5</v>
      </c>
      <c r="E75" s="17">
        <v>65.0</v>
      </c>
      <c r="F75" s="5"/>
      <c r="G75" s="5"/>
      <c r="H75" s="5">
        <v>32.5</v>
      </c>
      <c r="I75" s="5"/>
      <c r="J75" s="19" t="s">
        <v>51</v>
      </c>
      <c r="K75" s="19" t="s">
        <v>2420</v>
      </c>
      <c r="L75" s="5" t="s">
        <v>2237</v>
      </c>
      <c r="M75" s="5" t="s">
        <v>2230</v>
      </c>
    </row>
    <row r="76" ht="22.5" hidden="1" customHeight="1">
      <c r="A76" s="37">
        <v>46090.939311064816</v>
      </c>
      <c r="B76" s="5" t="s">
        <v>2225</v>
      </c>
      <c r="C76" s="19" t="s">
        <v>858</v>
      </c>
      <c r="D76" s="17">
        <v>6.0</v>
      </c>
      <c r="E76" s="17">
        <v>5.416666666666667</v>
      </c>
      <c r="F76" s="5"/>
      <c r="G76" s="5"/>
      <c r="H76" s="5">
        <v>32.5</v>
      </c>
      <c r="I76" s="5"/>
      <c r="J76" s="5" t="s">
        <v>54</v>
      </c>
      <c r="K76" s="19" t="s">
        <v>2430</v>
      </c>
      <c r="L76" s="5" t="s">
        <v>2228</v>
      </c>
      <c r="M76" s="5" t="s">
        <v>2230</v>
      </c>
    </row>
    <row r="77" ht="22.5" hidden="1" customHeight="1">
      <c r="A77" s="37">
        <v>46090.93931076389</v>
      </c>
      <c r="B77" s="5" t="s">
        <v>2234</v>
      </c>
      <c r="C77" s="19" t="s">
        <v>1290</v>
      </c>
      <c r="D77" s="17">
        <v>0.5</v>
      </c>
      <c r="E77" s="17">
        <v>65.0</v>
      </c>
      <c r="F77" s="5"/>
      <c r="G77" s="5"/>
      <c r="H77" s="5">
        <v>32.5</v>
      </c>
      <c r="I77" s="5"/>
      <c r="J77" s="19" t="s">
        <v>51</v>
      </c>
      <c r="K77" s="19" t="s">
        <v>2430</v>
      </c>
      <c r="L77" s="5" t="s">
        <v>2237</v>
      </c>
      <c r="M77" s="5" t="s">
        <v>2230</v>
      </c>
    </row>
    <row r="78" ht="22.5" customHeight="1">
      <c r="A78" s="14">
        <v>46172.89965849537</v>
      </c>
      <c r="B78" s="6" t="s">
        <v>2282</v>
      </c>
      <c r="C78" s="10" t="s">
        <v>500</v>
      </c>
      <c r="D78" s="13">
        <v>1.0</v>
      </c>
      <c r="E78" s="13">
        <v>125.0</v>
      </c>
      <c r="F78" s="13">
        <v>155.0</v>
      </c>
      <c r="G78" s="6">
        <v>155.0</v>
      </c>
      <c r="H78" s="6">
        <v>155.0</v>
      </c>
      <c r="I78" s="6">
        <v>30.0</v>
      </c>
      <c r="J78" s="10" t="s">
        <v>51</v>
      </c>
      <c r="K78" s="6">
        <v>1427.0</v>
      </c>
      <c r="L78" s="6" t="s">
        <v>2434</v>
      </c>
      <c r="M78" s="6" t="s">
        <v>2230</v>
      </c>
    </row>
    <row r="79" ht="22.5" customHeight="1">
      <c r="A79" s="14">
        <v>46172.899658043985</v>
      </c>
      <c r="B79" s="6" t="s">
        <v>2282</v>
      </c>
      <c r="C79" s="10" t="s">
        <v>1175</v>
      </c>
      <c r="D79" s="13">
        <v>0.5</v>
      </c>
      <c r="E79" s="13">
        <v>75.0</v>
      </c>
      <c r="F79" s="13">
        <v>160.0</v>
      </c>
      <c r="G79" s="6">
        <v>160.0</v>
      </c>
      <c r="H79" s="6">
        <v>80.0</v>
      </c>
      <c r="I79" s="6">
        <v>42.5</v>
      </c>
      <c r="J79" s="10" t="s">
        <v>484</v>
      </c>
      <c r="K79" s="6">
        <v>1426.0</v>
      </c>
      <c r="L79" s="6" t="s">
        <v>2439</v>
      </c>
      <c r="M79" s="6" t="s">
        <v>2230</v>
      </c>
    </row>
    <row r="80" ht="22.5" customHeight="1">
      <c r="A80" s="14">
        <v>46172.89965766204</v>
      </c>
      <c r="B80" s="6" t="s">
        <v>2282</v>
      </c>
      <c r="C80" s="10" t="s">
        <v>309</v>
      </c>
      <c r="D80" s="13">
        <v>2.0</v>
      </c>
      <c r="E80" s="13">
        <v>20.0</v>
      </c>
      <c r="F80" s="13">
        <v>50.0</v>
      </c>
      <c r="G80" s="6">
        <v>50.0</v>
      </c>
      <c r="H80" s="6">
        <v>100.0</v>
      </c>
      <c r="I80" s="6">
        <v>60.0</v>
      </c>
      <c r="J80" s="10" t="s">
        <v>154</v>
      </c>
      <c r="K80" s="6">
        <v>1425.0</v>
      </c>
      <c r="L80" s="6" t="s">
        <v>2443</v>
      </c>
      <c r="M80" s="6" t="s">
        <v>2230</v>
      </c>
    </row>
    <row r="81" ht="22.5" customHeight="1">
      <c r="A81" s="14">
        <v>46172.89965724537</v>
      </c>
      <c r="B81" s="6" t="s">
        <v>2282</v>
      </c>
      <c r="C81" s="10" t="s">
        <v>596</v>
      </c>
      <c r="D81" s="13">
        <v>2.0</v>
      </c>
      <c r="E81" s="13">
        <v>17.92</v>
      </c>
      <c r="F81" s="13">
        <v>30.0</v>
      </c>
      <c r="G81" s="6">
        <v>30.0</v>
      </c>
      <c r="H81" s="6">
        <v>60.0</v>
      </c>
      <c r="I81" s="6">
        <v>24.16</v>
      </c>
      <c r="J81" s="10" t="s">
        <v>119</v>
      </c>
      <c r="K81" s="6">
        <v>1424.0</v>
      </c>
      <c r="L81" s="6" t="s">
        <v>2447</v>
      </c>
      <c r="M81" s="6" t="s">
        <v>2230</v>
      </c>
    </row>
    <row r="82" ht="22.5" customHeight="1">
      <c r="A82" s="14">
        <v>46172.899656863425</v>
      </c>
      <c r="B82" s="6" t="s">
        <v>2282</v>
      </c>
      <c r="C82" s="10" t="s">
        <v>151</v>
      </c>
      <c r="D82" s="13">
        <v>1.0</v>
      </c>
      <c r="E82" s="13">
        <v>65.0</v>
      </c>
      <c r="F82" s="13">
        <v>75.0</v>
      </c>
      <c r="G82" s="6">
        <v>75.0</v>
      </c>
      <c r="H82" s="6">
        <v>75.0</v>
      </c>
      <c r="I82" s="6">
        <v>10.0</v>
      </c>
      <c r="J82" s="10" t="s">
        <v>436</v>
      </c>
      <c r="K82" s="6">
        <v>1423.0</v>
      </c>
      <c r="L82" s="6" t="s">
        <v>2449</v>
      </c>
      <c r="M82" s="6" t="s">
        <v>2230</v>
      </c>
    </row>
    <row r="83" ht="22.5" customHeight="1">
      <c r="A83" s="14">
        <v>46172.89965649306</v>
      </c>
      <c r="B83" s="6" t="s">
        <v>2282</v>
      </c>
      <c r="C83" s="10" t="s">
        <v>142</v>
      </c>
      <c r="D83" s="13">
        <v>1.0</v>
      </c>
      <c r="E83" s="13">
        <v>300.0</v>
      </c>
      <c r="F83" s="13">
        <v>375.0</v>
      </c>
      <c r="G83" s="6">
        <v>375.0</v>
      </c>
      <c r="H83" s="6">
        <v>375.0</v>
      </c>
      <c r="I83" s="6">
        <v>75.0</v>
      </c>
      <c r="J83" s="10" t="s">
        <v>51</v>
      </c>
      <c r="K83" s="6">
        <v>1422.0</v>
      </c>
      <c r="L83" s="6" t="s">
        <v>2451</v>
      </c>
      <c r="M83" s="6" t="s">
        <v>2230</v>
      </c>
    </row>
    <row r="84" ht="22.5" customHeight="1">
      <c r="A84" s="14">
        <v>46172.8996561574</v>
      </c>
      <c r="B84" s="6" t="s">
        <v>2282</v>
      </c>
      <c r="C84" s="10" t="s">
        <v>306</v>
      </c>
      <c r="D84" s="13">
        <v>4.0</v>
      </c>
      <c r="E84" s="13">
        <v>9.17</v>
      </c>
      <c r="F84" s="13">
        <v>20.0</v>
      </c>
      <c r="G84" s="6">
        <v>20.0</v>
      </c>
      <c r="H84" s="6">
        <v>80.0</v>
      </c>
      <c r="I84" s="6">
        <v>43.32</v>
      </c>
      <c r="J84" s="10" t="s">
        <v>51</v>
      </c>
      <c r="K84" s="6">
        <v>1421.0</v>
      </c>
      <c r="L84" s="6" t="s">
        <v>2453</v>
      </c>
      <c r="M84" s="6" t="s">
        <v>2230</v>
      </c>
    </row>
    <row r="85" ht="22.5" customHeight="1">
      <c r="A85" s="14">
        <v>46172.89965590277</v>
      </c>
      <c r="B85" s="6" t="s">
        <v>2282</v>
      </c>
      <c r="C85" s="10" t="s">
        <v>1174</v>
      </c>
      <c r="D85" s="13">
        <v>1.0</v>
      </c>
      <c r="E85" s="13">
        <v>88.0</v>
      </c>
      <c r="F85" s="13">
        <v>135.0</v>
      </c>
      <c r="G85" s="6">
        <v>135.0</v>
      </c>
      <c r="H85" s="6">
        <v>135.0</v>
      </c>
      <c r="I85" s="6">
        <v>47.0</v>
      </c>
      <c r="J85" s="10" t="s">
        <v>125</v>
      </c>
      <c r="K85" s="6">
        <v>1420.0</v>
      </c>
      <c r="L85" s="6" t="s">
        <v>2456</v>
      </c>
      <c r="M85" s="6" t="s">
        <v>2230</v>
      </c>
    </row>
    <row r="86" ht="22.5" customHeight="1">
      <c r="A86" s="14">
        <v>46172.899655625</v>
      </c>
      <c r="B86" s="6" t="s">
        <v>2282</v>
      </c>
      <c r="C86" s="10" t="s">
        <v>144</v>
      </c>
      <c r="D86" s="13">
        <v>1.0</v>
      </c>
      <c r="E86" s="13">
        <v>120.0</v>
      </c>
      <c r="F86" s="13">
        <v>170.0</v>
      </c>
      <c r="G86" s="6">
        <v>170.0</v>
      </c>
      <c r="H86" s="6">
        <v>170.0</v>
      </c>
      <c r="I86" s="6">
        <v>50.0</v>
      </c>
      <c r="J86" s="10" t="s">
        <v>620</v>
      </c>
      <c r="K86" s="6">
        <v>1419.0</v>
      </c>
      <c r="L86" s="6" t="s">
        <v>2458</v>
      </c>
      <c r="M86" s="6" t="s">
        <v>2230</v>
      </c>
    </row>
    <row r="87" ht="22.5" customHeight="1">
      <c r="A87" s="14">
        <v>46172.89965533565</v>
      </c>
      <c r="B87" s="6" t="s">
        <v>2282</v>
      </c>
      <c r="C87" s="10" t="s">
        <v>298</v>
      </c>
      <c r="D87" s="13">
        <v>1.0</v>
      </c>
      <c r="E87" s="13">
        <v>290.0</v>
      </c>
      <c r="F87" s="13">
        <v>400.0</v>
      </c>
      <c r="G87" s="6">
        <v>400.0</v>
      </c>
      <c r="H87" s="6">
        <v>400.0</v>
      </c>
      <c r="I87" s="6">
        <v>110.0</v>
      </c>
      <c r="J87" s="10" t="s">
        <v>119</v>
      </c>
      <c r="K87" s="6">
        <v>1418.0</v>
      </c>
      <c r="L87" s="6" t="s">
        <v>2460</v>
      </c>
      <c r="M87" s="6" t="s">
        <v>2230</v>
      </c>
    </row>
    <row r="88" ht="22.5" customHeight="1">
      <c r="A88" s="14">
        <v>46172.899654988425</v>
      </c>
      <c r="B88" s="6" t="s">
        <v>2282</v>
      </c>
      <c r="C88" s="10" t="s">
        <v>363</v>
      </c>
      <c r="D88" s="13">
        <v>0.2222222222222222</v>
      </c>
      <c r="E88" s="13">
        <v>110.0</v>
      </c>
      <c r="F88" s="13">
        <v>180.0</v>
      </c>
      <c r="G88" s="6">
        <v>180.0</v>
      </c>
      <c r="H88" s="6">
        <v>40.0</v>
      </c>
      <c r="I88" s="6">
        <v>15.56</v>
      </c>
      <c r="J88" s="10" t="s">
        <v>51</v>
      </c>
      <c r="K88" s="6">
        <v>1417.0</v>
      </c>
      <c r="L88" s="6" t="s">
        <v>2462</v>
      </c>
      <c r="M88" s="6" t="s">
        <v>2230</v>
      </c>
    </row>
    <row r="89" ht="22.5" customHeight="1">
      <c r="A89" s="14">
        <v>46172.899654594905</v>
      </c>
      <c r="B89" s="6" t="s">
        <v>2282</v>
      </c>
      <c r="C89" s="10" t="s">
        <v>898</v>
      </c>
      <c r="D89" s="13">
        <v>4.0</v>
      </c>
      <c r="E89" s="13">
        <v>15.0</v>
      </c>
      <c r="F89" s="13">
        <v>20.0</v>
      </c>
      <c r="G89" s="6">
        <v>20.0</v>
      </c>
      <c r="H89" s="6">
        <v>80.0</v>
      </c>
      <c r="I89" s="6">
        <v>20.0</v>
      </c>
      <c r="J89" s="10" t="s">
        <v>154</v>
      </c>
      <c r="K89" s="6">
        <v>1416.0</v>
      </c>
      <c r="L89" s="6" t="s">
        <v>2464</v>
      </c>
      <c r="M89" s="6" t="s">
        <v>2230</v>
      </c>
    </row>
    <row r="90" ht="22.5" customHeight="1">
      <c r="A90" s="14">
        <v>46172.89965431713</v>
      </c>
      <c r="B90" s="6" t="s">
        <v>2282</v>
      </c>
      <c r="C90" s="10" t="s">
        <v>245</v>
      </c>
      <c r="D90" s="13">
        <v>1.0</v>
      </c>
      <c r="E90" s="13">
        <v>150.0</v>
      </c>
      <c r="F90" s="13">
        <v>190.0</v>
      </c>
      <c r="G90" s="6">
        <v>190.0</v>
      </c>
      <c r="H90" s="6">
        <v>190.0</v>
      </c>
      <c r="I90" s="6">
        <v>40.0</v>
      </c>
      <c r="J90" s="10" t="s">
        <v>154</v>
      </c>
      <c r="K90" s="6">
        <v>1415.0</v>
      </c>
      <c r="L90" s="6" t="s">
        <v>2466</v>
      </c>
      <c r="M90" s="6" t="s">
        <v>2230</v>
      </c>
    </row>
    <row r="91" ht="22.5" customHeight="1">
      <c r="A91" s="14">
        <v>46172.899654016204</v>
      </c>
      <c r="B91" s="6" t="s">
        <v>2282</v>
      </c>
      <c r="C91" s="10" t="s">
        <v>412</v>
      </c>
      <c r="D91" s="13">
        <v>1.0</v>
      </c>
      <c r="E91" s="13">
        <v>195.0</v>
      </c>
      <c r="F91" s="13">
        <v>240.0</v>
      </c>
      <c r="G91" s="6">
        <v>240.0</v>
      </c>
      <c r="H91" s="6">
        <v>240.0</v>
      </c>
      <c r="I91" s="6">
        <v>45.0</v>
      </c>
      <c r="J91" s="10" t="s">
        <v>31</v>
      </c>
      <c r="K91" s="6">
        <v>1414.0</v>
      </c>
      <c r="L91" s="6" t="s">
        <v>2469</v>
      </c>
      <c r="M91" s="6" t="s">
        <v>2230</v>
      </c>
    </row>
    <row r="92" ht="22.5" customHeight="1">
      <c r="A92" s="14">
        <v>46172.89965375</v>
      </c>
      <c r="B92" s="6" t="s">
        <v>2282</v>
      </c>
      <c r="C92" s="10" t="s">
        <v>920</v>
      </c>
      <c r="D92" s="13">
        <v>1.0</v>
      </c>
      <c r="E92" s="13">
        <v>130.0</v>
      </c>
      <c r="F92" s="13">
        <v>170.0</v>
      </c>
      <c r="G92" s="6">
        <v>170.0</v>
      </c>
      <c r="H92" s="6">
        <v>170.0</v>
      </c>
      <c r="I92" s="6">
        <v>40.0</v>
      </c>
      <c r="J92" s="10" t="s">
        <v>484</v>
      </c>
      <c r="K92" s="6">
        <v>1413.0</v>
      </c>
      <c r="L92" s="6" t="s">
        <v>2472</v>
      </c>
      <c r="M92" s="6" t="s">
        <v>2230</v>
      </c>
    </row>
    <row r="93" ht="22.5" customHeight="1">
      <c r="A93" s="14">
        <v>46172.89965349537</v>
      </c>
      <c r="B93" s="6" t="s">
        <v>2282</v>
      </c>
      <c r="C93" s="10" t="s">
        <v>1067</v>
      </c>
      <c r="D93" s="13">
        <v>0.2777777777777778</v>
      </c>
      <c r="E93" s="13">
        <v>65.0</v>
      </c>
      <c r="F93" s="13">
        <v>180.0</v>
      </c>
      <c r="G93" s="6">
        <v>180.0</v>
      </c>
      <c r="H93" s="6">
        <v>50.0</v>
      </c>
      <c r="I93" s="6">
        <v>31.94</v>
      </c>
      <c r="J93" s="10" t="s">
        <v>154</v>
      </c>
      <c r="K93" s="6">
        <v>1412.0</v>
      </c>
      <c r="L93" s="6" t="s">
        <v>2474</v>
      </c>
      <c r="M93" s="6" t="s">
        <v>2230</v>
      </c>
    </row>
    <row r="94" ht="22.5" customHeight="1">
      <c r="A94" s="14">
        <v>46172.89965320602</v>
      </c>
      <c r="B94" s="6" t="s">
        <v>2282</v>
      </c>
      <c r="C94" s="10" t="s">
        <v>898</v>
      </c>
      <c r="D94" s="13">
        <v>4.0</v>
      </c>
      <c r="E94" s="13">
        <v>15.0</v>
      </c>
      <c r="F94" s="13">
        <v>20.0</v>
      </c>
      <c r="G94" s="6">
        <v>20.0</v>
      </c>
      <c r="H94" s="6">
        <v>80.0</v>
      </c>
      <c r="I94" s="6">
        <v>20.0</v>
      </c>
      <c r="J94" s="10" t="s">
        <v>154</v>
      </c>
      <c r="K94" s="6">
        <v>1411.0</v>
      </c>
      <c r="L94" s="6" t="s">
        <v>2476</v>
      </c>
      <c r="M94" s="6" t="s">
        <v>2230</v>
      </c>
    </row>
    <row r="95" ht="22.5" hidden="1" customHeight="1">
      <c r="A95" s="37">
        <v>46053.70190351852</v>
      </c>
      <c r="B95" s="5" t="s">
        <v>2225</v>
      </c>
      <c r="C95" s="19" t="s">
        <v>753</v>
      </c>
      <c r="D95" s="17">
        <v>12.0</v>
      </c>
      <c r="E95" s="17">
        <v>7.083333333333333</v>
      </c>
      <c r="F95" s="19"/>
      <c r="G95" s="5"/>
      <c r="H95" s="5">
        <v>85.0</v>
      </c>
      <c r="I95" s="19"/>
      <c r="J95" s="5" t="s">
        <v>54</v>
      </c>
      <c r="K95" s="19" t="s">
        <v>2479</v>
      </c>
      <c r="L95" s="5" t="s">
        <v>2228</v>
      </c>
      <c r="M95" s="5" t="s">
        <v>2230</v>
      </c>
    </row>
    <row r="96" ht="22.5" hidden="1" customHeight="1">
      <c r="A96" s="37">
        <v>46053.70190180556</v>
      </c>
      <c r="B96" s="5" t="s">
        <v>2234</v>
      </c>
      <c r="C96" s="19" t="s">
        <v>391</v>
      </c>
      <c r="D96" s="17">
        <v>1.0</v>
      </c>
      <c r="E96" s="17">
        <v>85.0</v>
      </c>
      <c r="F96" s="19"/>
      <c r="G96" s="5"/>
      <c r="H96" s="5">
        <v>85.0</v>
      </c>
      <c r="I96" s="19"/>
      <c r="J96" s="19" t="s">
        <v>31</v>
      </c>
      <c r="K96" s="19" t="s">
        <v>2479</v>
      </c>
      <c r="L96" s="5" t="s">
        <v>2237</v>
      </c>
      <c r="M96" s="5" t="s">
        <v>2230</v>
      </c>
    </row>
    <row r="97" ht="22.5" customHeight="1">
      <c r="A97" s="14">
        <v>46172.899652858796</v>
      </c>
      <c r="B97" s="6" t="s">
        <v>2282</v>
      </c>
      <c r="C97" s="10" t="s">
        <v>245</v>
      </c>
      <c r="D97" s="13">
        <v>1.0</v>
      </c>
      <c r="E97" s="13">
        <v>150.0</v>
      </c>
      <c r="F97" s="13">
        <v>190.0</v>
      </c>
      <c r="G97" s="6">
        <v>190.0</v>
      </c>
      <c r="H97" s="6">
        <v>190.0</v>
      </c>
      <c r="I97" s="6">
        <v>40.0</v>
      </c>
      <c r="J97" s="10" t="s">
        <v>154</v>
      </c>
      <c r="K97" s="6">
        <v>1410.0</v>
      </c>
      <c r="L97" s="6" t="s">
        <v>2482</v>
      </c>
      <c r="M97" s="6" t="s">
        <v>2230</v>
      </c>
    </row>
    <row r="98" ht="22.5" customHeight="1">
      <c r="A98" s="14">
        <v>46172.899652569446</v>
      </c>
      <c r="B98" s="6" t="s">
        <v>2282</v>
      </c>
      <c r="C98" s="10" t="s">
        <v>412</v>
      </c>
      <c r="D98" s="13">
        <v>1.0</v>
      </c>
      <c r="E98" s="13">
        <v>195.0</v>
      </c>
      <c r="F98" s="13">
        <v>250.0</v>
      </c>
      <c r="G98" s="6">
        <v>250.0</v>
      </c>
      <c r="H98" s="6">
        <v>250.0</v>
      </c>
      <c r="I98" s="6">
        <v>55.0</v>
      </c>
      <c r="J98" s="10" t="s">
        <v>31</v>
      </c>
      <c r="K98" s="6">
        <v>1409.0</v>
      </c>
      <c r="L98" s="6" t="s">
        <v>2485</v>
      </c>
      <c r="M98" s="6" t="s">
        <v>2230</v>
      </c>
    </row>
    <row r="99" ht="22.5" customHeight="1">
      <c r="A99" s="14">
        <v>46172.89965230324</v>
      </c>
      <c r="B99" s="6" t="s">
        <v>2282</v>
      </c>
      <c r="C99" s="10" t="s">
        <v>1000</v>
      </c>
      <c r="D99" s="13">
        <v>3.0</v>
      </c>
      <c r="E99" s="13">
        <v>10.0</v>
      </c>
      <c r="F99" s="13">
        <v>25.0</v>
      </c>
      <c r="G99" s="6">
        <v>25.0</v>
      </c>
      <c r="H99" s="6">
        <v>75.0</v>
      </c>
      <c r="I99" s="6">
        <v>45.0</v>
      </c>
      <c r="J99" s="10" t="s">
        <v>1052</v>
      </c>
      <c r="K99" s="6">
        <v>1408.0</v>
      </c>
      <c r="L99" s="6" t="s">
        <v>2488</v>
      </c>
      <c r="M99" s="6" t="s">
        <v>2230</v>
      </c>
    </row>
    <row r="100" ht="22.5" customHeight="1">
      <c r="A100" s="14">
        <v>46172.89965211805</v>
      </c>
      <c r="B100" s="6" t="s">
        <v>2282</v>
      </c>
      <c r="C100" s="10" t="s">
        <v>670</v>
      </c>
      <c r="D100" s="13">
        <v>1.0</v>
      </c>
      <c r="E100" s="13">
        <v>12.11</v>
      </c>
      <c r="F100" s="13">
        <v>30.0</v>
      </c>
      <c r="G100" s="6">
        <v>30.0</v>
      </c>
      <c r="H100" s="6">
        <v>30.0</v>
      </c>
      <c r="I100" s="6">
        <v>17.89</v>
      </c>
      <c r="J100" s="10" t="s">
        <v>154</v>
      </c>
      <c r="K100" s="6">
        <v>1407.0</v>
      </c>
      <c r="L100" s="6" t="s">
        <v>2490</v>
      </c>
      <c r="M100" s="6" t="s">
        <v>2230</v>
      </c>
    </row>
    <row r="101" ht="22.5" customHeight="1">
      <c r="A101" s="14">
        <v>46172.89965181713</v>
      </c>
      <c r="B101" s="6" t="s">
        <v>2282</v>
      </c>
      <c r="C101" s="10" t="s">
        <v>756</v>
      </c>
      <c r="D101" s="13">
        <v>1.0</v>
      </c>
      <c r="E101" s="13">
        <v>30.0</v>
      </c>
      <c r="F101" s="13">
        <v>70.0</v>
      </c>
      <c r="G101" s="6">
        <v>70.0</v>
      </c>
      <c r="H101" s="6">
        <v>70.0</v>
      </c>
      <c r="I101" s="6">
        <v>40.0</v>
      </c>
      <c r="J101" s="10" t="s">
        <v>154</v>
      </c>
      <c r="K101" s="6">
        <v>1406.0</v>
      </c>
      <c r="L101" s="6" t="s">
        <v>2492</v>
      </c>
      <c r="M101" s="6" t="s">
        <v>2230</v>
      </c>
    </row>
    <row r="102" ht="22.5" customHeight="1">
      <c r="A102" s="14">
        <v>46172.89965150463</v>
      </c>
      <c r="B102" s="6" t="s">
        <v>2282</v>
      </c>
      <c r="C102" s="10" t="s">
        <v>309</v>
      </c>
      <c r="D102" s="13">
        <v>1.0</v>
      </c>
      <c r="E102" s="13">
        <v>20.0</v>
      </c>
      <c r="F102" s="13">
        <v>50.0</v>
      </c>
      <c r="G102" s="6">
        <v>50.0</v>
      </c>
      <c r="H102" s="6">
        <v>50.0</v>
      </c>
      <c r="I102" s="6">
        <v>30.0</v>
      </c>
      <c r="J102" s="10" t="s">
        <v>154</v>
      </c>
      <c r="K102" s="6">
        <v>1405.0</v>
      </c>
      <c r="L102" s="6" t="s">
        <v>2494</v>
      </c>
      <c r="M102" s="6" t="s">
        <v>2230</v>
      </c>
    </row>
    <row r="103" ht="22.5" customHeight="1">
      <c r="A103" s="14">
        <v>46172.89965121528</v>
      </c>
      <c r="B103" s="6" t="s">
        <v>2282</v>
      </c>
      <c r="C103" s="10" t="s">
        <v>186</v>
      </c>
      <c r="D103" s="13">
        <v>1.0</v>
      </c>
      <c r="E103" s="13">
        <v>84.0</v>
      </c>
      <c r="F103" s="13">
        <v>100.0</v>
      </c>
      <c r="G103" s="6">
        <v>100.0</v>
      </c>
      <c r="H103" s="6">
        <v>100.0</v>
      </c>
      <c r="I103" s="6">
        <v>16.0</v>
      </c>
      <c r="J103" s="10" t="s">
        <v>31</v>
      </c>
      <c r="K103" s="6">
        <v>1404.0</v>
      </c>
      <c r="L103" s="6" t="s">
        <v>2498</v>
      </c>
      <c r="M103" s="6" t="s">
        <v>2230</v>
      </c>
    </row>
    <row r="104" ht="22.5" customHeight="1">
      <c r="A104" s="14">
        <v>46172.89965097222</v>
      </c>
      <c r="B104" s="6" t="s">
        <v>2282</v>
      </c>
      <c r="C104" s="10" t="s">
        <v>670</v>
      </c>
      <c r="D104" s="13">
        <v>1.0</v>
      </c>
      <c r="E104" s="13">
        <v>12.11</v>
      </c>
      <c r="F104" s="13">
        <v>20.0</v>
      </c>
      <c r="G104" s="6">
        <v>20.0</v>
      </c>
      <c r="H104" s="6">
        <v>20.0</v>
      </c>
      <c r="I104" s="6">
        <v>7.89</v>
      </c>
      <c r="J104" s="10" t="s">
        <v>154</v>
      </c>
      <c r="K104" s="6">
        <v>1403.0</v>
      </c>
      <c r="L104" s="6" t="s">
        <v>2501</v>
      </c>
      <c r="M104" s="6" t="s">
        <v>2230</v>
      </c>
    </row>
    <row r="105" ht="22.5" customHeight="1">
      <c r="A105" s="14">
        <v>46172.89965070602</v>
      </c>
      <c r="B105" s="6" t="s">
        <v>2282</v>
      </c>
      <c r="C105" s="10" t="s">
        <v>1173</v>
      </c>
      <c r="D105" s="13">
        <v>1.0</v>
      </c>
      <c r="E105" s="13">
        <v>55.0</v>
      </c>
      <c r="F105" s="13">
        <v>60.0</v>
      </c>
      <c r="G105" s="6">
        <v>60.0</v>
      </c>
      <c r="H105" s="6">
        <v>60.0</v>
      </c>
      <c r="I105" s="6">
        <v>5.0</v>
      </c>
      <c r="J105" s="10" t="s">
        <v>1059</v>
      </c>
      <c r="K105" s="6">
        <v>1402.0</v>
      </c>
      <c r="L105" s="6" t="s">
        <v>2505</v>
      </c>
      <c r="M105" s="6" t="s">
        <v>2230</v>
      </c>
    </row>
    <row r="106" ht="22.5" customHeight="1">
      <c r="A106" s="14">
        <v>46172.89965047454</v>
      </c>
      <c r="B106" s="6" t="s">
        <v>2282</v>
      </c>
      <c r="C106" s="10" t="s">
        <v>930</v>
      </c>
      <c r="D106" s="13">
        <v>1.0</v>
      </c>
      <c r="E106" s="13">
        <v>90.0</v>
      </c>
      <c r="F106" s="13">
        <v>140.0</v>
      </c>
      <c r="G106" s="6">
        <v>140.0</v>
      </c>
      <c r="H106" s="6">
        <v>140.0</v>
      </c>
      <c r="I106" s="6">
        <v>50.0</v>
      </c>
      <c r="J106" s="10" t="s">
        <v>1059</v>
      </c>
      <c r="K106" s="6">
        <v>1401.0</v>
      </c>
      <c r="L106" s="6" t="s">
        <v>2507</v>
      </c>
      <c r="M106" s="6" t="s">
        <v>2230</v>
      </c>
    </row>
    <row r="107" ht="22.5" customHeight="1">
      <c r="A107" s="14">
        <v>46172.89965016204</v>
      </c>
      <c r="B107" s="6" t="s">
        <v>2282</v>
      </c>
      <c r="C107" s="10" t="s">
        <v>500</v>
      </c>
      <c r="D107" s="13">
        <v>1.0</v>
      </c>
      <c r="E107" s="13">
        <v>125.0</v>
      </c>
      <c r="F107" s="13">
        <v>200.0</v>
      </c>
      <c r="G107" s="6">
        <v>200.0</v>
      </c>
      <c r="H107" s="6">
        <v>200.0</v>
      </c>
      <c r="I107" s="6">
        <v>75.0</v>
      </c>
      <c r="J107" s="10" t="s">
        <v>51</v>
      </c>
      <c r="K107" s="6">
        <v>1400.0</v>
      </c>
      <c r="L107" s="6" t="s">
        <v>2510</v>
      </c>
      <c r="M107" s="6" t="s">
        <v>2230</v>
      </c>
    </row>
    <row r="108" ht="22.5" hidden="1" customHeight="1">
      <c r="A108" s="37">
        <v>46086.01985037037</v>
      </c>
      <c r="B108" s="5" t="s">
        <v>2225</v>
      </c>
      <c r="C108" s="19" t="s">
        <v>330</v>
      </c>
      <c r="D108" s="17">
        <v>3.0</v>
      </c>
      <c r="E108" s="17">
        <v>25.833333333333332</v>
      </c>
      <c r="F108" s="5"/>
      <c r="G108" s="5"/>
      <c r="H108" s="5">
        <v>77.5</v>
      </c>
      <c r="I108" s="5"/>
      <c r="J108" s="5" t="s">
        <v>54</v>
      </c>
      <c r="K108" s="19" t="s">
        <v>2430</v>
      </c>
      <c r="L108" s="5" t="s">
        <v>2228</v>
      </c>
      <c r="M108" s="5" t="s">
        <v>2230</v>
      </c>
    </row>
    <row r="109" ht="22.5" hidden="1" customHeight="1">
      <c r="A109" s="37">
        <v>46086.019850150464</v>
      </c>
      <c r="B109" s="5" t="s">
        <v>2234</v>
      </c>
      <c r="C109" s="19" t="s">
        <v>852</v>
      </c>
      <c r="D109" s="17">
        <v>3.0</v>
      </c>
      <c r="E109" s="17">
        <v>10.0</v>
      </c>
      <c r="F109" s="5"/>
      <c r="G109" s="5"/>
      <c r="H109" s="5">
        <v>30.0</v>
      </c>
      <c r="I109" s="5"/>
      <c r="J109" s="19"/>
      <c r="K109" s="19" t="s">
        <v>2430</v>
      </c>
      <c r="L109" s="5" t="s">
        <v>2237</v>
      </c>
      <c r="M109" s="5" t="s">
        <v>2230</v>
      </c>
    </row>
    <row r="110" ht="22.5" hidden="1" customHeight="1">
      <c r="A110" s="37">
        <v>46086.019850069446</v>
      </c>
      <c r="B110" s="5" t="s">
        <v>2234</v>
      </c>
      <c r="C110" s="19" t="s">
        <v>363</v>
      </c>
      <c r="D110" s="17">
        <v>0.5</v>
      </c>
      <c r="E110" s="17">
        <v>95.0</v>
      </c>
      <c r="F110" s="5"/>
      <c r="G110" s="5"/>
      <c r="H110" s="5">
        <v>47.5</v>
      </c>
      <c r="I110" s="5"/>
      <c r="J110" s="19" t="s">
        <v>51</v>
      </c>
      <c r="K110" s="19" t="s">
        <v>2430</v>
      </c>
      <c r="L110" s="5" t="s">
        <v>2237</v>
      </c>
      <c r="M110" s="5" t="s">
        <v>2230</v>
      </c>
    </row>
    <row r="111" ht="22.5" hidden="1" customHeight="1">
      <c r="A111" s="37">
        <v>46086.01952590278</v>
      </c>
      <c r="B111" s="5" t="s">
        <v>2225</v>
      </c>
      <c r="C111" s="19" t="s">
        <v>330</v>
      </c>
      <c r="D111" s="17">
        <v>6.0</v>
      </c>
      <c r="E111" s="17">
        <v>25.833333333333332</v>
      </c>
      <c r="F111" s="5"/>
      <c r="G111" s="5"/>
      <c r="H111" s="5">
        <v>155.0</v>
      </c>
      <c r="I111" s="5"/>
      <c r="J111" s="5" t="s">
        <v>54</v>
      </c>
      <c r="K111" s="19" t="s">
        <v>2430</v>
      </c>
      <c r="L111" s="5" t="s">
        <v>2228</v>
      </c>
      <c r="M111" s="5" t="s">
        <v>2230</v>
      </c>
    </row>
    <row r="112" ht="22.5" hidden="1" customHeight="1">
      <c r="A112" s="37">
        <v>46086.019524166666</v>
      </c>
      <c r="B112" s="5" t="s">
        <v>2234</v>
      </c>
      <c r="C112" s="19" t="s">
        <v>852</v>
      </c>
      <c r="D112" s="17">
        <v>6.0</v>
      </c>
      <c r="E112" s="17">
        <v>10.0</v>
      </c>
      <c r="F112" s="5"/>
      <c r="G112" s="5"/>
      <c r="H112" s="5">
        <v>60.0</v>
      </c>
      <c r="I112" s="5"/>
      <c r="J112" s="19"/>
      <c r="K112" s="19" t="s">
        <v>2430</v>
      </c>
      <c r="L112" s="5" t="s">
        <v>2237</v>
      </c>
      <c r="M112" s="5" t="s">
        <v>2230</v>
      </c>
    </row>
    <row r="113" ht="22.5" hidden="1" customHeight="1">
      <c r="A113" s="37">
        <v>46048.79326037037</v>
      </c>
      <c r="B113" s="5" t="s">
        <v>2262</v>
      </c>
      <c r="C113" s="19" t="s">
        <v>356</v>
      </c>
      <c r="D113" s="17">
        <v>6.0</v>
      </c>
      <c r="E113" s="17">
        <v>85.0</v>
      </c>
      <c r="F113" s="19" t="s">
        <v>51</v>
      </c>
      <c r="G113" s="5">
        <v>374.0</v>
      </c>
      <c r="H113" s="5" t="s">
        <v>2522</v>
      </c>
      <c r="I113" s="19"/>
      <c r="J113" s="19"/>
      <c r="K113" s="17"/>
      <c r="L113" s="5"/>
      <c r="M113" s="5"/>
    </row>
    <row r="114" ht="22.5" hidden="1" customHeight="1">
      <c r="A114" s="37">
        <v>46086.01952410879</v>
      </c>
      <c r="B114" s="5" t="s">
        <v>2234</v>
      </c>
      <c r="C114" s="19" t="s">
        <v>363</v>
      </c>
      <c r="D114" s="17">
        <v>1.0</v>
      </c>
      <c r="E114" s="17">
        <v>95.0</v>
      </c>
      <c r="F114" s="5"/>
      <c r="G114" s="5"/>
      <c r="H114" s="5">
        <v>95.0</v>
      </c>
      <c r="I114" s="5"/>
      <c r="J114" s="19" t="s">
        <v>51</v>
      </c>
      <c r="K114" s="19" t="s">
        <v>2430</v>
      </c>
      <c r="L114" s="5" t="s">
        <v>2237</v>
      </c>
      <c r="M114" s="5" t="s">
        <v>2230</v>
      </c>
    </row>
    <row r="115" ht="22.5" hidden="1" customHeight="1">
      <c r="A115" s="37">
        <v>46086.01875391204</v>
      </c>
      <c r="B115" s="5" t="s">
        <v>2225</v>
      </c>
      <c r="C115" s="19" t="s">
        <v>330</v>
      </c>
      <c r="D115" s="17">
        <v>6.0</v>
      </c>
      <c r="E115" s="17">
        <v>15.833333333333334</v>
      </c>
      <c r="F115" s="5"/>
      <c r="G115" s="5"/>
      <c r="H115" s="5">
        <v>95.0</v>
      </c>
      <c r="I115" s="5"/>
      <c r="J115" s="5" t="s">
        <v>54</v>
      </c>
      <c r="K115" s="19" t="s">
        <v>2430</v>
      </c>
      <c r="L115" s="5" t="s">
        <v>2228</v>
      </c>
      <c r="M115" s="5" t="s">
        <v>2230</v>
      </c>
    </row>
    <row r="116" ht="22.5" hidden="1" customHeight="1">
      <c r="A116" s="37">
        <v>46086.01875267361</v>
      </c>
      <c r="B116" s="5" t="s">
        <v>2234</v>
      </c>
      <c r="C116" s="19" t="s">
        <v>363</v>
      </c>
      <c r="D116" s="17">
        <v>1.0</v>
      </c>
      <c r="E116" s="17">
        <v>95.0</v>
      </c>
      <c r="F116" s="5"/>
      <c r="G116" s="5"/>
      <c r="H116" s="5">
        <v>95.0</v>
      </c>
      <c r="I116" s="5"/>
      <c r="J116" s="19" t="s">
        <v>51</v>
      </c>
      <c r="K116" s="19" t="s">
        <v>2430</v>
      </c>
      <c r="L116" s="5" t="s">
        <v>2237</v>
      </c>
      <c r="M116" s="5" t="s">
        <v>2230</v>
      </c>
    </row>
    <row r="117" ht="22.5" hidden="1" customHeight="1">
      <c r="A117" s="37">
        <v>46086.01704417824</v>
      </c>
      <c r="B117" s="5" t="s">
        <v>2225</v>
      </c>
      <c r="C117" s="19" t="s">
        <v>330</v>
      </c>
      <c r="D117" s="17">
        <v>6.0</v>
      </c>
      <c r="E117" s="17">
        <v>15.833333333333334</v>
      </c>
      <c r="F117" s="5"/>
      <c r="G117" s="5"/>
      <c r="H117" s="5">
        <v>95.0</v>
      </c>
      <c r="I117" s="5"/>
      <c r="J117" s="5" t="s">
        <v>54</v>
      </c>
      <c r="K117" s="19" t="s">
        <v>48</v>
      </c>
      <c r="L117" s="5" t="s">
        <v>2228</v>
      </c>
      <c r="M117" s="5" t="s">
        <v>2230</v>
      </c>
    </row>
    <row r="118" ht="22.5" hidden="1" customHeight="1">
      <c r="A118" s="37">
        <v>46086.01704252315</v>
      </c>
      <c r="B118" s="5" t="s">
        <v>2234</v>
      </c>
      <c r="C118" s="19" t="s">
        <v>363</v>
      </c>
      <c r="D118" s="17">
        <v>1.0</v>
      </c>
      <c r="E118" s="17">
        <v>95.0</v>
      </c>
      <c r="F118" s="5"/>
      <c r="G118" s="5"/>
      <c r="H118" s="5">
        <v>95.0</v>
      </c>
      <c r="I118" s="5"/>
      <c r="J118" s="19" t="s">
        <v>51</v>
      </c>
      <c r="K118" s="19" t="s">
        <v>48</v>
      </c>
      <c r="L118" s="5" t="s">
        <v>2237</v>
      </c>
      <c r="M118" s="5" t="s">
        <v>2230</v>
      </c>
    </row>
    <row r="119" ht="22.5" hidden="1" customHeight="1">
      <c r="A119" s="37">
        <v>46086.016641793976</v>
      </c>
      <c r="B119" s="5" t="s">
        <v>2225</v>
      </c>
      <c r="C119" s="19" t="s">
        <v>330</v>
      </c>
      <c r="D119" s="17">
        <v>9.0</v>
      </c>
      <c r="E119" s="17">
        <v>0.0</v>
      </c>
      <c r="F119" s="5"/>
      <c r="G119" s="5"/>
      <c r="H119" s="5">
        <v>0.0</v>
      </c>
      <c r="I119" s="5"/>
      <c r="J119" s="5" t="s">
        <v>54</v>
      </c>
      <c r="K119" s="19" t="s">
        <v>48</v>
      </c>
      <c r="L119" s="5" t="s">
        <v>2228</v>
      </c>
      <c r="M119" s="5" t="s">
        <v>2230</v>
      </c>
    </row>
    <row r="120" ht="22.5" hidden="1" customHeight="1">
      <c r="A120" s="37">
        <v>46086.01433101852</v>
      </c>
      <c r="B120" s="5" t="s">
        <v>2225</v>
      </c>
      <c r="C120" s="19" t="s">
        <v>330</v>
      </c>
      <c r="D120" s="17">
        <v>9.0</v>
      </c>
      <c r="E120" s="17">
        <v>0.0</v>
      </c>
      <c r="F120" s="5"/>
      <c r="G120" s="5"/>
      <c r="H120" s="5">
        <v>0.0</v>
      </c>
      <c r="I120" s="5"/>
      <c r="J120" s="5" t="s">
        <v>54</v>
      </c>
      <c r="K120" s="19" t="s">
        <v>48</v>
      </c>
      <c r="L120" s="5" t="s">
        <v>2228</v>
      </c>
      <c r="M120" s="5" t="s">
        <v>2230</v>
      </c>
    </row>
    <row r="121" ht="22.5" hidden="1" customHeight="1">
      <c r="A121" s="37">
        <v>46085.987179386575</v>
      </c>
      <c r="B121" s="5" t="s">
        <v>2225</v>
      </c>
      <c r="C121" s="19" t="s">
        <v>963</v>
      </c>
      <c r="D121" s="17">
        <v>2.0</v>
      </c>
      <c r="E121" s="17">
        <v>17.5</v>
      </c>
      <c r="F121" s="5"/>
      <c r="G121" s="5"/>
      <c r="H121" s="5">
        <v>35.0</v>
      </c>
      <c r="I121" s="5"/>
      <c r="J121" s="5" t="s">
        <v>54</v>
      </c>
      <c r="K121" s="19" t="s">
        <v>2535</v>
      </c>
      <c r="L121" s="5" t="s">
        <v>2228</v>
      </c>
      <c r="M121" s="5" t="s">
        <v>2230</v>
      </c>
    </row>
    <row r="122" ht="22.5" hidden="1" customHeight="1">
      <c r="A122" s="37">
        <v>46085.9871791551</v>
      </c>
      <c r="B122" s="5" t="s">
        <v>2234</v>
      </c>
      <c r="C122" s="19" t="s">
        <v>908</v>
      </c>
      <c r="D122" s="17">
        <v>1.0</v>
      </c>
      <c r="E122" s="17">
        <v>35.0</v>
      </c>
      <c r="F122" s="5"/>
      <c r="G122" s="5"/>
      <c r="H122" s="5">
        <v>35.0</v>
      </c>
      <c r="I122" s="5"/>
      <c r="J122" s="19" t="s">
        <v>154</v>
      </c>
      <c r="K122" s="19" t="s">
        <v>2535</v>
      </c>
      <c r="L122" s="5" t="s">
        <v>2237</v>
      </c>
      <c r="M122" s="5" t="s">
        <v>2230</v>
      </c>
    </row>
    <row r="123" ht="22.5" hidden="1" customHeight="1">
      <c r="A123" s="37">
        <v>46085.986985358795</v>
      </c>
      <c r="B123" s="5" t="s">
        <v>2225</v>
      </c>
      <c r="C123" s="19" t="s">
        <v>963</v>
      </c>
      <c r="D123" s="17">
        <v>2.0</v>
      </c>
      <c r="E123" s="17">
        <v>27.5</v>
      </c>
      <c r="F123" s="5"/>
      <c r="G123" s="5"/>
      <c r="H123" s="5">
        <v>55.0</v>
      </c>
      <c r="I123" s="5"/>
      <c r="J123" s="5" t="s">
        <v>54</v>
      </c>
      <c r="K123" s="19" t="s">
        <v>2535</v>
      </c>
      <c r="L123" s="5" t="s">
        <v>2228</v>
      </c>
      <c r="M123" s="5" t="s">
        <v>2230</v>
      </c>
    </row>
    <row r="124" ht="22.5" hidden="1" customHeight="1">
      <c r="A124" s="37">
        <v>46085.986981215276</v>
      </c>
      <c r="B124" s="5" t="s">
        <v>2234</v>
      </c>
      <c r="C124" s="19" t="s">
        <v>852</v>
      </c>
      <c r="D124" s="17">
        <v>2.0</v>
      </c>
      <c r="E124" s="17">
        <v>10.0</v>
      </c>
      <c r="F124" s="5"/>
      <c r="G124" s="5"/>
      <c r="H124" s="5">
        <v>20.0</v>
      </c>
      <c r="I124" s="5"/>
      <c r="J124" s="19" t="s">
        <v>154</v>
      </c>
      <c r="K124" s="19" t="s">
        <v>2535</v>
      </c>
      <c r="L124" s="5" t="s">
        <v>2237</v>
      </c>
      <c r="M124" s="5" t="s">
        <v>2230</v>
      </c>
    </row>
    <row r="125" ht="22.5" hidden="1" customHeight="1">
      <c r="A125" s="37">
        <v>46085.986981145834</v>
      </c>
      <c r="B125" s="5" t="s">
        <v>2234</v>
      </c>
      <c r="C125" s="19" t="s">
        <v>908</v>
      </c>
      <c r="D125" s="17">
        <v>1.0</v>
      </c>
      <c r="E125" s="17">
        <v>35.0</v>
      </c>
      <c r="F125" s="5"/>
      <c r="G125" s="5"/>
      <c r="H125" s="5">
        <v>35.0</v>
      </c>
      <c r="I125" s="5"/>
      <c r="J125" s="19" t="s">
        <v>154</v>
      </c>
      <c r="K125" s="19" t="s">
        <v>2535</v>
      </c>
      <c r="L125" s="5" t="s">
        <v>2237</v>
      </c>
      <c r="M125" s="5" t="s">
        <v>2230</v>
      </c>
    </row>
    <row r="126" ht="22.5" hidden="1" customHeight="1">
      <c r="A126" s="37">
        <v>46047.78446199074</v>
      </c>
      <c r="B126" s="5" t="s">
        <v>2225</v>
      </c>
      <c r="C126" s="19" t="s">
        <v>712</v>
      </c>
      <c r="D126" s="17">
        <v>10.0</v>
      </c>
      <c r="E126" s="17">
        <v>7.0</v>
      </c>
      <c r="F126" s="19"/>
      <c r="G126" s="5"/>
      <c r="H126" s="5">
        <v>70.0</v>
      </c>
      <c r="I126" s="19"/>
      <c r="J126" s="5" t="s">
        <v>54</v>
      </c>
      <c r="K126" s="19" t="s">
        <v>2546</v>
      </c>
      <c r="L126" s="5" t="s">
        <v>2228</v>
      </c>
      <c r="M126" s="5" t="s">
        <v>2230</v>
      </c>
    </row>
    <row r="127" ht="22.5" hidden="1" customHeight="1">
      <c r="A127" s="37">
        <v>46047.784460509254</v>
      </c>
      <c r="B127" s="5" t="s">
        <v>2234</v>
      </c>
      <c r="C127" s="19" t="s">
        <v>1041</v>
      </c>
      <c r="D127" s="17">
        <v>2.0</v>
      </c>
      <c r="E127" s="17">
        <v>35.0</v>
      </c>
      <c r="F127" s="19"/>
      <c r="G127" s="5"/>
      <c r="H127" s="5">
        <v>70.0</v>
      </c>
      <c r="I127" s="19"/>
      <c r="J127" s="19" t="s">
        <v>51</v>
      </c>
      <c r="K127" s="19" t="s">
        <v>2546</v>
      </c>
      <c r="L127" s="5" t="s">
        <v>2237</v>
      </c>
      <c r="M127" s="5" t="s">
        <v>2230</v>
      </c>
    </row>
    <row r="128" ht="22.5" hidden="1" customHeight="1">
      <c r="A128" s="37">
        <v>46085.98569137731</v>
      </c>
      <c r="B128" s="5" t="s">
        <v>2225</v>
      </c>
      <c r="C128" s="19" t="s">
        <v>963</v>
      </c>
      <c r="D128" s="17">
        <v>4.0</v>
      </c>
      <c r="E128" s="17">
        <v>8.75</v>
      </c>
      <c r="F128" s="5"/>
      <c r="G128" s="5"/>
      <c r="H128" s="5">
        <v>35.0</v>
      </c>
      <c r="I128" s="5"/>
      <c r="J128" s="5" t="s">
        <v>54</v>
      </c>
      <c r="K128" s="19" t="s">
        <v>2535</v>
      </c>
      <c r="L128" s="5" t="s">
        <v>2228</v>
      </c>
      <c r="M128" s="5" t="s">
        <v>2230</v>
      </c>
    </row>
    <row r="129" ht="22.5" hidden="1" customHeight="1">
      <c r="A129" s="37">
        <v>46085.985689837966</v>
      </c>
      <c r="B129" s="5" t="s">
        <v>2234</v>
      </c>
      <c r="C129" s="19" t="s">
        <v>908</v>
      </c>
      <c r="D129" s="17">
        <v>1.0</v>
      </c>
      <c r="E129" s="17">
        <v>35.0</v>
      </c>
      <c r="F129" s="5"/>
      <c r="G129" s="5"/>
      <c r="H129" s="5">
        <v>35.0</v>
      </c>
      <c r="I129" s="5"/>
      <c r="J129" s="19" t="s">
        <v>154</v>
      </c>
      <c r="K129" s="19" t="s">
        <v>2535</v>
      </c>
      <c r="L129" s="5" t="s">
        <v>2237</v>
      </c>
      <c r="M129" s="5" t="s">
        <v>2230</v>
      </c>
    </row>
    <row r="130" ht="22.5" customHeight="1">
      <c r="A130" s="14">
        <v>46172.89964990741</v>
      </c>
      <c r="B130" s="6" t="s">
        <v>2282</v>
      </c>
      <c r="C130" s="10" t="s">
        <v>309</v>
      </c>
      <c r="D130" s="13">
        <v>2.0</v>
      </c>
      <c r="E130" s="13">
        <v>20.0</v>
      </c>
      <c r="F130" s="13">
        <v>50.0</v>
      </c>
      <c r="G130" s="6">
        <v>50.0</v>
      </c>
      <c r="H130" s="6">
        <v>100.0</v>
      </c>
      <c r="I130" s="6">
        <v>60.0</v>
      </c>
      <c r="J130" s="10" t="s">
        <v>154</v>
      </c>
      <c r="K130" s="6">
        <v>1399.0</v>
      </c>
      <c r="L130" s="6" t="s">
        <v>2554</v>
      </c>
      <c r="M130" s="6" t="s">
        <v>2230</v>
      </c>
    </row>
    <row r="131" ht="22.5" customHeight="1">
      <c r="A131" s="14">
        <v>46172.89964952546</v>
      </c>
      <c r="B131" s="6" t="s">
        <v>2282</v>
      </c>
      <c r="C131" s="10" t="s">
        <v>803</v>
      </c>
      <c r="D131" s="13">
        <v>1.0</v>
      </c>
      <c r="E131" s="13">
        <v>145.0</v>
      </c>
      <c r="F131" s="13">
        <v>210.0</v>
      </c>
      <c r="G131" s="6">
        <v>210.0</v>
      </c>
      <c r="H131" s="6">
        <v>210.0</v>
      </c>
      <c r="I131" s="6">
        <v>65.0</v>
      </c>
      <c r="J131" s="10" t="s">
        <v>119</v>
      </c>
      <c r="K131" s="6">
        <v>1398.0</v>
      </c>
      <c r="L131" s="6" t="s">
        <v>2556</v>
      </c>
      <c r="M131" s="6" t="s">
        <v>2230</v>
      </c>
    </row>
    <row r="132" ht="22.5" customHeight="1">
      <c r="A132" s="14">
        <v>46172.899649074076</v>
      </c>
      <c r="B132" s="6" t="s">
        <v>2282</v>
      </c>
      <c r="C132" s="10" t="s">
        <v>920</v>
      </c>
      <c r="D132" s="13">
        <v>1.0</v>
      </c>
      <c r="E132" s="13">
        <v>130.0</v>
      </c>
      <c r="F132" s="13">
        <v>190.0</v>
      </c>
      <c r="G132" s="6">
        <v>190.0</v>
      </c>
      <c r="H132" s="6">
        <v>190.0</v>
      </c>
      <c r="I132" s="6">
        <v>60.0</v>
      </c>
      <c r="J132" s="10" t="s">
        <v>484</v>
      </c>
      <c r="K132" s="6">
        <v>1397.0</v>
      </c>
      <c r="L132" s="6" t="s">
        <v>2560</v>
      </c>
      <c r="M132" s="6" t="s">
        <v>2230</v>
      </c>
    </row>
    <row r="133" ht="22.5" customHeight="1">
      <c r="A133" s="14">
        <v>46172.89964877315</v>
      </c>
      <c r="B133" s="6" t="s">
        <v>2282</v>
      </c>
      <c r="C133" s="10" t="s">
        <v>554</v>
      </c>
      <c r="D133" s="13">
        <v>2.0</v>
      </c>
      <c r="E133" s="13">
        <v>23.22222222222222</v>
      </c>
      <c r="F133" s="13">
        <v>45.0</v>
      </c>
      <c r="G133" s="6">
        <v>45.0</v>
      </c>
      <c r="H133" s="6">
        <v>90.0</v>
      </c>
      <c r="I133" s="6">
        <v>43.56</v>
      </c>
      <c r="J133" s="6" t="s">
        <v>54</v>
      </c>
      <c r="K133" s="6">
        <v>1396.0</v>
      </c>
      <c r="L133" s="6" t="s">
        <v>2563</v>
      </c>
      <c r="M133" s="6" t="s">
        <v>2230</v>
      </c>
    </row>
    <row r="134" ht="22.5" hidden="1" customHeight="1">
      <c r="A134" s="37">
        <v>46043.90564159722</v>
      </c>
      <c r="B134" s="5" t="s">
        <v>2225</v>
      </c>
      <c r="C134" s="19" t="s">
        <v>41</v>
      </c>
      <c r="D134" s="17">
        <v>3.0</v>
      </c>
      <c r="E134" s="17">
        <v>92.5</v>
      </c>
      <c r="F134" s="19"/>
      <c r="G134" s="5"/>
      <c r="H134" s="5">
        <v>277.5</v>
      </c>
      <c r="I134" s="19"/>
      <c r="J134" s="5" t="s">
        <v>54</v>
      </c>
      <c r="K134" s="19" t="s">
        <v>2565</v>
      </c>
      <c r="L134" s="5" t="s">
        <v>2228</v>
      </c>
      <c r="M134" s="5" t="s">
        <v>2230</v>
      </c>
    </row>
    <row r="135" ht="22.5" hidden="1" customHeight="1">
      <c r="A135" s="37">
        <v>46043.90563844907</v>
      </c>
      <c r="B135" s="5" t="s">
        <v>2225</v>
      </c>
      <c r="C135" s="19" t="s">
        <v>46</v>
      </c>
      <c r="D135" s="17">
        <v>5.0</v>
      </c>
      <c r="E135" s="17">
        <v>92.5</v>
      </c>
      <c r="F135" s="19"/>
      <c r="G135" s="5"/>
      <c r="H135" s="5">
        <v>462.5</v>
      </c>
      <c r="I135" s="19"/>
      <c r="J135" s="5" t="s">
        <v>54</v>
      </c>
      <c r="K135" s="19" t="s">
        <v>2565</v>
      </c>
      <c r="L135" s="5" t="s">
        <v>2228</v>
      </c>
      <c r="M135" s="5" t="s">
        <v>2230</v>
      </c>
    </row>
    <row r="136" ht="22.5" hidden="1" customHeight="1">
      <c r="A136" s="37">
        <v>46043.9056369676</v>
      </c>
      <c r="B136" s="5" t="s">
        <v>2234</v>
      </c>
      <c r="C136" s="19" t="s">
        <v>929</v>
      </c>
      <c r="D136" s="17">
        <v>5.0</v>
      </c>
      <c r="E136" s="17">
        <v>20.0</v>
      </c>
      <c r="F136" s="19"/>
      <c r="G136" s="5"/>
      <c r="H136" s="5">
        <v>100.0</v>
      </c>
      <c r="I136" s="19"/>
      <c r="J136" s="19" t="s">
        <v>436</v>
      </c>
      <c r="K136" s="19" t="s">
        <v>2565</v>
      </c>
      <c r="L136" s="5" t="s">
        <v>2237</v>
      </c>
      <c r="M136" s="5" t="s">
        <v>2230</v>
      </c>
    </row>
    <row r="137" ht="22.5" hidden="1" customHeight="1">
      <c r="A137" s="37">
        <v>46043.90563690972</v>
      </c>
      <c r="B137" s="5" t="s">
        <v>2234</v>
      </c>
      <c r="C137" s="19" t="s">
        <v>926</v>
      </c>
      <c r="D137" s="17">
        <v>3.0</v>
      </c>
      <c r="E137" s="17">
        <v>20.0</v>
      </c>
      <c r="F137" s="19"/>
      <c r="G137" s="5"/>
      <c r="H137" s="5">
        <v>60.0</v>
      </c>
      <c r="I137" s="19"/>
      <c r="J137" s="19" t="s">
        <v>436</v>
      </c>
      <c r="K137" s="19" t="s">
        <v>2565</v>
      </c>
      <c r="L137" s="5" t="s">
        <v>2237</v>
      </c>
      <c r="M137" s="5" t="s">
        <v>2230</v>
      </c>
    </row>
    <row r="138" ht="22.5" hidden="1" customHeight="1">
      <c r="A138" s="37">
        <v>46043.90563685185</v>
      </c>
      <c r="B138" s="5" t="s">
        <v>2234</v>
      </c>
      <c r="C138" s="19" t="s">
        <v>91</v>
      </c>
      <c r="D138" s="17">
        <v>8.0</v>
      </c>
      <c r="E138" s="17">
        <v>35.0</v>
      </c>
      <c r="F138" s="19"/>
      <c r="G138" s="5"/>
      <c r="H138" s="5">
        <v>280.0</v>
      </c>
      <c r="I138" s="19"/>
      <c r="J138" s="19" t="s">
        <v>436</v>
      </c>
      <c r="K138" s="19" t="s">
        <v>2565</v>
      </c>
      <c r="L138" s="5" t="s">
        <v>2237</v>
      </c>
      <c r="M138" s="5" t="s">
        <v>2230</v>
      </c>
    </row>
    <row r="139" ht="22.5" hidden="1" customHeight="1">
      <c r="A139" s="37">
        <v>46043.905636724536</v>
      </c>
      <c r="B139" s="5" t="s">
        <v>2234</v>
      </c>
      <c r="C139" s="19" t="s">
        <v>935</v>
      </c>
      <c r="D139" s="17">
        <v>8.0</v>
      </c>
      <c r="E139" s="17">
        <v>5.0</v>
      </c>
      <c r="F139" s="19"/>
      <c r="G139" s="5"/>
      <c r="H139" s="5">
        <v>40.0</v>
      </c>
      <c r="I139" s="19"/>
      <c r="J139" s="19" t="s">
        <v>436</v>
      </c>
      <c r="K139" s="19" t="s">
        <v>2565</v>
      </c>
      <c r="L139" s="5" t="s">
        <v>2237</v>
      </c>
      <c r="M139" s="5" t="s">
        <v>2230</v>
      </c>
    </row>
    <row r="140" ht="22.5" hidden="1" customHeight="1">
      <c r="A140" s="37">
        <v>46043.90563659722</v>
      </c>
      <c r="B140" s="5" t="s">
        <v>2234</v>
      </c>
      <c r="C140" s="19" t="s">
        <v>1280</v>
      </c>
      <c r="D140" s="17">
        <v>4.0</v>
      </c>
      <c r="E140" s="17">
        <v>65.0</v>
      </c>
      <c r="F140" s="19"/>
      <c r="G140" s="5"/>
      <c r="H140" s="5">
        <v>260.0</v>
      </c>
      <c r="I140" s="19"/>
      <c r="J140" s="19" t="s">
        <v>436</v>
      </c>
      <c r="K140" s="19" t="s">
        <v>2565</v>
      </c>
      <c r="L140" s="5" t="s">
        <v>2237</v>
      </c>
      <c r="M140" s="5" t="s">
        <v>2230</v>
      </c>
    </row>
    <row r="141" ht="22.5" customHeight="1">
      <c r="A141" s="14">
        <v>46172.89964847222</v>
      </c>
      <c r="B141" s="6" t="s">
        <v>2282</v>
      </c>
      <c r="C141" s="10" t="s">
        <v>1156</v>
      </c>
      <c r="D141" s="13">
        <v>2.0</v>
      </c>
      <c r="E141" s="13">
        <v>12.5</v>
      </c>
      <c r="F141" s="13">
        <v>25.0</v>
      </c>
      <c r="G141" s="6">
        <v>25.0</v>
      </c>
      <c r="H141" s="6">
        <v>50.0</v>
      </c>
      <c r="I141" s="6">
        <v>25.0</v>
      </c>
      <c r="J141" s="6" t="s">
        <v>54</v>
      </c>
      <c r="K141" s="6">
        <v>1395.0</v>
      </c>
      <c r="L141" s="6" t="s">
        <v>2581</v>
      </c>
      <c r="M141" s="6" t="s">
        <v>2230</v>
      </c>
    </row>
    <row r="142" ht="22.5" customHeight="1">
      <c r="A142" s="14">
        <v>46172.89964826389</v>
      </c>
      <c r="B142" s="6" t="s">
        <v>2282</v>
      </c>
      <c r="C142" s="10" t="s">
        <v>1156</v>
      </c>
      <c r="D142" s="13">
        <v>1.0</v>
      </c>
      <c r="E142" s="13">
        <v>12.5</v>
      </c>
      <c r="F142" s="13">
        <v>25.0</v>
      </c>
      <c r="G142" s="6">
        <v>25.0</v>
      </c>
      <c r="H142" s="6">
        <v>25.0</v>
      </c>
      <c r="I142" s="6">
        <v>12.5</v>
      </c>
      <c r="J142" s="6" t="s">
        <v>54</v>
      </c>
      <c r="K142" s="6">
        <v>1394.0</v>
      </c>
      <c r="L142" s="6" t="s">
        <v>2584</v>
      </c>
      <c r="M142" s="6" t="s">
        <v>2230</v>
      </c>
    </row>
    <row r="143" ht="22.5" customHeight="1">
      <c r="A143" s="14">
        <v>46172.89964804398</v>
      </c>
      <c r="B143" s="6" t="s">
        <v>2282</v>
      </c>
      <c r="C143" s="10" t="s">
        <v>674</v>
      </c>
      <c r="D143" s="13">
        <v>0.8</v>
      </c>
      <c r="E143" s="13">
        <v>45.0</v>
      </c>
      <c r="F143" s="13">
        <v>100.0</v>
      </c>
      <c r="G143" s="6">
        <v>100.0</v>
      </c>
      <c r="H143" s="6">
        <v>80.0</v>
      </c>
      <c r="I143" s="6">
        <v>44.0</v>
      </c>
      <c r="J143" s="10" t="s">
        <v>436</v>
      </c>
      <c r="K143" s="6">
        <v>1393.0</v>
      </c>
      <c r="L143" s="6" t="s">
        <v>2586</v>
      </c>
      <c r="M143" s="6" t="s">
        <v>2230</v>
      </c>
    </row>
    <row r="144" ht="22.5" customHeight="1">
      <c r="A144" s="14">
        <v>46172.89964780092</v>
      </c>
      <c r="B144" s="6" t="s">
        <v>2282</v>
      </c>
      <c r="C144" s="10" t="s">
        <v>670</v>
      </c>
      <c r="D144" s="13">
        <v>1.0</v>
      </c>
      <c r="E144" s="13">
        <v>12.11</v>
      </c>
      <c r="F144" s="13">
        <v>20.0</v>
      </c>
      <c r="G144" s="6">
        <v>20.0</v>
      </c>
      <c r="H144" s="6">
        <v>20.0</v>
      </c>
      <c r="I144" s="6">
        <v>7.89</v>
      </c>
      <c r="J144" s="10" t="s">
        <v>154</v>
      </c>
      <c r="K144" s="6">
        <v>1392.0</v>
      </c>
      <c r="L144" s="6" t="s">
        <v>2588</v>
      </c>
      <c r="M144" s="6" t="s">
        <v>2230</v>
      </c>
    </row>
    <row r="145" ht="22.5" hidden="1" customHeight="1">
      <c r="A145" s="37">
        <v>46043.53824297454</v>
      </c>
      <c r="B145" s="5" t="s">
        <v>2262</v>
      </c>
      <c r="C145" s="19" t="s">
        <v>497</v>
      </c>
      <c r="D145" s="17">
        <v>5.0</v>
      </c>
      <c r="E145" s="17">
        <v>195.0</v>
      </c>
      <c r="F145" s="19" t="s">
        <v>119</v>
      </c>
      <c r="G145" s="5">
        <v>373.0</v>
      </c>
      <c r="H145" s="5" t="s">
        <v>2522</v>
      </c>
      <c r="I145" s="19"/>
      <c r="J145" s="19"/>
      <c r="K145" s="17"/>
      <c r="L145" s="5"/>
      <c r="M145" s="5"/>
    </row>
    <row r="146" ht="22.5" hidden="1" customHeight="1">
      <c r="A146" s="37">
        <v>46043.53824253472</v>
      </c>
      <c r="B146" s="5" t="s">
        <v>2262</v>
      </c>
      <c r="C146" s="19" t="s">
        <v>588</v>
      </c>
      <c r="D146" s="17">
        <v>5.0</v>
      </c>
      <c r="E146" s="17">
        <v>115.0</v>
      </c>
      <c r="F146" s="19" t="s">
        <v>119</v>
      </c>
      <c r="G146" s="5">
        <v>372.0</v>
      </c>
      <c r="H146" s="5" t="s">
        <v>2522</v>
      </c>
      <c r="I146" s="19"/>
      <c r="J146" s="19"/>
      <c r="K146" s="17"/>
      <c r="L146" s="5"/>
      <c r="M146" s="5"/>
    </row>
    <row r="147" ht="22.5" hidden="1" customHeight="1">
      <c r="A147" s="37">
        <v>46042.93166353009</v>
      </c>
      <c r="B147" s="5" t="s">
        <v>2225</v>
      </c>
      <c r="C147" s="19" t="s">
        <v>46</v>
      </c>
      <c r="D147" s="17">
        <v>2.0</v>
      </c>
      <c r="E147" s="17">
        <v>57.5</v>
      </c>
      <c r="F147" s="19"/>
      <c r="G147" s="5"/>
      <c r="H147" s="5">
        <v>115.0</v>
      </c>
      <c r="I147" s="19"/>
      <c r="J147" s="5" t="s">
        <v>54</v>
      </c>
      <c r="K147" s="19" t="s">
        <v>2565</v>
      </c>
      <c r="L147" s="5" t="s">
        <v>2228</v>
      </c>
      <c r="M147" s="5" t="s">
        <v>2230</v>
      </c>
    </row>
    <row r="148" ht="22.5" hidden="1" customHeight="1">
      <c r="A148" s="37">
        <v>46042.931657106485</v>
      </c>
      <c r="B148" s="5" t="s">
        <v>2234</v>
      </c>
      <c r="C148" s="19" t="s">
        <v>935</v>
      </c>
      <c r="D148" s="17">
        <v>2.0</v>
      </c>
      <c r="E148" s="17">
        <v>5.0</v>
      </c>
      <c r="F148" s="19"/>
      <c r="G148" s="5"/>
      <c r="H148" s="5">
        <v>10.0</v>
      </c>
      <c r="I148" s="19"/>
      <c r="J148" s="19" t="s">
        <v>436</v>
      </c>
      <c r="K148" s="19" t="s">
        <v>2565</v>
      </c>
      <c r="L148" s="5" t="s">
        <v>2237</v>
      </c>
      <c r="M148" s="5" t="s">
        <v>2230</v>
      </c>
    </row>
    <row r="149" ht="22.5" hidden="1" customHeight="1">
      <c r="A149" s="37">
        <v>46042.93165694445</v>
      </c>
      <c r="B149" s="5" t="s">
        <v>2234</v>
      </c>
      <c r="C149" s="19" t="s">
        <v>2596</v>
      </c>
      <c r="D149" s="17">
        <v>2.0</v>
      </c>
      <c r="E149" s="17">
        <v>52.5</v>
      </c>
      <c r="F149" s="19"/>
      <c r="G149" s="5"/>
      <c r="H149" s="5">
        <v>105.0</v>
      </c>
      <c r="I149" s="19"/>
      <c r="J149" s="5" t="s">
        <v>54</v>
      </c>
      <c r="K149" s="19" t="s">
        <v>2565</v>
      </c>
      <c r="L149" s="5" t="s">
        <v>2237</v>
      </c>
      <c r="M149" s="5" t="s">
        <v>2230</v>
      </c>
    </row>
    <row r="150" ht="22.5" hidden="1" customHeight="1">
      <c r="A150" s="37">
        <v>46042.93100423611</v>
      </c>
      <c r="B150" s="5" t="s">
        <v>2225</v>
      </c>
      <c r="C150" s="19" t="s">
        <v>46</v>
      </c>
      <c r="D150" s="17">
        <v>3.0</v>
      </c>
      <c r="E150" s="17">
        <v>57.5</v>
      </c>
      <c r="F150" s="19"/>
      <c r="G150" s="5"/>
      <c r="H150" s="5">
        <v>172.5</v>
      </c>
      <c r="I150" s="19"/>
      <c r="J150" s="5" t="s">
        <v>54</v>
      </c>
      <c r="K150" s="19" t="s">
        <v>2565</v>
      </c>
      <c r="L150" s="5" t="s">
        <v>2228</v>
      </c>
      <c r="M150" s="5" t="s">
        <v>2230</v>
      </c>
    </row>
    <row r="151" ht="22.5" hidden="1" customHeight="1">
      <c r="A151" s="37">
        <v>46042.931002638885</v>
      </c>
      <c r="B151" s="5" t="s">
        <v>2234</v>
      </c>
      <c r="C151" s="19" t="s">
        <v>935</v>
      </c>
      <c r="D151" s="17">
        <v>3.0</v>
      </c>
      <c r="E151" s="17">
        <v>5.0</v>
      </c>
      <c r="F151" s="19"/>
      <c r="G151" s="5"/>
      <c r="H151" s="5">
        <v>15.0</v>
      </c>
      <c r="I151" s="19"/>
      <c r="J151" s="19" t="s">
        <v>436</v>
      </c>
      <c r="K151" s="19" t="s">
        <v>2565</v>
      </c>
      <c r="L151" s="5" t="s">
        <v>2237</v>
      </c>
      <c r="M151" s="5" t="s">
        <v>2230</v>
      </c>
    </row>
    <row r="152" ht="22.5" hidden="1" customHeight="1">
      <c r="A152" s="37">
        <v>46042.93100251157</v>
      </c>
      <c r="B152" s="5" t="s">
        <v>2234</v>
      </c>
      <c r="C152" s="19" t="s">
        <v>2596</v>
      </c>
      <c r="D152" s="17">
        <v>3.0</v>
      </c>
      <c r="E152" s="17">
        <v>52.5</v>
      </c>
      <c r="F152" s="19"/>
      <c r="G152" s="5"/>
      <c r="H152" s="5">
        <v>157.5</v>
      </c>
      <c r="I152" s="19"/>
      <c r="J152" s="5" t="s">
        <v>54</v>
      </c>
      <c r="K152" s="19" t="s">
        <v>2565</v>
      </c>
      <c r="L152" s="5" t="s">
        <v>2237</v>
      </c>
      <c r="M152" s="5" t="s">
        <v>2230</v>
      </c>
    </row>
    <row r="153" ht="22.5" hidden="1" customHeight="1">
      <c r="A153" s="37">
        <v>46042.93042701389</v>
      </c>
      <c r="B153" s="5" t="s">
        <v>2225</v>
      </c>
      <c r="C153" s="19" t="s">
        <v>41</v>
      </c>
      <c r="D153" s="17">
        <v>3.0</v>
      </c>
      <c r="E153" s="17">
        <v>57.5</v>
      </c>
      <c r="F153" s="19"/>
      <c r="G153" s="5"/>
      <c r="H153" s="5">
        <v>172.5</v>
      </c>
      <c r="I153" s="19"/>
      <c r="J153" s="5" t="s">
        <v>54</v>
      </c>
      <c r="K153" s="19" t="s">
        <v>2565</v>
      </c>
      <c r="L153" s="5" t="s">
        <v>2228</v>
      </c>
      <c r="M153" s="5" t="s">
        <v>2230</v>
      </c>
    </row>
    <row r="154" ht="22.5" hidden="1" customHeight="1">
      <c r="A154" s="37">
        <v>46042.930425914354</v>
      </c>
      <c r="B154" s="5" t="s">
        <v>2234</v>
      </c>
      <c r="C154" s="19" t="s">
        <v>935</v>
      </c>
      <c r="D154" s="17">
        <v>3.0</v>
      </c>
      <c r="E154" s="17">
        <v>5.0</v>
      </c>
      <c r="F154" s="19"/>
      <c r="G154" s="5"/>
      <c r="H154" s="5">
        <v>15.0</v>
      </c>
      <c r="I154" s="19"/>
      <c r="J154" s="19" t="s">
        <v>436</v>
      </c>
      <c r="K154" s="19" t="s">
        <v>2565</v>
      </c>
      <c r="L154" s="5" t="s">
        <v>2237</v>
      </c>
      <c r="M154" s="5" t="s">
        <v>2230</v>
      </c>
    </row>
    <row r="155" ht="22.5" hidden="1" customHeight="1">
      <c r="A155" s="37">
        <v>46042.93042578704</v>
      </c>
      <c r="B155" s="5" t="s">
        <v>2234</v>
      </c>
      <c r="C155" s="19" t="s">
        <v>2607</v>
      </c>
      <c r="D155" s="17">
        <v>3.0</v>
      </c>
      <c r="E155" s="17">
        <v>52.5</v>
      </c>
      <c r="F155" s="19"/>
      <c r="G155" s="5"/>
      <c r="H155" s="5">
        <v>157.5</v>
      </c>
      <c r="I155" s="19"/>
      <c r="J155" s="5" t="s">
        <v>54</v>
      </c>
      <c r="K155" s="19" t="s">
        <v>2565</v>
      </c>
      <c r="L155" s="5" t="s">
        <v>2237</v>
      </c>
      <c r="M155" s="5" t="s">
        <v>2230</v>
      </c>
    </row>
    <row r="156" ht="22.5" hidden="1" customHeight="1">
      <c r="A156" s="37">
        <v>46042.9248202662</v>
      </c>
      <c r="B156" s="5" t="s">
        <v>2225</v>
      </c>
      <c r="C156" s="19" t="s">
        <v>46</v>
      </c>
      <c r="D156" s="17">
        <v>5.0</v>
      </c>
      <c r="E156" s="17">
        <v>52.5</v>
      </c>
      <c r="F156" s="19"/>
      <c r="G156" s="5"/>
      <c r="H156" s="5">
        <v>262.5</v>
      </c>
      <c r="I156" s="19"/>
      <c r="J156" s="5" t="s">
        <v>54</v>
      </c>
      <c r="K156" s="19" t="s">
        <v>2565</v>
      </c>
      <c r="L156" s="5" t="s">
        <v>2228</v>
      </c>
      <c r="M156" s="5" t="s">
        <v>2230</v>
      </c>
    </row>
    <row r="157" ht="22.5" hidden="1" customHeight="1">
      <c r="A157" s="37">
        <v>46042.92481752315</v>
      </c>
      <c r="B157" s="5" t="s">
        <v>2225</v>
      </c>
      <c r="C157" s="19" t="s">
        <v>41</v>
      </c>
      <c r="D157" s="17">
        <v>3.0</v>
      </c>
      <c r="E157" s="17">
        <v>52.5</v>
      </c>
      <c r="F157" s="19"/>
      <c r="G157" s="5"/>
      <c r="H157" s="5">
        <v>157.5</v>
      </c>
      <c r="I157" s="19"/>
      <c r="J157" s="5" t="s">
        <v>54</v>
      </c>
      <c r="K157" s="19" t="s">
        <v>2565</v>
      </c>
      <c r="L157" s="5" t="s">
        <v>2228</v>
      </c>
      <c r="M157" s="5" t="s">
        <v>2230</v>
      </c>
    </row>
    <row r="158" ht="22.5" hidden="1" customHeight="1">
      <c r="A158" s="37">
        <v>46042.92481627315</v>
      </c>
      <c r="B158" s="5" t="s">
        <v>2234</v>
      </c>
      <c r="C158" s="19" t="s">
        <v>929</v>
      </c>
      <c r="D158" s="17">
        <v>5.0</v>
      </c>
      <c r="E158" s="17">
        <v>20.0</v>
      </c>
      <c r="F158" s="19"/>
      <c r="G158" s="5"/>
      <c r="H158" s="5">
        <v>100.0</v>
      </c>
      <c r="I158" s="19"/>
      <c r="J158" s="19" t="s">
        <v>436</v>
      </c>
      <c r="K158" s="19" t="s">
        <v>2565</v>
      </c>
      <c r="L158" s="5" t="s">
        <v>2237</v>
      </c>
      <c r="M158" s="5" t="s">
        <v>2230</v>
      </c>
    </row>
    <row r="159" ht="22.5" hidden="1" customHeight="1">
      <c r="A159" s="37">
        <v>46042.92481618056</v>
      </c>
      <c r="B159" s="5" t="s">
        <v>2234</v>
      </c>
      <c r="C159" s="19" t="s">
        <v>926</v>
      </c>
      <c r="D159" s="17">
        <v>3.0</v>
      </c>
      <c r="E159" s="17">
        <v>20.0</v>
      </c>
      <c r="F159" s="19"/>
      <c r="G159" s="5"/>
      <c r="H159" s="5">
        <v>60.0</v>
      </c>
      <c r="I159" s="19"/>
      <c r="J159" s="19" t="s">
        <v>436</v>
      </c>
      <c r="K159" s="19" t="s">
        <v>2565</v>
      </c>
      <c r="L159" s="5" t="s">
        <v>2237</v>
      </c>
      <c r="M159" s="5" t="s">
        <v>2230</v>
      </c>
    </row>
    <row r="160" ht="22.5" hidden="1" customHeight="1">
      <c r="A160" s="37">
        <v>46042.924816053244</v>
      </c>
      <c r="B160" s="5" t="s">
        <v>2234</v>
      </c>
      <c r="C160" s="19" t="s">
        <v>1280</v>
      </c>
      <c r="D160" s="17">
        <v>4.0</v>
      </c>
      <c r="E160" s="17">
        <v>65.0</v>
      </c>
      <c r="F160" s="19"/>
      <c r="G160" s="5"/>
      <c r="H160" s="5">
        <v>260.0</v>
      </c>
      <c r="I160" s="19"/>
      <c r="J160" s="19" t="s">
        <v>436</v>
      </c>
      <c r="K160" s="19" t="s">
        <v>2565</v>
      </c>
      <c r="L160" s="5" t="s">
        <v>2237</v>
      </c>
      <c r="M160" s="5" t="s">
        <v>2230</v>
      </c>
    </row>
    <row r="161" ht="22.5" hidden="1" customHeight="1">
      <c r="A161" s="37">
        <v>46042.903541990745</v>
      </c>
      <c r="B161" s="5" t="s">
        <v>2225</v>
      </c>
      <c r="C161" s="19" t="s">
        <v>77</v>
      </c>
      <c r="D161" s="17">
        <v>1.0</v>
      </c>
      <c r="E161" s="17">
        <v>275.0</v>
      </c>
      <c r="F161" s="19"/>
      <c r="G161" s="5"/>
      <c r="H161" s="5">
        <v>275.0</v>
      </c>
      <c r="I161" s="19"/>
      <c r="J161" s="5" t="s">
        <v>54</v>
      </c>
      <c r="K161" s="19" t="s">
        <v>2309</v>
      </c>
      <c r="L161" s="5" t="s">
        <v>2228</v>
      </c>
      <c r="M161" s="5" t="s">
        <v>2230</v>
      </c>
    </row>
    <row r="162" ht="22.5" hidden="1" customHeight="1">
      <c r="A162" s="37">
        <v>46042.90353488426</v>
      </c>
      <c r="B162" s="5" t="s">
        <v>2234</v>
      </c>
      <c r="C162" s="19" t="s">
        <v>926</v>
      </c>
      <c r="D162" s="17">
        <v>1.0</v>
      </c>
      <c r="E162" s="17">
        <v>20.0</v>
      </c>
      <c r="F162" s="19"/>
      <c r="G162" s="5"/>
      <c r="H162" s="5">
        <v>20.0</v>
      </c>
      <c r="I162" s="19"/>
      <c r="J162" s="19" t="s">
        <v>436</v>
      </c>
      <c r="K162" s="19" t="s">
        <v>2309</v>
      </c>
      <c r="L162" s="5" t="s">
        <v>2237</v>
      </c>
      <c r="M162" s="5" t="s">
        <v>2230</v>
      </c>
    </row>
    <row r="163" ht="22.5" hidden="1" customHeight="1">
      <c r="A163" s="37">
        <v>46042.90353480324</v>
      </c>
      <c r="B163" s="5" t="s">
        <v>2234</v>
      </c>
      <c r="C163" s="19" t="s">
        <v>356</v>
      </c>
      <c r="D163" s="17">
        <v>3.0</v>
      </c>
      <c r="E163" s="17">
        <v>85.0</v>
      </c>
      <c r="F163" s="19"/>
      <c r="G163" s="5"/>
      <c r="H163" s="5">
        <v>255.0</v>
      </c>
      <c r="I163" s="19"/>
      <c r="J163" s="19" t="s">
        <v>51</v>
      </c>
      <c r="K163" s="19" t="s">
        <v>2309</v>
      </c>
      <c r="L163" s="5" t="s">
        <v>2237</v>
      </c>
      <c r="M163" s="5" t="s">
        <v>2230</v>
      </c>
    </row>
    <row r="164" ht="22.5" hidden="1" customHeight="1">
      <c r="A164" s="37">
        <v>46042.89779253472</v>
      </c>
      <c r="B164" s="5" t="s">
        <v>2225</v>
      </c>
      <c r="C164" s="19" t="s">
        <v>1504</v>
      </c>
      <c r="D164" s="17">
        <v>1.0</v>
      </c>
      <c r="E164" s="17">
        <v>15.0</v>
      </c>
      <c r="F164" s="19"/>
      <c r="G164" s="5"/>
      <c r="H164" s="5">
        <v>15.0</v>
      </c>
      <c r="I164" s="19"/>
      <c r="J164" s="5" t="s">
        <v>54</v>
      </c>
      <c r="K164" s="19" t="s">
        <v>2631</v>
      </c>
      <c r="L164" s="5" t="s">
        <v>2228</v>
      </c>
      <c r="M164" s="5" t="s">
        <v>2230</v>
      </c>
    </row>
    <row r="165" ht="22.5" hidden="1" customHeight="1">
      <c r="A165" s="37">
        <v>46042.89779096065</v>
      </c>
      <c r="B165" s="5" t="s">
        <v>2234</v>
      </c>
      <c r="C165" s="19" t="s">
        <v>741</v>
      </c>
      <c r="D165" s="17">
        <v>0.1</v>
      </c>
      <c r="E165" s="17">
        <v>150.0</v>
      </c>
      <c r="F165" s="19"/>
      <c r="G165" s="5"/>
      <c r="H165" s="5">
        <v>15.0</v>
      </c>
      <c r="I165" s="19"/>
      <c r="J165" s="19" t="s">
        <v>51</v>
      </c>
      <c r="K165" s="19" t="s">
        <v>2631</v>
      </c>
      <c r="L165" s="5" t="s">
        <v>2237</v>
      </c>
      <c r="M165" s="5" t="s">
        <v>2230</v>
      </c>
    </row>
    <row r="166" ht="22.5" customHeight="1">
      <c r="A166" s="14">
        <v>46172.89964761574</v>
      </c>
      <c r="B166" s="6" t="s">
        <v>2282</v>
      </c>
      <c r="C166" s="10" t="s">
        <v>1173</v>
      </c>
      <c r="D166" s="13">
        <v>1.0</v>
      </c>
      <c r="E166" s="13">
        <v>55.0</v>
      </c>
      <c r="F166" s="13">
        <v>75.0</v>
      </c>
      <c r="G166" s="6">
        <v>75.0</v>
      </c>
      <c r="H166" s="6">
        <v>75.0</v>
      </c>
      <c r="I166" s="6">
        <v>20.0</v>
      </c>
      <c r="J166" s="10" t="s">
        <v>1059</v>
      </c>
      <c r="K166" s="6">
        <v>1391.0</v>
      </c>
      <c r="L166" s="6" t="s">
        <v>2638</v>
      </c>
      <c r="M166" s="6" t="s">
        <v>2230</v>
      </c>
    </row>
    <row r="167" ht="22.5" customHeight="1">
      <c r="A167" s="14">
        <v>46172.89964740741</v>
      </c>
      <c r="B167" s="6" t="s">
        <v>2282</v>
      </c>
      <c r="C167" s="10" t="s">
        <v>837</v>
      </c>
      <c r="D167" s="13">
        <v>1.0</v>
      </c>
      <c r="E167" s="13">
        <v>17.0</v>
      </c>
      <c r="F167" s="13">
        <v>25.0</v>
      </c>
      <c r="G167" s="6">
        <v>25.0</v>
      </c>
      <c r="H167" s="6">
        <v>25.0</v>
      </c>
      <c r="I167" s="6">
        <v>8.0</v>
      </c>
      <c r="J167" s="10" t="s">
        <v>154</v>
      </c>
      <c r="K167" s="6">
        <v>1390.0</v>
      </c>
      <c r="L167" s="6" t="s">
        <v>2643</v>
      </c>
      <c r="M167" s="6" t="s">
        <v>2230</v>
      </c>
    </row>
    <row r="168" ht="22.5" hidden="1" customHeight="1">
      <c r="A168" s="37">
        <v>46042.89271894676</v>
      </c>
      <c r="B168" s="5" t="s">
        <v>2225</v>
      </c>
      <c r="C168" s="19" t="s">
        <v>702</v>
      </c>
      <c r="D168" s="17">
        <v>1.0</v>
      </c>
      <c r="E168" s="17">
        <v>-1.1045759144998E14</v>
      </c>
      <c r="F168" s="19"/>
      <c r="G168" s="5"/>
      <c r="H168" s="5">
        <v>-1.1045759144998E14</v>
      </c>
      <c r="I168" s="19"/>
      <c r="J168" s="5" t="s">
        <v>54</v>
      </c>
      <c r="K168" s="19" t="s">
        <v>2645</v>
      </c>
      <c r="L168" s="5" t="s">
        <v>2228</v>
      </c>
      <c r="M168" s="5" t="s">
        <v>2230</v>
      </c>
    </row>
    <row r="169" ht="22.5" hidden="1" customHeight="1">
      <c r="A169" s="37">
        <v>46042.89271690972</v>
      </c>
      <c r="B169" s="5" t="s">
        <v>2234</v>
      </c>
      <c r="C169" s="19" t="s">
        <v>216</v>
      </c>
      <c r="D169" s="37">
        <v>0.2000000000007276</v>
      </c>
      <c r="E169" s="17">
        <v>50.0</v>
      </c>
      <c r="F169" s="19"/>
      <c r="G169" s="5"/>
      <c r="H169" s="5">
        <v>-1.1045759145E14</v>
      </c>
      <c r="I169" s="19"/>
      <c r="J169" s="19" t="s">
        <v>51</v>
      </c>
      <c r="K169" s="19" t="s">
        <v>2645</v>
      </c>
      <c r="L169" s="5" t="s">
        <v>2237</v>
      </c>
      <c r="M169" s="5" t="s">
        <v>2230</v>
      </c>
    </row>
    <row r="170" ht="22.5" hidden="1" customHeight="1">
      <c r="A170" s="37">
        <v>46042.89271681713</v>
      </c>
      <c r="B170" s="5" t="s">
        <v>2234</v>
      </c>
      <c r="C170" s="19" t="s">
        <v>806</v>
      </c>
      <c r="D170" s="17">
        <v>0.14285714285714285</v>
      </c>
      <c r="E170" s="17">
        <v>140.0</v>
      </c>
      <c r="F170" s="19"/>
      <c r="G170" s="5"/>
      <c r="H170" s="5">
        <v>20.0</v>
      </c>
      <c r="I170" s="19"/>
      <c r="J170" s="19" t="s">
        <v>51</v>
      </c>
      <c r="K170" s="19" t="s">
        <v>2645</v>
      </c>
      <c r="L170" s="5" t="s">
        <v>2237</v>
      </c>
      <c r="M170" s="5" t="s">
        <v>2230</v>
      </c>
    </row>
    <row r="171" ht="22.5" hidden="1" customHeight="1">
      <c r="A171" s="37">
        <v>46042.890909525464</v>
      </c>
      <c r="B171" s="5" t="s">
        <v>2225</v>
      </c>
      <c r="C171" s="19" t="s">
        <v>619</v>
      </c>
      <c r="D171" s="17">
        <v>1.0</v>
      </c>
      <c r="E171" s="17">
        <v>168.33333333333331</v>
      </c>
      <c r="F171" s="19"/>
      <c r="G171" s="5"/>
      <c r="H171" s="5">
        <v>168.33333333333331</v>
      </c>
      <c r="I171" s="19"/>
      <c r="J171" s="5" t="s">
        <v>54</v>
      </c>
      <c r="K171" s="19" t="s">
        <v>2645</v>
      </c>
      <c r="L171" s="5" t="s">
        <v>2228</v>
      </c>
      <c r="M171" s="5" t="s">
        <v>2230</v>
      </c>
    </row>
    <row r="172" ht="22.5" hidden="1" customHeight="1">
      <c r="A172" s="37">
        <v>46042.89090789352</v>
      </c>
      <c r="B172" s="5" t="s">
        <v>2234</v>
      </c>
      <c r="C172" s="19" t="s">
        <v>255</v>
      </c>
      <c r="D172" s="17">
        <v>1.0</v>
      </c>
      <c r="E172" s="17">
        <v>35.0</v>
      </c>
      <c r="F172" s="19"/>
      <c r="G172" s="5"/>
      <c r="H172" s="5">
        <v>35.0</v>
      </c>
      <c r="I172" s="19"/>
      <c r="J172" s="19" t="s">
        <v>31</v>
      </c>
      <c r="K172" s="19" t="s">
        <v>2645</v>
      </c>
      <c r="L172" s="5" t="s">
        <v>2237</v>
      </c>
      <c r="M172" s="5" t="s">
        <v>2230</v>
      </c>
    </row>
    <row r="173" ht="22.5" hidden="1" customHeight="1">
      <c r="A173" s="37">
        <v>46042.89090774306</v>
      </c>
      <c r="B173" s="5" t="s">
        <v>2234</v>
      </c>
      <c r="C173" s="19" t="s">
        <v>518</v>
      </c>
      <c r="D173" s="17">
        <v>0.4444444444444444</v>
      </c>
      <c r="E173" s="17">
        <v>75.0</v>
      </c>
      <c r="F173" s="19"/>
      <c r="G173" s="5"/>
      <c r="H173" s="5">
        <v>33.33333333333333</v>
      </c>
      <c r="I173" s="19"/>
      <c r="J173" s="19" t="s">
        <v>51</v>
      </c>
      <c r="K173" s="19" t="s">
        <v>2645</v>
      </c>
      <c r="L173" s="5" t="s">
        <v>2237</v>
      </c>
      <c r="M173" s="5" t="s">
        <v>2230</v>
      </c>
    </row>
    <row r="174" ht="22.5" hidden="1" customHeight="1">
      <c r="A174" s="37">
        <v>46042.8909075</v>
      </c>
      <c r="B174" s="5" t="s">
        <v>2234</v>
      </c>
      <c r="C174" s="19" t="s">
        <v>806</v>
      </c>
      <c r="D174" s="17">
        <v>0.7142857142857143</v>
      </c>
      <c r="E174" s="17">
        <v>140.0</v>
      </c>
      <c r="F174" s="19"/>
      <c r="G174" s="5"/>
      <c r="H174" s="5">
        <v>100.0</v>
      </c>
      <c r="I174" s="19"/>
      <c r="J174" s="19" t="s">
        <v>51</v>
      </c>
      <c r="K174" s="19" t="s">
        <v>2645</v>
      </c>
      <c r="L174" s="5" t="s">
        <v>2237</v>
      </c>
      <c r="M174" s="5" t="s">
        <v>2230</v>
      </c>
    </row>
    <row r="175" ht="22.5" hidden="1" customHeight="1">
      <c r="A175" s="37">
        <v>46085.951453622685</v>
      </c>
      <c r="B175" s="5" t="s">
        <v>2262</v>
      </c>
      <c r="C175" s="19" t="s">
        <v>334</v>
      </c>
      <c r="D175" s="17">
        <v>2.0</v>
      </c>
      <c r="E175" s="17">
        <v>255.0</v>
      </c>
      <c r="F175" s="5">
        <v>510.0</v>
      </c>
      <c r="G175" s="19" t="s">
        <v>119</v>
      </c>
      <c r="H175" s="5">
        <v>474.0</v>
      </c>
      <c r="I175" s="5" t="s">
        <v>1270</v>
      </c>
      <c r="J175" s="5" t="s">
        <v>2659</v>
      </c>
      <c r="K175" s="5" t="s">
        <v>2230</v>
      </c>
      <c r="L175" s="5"/>
      <c r="M175" s="5"/>
    </row>
    <row r="176" ht="22.5" hidden="1" customHeight="1">
      <c r="A176" s="37">
        <v>46085.951453553236</v>
      </c>
      <c r="B176" s="5" t="s">
        <v>2262</v>
      </c>
      <c r="C176" s="19" t="s">
        <v>279</v>
      </c>
      <c r="D176" s="17">
        <v>2.0</v>
      </c>
      <c r="E176" s="17">
        <v>300.0</v>
      </c>
      <c r="F176" s="5">
        <v>600.0</v>
      </c>
      <c r="G176" s="19" t="s">
        <v>119</v>
      </c>
      <c r="H176" s="5">
        <v>473.0</v>
      </c>
      <c r="I176" s="5" t="s">
        <v>1269</v>
      </c>
      <c r="J176" s="5" t="s">
        <v>2662</v>
      </c>
      <c r="K176" s="5" t="s">
        <v>2230</v>
      </c>
      <c r="L176" s="5"/>
      <c r="M176" s="5"/>
    </row>
    <row r="177" ht="22.5" hidden="1" customHeight="1">
      <c r="A177" s="37">
        <v>46085.951453483794</v>
      </c>
      <c r="B177" s="5" t="s">
        <v>2262</v>
      </c>
      <c r="C177" s="19" t="s">
        <v>640</v>
      </c>
      <c r="D177" s="17">
        <v>2.0</v>
      </c>
      <c r="E177" s="17">
        <v>167.0</v>
      </c>
      <c r="F177" s="5">
        <v>334.0</v>
      </c>
      <c r="G177" s="19" t="s">
        <v>119</v>
      </c>
      <c r="H177" s="5">
        <v>472.0</v>
      </c>
      <c r="I177" s="5" t="s">
        <v>1268</v>
      </c>
      <c r="J177" s="5" t="s">
        <v>2665</v>
      </c>
      <c r="K177" s="5" t="s">
        <v>2230</v>
      </c>
      <c r="L177" s="5"/>
      <c r="M177" s="5"/>
    </row>
    <row r="178" ht="22.5" hidden="1" customHeight="1">
      <c r="A178" s="37">
        <v>46085.95145342592</v>
      </c>
      <c r="B178" s="5" t="s">
        <v>2262</v>
      </c>
      <c r="C178" s="19" t="s">
        <v>766</v>
      </c>
      <c r="D178" s="17">
        <v>2.0</v>
      </c>
      <c r="E178" s="17">
        <v>150.0</v>
      </c>
      <c r="F178" s="5">
        <v>300.0</v>
      </c>
      <c r="G178" s="19" t="s">
        <v>119</v>
      </c>
      <c r="H178" s="5">
        <v>471.0</v>
      </c>
      <c r="I178" s="5" t="s">
        <v>1267</v>
      </c>
      <c r="J178" s="5" t="s">
        <v>2668</v>
      </c>
      <c r="K178" s="5" t="s">
        <v>2230</v>
      </c>
      <c r="L178" s="5"/>
      <c r="M178" s="5"/>
    </row>
    <row r="179" ht="22.5" hidden="1" customHeight="1">
      <c r="A179" s="37">
        <v>46085.951453368056</v>
      </c>
      <c r="B179" s="5" t="s">
        <v>2262</v>
      </c>
      <c r="C179" s="19" t="s">
        <v>763</v>
      </c>
      <c r="D179" s="17">
        <v>2.0</v>
      </c>
      <c r="E179" s="17">
        <v>150.0</v>
      </c>
      <c r="F179" s="5">
        <v>300.0</v>
      </c>
      <c r="G179" s="19" t="s">
        <v>119</v>
      </c>
      <c r="H179" s="5">
        <v>470.0</v>
      </c>
      <c r="I179" s="5" t="s">
        <v>1266</v>
      </c>
      <c r="J179" s="5" t="s">
        <v>2671</v>
      </c>
      <c r="K179" s="5" t="s">
        <v>2230</v>
      </c>
      <c r="L179" s="5"/>
      <c r="M179" s="5"/>
    </row>
    <row r="180" ht="22.5" hidden="1" customHeight="1">
      <c r="A180" s="37">
        <v>46085.95145331019</v>
      </c>
      <c r="B180" s="5" t="s">
        <v>2262</v>
      </c>
      <c r="C180" s="19" t="s">
        <v>637</v>
      </c>
      <c r="D180" s="17">
        <v>2.0</v>
      </c>
      <c r="E180" s="17">
        <v>167.0</v>
      </c>
      <c r="F180" s="5">
        <v>334.0</v>
      </c>
      <c r="G180" s="19" t="s">
        <v>119</v>
      </c>
      <c r="H180" s="5">
        <v>469.0</v>
      </c>
      <c r="I180" s="5" t="s">
        <v>1264</v>
      </c>
      <c r="J180" s="5" t="s">
        <v>2674</v>
      </c>
      <c r="K180" s="5" t="s">
        <v>2230</v>
      </c>
      <c r="L180" s="5"/>
      <c r="M180" s="5"/>
    </row>
    <row r="181" ht="22.5" hidden="1" customHeight="1">
      <c r="A181" s="37">
        <v>46085.95145325232</v>
      </c>
      <c r="B181" s="5" t="s">
        <v>2262</v>
      </c>
      <c r="C181" s="19" t="s">
        <v>761</v>
      </c>
      <c r="D181" s="17">
        <v>2.0</v>
      </c>
      <c r="E181" s="17">
        <v>150.0</v>
      </c>
      <c r="F181" s="5">
        <v>300.0</v>
      </c>
      <c r="G181" s="19" t="s">
        <v>119</v>
      </c>
      <c r="H181" s="5">
        <v>468.0</v>
      </c>
      <c r="I181" s="5" t="s">
        <v>1262</v>
      </c>
      <c r="J181" s="5" t="s">
        <v>2677</v>
      </c>
      <c r="K181" s="5" t="s">
        <v>2230</v>
      </c>
      <c r="L181" s="5"/>
      <c r="M181" s="5"/>
    </row>
    <row r="182" ht="22.5" hidden="1" customHeight="1">
      <c r="A182" s="37">
        <v>46085.951453182875</v>
      </c>
      <c r="B182" s="5" t="s">
        <v>2262</v>
      </c>
      <c r="C182" s="19" t="s">
        <v>634</v>
      </c>
      <c r="D182" s="17">
        <v>2.0</v>
      </c>
      <c r="E182" s="17">
        <v>167.0</v>
      </c>
      <c r="F182" s="5">
        <v>334.0</v>
      </c>
      <c r="G182" s="19" t="s">
        <v>119</v>
      </c>
      <c r="H182" s="5">
        <v>467.0</v>
      </c>
      <c r="I182" s="5" t="s">
        <v>1261</v>
      </c>
      <c r="J182" s="5" t="s">
        <v>2681</v>
      </c>
      <c r="K182" s="5" t="s">
        <v>2230</v>
      </c>
      <c r="L182" s="5"/>
      <c r="M182" s="5"/>
    </row>
    <row r="183" ht="22.5" customHeight="1">
      <c r="A183" s="14">
        <v>46172.89964717593</v>
      </c>
      <c r="B183" s="6" t="s">
        <v>2282</v>
      </c>
      <c r="C183" s="10" t="s">
        <v>619</v>
      </c>
      <c r="D183" s="13">
        <v>0.5</v>
      </c>
      <c r="E183" s="13">
        <v>168.33333333333331</v>
      </c>
      <c r="F183" s="13">
        <v>400.0</v>
      </c>
      <c r="G183" s="6">
        <v>400.0</v>
      </c>
      <c r="H183" s="6">
        <v>200.0</v>
      </c>
      <c r="I183" s="6">
        <v>115.83</v>
      </c>
      <c r="J183" s="6" t="s">
        <v>54</v>
      </c>
      <c r="K183" s="6">
        <v>1389.0</v>
      </c>
      <c r="L183" s="6" t="s">
        <v>2683</v>
      </c>
      <c r="M183" s="6" t="s">
        <v>2230</v>
      </c>
    </row>
    <row r="184" ht="22.5" customHeight="1">
      <c r="A184" s="14">
        <v>46172.89964674768</v>
      </c>
      <c r="B184" s="6" t="s">
        <v>2282</v>
      </c>
      <c r="C184" s="10" t="s">
        <v>670</v>
      </c>
      <c r="D184" s="13">
        <v>1.0</v>
      </c>
      <c r="E184" s="13">
        <v>12.11</v>
      </c>
      <c r="F184" s="13">
        <v>20.0</v>
      </c>
      <c r="G184" s="6">
        <v>20.0</v>
      </c>
      <c r="H184" s="6">
        <v>20.0</v>
      </c>
      <c r="I184" s="6">
        <v>7.89</v>
      </c>
      <c r="J184" s="10" t="s">
        <v>154</v>
      </c>
      <c r="K184" s="6">
        <v>1386.0</v>
      </c>
      <c r="L184" s="6" t="s">
        <v>2686</v>
      </c>
      <c r="M184" s="6" t="s">
        <v>2230</v>
      </c>
    </row>
    <row r="185" ht="22.5" customHeight="1">
      <c r="A185" s="14">
        <v>46172.89964645833</v>
      </c>
      <c r="B185" s="6" t="s">
        <v>2282</v>
      </c>
      <c r="C185" s="10" t="s">
        <v>756</v>
      </c>
      <c r="D185" s="13">
        <v>1.0</v>
      </c>
      <c r="E185" s="13">
        <v>30.0</v>
      </c>
      <c r="F185" s="13">
        <v>60.0</v>
      </c>
      <c r="G185" s="6">
        <v>60.0</v>
      </c>
      <c r="H185" s="6">
        <v>60.0</v>
      </c>
      <c r="I185" s="6">
        <v>30.0</v>
      </c>
      <c r="J185" s="10" t="s">
        <v>154</v>
      </c>
      <c r="K185" s="6">
        <v>1385.0</v>
      </c>
      <c r="L185" s="6" t="s">
        <v>2689</v>
      </c>
      <c r="M185" s="6" t="s">
        <v>2230</v>
      </c>
    </row>
    <row r="186" ht="22.5" customHeight="1">
      <c r="A186" s="14">
        <v>46172.89964613426</v>
      </c>
      <c r="B186" s="6" t="s">
        <v>2282</v>
      </c>
      <c r="C186" s="10" t="s">
        <v>309</v>
      </c>
      <c r="D186" s="13">
        <v>1.0</v>
      </c>
      <c r="E186" s="13">
        <v>20.0</v>
      </c>
      <c r="F186" s="13">
        <v>30.0</v>
      </c>
      <c r="G186" s="6">
        <v>30.0</v>
      </c>
      <c r="H186" s="6">
        <v>30.0</v>
      </c>
      <c r="I186" s="6">
        <v>10.0</v>
      </c>
      <c r="J186" s="10" t="s">
        <v>154</v>
      </c>
      <c r="K186" s="6">
        <v>1384.0</v>
      </c>
      <c r="L186" s="6" t="s">
        <v>2693</v>
      </c>
      <c r="M186" s="6" t="s">
        <v>2230</v>
      </c>
    </row>
    <row r="187" ht="22.5" customHeight="1">
      <c r="A187" s="14">
        <v>46172.899645868056</v>
      </c>
      <c r="B187" s="6" t="s">
        <v>2282</v>
      </c>
      <c r="C187" s="10" t="s">
        <v>898</v>
      </c>
      <c r="D187" s="13">
        <v>3.0</v>
      </c>
      <c r="E187" s="13">
        <v>15.0</v>
      </c>
      <c r="F187" s="13">
        <v>20.0</v>
      </c>
      <c r="G187" s="6">
        <v>20.0</v>
      </c>
      <c r="H187" s="6">
        <v>60.0</v>
      </c>
      <c r="I187" s="6">
        <v>15.0</v>
      </c>
      <c r="J187" s="10" t="s">
        <v>154</v>
      </c>
      <c r="K187" s="6">
        <v>1383.0</v>
      </c>
      <c r="L187" s="6" t="s">
        <v>2696</v>
      </c>
      <c r="M187" s="6" t="s">
        <v>2230</v>
      </c>
    </row>
    <row r="188" ht="22.5" customHeight="1">
      <c r="A188" s="14">
        <v>46172.89964550926</v>
      </c>
      <c r="B188" s="6" t="s">
        <v>2282</v>
      </c>
      <c r="C188" s="10" t="s">
        <v>245</v>
      </c>
      <c r="D188" s="13">
        <v>1.0</v>
      </c>
      <c r="E188" s="13">
        <v>150.0</v>
      </c>
      <c r="F188" s="13">
        <v>200.0</v>
      </c>
      <c r="G188" s="6">
        <v>200.0</v>
      </c>
      <c r="H188" s="6">
        <v>200.0</v>
      </c>
      <c r="I188" s="6">
        <v>50.0</v>
      </c>
      <c r="J188" s="10" t="s">
        <v>154</v>
      </c>
      <c r="K188" s="6">
        <v>1382.0</v>
      </c>
      <c r="L188" s="6" t="s">
        <v>2698</v>
      </c>
      <c r="M188" s="6" t="s">
        <v>2230</v>
      </c>
    </row>
    <row r="189" ht="22.5" customHeight="1">
      <c r="A189" s="14">
        <v>46172.899645185185</v>
      </c>
      <c r="B189" s="6" t="s">
        <v>2282</v>
      </c>
      <c r="C189" s="10" t="s">
        <v>856</v>
      </c>
      <c r="D189" s="13">
        <v>2.0</v>
      </c>
      <c r="E189" s="13">
        <v>4.58</v>
      </c>
      <c r="F189" s="13">
        <v>7.5</v>
      </c>
      <c r="G189" s="6">
        <v>7.5</v>
      </c>
      <c r="H189" s="6">
        <v>15.0</v>
      </c>
      <c r="I189" s="6">
        <v>5.84</v>
      </c>
      <c r="J189" s="10" t="s">
        <v>119</v>
      </c>
      <c r="K189" s="6">
        <v>1381.0</v>
      </c>
      <c r="L189" s="6" t="s">
        <v>2700</v>
      </c>
      <c r="M189" s="6" t="s">
        <v>2230</v>
      </c>
    </row>
    <row r="190" ht="22.5" customHeight="1">
      <c r="A190" s="14">
        <v>46172.89964482639</v>
      </c>
      <c r="B190" s="6" t="s">
        <v>2282</v>
      </c>
      <c r="C190" s="10" t="s">
        <v>936</v>
      </c>
      <c r="D190" s="13">
        <v>1.0</v>
      </c>
      <c r="E190" s="13">
        <v>28.0</v>
      </c>
      <c r="F190" s="13">
        <v>60.0</v>
      </c>
      <c r="G190" s="6">
        <v>60.0</v>
      </c>
      <c r="H190" s="6">
        <v>60.0</v>
      </c>
      <c r="I190" s="6">
        <v>32.0</v>
      </c>
      <c r="J190" s="10"/>
      <c r="K190" s="6">
        <v>1379.0</v>
      </c>
      <c r="L190" s="6" t="s">
        <v>2702</v>
      </c>
      <c r="M190" s="6" t="s">
        <v>2230</v>
      </c>
    </row>
    <row r="191" ht="22.5" customHeight="1">
      <c r="A191" s="14">
        <v>46172.899644502315</v>
      </c>
      <c r="B191" s="6" t="s">
        <v>2282</v>
      </c>
      <c r="C191" s="10" t="s">
        <v>930</v>
      </c>
      <c r="D191" s="13">
        <v>1.0</v>
      </c>
      <c r="E191" s="13">
        <v>90.0</v>
      </c>
      <c r="F191" s="13">
        <v>140.0</v>
      </c>
      <c r="G191" s="6">
        <v>140.0</v>
      </c>
      <c r="H191" s="6">
        <v>140.0</v>
      </c>
      <c r="I191" s="6">
        <v>50.0</v>
      </c>
      <c r="J191" s="10" t="s">
        <v>1059</v>
      </c>
      <c r="K191" s="6">
        <v>1378.0</v>
      </c>
      <c r="L191" s="6" t="s">
        <v>2705</v>
      </c>
      <c r="M191" s="6" t="s">
        <v>2230</v>
      </c>
    </row>
    <row r="192" ht="22.5" customHeight="1">
      <c r="A192" s="14">
        <v>46172.89964427083</v>
      </c>
      <c r="B192" s="6" t="s">
        <v>2282</v>
      </c>
      <c r="C192" s="10" t="s">
        <v>1124</v>
      </c>
      <c r="D192" s="13">
        <v>1.0</v>
      </c>
      <c r="E192" s="13">
        <v>20.0</v>
      </c>
      <c r="F192" s="13">
        <v>50.0</v>
      </c>
      <c r="G192" s="6">
        <v>50.0</v>
      </c>
      <c r="H192" s="6">
        <v>50.0</v>
      </c>
      <c r="I192" s="6">
        <v>30.0</v>
      </c>
      <c r="J192" s="10"/>
      <c r="K192" s="6">
        <v>1377.0</v>
      </c>
      <c r="L192" s="6" t="s">
        <v>2708</v>
      </c>
      <c r="M192" s="6" t="s">
        <v>2230</v>
      </c>
    </row>
    <row r="193" ht="22.5" customHeight="1">
      <c r="A193" s="14">
        <v>46172.899643854165</v>
      </c>
      <c r="B193" s="6" t="s">
        <v>2282</v>
      </c>
      <c r="C193" s="10" t="s">
        <v>930</v>
      </c>
      <c r="D193" s="13">
        <v>1.0</v>
      </c>
      <c r="E193" s="13">
        <v>90.0</v>
      </c>
      <c r="F193" s="13">
        <v>120.0</v>
      </c>
      <c r="G193" s="6">
        <v>120.0</v>
      </c>
      <c r="H193" s="6">
        <v>120.0</v>
      </c>
      <c r="I193" s="6">
        <v>30.0</v>
      </c>
      <c r="J193" s="10" t="s">
        <v>1059</v>
      </c>
      <c r="K193" s="6">
        <v>1376.0</v>
      </c>
      <c r="L193" s="6" t="s">
        <v>2710</v>
      </c>
      <c r="M193" s="6" t="s">
        <v>2230</v>
      </c>
    </row>
    <row r="194" ht="22.5" customHeight="1">
      <c r="A194" s="14">
        <v>46172.89964358797</v>
      </c>
      <c r="B194" s="6" t="s">
        <v>2282</v>
      </c>
      <c r="C194" s="10" t="s">
        <v>309</v>
      </c>
      <c r="D194" s="13">
        <v>1.0</v>
      </c>
      <c r="E194" s="13">
        <v>20.0</v>
      </c>
      <c r="F194" s="13">
        <v>50.0</v>
      </c>
      <c r="G194" s="6">
        <v>50.0</v>
      </c>
      <c r="H194" s="6">
        <v>50.0</v>
      </c>
      <c r="I194" s="6">
        <v>30.0</v>
      </c>
      <c r="J194" s="10" t="s">
        <v>154</v>
      </c>
      <c r="K194" s="6">
        <v>1375.0</v>
      </c>
      <c r="L194" s="6" t="s">
        <v>2712</v>
      </c>
      <c r="M194" s="6" t="s">
        <v>2230</v>
      </c>
    </row>
    <row r="195" ht="22.5" customHeight="1">
      <c r="A195" s="14">
        <v>46172.89964335648</v>
      </c>
      <c r="B195" s="6" t="s">
        <v>2282</v>
      </c>
      <c r="C195" s="10" t="s">
        <v>749</v>
      </c>
      <c r="D195" s="13">
        <v>1.0</v>
      </c>
      <c r="E195" s="13">
        <v>150.0</v>
      </c>
      <c r="F195" s="13">
        <v>210.0</v>
      </c>
      <c r="G195" s="6">
        <v>210.0</v>
      </c>
      <c r="H195" s="6">
        <v>210.0</v>
      </c>
      <c r="I195" s="6">
        <v>60.0</v>
      </c>
      <c r="J195" s="10" t="s">
        <v>436</v>
      </c>
      <c r="K195" s="6">
        <v>1374.0</v>
      </c>
      <c r="L195" s="6" t="s">
        <v>2714</v>
      </c>
      <c r="M195" s="6" t="s">
        <v>2230</v>
      </c>
    </row>
    <row r="196" ht="22.5" customHeight="1">
      <c r="A196" s="14">
        <v>46172.89964299768</v>
      </c>
      <c r="B196" s="6" t="s">
        <v>2282</v>
      </c>
      <c r="C196" s="10" t="s">
        <v>898</v>
      </c>
      <c r="D196" s="13">
        <v>3.0</v>
      </c>
      <c r="E196" s="13">
        <v>15.0</v>
      </c>
      <c r="F196" s="13">
        <v>20.0</v>
      </c>
      <c r="G196" s="6">
        <v>20.0</v>
      </c>
      <c r="H196" s="6">
        <v>60.0</v>
      </c>
      <c r="I196" s="6">
        <v>15.0</v>
      </c>
      <c r="J196" s="10" t="s">
        <v>154</v>
      </c>
      <c r="K196" s="6">
        <v>1372.0</v>
      </c>
      <c r="L196" s="6" t="s">
        <v>2719</v>
      </c>
      <c r="M196" s="6" t="s">
        <v>2230</v>
      </c>
    </row>
    <row r="197" ht="22.5" customHeight="1">
      <c r="A197" s="14">
        <v>46172.899642743054</v>
      </c>
      <c r="B197" s="6" t="s">
        <v>2282</v>
      </c>
      <c r="C197" s="10" t="s">
        <v>652</v>
      </c>
      <c r="D197" s="13">
        <v>1.0</v>
      </c>
      <c r="E197" s="13">
        <v>70.0</v>
      </c>
      <c r="F197" s="13">
        <v>100.0</v>
      </c>
      <c r="G197" s="6">
        <v>100.0</v>
      </c>
      <c r="H197" s="6">
        <v>100.0</v>
      </c>
      <c r="I197" s="6">
        <v>30.0</v>
      </c>
      <c r="J197" s="10" t="s">
        <v>31</v>
      </c>
      <c r="K197" s="6">
        <v>1371.0</v>
      </c>
      <c r="L197" s="6" t="s">
        <v>2723</v>
      </c>
      <c r="M197" s="6" t="s">
        <v>2230</v>
      </c>
    </row>
    <row r="198" ht="22.5" customHeight="1">
      <c r="A198" s="14">
        <v>46172.89964231482</v>
      </c>
      <c r="B198" s="6" t="s">
        <v>2282</v>
      </c>
      <c r="C198" s="10" t="s">
        <v>309</v>
      </c>
      <c r="D198" s="13">
        <v>1.0</v>
      </c>
      <c r="E198" s="13">
        <v>20.0</v>
      </c>
      <c r="F198" s="13">
        <v>40.0</v>
      </c>
      <c r="G198" s="6">
        <v>40.0</v>
      </c>
      <c r="H198" s="6">
        <v>40.0</v>
      </c>
      <c r="I198" s="6">
        <v>20.0</v>
      </c>
      <c r="J198" s="10" t="s">
        <v>154</v>
      </c>
      <c r="K198" s="6">
        <v>1369.0</v>
      </c>
      <c r="L198" s="6" t="s">
        <v>2724</v>
      </c>
      <c r="M198" s="6" t="s">
        <v>2230</v>
      </c>
    </row>
    <row r="199" ht="22.5" customHeight="1">
      <c r="A199" s="14">
        <v>46172.899641979166</v>
      </c>
      <c r="B199" s="6" t="s">
        <v>2282</v>
      </c>
      <c r="C199" s="10" t="s">
        <v>467</v>
      </c>
      <c r="D199" s="13">
        <v>1.0</v>
      </c>
      <c r="E199" s="13">
        <v>105.0</v>
      </c>
      <c r="F199" s="13">
        <v>130.0</v>
      </c>
      <c r="G199" s="6">
        <v>130.0</v>
      </c>
      <c r="H199" s="6">
        <v>130.0</v>
      </c>
      <c r="I199" s="6">
        <v>25.0</v>
      </c>
      <c r="J199" s="10" t="s">
        <v>31</v>
      </c>
      <c r="K199" s="6">
        <v>1368.0</v>
      </c>
      <c r="L199" s="6" t="s">
        <v>2729</v>
      </c>
      <c r="M199" s="6" t="s">
        <v>2230</v>
      </c>
    </row>
    <row r="200" ht="22.5" customHeight="1">
      <c r="A200" s="14">
        <v>46172.89964162037</v>
      </c>
      <c r="B200" s="6" t="s">
        <v>2282</v>
      </c>
      <c r="C200" s="10" t="s">
        <v>933</v>
      </c>
      <c r="D200" s="13">
        <v>1.0</v>
      </c>
      <c r="E200" s="13">
        <v>10.0</v>
      </c>
      <c r="F200" s="13">
        <v>25.0</v>
      </c>
      <c r="G200" s="6">
        <v>25.0</v>
      </c>
      <c r="H200" s="6">
        <v>25.0</v>
      </c>
      <c r="I200" s="6">
        <v>15.0</v>
      </c>
      <c r="J200" s="10" t="s">
        <v>436</v>
      </c>
      <c r="K200" s="6">
        <v>1367.0</v>
      </c>
      <c r="L200" s="6" t="s">
        <v>2731</v>
      </c>
      <c r="M200" s="6" t="s">
        <v>2230</v>
      </c>
    </row>
    <row r="201" ht="22.5" customHeight="1">
      <c r="A201" s="14">
        <v>46172.899641365744</v>
      </c>
      <c r="B201" s="6" t="s">
        <v>2282</v>
      </c>
      <c r="C201" s="10" t="s">
        <v>336</v>
      </c>
      <c r="D201" s="13">
        <v>1.0</v>
      </c>
      <c r="E201" s="13">
        <v>100.0</v>
      </c>
      <c r="F201" s="13">
        <v>150.0</v>
      </c>
      <c r="G201" s="6">
        <v>150.0</v>
      </c>
      <c r="H201" s="6">
        <v>150.0</v>
      </c>
      <c r="I201" s="6">
        <v>50.0</v>
      </c>
      <c r="J201" s="10" t="s">
        <v>154</v>
      </c>
      <c r="K201" s="6">
        <v>1366.0</v>
      </c>
      <c r="L201" s="6" t="s">
        <v>2735</v>
      </c>
      <c r="M201" s="6" t="s">
        <v>2230</v>
      </c>
    </row>
    <row r="202" ht="22.5" customHeight="1">
      <c r="A202" s="14">
        <v>46172.899641157404</v>
      </c>
      <c r="B202" s="6" t="s">
        <v>2282</v>
      </c>
      <c r="C202" s="10" t="s">
        <v>749</v>
      </c>
      <c r="D202" s="13">
        <v>1.0</v>
      </c>
      <c r="E202" s="13">
        <v>150.0</v>
      </c>
      <c r="F202" s="13">
        <v>275.0</v>
      </c>
      <c r="G202" s="6">
        <v>275.0</v>
      </c>
      <c r="H202" s="6">
        <v>275.0</v>
      </c>
      <c r="I202" s="6">
        <v>125.0</v>
      </c>
      <c r="J202" s="10" t="s">
        <v>436</v>
      </c>
      <c r="K202" s="6">
        <v>1365.0</v>
      </c>
      <c r="L202" s="6" t="s">
        <v>2737</v>
      </c>
      <c r="M202" s="6" t="s">
        <v>2230</v>
      </c>
    </row>
    <row r="203" ht="22.5" customHeight="1">
      <c r="A203" s="14">
        <v>46172.8996408449</v>
      </c>
      <c r="B203" s="6" t="s">
        <v>2282</v>
      </c>
      <c r="C203" s="10" t="s">
        <v>482</v>
      </c>
      <c r="D203" s="13">
        <v>1.0</v>
      </c>
      <c r="E203" s="13">
        <v>200.0</v>
      </c>
      <c r="F203" s="13">
        <v>250.0</v>
      </c>
      <c r="G203" s="6">
        <v>250.0</v>
      </c>
      <c r="H203" s="6">
        <v>250.0</v>
      </c>
      <c r="I203" s="6">
        <v>50.0</v>
      </c>
      <c r="J203" s="10" t="s">
        <v>484</v>
      </c>
      <c r="K203" s="6">
        <v>1364.0</v>
      </c>
      <c r="L203" s="6" t="s">
        <v>2740</v>
      </c>
      <c r="M203" s="6" t="s">
        <v>2230</v>
      </c>
    </row>
    <row r="204" ht="22.5" customHeight="1">
      <c r="A204" s="14">
        <v>46172.899640497686</v>
      </c>
      <c r="B204" s="6" t="s">
        <v>2282</v>
      </c>
      <c r="C204" s="10" t="s">
        <v>1049</v>
      </c>
      <c r="D204" s="13">
        <v>1.0</v>
      </c>
      <c r="E204" s="13">
        <v>95.0</v>
      </c>
      <c r="F204" s="13">
        <v>140.0</v>
      </c>
      <c r="G204" s="6">
        <v>140.0</v>
      </c>
      <c r="H204" s="6">
        <v>140.0</v>
      </c>
      <c r="I204" s="6">
        <v>45.0</v>
      </c>
      <c r="J204" s="10" t="s">
        <v>154</v>
      </c>
      <c r="K204" s="6">
        <v>1363.0</v>
      </c>
      <c r="L204" s="6" t="s">
        <v>2744</v>
      </c>
      <c r="M204" s="6" t="s">
        <v>2230</v>
      </c>
    </row>
    <row r="205" ht="22.5" customHeight="1">
      <c r="A205" s="14">
        <v>46172.89964021991</v>
      </c>
      <c r="B205" s="6" t="s">
        <v>2282</v>
      </c>
      <c r="C205" s="10" t="s">
        <v>336</v>
      </c>
      <c r="D205" s="13">
        <v>1.0</v>
      </c>
      <c r="E205" s="13">
        <v>100.0</v>
      </c>
      <c r="F205" s="13">
        <v>150.0</v>
      </c>
      <c r="G205" s="6">
        <v>150.0</v>
      </c>
      <c r="H205" s="6">
        <v>150.0</v>
      </c>
      <c r="I205" s="6">
        <v>50.0</v>
      </c>
      <c r="J205" s="10" t="s">
        <v>154</v>
      </c>
      <c r="K205" s="6">
        <v>1362.0</v>
      </c>
      <c r="L205" s="6" t="s">
        <v>2748</v>
      </c>
      <c r="M205" s="6" t="s">
        <v>2230</v>
      </c>
    </row>
    <row r="206" ht="22.5" customHeight="1">
      <c r="A206" s="14">
        <v>46172.89963998843</v>
      </c>
      <c r="B206" s="6" t="s">
        <v>2282</v>
      </c>
      <c r="C206" s="10" t="s">
        <v>933</v>
      </c>
      <c r="D206" s="13">
        <v>1.0</v>
      </c>
      <c r="E206" s="13">
        <v>10.0</v>
      </c>
      <c r="F206" s="13">
        <v>50.0</v>
      </c>
      <c r="G206" s="6">
        <v>50.0</v>
      </c>
      <c r="H206" s="6">
        <v>50.0</v>
      </c>
      <c r="I206" s="6">
        <v>40.0</v>
      </c>
      <c r="J206" s="10" t="s">
        <v>436</v>
      </c>
      <c r="K206" s="6">
        <v>1361.0</v>
      </c>
      <c r="L206" s="6" t="s">
        <v>2751</v>
      </c>
      <c r="M206" s="6" t="s">
        <v>2230</v>
      </c>
    </row>
    <row r="207" ht="22.5" customHeight="1">
      <c r="A207" s="14">
        <v>46172.89963972222</v>
      </c>
      <c r="B207" s="6" t="s">
        <v>2282</v>
      </c>
      <c r="C207" s="10" t="s">
        <v>1151</v>
      </c>
      <c r="D207" s="13">
        <v>1.0</v>
      </c>
      <c r="E207" s="13">
        <v>90.0</v>
      </c>
      <c r="F207" s="13">
        <v>150.0</v>
      </c>
      <c r="G207" s="6">
        <v>150.0</v>
      </c>
      <c r="H207" s="6">
        <v>150.0</v>
      </c>
      <c r="I207" s="6">
        <v>60.0</v>
      </c>
      <c r="J207" s="10" t="s">
        <v>436</v>
      </c>
      <c r="K207" s="6">
        <v>1360.0</v>
      </c>
      <c r="L207" s="6" t="s">
        <v>2754</v>
      </c>
      <c r="M207" s="6" t="s">
        <v>2230</v>
      </c>
    </row>
    <row r="208" ht="22.5" customHeight="1">
      <c r="A208" s="14">
        <v>46172.899639525465</v>
      </c>
      <c r="B208" s="6" t="s">
        <v>2282</v>
      </c>
      <c r="C208" s="10" t="s">
        <v>309</v>
      </c>
      <c r="D208" s="13">
        <v>1.0</v>
      </c>
      <c r="E208" s="13">
        <v>20.0</v>
      </c>
      <c r="F208" s="13">
        <v>50.0</v>
      </c>
      <c r="G208" s="6">
        <v>50.0</v>
      </c>
      <c r="H208" s="6">
        <v>50.0</v>
      </c>
      <c r="I208" s="6">
        <v>30.0</v>
      </c>
      <c r="J208" s="10" t="s">
        <v>154</v>
      </c>
      <c r="K208" s="6">
        <v>1359.0</v>
      </c>
      <c r="L208" s="6" t="s">
        <v>2757</v>
      </c>
      <c r="M208" s="6" t="s">
        <v>2230</v>
      </c>
    </row>
    <row r="209" ht="22.5" customHeight="1">
      <c r="A209" s="14">
        <v>46172.89963929398</v>
      </c>
      <c r="B209" s="6" t="s">
        <v>2282</v>
      </c>
      <c r="C209" s="10" t="s">
        <v>303</v>
      </c>
      <c r="D209" s="13">
        <v>1.0</v>
      </c>
      <c r="E209" s="13">
        <v>70.0</v>
      </c>
      <c r="F209" s="13">
        <v>150.0</v>
      </c>
      <c r="G209" s="6">
        <v>150.0</v>
      </c>
      <c r="H209" s="6">
        <v>150.0</v>
      </c>
      <c r="I209" s="6">
        <v>80.0</v>
      </c>
      <c r="J209" s="10" t="s">
        <v>484</v>
      </c>
      <c r="K209" s="6">
        <v>1358.0</v>
      </c>
      <c r="L209" s="6" t="s">
        <v>2759</v>
      </c>
      <c r="M209" s="6" t="s">
        <v>2230</v>
      </c>
    </row>
    <row r="210" ht="22.5" hidden="1" customHeight="1">
      <c r="A210" s="37">
        <v>46026.88418454861</v>
      </c>
      <c r="B210" s="5" t="s">
        <v>2262</v>
      </c>
      <c r="C210" s="19" t="s">
        <v>717</v>
      </c>
      <c r="D210" s="17">
        <v>1.0</v>
      </c>
      <c r="E210" s="17">
        <v>80.0</v>
      </c>
      <c r="F210" s="5">
        <v>80.0</v>
      </c>
      <c r="G210" s="19" t="s">
        <v>1052</v>
      </c>
      <c r="H210" s="5">
        <v>360.0</v>
      </c>
      <c r="I210" s="5" t="s">
        <v>1057</v>
      </c>
      <c r="J210" s="5" t="s">
        <v>2761</v>
      </c>
      <c r="K210" s="5" t="s">
        <v>2230</v>
      </c>
      <c r="L210" s="5"/>
      <c r="M210" s="5"/>
    </row>
    <row r="211" ht="22.5" hidden="1" customHeight="1">
      <c r="A211" s="37">
        <v>46026.88418445602</v>
      </c>
      <c r="B211" s="5" t="s">
        <v>2262</v>
      </c>
      <c r="C211" s="19" t="s">
        <v>667</v>
      </c>
      <c r="D211" s="17">
        <v>2.0</v>
      </c>
      <c r="E211" s="17">
        <v>55.0</v>
      </c>
      <c r="F211" s="5">
        <v>110.0</v>
      </c>
      <c r="G211" s="19" t="s">
        <v>1052</v>
      </c>
      <c r="H211" s="5">
        <v>359.0</v>
      </c>
      <c r="I211" s="5" t="s">
        <v>1056</v>
      </c>
      <c r="J211" s="5" t="s">
        <v>2765</v>
      </c>
      <c r="K211" s="5" t="s">
        <v>2230</v>
      </c>
      <c r="L211" s="5"/>
      <c r="M211" s="5"/>
    </row>
    <row r="212" ht="22.5" hidden="1" customHeight="1">
      <c r="A212" s="37">
        <v>46026.88418436343</v>
      </c>
      <c r="B212" s="5" t="s">
        <v>2262</v>
      </c>
      <c r="C212" s="19" t="s">
        <v>662</v>
      </c>
      <c r="D212" s="17">
        <v>3.0</v>
      </c>
      <c r="E212" s="17">
        <v>50.0</v>
      </c>
      <c r="F212" s="5">
        <v>150.0</v>
      </c>
      <c r="G212" s="19" t="s">
        <v>1052</v>
      </c>
      <c r="H212" s="5">
        <v>358.0</v>
      </c>
      <c r="I212" s="5" t="s">
        <v>1053</v>
      </c>
      <c r="J212" s="5" t="s">
        <v>2769</v>
      </c>
      <c r="K212" s="5" t="s">
        <v>2230</v>
      </c>
      <c r="L212" s="5"/>
      <c r="M212" s="5"/>
    </row>
    <row r="213" ht="22.5" hidden="1" customHeight="1">
      <c r="A213" s="37">
        <v>46026.884184282404</v>
      </c>
      <c r="B213" s="5" t="s">
        <v>2262</v>
      </c>
      <c r="C213" s="19" t="s">
        <v>645</v>
      </c>
      <c r="D213" s="17">
        <v>50.0</v>
      </c>
      <c r="E213" s="17">
        <v>17.0</v>
      </c>
      <c r="F213" s="5">
        <v>850.0</v>
      </c>
      <c r="G213" s="19" t="s">
        <v>1052</v>
      </c>
      <c r="H213" s="5">
        <v>357.0</v>
      </c>
      <c r="I213" s="5" t="s">
        <v>1051</v>
      </c>
      <c r="J213" s="5" t="s">
        <v>2772</v>
      </c>
      <c r="K213" s="5" t="s">
        <v>2230</v>
      </c>
      <c r="L213" s="5"/>
      <c r="M213" s="5"/>
    </row>
    <row r="214" ht="22.5" hidden="1" customHeight="1">
      <c r="A214" s="37">
        <v>46026.88418420139</v>
      </c>
      <c r="B214" s="5" t="s">
        <v>2262</v>
      </c>
      <c r="C214" s="19" t="s">
        <v>216</v>
      </c>
      <c r="D214" s="17">
        <v>5.0</v>
      </c>
      <c r="E214" s="17">
        <v>50.0</v>
      </c>
      <c r="F214" s="5">
        <v>250.0</v>
      </c>
      <c r="G214" s="19" t="s">
        <v>51</v>
      </c>
      <c r="H214" s="5">
        <v>356.0</v>
      </c>
      <c r="I214" s="5" t="s">
        <v>1048</v>
      </c>
      <c r="J214" s="5" t="s">
        <v>2774</v>
      </c>
      <c r="K214" s="5" t="s">
        <v>2230</v>
      </c>
      <c r="L214" s="5"/>
      <c r="M214" s="5"/>
    </row>
    <row r="215" ht="22.5" hidden="1" customHeight="1">
      <c r="A215" s="37">
        <v>46026.884184131944</v>
      </c>
      <c r="B215" s="5" t="s">
        <v>2262</v>
      </c>
      <c r="C215" s="19" t="s">
        <v>1046</v>
      </c>
      <c r="D215" s="17">
        <v>12.0</v>
      </c>
      <c r="E215" s="17">
        <v>35.0</v>
      </c>
      <c r="F215" s="5">
        <v>420.0</v>
      </c>
      <c r="G215" s="19" t="s">
        <v>51</v>
      </c>
      <c r="H215" s="5">
        <v>355.0</v>
      </c>
      <c r="I215" s="5" t="s">
        <v>1045</v>
      </c>
      <c r="J215" s="5" t="s">
        <v>2776</v>
      </c>
      <c r="K215" s="5" t="s">
        <v>2230</v>
      </c>
      <c r="L215" s="5"/>
      <c r="M215" s="5"/>
    </row>
    <row r="216" ht="22.5" hidden="1" customHeight="1">
      <c r="A216" s="37">
        <v>46026.884184062495</v>
      </c>
      <c r="B216" s="5" t="s">
        <v>2262</v>
      </c>
      <c r="C216" s="19" t="s">
        <v>1010</v>
      </c>
      <c r="D216" s="17">
        <v>10.0</v>
      </c>
      <c r="E216" s="17">
        <v>15.0</v>
      </c>
      <c r="F216" s="5">
        <v>150.0</v>
      </c>
      <c r="G216" s="19" t="s">
        <v>51</v>
      </c>
      <c r="H216" s="5">
        <v>354.0</v>
      </c>
      <c r="I216" s="5" t="s">
        <v>1044</v>
      </c>
      <c r="J216" s="5" t="s">
        <v>2778</v>
      </c>
      <c r="K216" s="5" t="s">
        <v>2230</v>
      </c>
      <c r="L216" s="5"/>
      <c r="M216" s="5"/>
    </row>
    <row r="217" ht="22.5" hidden="1" customHeight="1">
      <c r="A217" s="37">
        <v>46026.88418400463</v>
      </c>
      <c r="B217" s="5" t="s">
        <v>2262</v>
      </c>
      <c r="C217" s="19" t="s">
        <v>1043</v>
      </c>
      <c r="D217" s="17">
        <v>6.0</v>
      </c>
      <c r="E217" s="17">
        <v>80.0</v>
      </c>
      <c r="F217" s="5">
        <v>480.0</v>
      </c>
      <c r="G217" s="19" t="s">
        <v>51</v>
      </c>
      <c r="H217" s="5">
        <v>353.0</v>
      </c>
      <c r="I217" s="5" t="s">
        <v>1042</v>
      </c>
      <c r="J217" s="5" t="s">
        <v>2780</v>
      </c>
      <c r="K217" s="5" t="s">
        <v>2230</v>
      </c>
      <c r="L217" s="5"/>
      <c r="M217" s="5"/>
    </row>
    <row r="218" ht="22.5" hidden="1" customHeight="1">
      <c r="A218" s="37">
        <v>46026.884183912036</v>
      </c>
      <c r="B218" s="5" t="s">
        <v>2262</v>
      </c>
      <c r="C218" s="19" t="s">
        <v>1041</v>
      </c>
      <c r="D218" s="17">
        <v>2.0</v>
      </c>
      <c r="E218" s="17">
        <v>35.0</v>
      </c>
      <c r="F218" s="5">
        <v>70.0</v>
      </c>
      <c r="G218" s="19" t="s">
        <v>51</v>
      </c>
      <c r="H218" s="5">
        <v>352.0</v>
      </c>
      <c r="I218" s="5" t="s">
        <v>1040</v>
      </c>
      <c r="J218" s="5" t="s">
        <v>2782</v>
      </c>
      <c r="K218" s="5" t="s">
        <v>2230</v>
      </c>
      <c r="L218" s="5"/>
      <c r="M218" s="5"/>
    </row>
    <row r="219" ht="22.5" hidden="1" customHeight="1">
      <c r="A219" s="37">
        <v>46026.884183842594</v>
      </c>
      <c r="B219" s="5" t="s">
        <v>2262</v>
      </c>
      <c r="C219" s="19" t="s">
        <v>638</v>
      </c>
      <c r="D219" s="17">
        <v>4.0</v>
      </c>
      <c r="E219" s="17">
        <v>100.0</v>
      </c>
      <c r="F219" s="5">
        <v>400.0</v>
      </c>
      <c r="G219" s="19" t="s">
        <v>51</v>
      </c>
      <c r="H219" s="5">
        <v>351.0</v>
      </c>
      <c r="I219" s="5" t="s">
        <v>1039</v>
      </c>
      <c r="J219" s="5" t="s">
        <v>2786</v>
      </c>
      <c r="K219" s="5" t="s">
        <v>2230</v>
      </c>
      <c r="L219" s="5"/>
      <c r="M219" s="5"/>
    </row>
    <row r="220" ht="22.5" hidden="1" customHeight="1">
      <c r="A220" s="37">
        <v>46026.88418376158</v>
      </c>
      <c r="B220" s="5" t="s">
        <v>2262</v>
      </c>
      <c r="C220" s="19" t="s">
        <v>356</v>
      </c>
      <c r="D220" s="17">
        <v>12.0</v>
      </c>
      <c r="E220" s="17">
        <v>85.0</v>
      </c>
      <c r="F220" s="5">
        <v>1020.0</v>
      </c>
      <c r="G220" s="19" t="s">
        <v>51</v>
      </c>
      <c r="H220" s="5">
        <v>350.0</v>
      </c>
      <c r="I220" s="19"/>
      <c r="J220" s="5" t="s">
        <v>2788</v>
      </c>
      <c r="K220" s="5" t="s">
        <v>2230</v>
      </c>
      <c r="L220" s="5"/>
      <c r="M220" s="5"/>
    </row>
    <row r="221" ht="22.5" hidden="1" customHeight="1">
      <c r="A221" s="14">
        <v>46094.803730740736</v>
      </c>
      <c r="B221" s="6" t="s">
        <v>2225</v>
      </c>
      <c r="C221" s="10" t="s">
        <v>454</v>
      </c>
      <c r="D221" s="13">
        <v>1.0</v>
      </c>
      <c r="E221" s="13">
        <v>0.0</v>
      </c>
      <c r="F221" s="13"/>
      <c r="G221" s="6"/>
      <c r="H221" s="6">
        <v>0.0</v>
      </c>
      <c r="I221" s="6"/>
      <c r="J221" s="6" t="s">
        <v>54</v>
      </c>
      <c r="K221" s="10"/>
      <c r="L221" s="6" t="s">
        <v>2228</v>
      </c>
      <c r="M221" s="6" t="s">
        <v>2230</v>
      </c>
    </row>
    <row r="222" ht="22.5" hidden="1" customHeight="1">
      <c r="A222" s="14">
        <v>46094.803724212965</v>
      </c>
      <c r="B222" s="6" t="s">
        <v>2225</v>
      </c>
      <c r="C222" s="10" t="s">
        <v>983</v>
      </c>
      <c r="D222" s="13">
        <v>1.0</v>
      </c>
      <c r="E222" s="13">
        <v>275.0</v>
      </c>
      <c r="F222" s="13"/>
      <c r="G222" s="6"/>
      <c r="H222" s="6">
        <v>275.0</v>
      </c>
      <c r="I222" s="6"/>
      <c r="J222" s="6" t="s">
        <v>54</v>
      </c>
      <c r="K222" s="10" t="s">
        <v>2792</v>
      </c>
      <c r="L222" s="6" t="s">
        <v>2228</v>
      </c>
      <c r="M222" s="6" t="s">
        <v>2230</v>
      </c>
    </row>
    <row r="223" ht="22.5" hidden="1" customHeight="1">
      <c r="A223" s="14">
        <v>46094.80372309028</v>
      </c>
      <c r="B223" s="6" t="s">
        <v>2234</v>
      </c>
      <c r="C223" s="10" t="s">
        <v>307</v>
      </c>
      <c r="D223" s="13">
        <v>1.0</v>
      </c>
      <c r="E223" s="13">
        <v>275.0</v>
      </c>
      <c r="F223" s="13"/>
      <c r="G223" s="6"/>
      <c r="H223" s="6">
        <v>275.0</v>
      </c>
      <c r="I223" s="6"/>
      <c r="J223" s="10" t="s">
        <v>31</v>
      </c>
      <c r="K223" s="10" t="s">
        <v>2792</v>
      </c>
      <c r="L223" s="6" t="s">
        <v>2237</v>
      </c>
      <c r="M223" s="6" t="s">
        <v>2230</v>
      </c>
    </row>
    <row r="224" ht="22.5" hidden="1" customHeight="1">
      <c r="A224" s="14">
        <v>46092.98072305556</v>
      </c>
      <c r="B224" s="6" t="s">
        <v>2225</v>
      </c>
      <c r="C224" s="10" t="s">
        <v>77</v>
      </c>
      <c r="D224" s="13">
        <v>2.0</v>
      </c>
      <c r="E224" s="13">
        <v>290.0</v>
      </c>
      <c r="F224" s="13"/>
      <c r="G224" s="6"/>
      <c r="H224" s="6">
        <v>580.0</v>
      </c>
      <c r="I224" s="6"/>
      <c r="J224" s="6" t="s">
        <v>54</v>
      </c>
      <c r="K224" s="10" t="s">
        <v>2795</v>
      </c>
      <c r="L224" s="6" t="s">
        <v>2228</v>
      </c>
      <c r="M224" s="6" t="s">
        <v>2230</v>
      </c>
    </row>
    <row r="225" ht="22.5" hidden="1" customHeight="1">
      <c r="A225" s="14">
        <v>46092.98072270834</v>
      </c>
      <c r="B225" s="6" t="s">
        <v>2234</v>
      </c>
      <c r="C225" s="10" t="s">
        <v>933</v>
      </c>
      <c r="D225" s="13">
        <v>2.0</v>
      </c>
      <c r="E225" s="13">
        <v>10.0</v>
      </c>
      <c r="F225" s="13"/>
      <c r="G225" s="6"/>
      <c r="H225" s="6">
        <v>20.0</v>
      </c>
      <c r="I225" s="6"/>
      <c r="J225" s="10" t="s">
        <v>436</v>
      </c>
      <c r="K225" s="10" t="s">
        <v>2795</v>
      </c>
      <c r="L225" s="6" t="s">
        <v>2237</v>
      </c>
      <c r="M225" s="6" t="s">
        <v>2230</v>
      </c>
    </row>
    <row r="226" ht="22.5" hidden="1" customHeight="1">
      <c r="A226" s="14">
        <v>46092.98072260417</v>
      </c>
      <c r="B226" s="6" t="s">
        <v>2234</v>
      </c>
      <c r="C226" s="10" t="s">
        <v>91</v>
      </c>
      <c r="D226" s="13">
        <v>2.0</v>
      </c>
      <c r="E226" s="13">
        <v>35.0</v>
      </c>
      <c r="F226" s="13"/>
      <c r="G226" s="6"/>
      <c r="H226" s="6">
        <v>70.0</v>
      </c>
      <c r="I226" s="6"/>
      <c r="J226" s="10" t="s">
        <v>436</v>
      </c>
      <c r="K226" s="10" t="s">
        <v>2795</v>
      </c>
      <c r="L226" s="6" t="s">
        <v>2237</v>
      </c>
      <c r="M226" s="6" t="s">
        <v>2230</v>
      </c>
    </row>
    <row r="227" ht="22.5" hidden="1" customHeight="1">
      <c r="A227" s="14">
        <v>46092.98072216436</v>
      </c>
      <c r="B227" s="6" t="s">
        <v>2234</v>
      </c>
      <c r="C227" s="10" t="s">
        <v>926</v>
      </c>
      <c r="D227" s="13">
        <v>2.0</v>
      </c>
      <c r="E227" s="13">
        <v>20.0</v>
      </c>
      <c r="F227" s="13"/>
      <c r="G227" s="6"/>
      <c r="H227" s="6">
        <v>40.0</v>
      </c>
      <c r="I227" s="6"/>
      <c r="J227" s="10" t="s">
        <v>436</v>
      </c>
      <c r="K227" s="10" t="s">
        <v>2795</v>
      </c>
      <c r="L227" s="6" t="s">
        <v>2237</v>
      </c>
      <c r="M227" s="6" t="s">
        <v>2230</v>
      </c>
    </row>
    <row r="228" ht="22.5" hidden="1" customHeight="1">
      <c r="A228" s="14">
        <v>46092.98072203704</v>
      </c>
      <c r="B228" s="6" t="s">
        <v>2234</v>
      </c>
      <c r="C228" s="10" t="s">
        <v>946</v>
      </c>
      <c r="D228" s="13">
        <v>6.0</v>
      </c>
      <c r="E228" s="13">
        <v>75.0</v>
      </c>
      <c r="F228" s="13"/>
      <c r="G228" s="6"/>
      <c r="H228" s="6">
        <v>450.0</v>
      </c>
      <c r="I228" s="6"/>
      <c r="J228" s="10" t="s">
        <v>51</v>
      </c>
      <c r="K228" s="10" t="s">
        <v>2795</v>
      </c>
      <c r="L228" s="6" t="s">
        <v>2237</v>
      </c>
      <c r="M228" s="6" t="s">
        <v>2230</v>
      </c>
    </row>
    <row r="229" ht="22.5" hidden="1" customHeight="1">
      <c r="A229" s="14">
        <v>46092.97930954861</v>
      </c>
      <c r="B229" s="6" t="s">
        <v>2225</v>
      </c>
      <c r="C229" s="10" t="s">
        <v>77</v>
      </c>
      <c r="D229" s="13">
        <v>2.0</v>
      </c>
      <c r="E229" s="13">
        <v>65.0</v>
      </c>
      <c r="F229" s="13"/>
      <c r="G229" s="6"/>
      <c r="H229" s="6">
        <v>130.0</v>
      </c>
      <c r="I229" s="6"/>
      <c r="J229" s="6" t="s">
        <v>54</v>
      </c>
      <c r="K229" s="10" t="s">
        <v>2795</v>
      </c>
      <c r="L229" s="6" t="s">
        <v>2228</v>
      </c>
      <c r="M229" s="6" t="s">
        <v>2230</v>
      </c>
    </row>
    <row r="230" ht="22.5" hidden="1" customHeight="1">
      <c r="A230" s="14">
        <v>46092.979309201386</v>
      </c>
      <c r="B230" s="6" t="s">
        <v>2234</v>
      </c>
      <c r="C230" s="10" t="s">
        <v>933</v>
      </c>
      <c r="D230" s="13">
        <v>2.0</v>
      </c>
      <c r="E230" s="13">
        <v>10.0</v>
      </c>
      <c r="F230" s="13"/>
      <c r="G230" s="6"/>
      <c r="H230" s="6">
        <v>20.0</v>
      </c>
      <c r="I230" s="6"/>
      <c r="J230" s="10" t="s">
        <v>436</v>
      </c>
      <c r="K230" s="10" t="s">
        <v>2795</v>
      </c>
      <c r="L230" s="6" t="s">
        <v>2237</v>
      </c>
      <c r="M230" s="6" t="s">
        <v>2230</v>
      </c>
    </row>
    <row r="231" ht="22.5" hidden="1" customHeight="1">
      <c r="A231" s="14">
        <v>46092.97930909722</v>
      </c>
      <c r="B231" s="6" t="s">
        <v>2234</v>
      </c>
      <c r="C231" s="10" t="s">
        <v>91</v>
      </c>
      <c r="D231" s="13">
        <v>2.0</v>
      </c>
      <c r="E231" s="13">
        <v>35.0</v>
      </c>
      <c r="F231" s="13"/>
      <c r="G231" s="6"/>
      <c r="H231" s="6">
        <v>70.0</v>
      </c>
      <c r="I231" s="6"/>
      <c r="J231" s="10" t="s">
        <v>436</v>
      </c>
      <c r="K231" s="10" t="s">
        <v>2795</v>
      </c>
      <c r="L231" s="6" t="s">
        <v>2237</v>
      </c>
      <c r="M231" s="6" t="s">
        <v>2230</v>
      </c>
    </row>
    <row r="232" ht="22.5" hidden="1" customHeight="1">
      <c r="A232" s="14">
        <v>46092.97930893519</v>
      </c>
      <c r="B232" s="6" t="s">
        <v>2234</v>
      </c>
      <c r="C232" s="10" t="s">
        <v>926</v>
      </c>
      <c r="D232" s="13">
        <v>2.0</v>
      </c>
      <c r="E232" s="13">
        <v>20.0</v>
      </c>
      <c r="F232" s="13"/>
      <c r="G232" s="6"/>
      <c r="H232" s="6">
        <v>40.0</v>
      </c>
      <c r="I232" s="6"/>
      <c r="J232" s="10" t="s">
        <v>436</v>
      </c>
      <c r="K232" s="10" t="s">
        <v>2795</v>
      </c>
      <c r="L232" s="6" t="s">
        <v>2237</v>
      </c>
      <c r="M232" s="6" t="s">
        <v>2230</v>
      </c>
    </row>
    <row r="233" ht="22.5" customHeight="1">
      <c r="A233" s="14">
        <v>46172.89963901621</v>
      </c>
      <c r="B233" s="6" t="s">
        <v>2282</v>
      </c>
      <c r="C233" s="10" t="s">
        <v>309</v>
      </c>
      <c r="D233" s="13">
        <v>1.0</v>
      </c>
      <c r="E233" s="13">
        <v>20.0</v>
      </c>
      <c r="F233" s="13">
        <v>50.0</v>
      </c>
      <c r="G233" s="6">
        <v>50.0</v>
      </c>
      <c r="H233" s="6">
        <v>50.0</v>
      </c>
      <c r="I233" s="6">
        <v>30.0</v>
      </c>
      <c r="J233" s="10" t="s">
        <v>154</v>
      </c>
      <c r="K233" s="6">
        <v>1357.0</v>
      </c>
      <c r="L233" s="6" t="s">
        <v>2818</v>
      </c>
      <c r="M233" s="6" t="s">
        <v>2230</v>
      </c>
    </row>
    <row r="234" ht="22.5" customHeight="1">
      <c r="A234" s="14">
        <v>46172.899638773146</v>
      </c>
      <c r="B234" s="6" t="s">
        <v>2282</v>
      </c>
      <c r="C234" s="10" t="s">
        <v>303</v>
      </c>
      <c r="D234" s="13">
        <v>1.0</v>
      </c>
      <c r="E234" s="13">
        <v>70.0</v>
      </c>
      <c r="F234" s="13">
        <v>125.0</v>
      </c>
      <c r="G234" s="6">
        <v>125.0</v>
      </c>
      <c r="H234" s="6">
        <v>125.0</v>
      </c>
      <c r="I234" s="6">
        <v>55.0</v>
      </c>
      <c r="J234" s="10" t="s">
        <v>484</v>
      </c>
      <c r="K234" s="6">
        <v>1356.0</v>
      </c>
      <c r="L234" s="6" t="s">
        <v>2821</v>
      </c>
      <c r="M234" s="6" t="s">
        <v>2230</v>
      </c>
    </row>
    <row r="235" ht="22.5" customHeight="1">
      <c r="A235" s="14">
        <v>46172.89963850695</v>
      </c>
      <c r="B235" s="6" t="s">
        <v>2282</v>
      </c>
      <c r="C235" s="10" t="s">
        <v>1055</v>
      </c>
      <c r="D235" s="13">
        <v>1.0</v>
      </c>
      <c r="E235" s="13">
        <v>11.0</v>
      </c>
      <c r="F235" s="13">
        <v>10.0</v>
      </c>
      <c r="G235" s="6">
        <v>10.0</v>
      </c>
      <c r="H235" s="6">
        <v>10.0</v>
      </c>
      <c r="I235" s="6">
        <v>-1.0</v>
      </c>
      <c r="J235" s="10" t="s">
        <v>119</v>
      </c>
      <c r="K235" s="6">
        <v>1355.0</v>
      </c>
      <c r="L235" s="6" t="s">
        <v>2823</v>
      </c>
      <c r="M235" s="6" t="s">
        <v>2230</v>
      </c>
    </row>
    <row r="236" ht="22.5" customHeight="1">
      <c r="A236" s="14">
        <v>46172.89963824074</v>
      </c>
      <c r="B236" s="6" t="s">
        <v>2282</v>
      </c>
      <c r="C236" s="10" t="s">
        <v>693</v>
      </c>
      <c r="D236" s="13">
        <v>1.0</v>
      </c>
      <c r="E236" s="13">
        <v>160.0</v>
      </c>
      <c r="F236" s="13">
        <v>200.0</v>
      </c>
      <c r="G236" s="6">
        <v>200.0</v>
      </c>
      <c r="H236" s="6">
        <v>200.0</v>
      </c>
      <c r="I236" s="6">
        <v>40.0</v>
      </c>
      <c r="J236" s="10" t="s">
        <v>119</v>
      </c>
      <c r="K236" s="6">
        <v>1354.0</v>
      </c>
      <c r="L236" s="6" t="s">
        <v>2826</v>
      </c>
      <c r="M236" s="6" t="s">
        <v>2230</v>
      </c>
    </row>
    <row r="237" ht="22.5" customHeight="1">
      <c r="A237" s="14">
        <v>46172.899638020834</v>
      </c>
      <c r="B237" s="6" t="s">
        <v>2282</v>
      </c>
      <c r="C237" s="10" t="s">
        <v>91</v>
      </c>
      <c r="D237" s="13">
        <v>1.0</v>
      </c>
      <c r="E237" s="13">
        <v>35.0</v>
      </c>
      <c r="F237" s="13">
        <v>50.0</v>
      </c>
      <c r="G237" s="6">
        <v>50.0</v>
      </c>
      <c r="H237" s="6">
        <v>50.0</v>
      </c>
      <c r="I237" s="6">
        <v>15.0</v>
      </c>
      <c r="J237" s="10" t="s">
        <v>436</v>
      </c>
      <c r="K237" s="6">
        <v>1353.0</v>
      </c>
      <c r="L237" s="6" t="s">
        <v>2830</v>
      </c>
      <c r="M237" s="6" t="s">
        <v>2230</v>
      </c>
    </row>
    <row r="238" ht="22.5" customHeight="1">
      <c r="A238" s="14">
        <v>46172.89963770834</v>
      </c>
      <c r="B238" s="6" t="s">
        <v>2282</v>
      </c>
      <c r="C238" s="10" t="s">
        <v>902</v>
      </c>
      <c r="D238" s="13">
        <v>1.0</v>
      </c>
      <c r="E238" s="13">
        <v>90.29</v>
      </c>
      <c r="F238" s="13">
        <v>130.0</v>
      </c>
      <c r="G238" s="6">
        <v>130.0</v>
      </c>
      <c r="H238" s="6">
        <v>130.0</v>
      </c>
      <c r="I238" s="6">
        <v>39.71</v>
      </c>
      <c r="J238" s="10" t="s">
        <v>154</v>
      </c>
      <c r="K238" s="6">
        <v>1351.0</v>
      </c>
      <c r="L238" s="6" t="s">
        <v>2832</v>
      </c>
      <c r="M238" s="6" t="s">
        <v>2230</v>
      </c>
    </row>
    <row r="239" ht="22.5" customHeight="1">
      <c r="A239" s="14">
        <v>46172.899637152776</v>
      </c>
      <c r="B239" s="6" t="s">
        <v>2282</v>
      </c>
      <c r="C239" s="10" t="s">
        <v>1156</v>
      </c>
      <c r="D239" s="13">
        <v>3.0</v>
      </c>
      <c r="E239" s="13">
        <v>12.5</v>
      </c>
      <c r="F239" s="13">
        <v>25.0</v>
      </c>
      <c r="G239" s="6">
        <v>25.0</v>
      </c>
      <c r="H239" s="6">
        <v>75.0</v>
      </c>
      <c r="I239" s="6">
        <v>37.5</v>
      </c>
      <c r="J239" s="6" t="s">
        <v>54</v>
      </c>
      <c r="K239" s="6">
        <v>1350.0</v>
      </c>
      <c r="L239" s="6" t="s">
        <v>2834</v>
      </c>
      <c r="M239" s="6" t="s">
        <v>2230</v>
      </c>
    </row>
    <row r="240" ht="22.5" customHeight="1">
      <c r="A240" s="14">
        <v>46172.89963672454</v>
      </c>
      <c r="B240" s="6" t="s">
        <v>2282</v>
      </c>
      <c r="C240" s="10" t="s">
        <v>306</v>
      </c>
      <c r="D240" s="13">
        <v>2.0</v>
      </c>
      <c r="E240" s="13">
        <v>9.17</v>
      </c>
      <c r="F240" s="13">
        <v>25.0</v>
      </c>
      <c r="G240" s="6">
        <v>25.0</v>
      </c>
      <c r="H240" s="6">
        <v>50.0</v>
      </c>
      <c r="I240" s="6">
        <v>31.66</v>
      </c>
      <c r="J240" s="10" t="s">
        <v>51</v>
      </c>
      <c r="K240" s="6">
        <v>1349.0</v>
      </c>
      <c r="L240" s="6" t="s">
        <v>2838</v>
      </c>
      <c r="M240" s="6" t="s">
        <v>2230</v>
      </c>
    </row>
    <row r="241" ht="22.5" customHeight="1">
      <c r="A241" s="14">
        <v>46172.89963629629</v>
      </c>
      <c r="B241" s="6" t="s">
        <v>2282</v>
      </c>
      <c r="C241" s="10" t="s">
        <v>222</v>
      </c>
      <c r="D241" s="13">
        <v>1.0</v>
      </c>
      <c r="E241" s="13">
        <v>338.0</v>
      </c>
      <c r="F241" s="13">
        <v>500.0</v>
      </c>
      <c r="G241" s="6">
        <v>500.0</v>
      </c>
      <c r="H241" s="6">
        <v>500.0</v>
      </c>
      <c r="I241" s="6">
        <v>162.0</v>
      </c>
      <c r="J241" s="10" t="s">
        <v>119</v>
      </c>
      <c r="K241" s="6">
        <v>1348.0</v>
      </c>
      <c r="L241" s="6" t="s">
        <v>2841</v>
      </c>
      <c r="M241" s="6" t="s">
        <v>2230</v>
      </c>
    </row>
    <row r="242" ht="22.5" customHeight="1">
      <c r="A242" s="14">
        <v>46172.89963590278</v>
      </c>
      <c r="B242" s="6" t="s">
        <v>2282</v>
      </c>
      <c r="C242" s="10" t="s">
        <v>309</v>
      </c>
      <c r="D242" s="13">
        <v>1.0</v>
      </c>
      <c r="E242" s="13">
        <v>20.0</v>
      </c>
      <c r="F242" s="13">
        <v>50.0</v>
      </c>
      <c r="G242" s="6">
        <v>50.0</v>
      </c>
      <c r="H242" s="6">
        <v>50.0</v>
      </c>
      <c r="I242" s="6">
        <v>30.0</v>
      </c>
      <c r="J242" s="10" t="s">
        <v>154</v>
      </c>
      <c r="K242" s="6">
        <v>1224.0</v>
      </c>
      <c r="L242" s="6" t="s">
        <v>2844</v>
      </c>
      <c r="M242" s="6" t="s">
        <v>2230</v>
      </c>
    </row>
    <row r="243" ht="22.5" customHeight="1">
      <c r="A243" s="14">
        <v>46172.89963550926</v>
      </c>
      <c r="B243" s="6" t="s">
        <v>2282</v>
      </c>
      <c r="C243" s="10" t="s">
        <v>670</v>
      </c>
      <c r="D243" s="13">
        <v>1.0</v>
      </c>
      <c r="E243" s="13">
        <v>12.11</v>
      </c>
      <c r="F243" s="13">
        <v>30.0</v>
      </c>
      <c r="G243" s="6">
        <v>30.0</v>
      </c>
      <c r="H243" s="6">
        <v>30.0</v>
      </c>
      <c r="I243" s="6">
        <v>17.89</v>
      </c>
      <c r="J243" s="10" t="s">
        <v>154</v>
      </c>
      <c r="K243" s="6">
        <v>1198.0</v>
      </c>
      <c r="L243" s="6" t="s">
        <v>2847</v>
      </c>
      <c r="M243" s="6" t="s">
        <v>2230</v>
      </c>
    </row>
    <row r="244" ht="22.5" customHeight="1">
      <c r="A244" s="14">
        <v>46172.862369236114</v>
      </c>
      <c r="B244" s="6" t="s">
        <v>2282</v>
      </c>
      <c r="C244" s="10" t="s">
        <v>930</v>
      </c>
      <c r="D244" s="13">
        <v>2.0</v>
      </c>
      <c r="E244" s="13">
        <v>90.0</v>
      </c>
      <c r="F244" s="13">
        <v>140.0</v>
      </c>
      <c r="G244" s="6">
        <v>140.0</v>
      </c>
      <c r="H244" s="6">
        <v>280.0</v>
      </c>
      <c r="I244" s="6">
        <v>100.0</v>
      </c>
      <c r="J244" s="10" t="s">
        <v>1059</v>
      </c>
      <c r="K244" s="6">
        <v>1338.0</v>
      </c>
      <c r="L244" s="6" t="s">
        <v>2850</v>
      </c>
      <c r="M244" s="6" t="s">
        <v>2230</v>
      </c>
    </row>
    <row r="245" ht="22.5" hidden="1" customHeight="1">
      <c r="A245" s="14">
        <v>46107.12638505787</v>
      </c>
      <c r="B245" s="6" t="s">
        <v>2225</v>
      </c>
      <c r="C245" s="10" t="s">
        <v>34</v>
      </c>
      <c r="D245" s="13">
        <v>6.0</v>
      </c>
      <c r="E245" s="13">
        <v>90.0</v>
      </c>
      <c r="F245" s="13"/>
      <c r="G245" s="6"/>
      <c r="H245" s="6">
        <v>540.0</v>
      </c>
      <c r="I245" s="6"/>
      <c r="J245" s="6" t="s">
        <v>54</v>
      </c>
      <c r="K245" s="10" t="s">
        <v>2852</v>
      </c>
      <c r="L245" s="6" t="s">
        <v>2228</v>
      </c>
      <c r="M245" s="6" t="s">
        <v>2230</v>
      </c>
    </row>
    <row r="246" ht="22.5" hidden="1" customHeight="1">
      <c r="A246" s="14">
        <v>46107.12638300926</v>
      </c>
      <c r="B246" s="6" t="s">
        <v>2234</v>
      </c>
      <c r="C246" s="10" t="s">
        <v>933</v>
      </c>
      <c r="D246" s="13">
        <v>6.0</v>
      </c>
      <c r="E246" s="13">
        <v>10.0</v>
      </c>
      <c r="F246" s="13"/>
      <c r="G246" s="6"/>
      <c r="H246" s="6">
        <v>60.0</v>
      </c>
      <c r="I246" s="6"/>
      <c r="J246" s="10" t="s">
        <v>436</v>
      </c>
      <c r="K246" s="10" t="s">
        <v>2852</v>
      </c>
      <c r="L246" s="6" t="s">
        <v>2237</v>
      </c>
      <c r="M246" s="6" t="s">
        <v>2230</v>
      </c>
    </row>
    <row r="247" ht="22.5" hidden="1" customHeight="1">
      <c r="A247" s="14">
        <v>46107.12638290509</v>
      </c>
      <c r="B247" s="6" t="s">
        <v>2234</v>
      </c>
      <c r="C247" s="10" t="s">
        <v>929</v>
      </c>
      <c r="D247" s="13">
        <v>6.0</v>
      </c>
      <c r="E247" s="13">
        <v>20.0</v>
      </c>
      <c r="F247" s="13"/>
      <c r="G247" s="6"/>
      <c r="H247" s="6">
        <v>120.0</v>
      </c>
      <c r="I247" s="6"/>
      <c r="J247" s="10" t="s">
        <v>436</v>
      </c>
      <c r="K247" s="10" t="s">
        <v>2852</v>
      </c>
      <c r="L247" s="6" t="s">
        <v>2237</v>
      </c>
      <c r="M247" s="6" t="s">
        <v>2230</v>
      </c>
    </row>
    <row r="248" ht="22.5" hidden="1" customHeight="1">
      <c r="A248" s="14">
        <v>46107.126382800925</v>
      </c>
      <c r="B248" s="6" t="s">
        <v>2234</v>
      </c>
      <c r="C248" s="10" t="s">
        <v>533</v>
      </c>
      <c r="D248" s="13">
        <v>2.0</v>
      </c>
      <c r="E248" s="13">
        <v>180.0</v>
      </c>
      <c r="F248" s="13"/>
      <c r="G248" s="6"/>
      <c r="H248" s="6">
        <v>360.0</v>
      </c>
      <c r="I248" s="6"/>
      <c r="J248" s="10" t="s">
        <v>534</v>
      </c>
      <c r="K248" s="10" t="s">
        <v>2852</v>
      </c>
      <c r="L248" s="6" t="s">
        <v>2237</v>
      </c>
      <c r="M248" s="6" t="s">
        <v>2230</v>
      </c>
    </row>
    <row r="249" ht="22.5" hidden="1" customHeight="1">
      <c r="A249" s="37">
        <v>46018.85592700231</v>
      </c>
      <c r="B249" s="5" t="s">
        <v>2262</v>
      </c>
      <c r="C249" s="19" t="s">
        <v>646</v>
      </c>
      <c r="D249" s="17">
        <v>1.0</v>
      </c>
      <c r="E249" s="17">
        <v>166.0</v>
      </c>
      <c r="F249" s="5">
        <v>166.0</v>
      </c>
      <c r="G249" s="19" t="s">
        <v>119</v>
      </c>
      <c r="H249" s="5">
        <v>333.0</v>
      </c>
      <c r="I249" s="5" t="s">
        <v>1007</v>
      </c>
      <c r="J249" s="5" t="s">
        <v>2861</v>
      </c>
      <c r="K249" s="5" t="s">
        <v>2230</v>
      </c>
      <c r="L249" s="5"/>
      <c r="M249" s="5"/>
    </row>
    <row r="250" ht="22.5" hidden="1" customHeight="1">
      <c r="A250" s="37">
        <v>46018.85592690972</v>
      </c>
      <c r="B250" s="5" t="s">
        <v>2262</v>
      </c>
      <c r="C250" s="19" t="s">
        <v>740</v>
      </c>
      <c r="D250" s="17">
        <v>1.0</v>
      </c>
      <c r="E250" s="17">
        <v>137.5</v>
      </c>
      <c r="F250" s="5">
        <v>137.5</v>
      </c>
      <c r="G250" s="19" t="s">
        <v>119</v>
      </c>
      <c r="H250" s="5">
        <v>332.0</v>
      </c>
      <c r="I250" s="5" t="s">
        <v>1005</v>
      </c>
      <c r="J250" s="5" t="s">
        <v>2865</v>
      </c>
      <c r="K250" s="5" t="s">
        <v>2230</v>
      </c>
      <c r="L250" s="5"/>
      <c r="M250" s="5"/>
    </row>
    <row r="251" ht="22.5" hidden="1" customHeight="1">
      <c r="A251" s="37">
        <v>46018.85592681713</v>
      </c>
      <c r="B251" s="5" t="s">
        <v>2262</v>
      </c>
      <c r="C251" s="19" t="s">
        <v>643</v>
      </c>
      <c r="D251" s="17">
        <v>1.0</v>
      </c>
      <c r="E251" s="17">
        <v>166.0</v>
      </c>
      <c r="F251" s="5">
        <v>166.0</v>
      </c>
      <c r="G251" s="19" t="s">
        <v>119</v>
      </c>
      <c r="H251" s="5">
        <v>331.0</v>
      </c>
      <c r="I251" s="5" t="s">
        <v>1003</v>
      </c>
      <c r="J251" s="5" t="s">
        <v>2868</v>
      </c>
      <c r="K251" s="5" t="s">
        <v>2230</v>
      </c>
      <c r="L251" s="5"/>
      <c r="M251" s="5"/>
    </row>
    <row r="252" ht="22.5" hidden="1" customHeight="1">
      <c r="A252" s="37">
        <v>46018.85592672454</v>
      </c>
      <c r="B252" s="5" t="s">
        <v>2262</v>
      </c>
      <c r="C252" s="19" t="s">
        <v>950</v>
      </c>
      <c r="D252" s="17">
        <v>2.0</v>
      </c>
      <c r="E252" s="17">
        <v>72.0</v>
      </c>
      <c r="F252" s="5">
        <v>144.0</v>
      </c>
      <c r="G252" s="19" t="s">
        <v>119</v>
      </c>
      <c r="H252" s="5">
        <v>330.0</v>
      </c>
      <c r="I252" s="5" t="s">
        <v>1002</v>
      </c>
      <c r="J252" s="5" t="s">
        <v>2871</v>
      </c>
      <c r="K252" s="5" t="s">
        <v>2230</v>
      </c>
      <c r="L252" s="5"/>
      <c r="M252" s="5"/>
    </row>
    <row r="253" ht="22.5" hidden="1" customHeight="1">
      <c r="A253" s="37">
        <v>46018.85592659722</v>
      </c>
      <c r="B253" s="5" t="s">
        <v>2262</v>
      </c>
      <c r="C253" s="19" t="s">
        <v>913</v>
      </c>
      <c r="D253" s="17">
        <v>1.0</v>
      </c>
      <c r="E253" s="17">
        <v>130.0</v>
      </c>
      <c r="F253" s="5">
        <v>130.0</v>
      </c>
      <c r="G253" s="19" t="s">
        <v>119</v>
      </c>
      <c r="H253" s="5">
        <v>329.0</v>
      </c>
      <c r="I253" s="5" t="s">
        <v>1001</v>
      </c>
      <c r="J253" s="5" t="s">
        <v>2875</v>
      </c>
      <c r="K253" s="5" t="s">
        <v>2230</v>
      </c>
      <c r="L253" s="5"/>
      <c r="M253" s="5"/>
    </row>
    <row r="254" ht="22.5" hidden="1" customHeight="1">
      <c r="A254" s="37">
        <v>46018.85592644676</v>
      </c>
      <c r="B254" s="5" t="s">
        <v>2262</v>
      </c>
      <c r="C254" s="19" t="s">
        <v>826</v>
      </c>
      <c r="D254" s="17">
        <v>1.0</v>
      </c>
      <c r="E254" s="17">
        <v>140.0</v>
      </c>
      <c r="F254" s="5">
        <v>140.0</v>
      </c>
      <c r="G254" s="19" t="s">
        <v>119</v>
      </c>
      <c r="H254" s="5">
        <v>328.0</v>
      </c>
      <c r="I254" s="5" t="s">
        <v>999</v>
      </c>
      <c r="J254" s="5" t="s">
        <v>2878</v>
      </c>
      <c r="K254" s="5" t="s">
        <v>2230</v>
      </c>
      <c r="L254" s="5"/>
      <c r="M254" s="5"/>
    </row>
    <row r="255" ht="22.5" hidden="1" customHeight="1">
      <c r="A255" s="37">
        <v>46018.85592636574</v>
      </c>
      <c r="B255" s="5" t="s">
        <v>2262</v>
      </c>
      <c r="C255" s="19" t="s">
        <v>846</v>
      </c>
      <c r="D255" s="17">
        <v>1.0</v>
      </c>
      <c r="E255" s="17">
        <v>137.5</v>
      </c>
      <c r="F255" s="5">
        <v>137.5</v>
      </c>
      <c r="G255" s="19" t="s">
        <v>119</v>
      </c>
      <c r="H255" s="5">
        <v>327.0</v>
      </c>
      <c r="I255" s="5" t="s">
        <v>998</v>
      </c>
      <c r="J255" s="5" t="s">
        <v>2880</v>
      </c>
      <c r="K255" s="5" t="s">
        <v>2230</v>
      </c>
      <c r="L255" s="5"/>
      <c r="M255" s="5"/>
    </row>
    <row r="256" ht="22.5" hidden="1" customHeight="1">
      <c r="A256" s="37">
        <v>46018.85592625</v>
      </c>
      <c r="B256" s="5" t="s">
        <v>2262</v>
      </c>
      <c r="C256" s="19" t="s">
        <v>997</v>
      </c>
      <c r="D256" s="17">
        <v>3.0</v>
      </c>
      <c r="E256" s="17">
        <v>112.0</v>
      </c>
      <c r="F256" s="5">
        <v>336.0</v>
      </c>
      <c r="G256" s="19" t="s">
        <v>119</v>
      </c>
      <c r="H256" s="5">
        <v>326.0</v>
      </c>
      <c r="I256" s="19"/>
      <c r="J256" s="5" t="s">
        <v>2270</v>
      </c>
      <c r="K256" s="5" t="s">
        <v>2230</v>
      </c>
      <c r="L256" s="5"/>
      <c r="M256" s="5"/>
    </row>
    <row r="257" ht="22.5" hidden="1" customHeight="1">
      <c r="A257" s="14">
        <v>46107.12513314815</v>
      </c>
      <c r="B257" s="6" t="s">
        <v>2225</v>
      </c>
      <c r="C257" s="10" t="s">
        <v>77</v>
      </c>
      <c r="D257" s="13">
        <v>4.0</v>
      </c>
      <c r="E257" s="13">
        <v>217.5</v>
      </c>
      <c r="F257" s="13"/>
      <c r="G257" s="6"/>
      <c r="H257" s="6">
        <v>870.0</v>
      </c>
      <c r="I257" s="6"/>
      <c r="J257" s="6" t="s">
        <v>54</v>
      </c>
      <c r="K257" s="10" t="s">
        <v>2883</v>
      </c>
      <c r="L257" s="6" t="s">
        <v>2228</v>
      </c>
      <c r="M257" s="6" t="s">
        <v>2230</v>
      </c>
    </row>
    <row r="258" ht="22.5" hidden="1" customHeight="1">
      <c r="A258" s="14">
        <v>46107.12512981481</v>
      </c>
      <c r="B258" s="6" t="s">
        <v>2234</v>
      </c>
      <c r="C258" s="10" t="s">
        <v>933</v>
      </c>
      <c r="D258" s="13">
        <v>4.0</v>
      </c>
      <c r="E258" s="13">
        <v>10.0</v>
      </c>
      <c r="F258" s="13"/>
      <c r="G258" s="6"/>
      <c r="H258" s="6">
        <v>40.0</v>
      </c>
      <c r="I258" s="6"/>
      <c r="J258" s="10" t="s">
        <v>436</v>
      </c>
      <c r="K258" s="10" t="s">
        <v>2883</v>
      </c>
      <c r="L258" s="6" t="s">
        <v>2237</v>
      </c>
      <c r="M258" s="6" t="s">
        <v>2230</v>
      </c>
    </row>
    <row r="259" ht="22.5" hidden="1" customHeight="1">
      <c r="A259" s="14">
        <v>46107.12512967593</v>
      </c>
      <c r="B259" s="6" t="s">
        <v>2234</v>
      </c>
      <c r="C259" s="10" t="s">
        <v>926</v>
      </c>
      <c r="D259" s="13">
        <v>4.0</v>
      </c>
      <c r="E259" s="13">
        <v>20.0</v>
      </c>
      <c r="F259" s="13"/>
      <c r="G259" s="6"/>
      <c r="H259" s="6">
        <v>80.0</v>
      </c>
      <c r="I259" s="6"/>
      <c r="J259" s="10" t="s">
        <v>436</v>
      </c>
      <c r="K259" s="10" t="s">
        <v>2883</v>
      </c>
      <c r="L259" s="6" t="s">
        <v>2237</v>
      </c>
      <c r="M259" s="6" t="s">
        <v>2230</v>
      </c>
    </row>
    <row r="260" ht="22.5" hidden="1" customHeight="1">
      <c r="A260" s="14">
        <v>46107.125129583335</v>
      </c>
      <c r="B260" s="6" t="s">
        <v>2234</v>
      </c>
      <c r="C260" s="10" t="s">
        <v>946</v>
      </c>
      <c r="D260" s="13">
        <v>10.0</v>
      </c>
      <c r="E260" s="13">
        <v>75.0</v>
      </c>
      <c r="F260" s="13"/>
      <c r="G260" s="6"/>
      <c r="H260" s="6">
        <v>750.0</v>
      </c>
      <c r="I260" s="6"/>
      <c r="J260" s="10" t="s">
        <v>51</v>
      </c>
      <c r="K260" s="10" t="s">
        <v>2883</v>
      </c>
      <c r="L260" s="6" t="s">
        <v>2237</v>
      </c>
      <c r="M260" s="6" t="s">
        <v>2230</v>
      </c>
    </row>
    <row r="261" ht="22.5" customHeight="1">
      <c r="A261" s="14">
        <v>46172.86236892361</v>
      </c>
      <c r="B261" s="6" t="s">
        <v>2282</v>
      </c>
      <c r="C261" s="10" t="s">
        <v>1123</v>
      </c>
      <c r="D261" s="13">
        <v>1.0</v>
      </c>
      <c r="E261" s="13">
        <v>95.0</v>
      </c>
      <c r="F261" s="13">
        <v>100.0</v>
      </c>
      <c r="G261" s="6">
        <v>100.0</v>
      </c>
      <c r="H261" s="6">
        <v>100.0</v>
      </c>
      <c r="I261" s="6">
        <v>5.0</v>
      </c>
      <c r="J261" s="10" t="s">
        <v>119</v>
      </c>
      <c r="K261" s="6">
        <v>1321.0</v>
      </c>
      <c r="L261" s="6" t="s">
        <v>2891</v>
      </c>
      <c r="M261" s="6" t="s">
        <v>2230</v>
      </c>
    </row>
    <row r="262" ht="22.5" customHeight="1">
      <c r="A262" s="14">
        <v>46172.8623687037</v>
      </c>
      <c r="B262" s="6" t="s">
        <v>2282</v>
      </c>
      <c r="C262" s="10" t="s">
        <v>741</v>
      </c>
      <c r="D262" s="13">
        <v>0.4</v>
      </c>
      <c r="E262" s="13">
        <v>150.0</v>
      </c>
      <c r="F262" s="13">
        <v>200.0</v>
      </c>
      <c r="G262" s="6">
        <v>200.0</v>
      </c>
      <c r="H262" s="6">
        <v>80.0</v>
      </c>
      <c r="I262" s="6">
        <v>20.0</v>
      </c>
      <c r="J262" s="10" t="s">
        <v>51</v>
      </c>
      <c r="K262" s="6">
        <v>1287.0</v>
      </c>
      <c r="L262" s="6" t="s">
        <v>2894</v>
      </c>
      <c r="M262" s="6" t="s">
        <v>2230</v>
      </c>
    </row>
    <row r="263" ht="22.5" customHeight="1">
      <c r="A263" s="14">
        <v>46172.86236841435</v>
      </c>
      <c r="B263" s="6" t="s">
        <v>2282</v>
      </c>
      <c r="C263" s="10" t="s">
        <v>1050</v>
      </c>
      <c r="D263" s="13">
        <v>1.0</v>
      </c>
      <c r="E263" s="13">
        <v>110.0</v>
      </c>
      <c r="F263" s="13">
        <v>200.0</v>
      </c>
      <c r="G263" s="6">
        <v>200.0</v>
      </c>
      <c r="H263" s="6">
        <v>200.0</v>
      </c>
      <c r="I263" s="6">
        <v>90.0</v>
      </c>
      <c r="J263" s="10" t="s">
        <v>119</v>
      </c>
      <c r="K263" s="6">
        <v>1285.0</v>
      </c>
      <c r="L263" s="6" t="s">
        <v>2896</v>
      </c>
      <c r="M263" s="6" t="s">
        <v>2230</v>
      </c>
    </row>
    <row r="264" ht="22.5" customHeight="1">
      <c r="A264" s="14">
        <v>46172.8623682176</v>
      </c>
      <c r="B264" s="6" t="s">
        <v>2282</v>
      </c>
      <c r="C264" s="10" t="s">
        <v>336</v>
      </c>
      <c r="D264" s="13">
        <v>2.0</v>
      </c>
      <c r="E264" s="13">
        <v>100.0</v>
      </c>
      <c r="F264" s="13">
        <v>155.0</v>
      </c>
      <c r="G264" s="6">
        <v>155.0</v>
      </c>
      <c r="H264" s="6">
        <v>310.0</v>
      </c>
      <c r="I264" s="6">
        <v>110.0</v>
      </c>
      <c r="J264" s="10" t="s">
        <v>154</v>
      </c>
      <c r="K264" s="6">
        <v>1279.0</v>
      </c>
      <c r="L264" s="6" t="s">
        <v>2898</v>
      </c>
      <c r="M264" s="6" t="s">
        <v>2230</v>
      </c>
    </row>
    <row r="265" ht="22.5" customHeight="1">
      <c r="A265" s="14">
        <v>46172.86236803241</v>
      </c>
      <c r="B265" s="6" t="s">
        <v>2282</v>
      </c>
      <c r="C265" s="10" t="s">
        <v>898</v>
      </c>
      <c r="D265" s="13">
        <v>8.0</v>
      </c>
      <c r="E265" s="13">
        <v>15.0</v>
      </c>
      <c r="F265" s="13">
        <v>20.0</v>
      </c>
      <c r="G265" s="6">
        <v>20.0</v>
      </c>
      <c r="H265" s="6">
        <v>160.0</v>
      </c>
      <c r="I265" s="6">
        <v>40.0</v>
      </c>
      <c r="J265" s="10" t="s">
        <v>154</v>
      </c>
      <c r="K265" s="6">
        <v>1271.0</v>
      </c>
      <c r="L265" s="6" t="s">
        <v>2901</v>
      </c>
      <c r="M265" s="6" t="s">
        <v>2230</v>
      </c>
    </row>
    <row r="266" ht="22.5" customHeight="1">
      <c r="A266" s="14">
        <v>46172.8623678588</v>
      </c>
      <c r="B266" s="6" t="s">
        <v>2282</v>
      </c>
      <c r="C266" s="10" t="s">
        <v>609</v>
      </c>
      <c r="D266" s="13">
        <v>1.0</v>
      </c>
      <c r="E266" s="13">
        <v>170.0</v>
      </c>
      <c r="F266" s="13">
        <v>200.0</v>
      </c>
      <c r="G266" s="6">
        <v>200.0</v>
      </c>
      <c r="H266" s="6">
        <v>200.0</v>
      </c>
      <c r="I266" s="6">
        <v>30.0</v>
      </c>
      <c r="J266" s="10" t="s">
        <v>581</v>
      </c>
      <c r="K266" s="6">
        <v>1264.0</v>
      </c>
      <c r="L266" s="6" t="s">
        <v>2903</v>
      </c>
      <c r="M266" s="6" t="s">
        <v>2230</v>
      </c>
    </row>
    <row r="267" ht="22.5" customHeight="1">
      <c r="A267" s="14">
        <v>46172.862367696755</v>
      </c>
      <c r="B267" s="6" t="s">
        <v>2282</v>
      </c>
      <c r="C267" s="10" t="s">
        <v>633</v>
      </c>
      <c r="D267" s="13">
        <v>1.0</v>
      </c>
      <c r="E267" s="13">
        <v>128.0</v>
      </c>
      <c r="F267" s="13">
        <v>170.0</v>
      </c>
      <c r="G267" s="6">
        <v>170.0</v>
      </c>
      <c r="H267" s="6">
        <v>170.0</v>
      </c>
      <c r="I267" s="6">
        <v>42.0</v>
      </c>
      <c r="J267" s="10" t="s">
        <v>119</v>
      </c>
      <c r="K267" s="6">
        <v>1257.0</v>
      </c>
      <c r="L267" s="6" t="s">
        <v>2905</v>
      </c>
      <c r="M267" s="6" t="s">
        <v>2230</v>
      </c>
    </row>
    <row r="268" ht="22.5" customHeight="1">
      <c r="A268" s="14">
        <v>46172.86236752315</v>
      </c>
      <c r="B268" s="6" t="s">
        <v>2282</v>
      </c>
      <c r="C268" s="10" t="s">
        <v>211</v>
      </c>
      <c r="D268" s="13">
        <v>1.0</v>
      </c>
      <c r="E268" s="13">
        <v>338.0</v>
      </c>
      <c r="F268" s="13">
        <v>500.0</v>
      </c>
      <c r="G268" s="6">
        <v>500.0</v>
      </c>
      <c r="H268" s="6">
        <v>500.0</v>
      </c>
      <c r="I268" s="6">
        <v>162.0</v>
      </c>
      <c r="J268" s="10" t="s">
        <v>119</v>
      </c>
      <c r="K268" s="6">
        <v>1253.0</v>
      </c>
      <c r="L268" s="6" t="s">
        <v>2907</v>
      </c>
      <c r="M268" s="6" t="s">
        <v>2230</v>
      </c>
    </row>
    <row r="269" ht="22.5" hidden="1" customHeight="1">
      <c r="A269" s="37">
        <v>46013.782179699076</v>
      </c>
      <c r="B269" s="5" t="s">
        <v>2262</v>
      </c>
      <c r="C269" s="19" t="s">
        <v>575</v>
      </c>
      <c r="D269" s="17">
        <v>16.0</v>
      </c>
      <c r="E269" s="17">
        <v>4.5</v>
      </c>
      <c r="F269" s="5">
        <v>72.0</v>
      </c>
      <c r="G269" s="19" t="s">
        <v>119</v>
      </c>
      <c r="H269" s="5">
        <v>320.0</v>
      </c>
      <c r="I269" s="5" t="s">
        <v>979</v>
      </c>
      <c r="J269" s="5" t="s">
        <v>2909</v>
      </c>
      <c r="K269" s="5" t="s">
        <v>2230</v>
      </c>
      <c r="L269" s="5"/>
      <c r="M269" s="5"/>
    </row>
    <row r="270" ht="22.5" hidden="1" customHeight="1">
      <c r="A270" s="37">
        <v>46013.782179560185</v>
      </c>
      <c r="B270" s="5" t="s">
        <v>2262</v>
      </c>
      <c r="C270" s="19" t="s">
        <v>572</v>
      </c>
      <c r="D270" s="17">
        <v>24.0</v>
      </c>
      <c r="E270" s="17">
        <v>4.375</v>
      </c>
      <c r="F270" s="5">
        <v>105.0</v>
      </c>
      <c r="G270" s="19" t="s">
        <v>119</v>
      </c>
      <c r="H270" s="5">
        <v>319.0</v>
      </c>
      <c r="I270" s="5" t="s">
        <v>976</v>
      </c>
      <c r="J270" s="5" t="s">
        <v>2911</v>
      </c>
      <c r="K270" s="5" t="s">
        <v>2230</v>
      </c>
      <c r="L270" s="5"/>
      <c r="M270" s="5"/>
    </row>
    <row r="271" ht="22.5" hidden="1" customHeight="1">
      <c r="A271" s="37">
        <v>46013.782179456015</v>
      </c>
      <c r="B271" s="5" t="s">
        <v>2262</v>
      </c>
      <c r="C271" s="19" t="s">
        <v>758</v>
      </c>
      <c r="D271" s="17">
        <v>12.0</v>
      </c>
      <c r="E271" s="17">
        <v>31.25</v>
      </c>
      <c r="F271" s="5">
        <v>375.0</v>
      </c>
      <c r="G271" s="19" t="s">
        <v>119</v>
      </c>
      <c r="H271" s="5">
        <v>318.0</v>
      </c>
      <c r="I271" s="5" t="s">
        <v>972</v>
      </c>
      <c r="J271" s="5" t="s">
        <v>2915</v>
      </c>
      <c r="K271" s="5" t="s">
        <v>2230</v>
      </c>
      <c r="L271" s="5"/>
      <c r="M271" s="5"/>
    </row>
    <row r="272" ht="22.5" hidden="1" customHeight="1">
      <c r="A272" s="37">
        <v>46013.782179305555</v>
      </c>
      <c r="B272" s="5" t="s">
        <v>2262</v>
      </c>
      <c r="C272" s="19" t="s">
        <v>970</v>
      </c>
      <c r="D272" s="17">
        <v>1.0</v>
      </c>
      <c r="E272" s="17">
        <v>75.0</v>
      </c>
      <c r="F272" s="5">
        <v>75.0</v>
      </c>
      <c r="G272" s="19" t="s">
        <v>119</v>
      </c>
      <c r="H272" s="5">
        <v>317.0</v>
      </c>
      <c r="I272" s="5" t="s">
        <v>969</v>
      </c>
      <c r="J272" s="5" t="s">
        <v>2917</v>
      </c>
      <c r="K272" s="5" t="s">
        <v>2230</v>
      </c>
      <c r="L272" s="5"/>
      <c r="M272" s="5"/>
    </row>
    <row r="273" ht="22.5" hidden="1" customHeight="1">
      <c r="A273" s="37">
        <v>46013.7821790625</v>
      </c>
      <c r="B273" s="5" t="s">
        <v>2262</v>
      </c>
      <c r="C273" s="19" t="s">
        <v>691</v>
      </c>
      <c r="D273" s="17">
        <v>2.0</v>
      </c>
      <c r="E273" s="17">
        <v>81.0</v>
      </c>
      <c r="F273" s="5">
        <v>162.0</v>
      </c>
      <c r="G273" s="19" t="s">
        <v>119</v>
      </c>
      <c r="H273" s="5">
        <v>316.0</v>
      </c>
      <c r="I273" s="5" t="s">
        <v>968</v>
      </c>
      <c r="J273" s="5" t="s">
        <v>2919</v>
      </c>
      <c r="K273" s="5" t="s">
        <v>2230</v>
      </c>
      <c r="L273" s="5"/>
      <c r="M273" s="5"/>
    </row>
    <row r="274" ht="22.5" hidden="1" customHeight="1">
      <c r="A274" s="37">
        <v>46013.78217884259</v>
      </c>
      <c r="B274" s="5" t="s">
        <v>2262</v>
      </c>
      <c r="C274" s="19" t="s">
        <v>967</v>
      </c>
      <c r="D274" s="17">
        <v>3.0</v>
      </c>
      <c r="E274" s="17">
        <v>60.0</v>
      </c>
      <c r="F274" s="5">
        <v>180.0</v>
      </c>
      <c r="G274" s="19" t="s">
        <v>119</v>
      </c>
      <c r="H274" s="5">
        <v>315.0</v>
      </c>
      <c r="I274" s="5" t="s">
        <v>966</v>
      </c>
      <c r="J274" s="5" t="s">
        <v>2921</v>
      </c>
      <c r="K274" s="5" t="s">
        <v>2230</v>
      </c>
      <c r="L274" s="5"/>
      <c r="M274" s="5"/>
    </row>
    <row r="275" ht="22.5" hidden="1" customHeight="1">
      <c r="A275" s="37">
        <v>46013.78217871528</v>
      </c>
      <c r="B275" s="5" t="s">
        <v>2262</v>
      </c>
      <c r="C275" s="19" t="s">
        <v>784</v>
      </c>
      <c r="D275" s="17">
        <v>1.0</v>
      </c>
      <c r="E275" s="17">
        <v>63.0</v>
      </c>
      <c r="F275" s="5">
        <v>63.0</v>
      </c>
      <c r="G275" s="19" t="s">
        <v>119</v>
      </c>
      <c r="H275" s="5">
        <v>314.0</v>
      </c>
      <c r="I275" s="5" t="s">
        <v>964</v>
      </c>
      <c r="J275" s="5" t="s">
        <v>2924</v>
      </c>
      <c r="K275" s="5" t="s">
        <v>2230</v>
      </c>
      <c r="L275" s="5"/>
      <c r="M275" s="5"/>
    </row>
    <row r="276" ht="22.5" hidden="1" customHeight="1">
      <c r="A276" s="37">
        <v>46013.78217854167</v>
      </c>
      <c r="B276" s="5" t="s">
        <v>2262</v>
      </c>
      <c r="C276" s="19" t="s">
        <v>808</v>
      </c>
      <c r="D276" s="17">
        <v>3.0</v>
      </c>
      <c r="E276" s="17">
        <v>63.0</v>
      </c>
      <c r="F276" s="5">
        <v>189.0</v>
      </c>
      <c r="G276" s="19" t="s">
        <v>119</v>
      </c>
      <c r="H276" s="5">
        <v>313.0</v>
      </c>
      <c r="I276" s="5" t="s">
        <v>961</v>
      </c>
      <c r="J276" s="5" t="s">
        <v>2926</v>
      </c>
      <c r="K276" s="5" t="s">
        <v>2230</v>
      </c>
      <c r="L276" s="5"/>
      <c r="M276" s="5"/>
    </row>
    <row r="277" ht="22.5" hidden="1" customHeight="1">
      <c r="A277" s="37">
        <v>46013.78217841435</v>
      </c>
      <c r="B277" s="5" t="s">
        <v>2262</v>
      </c>
      <c r="C277" s="19" t="s">
        <v>679</v>
      </c>
      <c r="D277" s="17">
        <v>2.0</v>
      </c>
      <c r="E277" s="17">
        <v>63.0</v>
      </c>
      <c r="F277" s="5">
        <v>126.0</v>
      </c>
      <c r="G277" s="19" t="s">
        <v>119</v>
      </c>
      <c r="H277" s="5">
        <v>312.0</v>
      </c>
      <c r="I277" s="5" t="s">
        <v>959</v>
      </c>
      <c r="J277" s="5" t="s">
        <v>2929</v>
      </c>
      <c r="K277" s="5" t="s">
        <v>2230</v>
      </c>
      <c r="L277" s="5"/>
      <c r="M277" s="5"/>
    </row>
    <row r="278" ht="22.5" hidden="1" customHeight="1">
      <c r="A278" s="37">
        <v>46013.78217828704</v>
      </c>
      <c r="B278" s="5" t="s">
        <v>2262</v>
      </c>
      <c r="C278" s="19" t="s">
        <v>675</v>
      </c>
      <c r="D278" s="17">
        <v>6.0</v>
      </c>
      <c r="E278" s="17">
        <v>27.5</v>
      </c>
      <c r="F278" s="5">
        <v>165.0</v>
      </c>
      <c r="G278" s="19" t="s">
        <v>119</v>
      </c>
      <c r="H278" s="5">
        <v>311.0</v>
      </c>
      <c r="I278" s="5" t="s">
        <v>958</v>
      </c>
      <c r="J278" s="5" t="s">
        <v>2933</v>
      </c>
      <c r="K278" s="5" t="s">
        <v>2230</v>
      </c>
      <c r="L278" s="5"/>
      <c r="M278" s="5"/>
    </row>
    <row r="279" ht="22.5" hidden="1" customHeight="1">
      <c r="A279" s="37">
        <v>46013.78217814815</v>
      </c>
      <c r="B279" s="5" t="s">
        <v>2262</v>
      </c>
      <c r="C279" s="19" t="s">
        <v>957</v>
      </c>
      <c r="D279" s="17">
        <v>2.0</v>
      </c>
      <c r="E279" s="17">
        <v>55.0</v>
      </c>
      <c r="F279" s="5">
        <v>110.0</v>
      </c>
      <c r="G279" s="19" t="s">
        <v>119</v>
      </c>
      <c r="H279" s="5">
        <v>310.0</v>
      </c>
      <c r="I279" s="5" t="s">
        <v>956</v>
      </c>
      <c r="J279" s="5" t="s">
        <v>2939</v>
      </c>
      <c r="K279" s="5" t="s">
        <v>2230</v>
      </c>
      <c r="L279" s="5"/>
      <c r="M279" s="5"/>
    </row>
    <row r="280" ht="22.5" hidden="1" customHeight="1">
      <c r="A280" s="37">
        <v>46013.78217789352</v>
      </c>
      <c r="B280" s="5" t="s">
        <v>2262</v>
      </c>
      <c r="C280" s="19" t="s">
        <v>694</v>
      </c>
      <c r="D280" s="17">
        <v>1.0</v>
      </c>
      <c r="E280" s="17">
        <v>106.0</v>
      </c>
      <c r="F280" s="5">
        <v>106.0</v>
      </c>
      <c r="G280" s="19" t="s">
        <v>119</v>
      </c>
      <c r="H280" s="5">
        <v>309.0</v>
      </c>
      <c r="I280" s="5" t="s">
        <v>954</v>
      </c>
      <c r="J280" s="5" t="s">
        <v>2942</v>
      </c>
      <c r="K280" s="5" t="s">
        <v>2230</v>
      </c>
      <c r="L280" s="5"/>
      <c r="M280" s="5"/>
    </row>
    <row r="281" ht="22.5" hidden="1" customHeight="1">
      <c r="A281" s="37">
        <v>46013.782177685185</v>
      </c>
      <c r="B281" s="5" t="s">
        <v>2262</v>
      </c>
      <c r="C281" s="19" t="s">
        <v>687</v>
      </c>
      <c r="D281" s="17">
        <v>2.0</v>
      </c>
      <c r="E281" s="17">
        <v>106.0</v>
      </c>
      <c r="F281" s="5">
        <v>212.0</v>
      </c>
      <c r="G281" s="19" t="s">
        <v>119</v>
      </c>
      <c r="H281" s="5">
        <v>308.0</v>
      </c>
      <c r="I281" s="5" t="s">
        <v>952</v>
      </c>
      <c r="J281" s="5" t="s">
        <v>2945</v>
      </c>
      <c r="K281" s="5" t="s">
        <v>2230</v>
      </c>
      <c r="L281" s="5"/>
      <c r="M281" s="5"/>
    </row>
    <row r="282" ht="22.5" hidden="1" customHeight="1">
      <c r="A282" s="37">
        <v>46013.78217751157</v>
      </c>
      <c r="B282" s="5" t="s">
        <v>2262</v>
      </c>
      <c r="C282" s="19" t="s">
        <v>707</v>
      </c>
      <c r="D282" s="17">
        <v>3.0</v>
      </c>
      <c r="E282" s="17">
        <v>59.0</v>
      </c>
      <c r="F282" s="5">
        <v>177.0</v>
      </c>
      <c r="G282" s="19" t="s">
        <v>119</v>
      </c>
      <c r="H282" s="5">
        <v>307.0</v>
      </c>
      <c r="I282" s="5" t="s">
        <v>951</v>
      </c>
      <c r="J282" s="5" t="s">
        <v>2948</v>
      </c>
      <c r="K282" s="5" t="s">
        <v>2230</v>
      </c>
      <c r="L282" s="5"/>
      <c r="M282" s="5"/>
    </row>
    <row r="283" ht="22.5" hidden="1" customHeight="1">
      <c r="A283" s="37">
        <v>46013.78217738426</v>
      </c>
      <c r="B283" s="5" t="s">
        <v>2262</v>
      </c>
      <c r="C283" s="19" t="s">
        <v>684</v>
      </c>
      <c r="D283" s="17">
        <v>2.0</v>
      </c>
      <c r="E283" s="17">
        <v>120.0</v>
      </c>
      <c r="F283" s="5">
        <v>240.0</v>
      </c>
      <c r="G283" s="19" t="s">
        <v>119</v>
      </c>
      <c r="H283" s="5">
        <v>306.0</v>
      </c>
      <c r="I283" s="5" t="s">
        <v>949</v>
      </c>
      <c r="J283" s="5" t="s">
        <v>2951</v>
      </c>
      <c r="K283" s="5" t="s">
        <v>2230</v>
      </c>
      <c r="L283" s="5"/>
      <c r="M283" s="5"/>
    </row>
    <row r="284" ht="22.5" hidden="1" customHeight="1">
      <c r="A284" s="37">
        <v>46013.78217723379</v>
      </c>
      <c r="B284" s="5" t="s">
        <v>2262</v>
      </c>
      <c r="C284" s="19" t="s">
        <v>793</v>
      </c>
      <c r="D284" s="17">
        <v>3.0</v>
      </c>
      <c r="E284" s="17">
        <v>126.0</v>
      </c>
      <c r="F284" s="5">
        <v>378.0</v>
      </c>
      <c r="G284" s="19" t="s">
        <v>119</v>
      </c>
      <c r="H284" s="5">
        <v>305.0</v>
      </c>
      <c r="I284" s="5" t="s">
        <v>948</v>
      </c>
      <c r="J284" s="5" t="s">
        <v>2953</v>
      </c>
      <c r="K284" s="5" t="s">
        <v>2230</v>
      </c>
      <c r="L284" s="5"/>
      <c r="M284" s="5"/>
    </row>
    <row r="285" ht="22.5" hidden="1" customHeight="1">
      <c r="A285" s="37">
        <v>46013.78217707176</v>
      </c>
      <c r="B285" s="5" t="s">
        <v>2262</v>
      </c>
      <c r="C285" s="19" t="s">
        <v>815</v>
      </c>
      <c r="D285" s="17">
        <v>3.0</v>
      </c>
      <c r="E285" s="17">
        <v>137.0</v>
      </c>
      <c r="F285" s="5">
        <v>411.0</v>
      </c>
      <c r="G285" s="19" t="s">
        <v>119</v>
      </c>
      <c r="H285" s="5">
        <v>304.0</v>
      </c>
      <c r="I285" s="5" t="s">
        <v>947</v>
      </c>
      <c r="J285" s="5" t="s">
        <v>2955</v>
      </c>
      <c r="K285" s="5" t="s">
        <v>2230</v>
      </c>
      <c r="L285" s="5"/>
      <c r="M285" s="5"/>
    </row>
    <row r="286" ht="22.5" hidden="1" customHeight="1">
      <c r="A286" s="37">
        <v>46013.782176990746</v>
      </c>
      <c r="B286" s="5" t="s">
        <v>2262</v>
      </c>
      <c r="C286" s="19" t="s">
        <v>633</v>
      </c>
      <c r="D286" s="17">
        <v>3.0</v>
      </c>
      <c r="E286" s="17">
        <v>128.0</v>
      </c>
      <c r="F286" s="5">
        <v>384.0</v>
      </c>
      <c r="G286" s="19" t="s">
        <v>119</v>
      </c>
      <c r="H286" s="5">
        <v>303.0</v>
      </c>
      <c r="I286" s="5" t="s">
        <v>945</v>
      </c>
      <c r="J286" s="5" t="s">
        <v>2956</v>
      </c>
      <c r="K286" s="5" t="s">
        <v>2230</v>
      </c>
      <c r="L286" s="5"/>
      <c r="M286" s="5"/>
    </row>
    <row r="287" ht="22.5" hidden="1" customHeight="1">
      <c r="A287" s="37">
        <v>46013.78217689815</v>
      </c>
      <c r="B287" s="5" t="s">
        <v>2262</v>
      </c>
      <c r="C287" s="19" t="s">
        <v>611</v>
      </c>
      <c r="D287" s="17">
        <v>6.0</v>
      </c>
      <c r="E287" s="17">
        <v>29.0</v>
      </c>
      <c r="F287" s="5">
        <v>174.0</v>
      </c>
      <c r="G287" s="19" t="s">
        <v>119</v>
      </c>
      <c r="H287" s="5">
        <v>302.0</v>
      </c>
      <c r="I287" s="5" t="s">
        <v>943</v>
      </c>
      <c r="J287" s="5" t="s">
        <v>2961</v>
      </c>
      <c r="K287" s="5" t="s">
        <v>2230</v>
      </c>
      <c r="L287" s="5"/>
      <c r="M287" s="5"/>
    </row>
    <row r="288" ht="22.5" hidden="1" customHeight="1">
      <c r="A288" s="37">
        <v>46013.78217679398</v>
      </c>
      <c r="B288" s="5" t="s">
        <v>2262</v>
      </c>
      <c r="C288" s="19" t="s">
        <v>614</v>
      </c>
      <c r="D288" s="17">
        <v>4.0</v>
      </c>
      <c r="E288" s="17">
        <v>78.0</v>
      </c>
      <c r="F288" s="5">
        <v>312.0</v>
      </c>
      <c r="G288" s="19" t="s">
        <v>119</v>
      </c>
      <c r="H288" s="5">
        <v>301.0</v>
      </c>
      <c r="I288" s="19"/>
      <c r="J288" s="5" t="s">
        <v>2962</v>
      </c>
      <c r="K288" s="5" t="s">
        <v>2230</v>
      </c>
      <c r="L288" s="5"/>
      <c r="M288" s="5"/>
    </row>
    <row r="289" ht="22.5" customHeight="1">
      <c r="A289" s="14">
        <v>46172.862367326394</v>
      </c>
      <c r="B289" s="6" t="s">
        <v>2282</v>
      </c>
      <c r="C289" s="10" t="s">
        <v>930</v>
      </c>
      <c r="D289" s="13">
        <v>3.0</v>
      </c>
      <c r="E289" s="13">
        <v>90.0</v>
      </c>
      <c r="F289" s="13">
        <v>120.0</v>
      </c>
      <c r="G289" s="6">
        <v>120.0</v>
      </c>
      <c r="H289" s="6">
        <v>360.0</v>
      </c>
      <c r="I289" s="6">
        <v>90.0</v>
      </c>
      <c r="J289" s="10" t="s">
        <v>1059</v>
      </c>
      <c r="K289" s="6">
        <v>1240.0</v>
      </c>
      <c r="L289" s="6" t="s">
        <v>2965</v>
      </c>
      <c r="M289" s="6" t="s">
        <v>2230</v>
      </c>
    </row>
    <row r="290" ht="22.5" customHeight="1">
      <c r="A290" s="14">
        <v>46172.86236712963</v>
      </c>
      <c r="B290" s="6" t="s">
        <v>2282</v>
      </c>
      <c r="C290" s="10" t="s">
        <v>756</v>
      </c>
      <c r="D290" s="13">
        <v>4.0</v>
      </c>
      <c r="E290" s="13">
        <v>30.0</v>
      </c>
      <c r="F290" s="13">
        <v>70.0</v>
      </c>
      <c r="G290" s="6">
        <v>70.0</v>
      </c>
      <c r="H290" s="6">
        <v>280.0</v>
      </c>
      <c r="I290" s="6">
        <v>160.0</v>
      </c>
      <c r="J290" s="10" t="s">
        <v>154</v>
      </c>
      <c r="K290" s="6">
        <v>1233.0</v>
      </c>
      <c r="L290" s="6" t="s">
        <v>2967</v>
      </c>
      <c r="M290" s="6" t="s">
        <v>2230</v>
      </c>
    </row>
    <row r="291" ht="22.5" customHeight="1">
      <c r="A291" s="14">
        <v>46172.862366898145</v>
      </c>
      <c r="B291" s="6" t="s">
        <v>2282</v>
      </c>
      <c r="C291" s="10" t="s">
        <v>756</v>
      </c>
      <c r="D291" s="13">
        <v>3.0</v>
      </c>
      <c r="E291" s="13">
        <v>30.0</v>
      </c>
      <c r="F291" s="13">
        <v>70.0</v>
      </c>
      <c r="G291" s="6">
        <v>70.0</v>
      </c>
      <c r="H291" s="6">
        <v>210.0</v>
      </c>
      <c r="I291" s="6">
        <v>120.0</v>
      </c>
      <c r="J291" s="10" t="s">
        <v>154</v>
      </c>
      <c r="K291" s="6">
        <v>1222.0</v>
      </c>
      <c r="L291" s="6" t="s">
        <v>2969</v>
      </c>
      <c r="M291" s="6" t="s">
        <v>2230</v>
      </c>
    </row>
    <row r="292" ht="22.5" hidden="1" customHeight="1">
      <c r="A292" s="14">
        <v>46138.813606145835</v>
      </c>
      <c r="B292" s="6" t="s">
        <v>2245</v>
      </c>
      <c r="C292" s="10" t="s">
        <v>1208</v>
      </c>
      <c r="D292" s="13">
        <v>45.0</v>
      </c>
      <c r="E292" s="13">
        <v>3.5</v>
      </c>
      <c r="F292" s="13"/>
      <c r="G292" s="10"/>
      <c r="H292" s="6">
        <v>157.5</v>
      </c>
      <c r="I292" s="6"/>
      <c r="J292" s="10" t="s">
        <v>154</v>
      </c>
      <c r="K292" s="10" t="s">
        <v>2971</v>
      </c>
      <c r="L292" s="6" t="s">
        <v>2249</v>
      </c>
      <c r="M292" s="6" t="s">
        <v>2230</v>
      </c>
    </row>
    <row r="293" ht="22.5" hidden="1" customHeight="1">
      <c r="A293" s="14">
        <v>46138.813606145835</v>
      </c>
      <c r="B293" s="6" t="s">
        <v>2245</v>
      </c>
      <c r="C293" s="10" t="s">
        <v>480</v>
      </c>
      <c r="D293" s="13">
        <v>9.0</v>
      </c>
      <c r="E293" s="13">
        <v>45.0</v>
      </c>
      <c r="F293" s="13"/>
      <c r="G293" s="10"/>
      <c r="H293" s="6">
        <v>405.0</v>
      </c>
      <c r="I293" s="6"/>
      <c r="J293" s="10" t="s">
        <v>51</v>
      </c>
      <c r="K293" s="10" t="s">
        <v>2971</v>
      </c>
      <c r="L293" s="6" t="s">
        <v>2249</v>
      </c>
      <c r="M293" s="6" t="s">
        <v>2230</v>
      </c>
    </row>
    <row r="294" ht="22.5" hidden="1" customHeight="1">
      <c r="A294" s="37">
        <v>46011.736350555555</v>
      </c>
      <c r="B294" s="5" t="s">
        <v>2973</v>
      </c>
      <c r="C294" s="19" t="s">
        <v>34</v>
      </c>
      <c r="D294" s="17">
        <v>9.0</v>
      </c>
      <c r="E294" s="17">
        <v>133.33333333333334</v>
      </c>
      <c r="F294" s="19"/>
      <c r="G294" s="5"/>
      <c r="H294" s="5">
        <v>1200.0</v>
      </c>
      <c r="I294" s="19"/>
      <c r="J294" s="5" t="s">
        <v>54</v>
      </c>
      <c r="K294" s="5" t="s">
        <v>2975</v>
      </c>
      <c r="L294" s="5" t="s">
        <v>2976</v>
      </c>
      <c r="M294" s="5" t="s">
        <v>2230</v>
      </c>
    </row>
    <row r="295" ht="22.5" hidden="1" customHeight="1">
      <c r="A295" s="37">
        <v>46011.736350439816</v>
      </c>
      <c r="B295" s="5" t="s">
        <v>2977</v>
      </c>
      <c r="C295" s="19" t="s">
        <v>91</v>
      </c>
      <c r="D295" s="17">
        <v>9.0</v>
      </c>
      <c r="E295" s="17">
        <v>35.0</v>
      </c>
      <c r="F295" s="19"/>
      <c r="G295" s="5"/>
      <c r="H295" s="5">
        <v>315.0</v>
      </c>
      <c r="I295" s="19"/>
      <c r="J295" s="19" t="s">
        <v>436</v>
      </c>
      <c r="K295" s="5" t="s">
        <v>2975</v>
      </c>
      <c r="L295" s="5" t="s">
        <v>2979</v>
      </c>
      <c r="M295" s="5" t="s">
        <v>2230</v>
      </c>
    </row>
    <row r="296" ht="22.5" hidden="1" customHeight="1">
      <c r="A296" s="37">
        <v>46011.73635034722</v>
      </c>
      <c r="B296" s="5" t="s">
        <v>2977</v>
      </c>
      <c r="C296" s="19" t="s">
        <v>935</v>
      </c>
      <c r="D296" s="17">
        <v>9.0</v>
      </c>
      <c r="E296" s="17">
        <v>5.0</v>
      </c>
      <c r="F296" s="19"/>
      <c r="G296" s="5"/>
      <c r="H296" s="5">
        <v>45.0</v>
      </c>
      <c r="I296" s="19"/>
      <c r="J296" s="19" t="s">
        <v>436</v>
      </c>
      <c r="K296" s="5" t="s">
        <v>2975</v>
      </c>
      <c r="L296" s="5" t="s">
        <v>2979</v>
      </c>
      <c r="M296" s="5" t="s">
        <v>2230</v>
      </c>
    </row>
    <row r="297" ht="22.5" hidden="1" customHeight="1">
      <c r="A297" s="37">
        <v>46011.73635028936</v>
      </c>
      <c r="B297" s="5" t="s">
        <v>2977</v>
      </c>
      <c r="C297" s="19" t="s">
        <v>929</v>
      </c>
      <c r="D297" s="17">
        <v>9.0</v>
      </c>
      <c r="E297" s="17">
        <v>20.0</v>
      </c>
      <c r="F297" s="19"/>
      <c r="G297" s="5"/>
      <c r="H297" s="5">
        <v>180.0</v>
      </c>
      <c r="I297" s="19"/>
      <c r="J297" s="19" t="s">
        <v>436</v>
      </c>
      <c r="K297" s="5" t="s">
        <v>2975</v>
      </c>
      <c r="L297" s="5" t="s">
        <v>2979</v>
      </c>
      <c r="M297" s="5" t="s">
        <v>2230</v>
      </c>
    </row>
    <row r="298" ht="22.5" hidden="1" customHeight="1">
      <c r="A298" s="37">
        <v>46011.736350231484</v>
      </c>
      <c r="B298" s="5" t="s">
        <v>2977</v>
      </c>
      <c r="C298" s="19" t="s">
        <v>435</v>
      </c>
      <c r="D298" s="17">
        <v>3.0</v>
      </c>
      <c r="E298" s="17">
        <v>220.0</v>
      </c>
      <c r="F298" s="19"/>
      <c r="G298" s="5"/>
      <c r="H298" s="5">
        <v>660.0</v>
      </c>
      <c r="I298" s="19"/>
      <c r="J298" s="19" t="s">
        <v>436</v>
      </c>
      <c r="K298" s="5" t="s">
        <v>2975</v>
      </c>
      <c r="L298" s="5" t="s">
        <v>2979</v>
      </c>
      <c r="M298" s="5" t="s">
        <v>2230</v>
      </c>
    </row>
    <row r="299" ht="22.5" hidden="1" customHeight="1">
      <c r="A299" s="37">
        <v>46011.6755053588</v>
      </c>
      <c r="B299" s="5" t="s">
        <v>2225</v>
      </c>
      <c r="C299" s="19" t="s">
        <v>29</v>
      </c>
      <c r="D299" s="17">
        <v>1.0</v>
      </c>
      <c r="E299" s="17">
        <v>103.75</v>
      </c>
      <c r="F299" s="19"/>
      <c r="G299" s="5"/>
      <c r="H299" s="5">
        <v>103.75</v>
      </c>
      <c r="I299" s="19"/>
      <c r="J299" s="5" t="s">
        <v>54</v>
      </c>
      <c r="K299" s="5" t="s">
        <v>2975</v>
      </c>
      <c r="L299" s="5" t="s">
        <v>2987</v>
      </c>
      <c r="M299" s="5" t="s">
        <v>2230</v>
      </c>
    </row>
    <row r="300" ht="22.5" hidden="1" customHeight="1">
      <c r="A300" s="37">
        <v>46011.675505266205</v>
      </c>
      <c r="B300" s="5" t="s">
        <v>2225</v>
      </c>
      <c r="C300" s="19" t="s">
        <v>34</v>
      </c>
      <c r="D300" s="17">
        <v>1.0</v>
      </c>
      <c r="E300" s="17">
        <v>136.95000000000002</v>
      </c>
      <c r="F300" s="19"/>
      <c r="G300" s="5"/>
      <c r="H300" s="5">
        <v>136.95000000000002</v>
      </c>
      <c r="I300" s="19"/>
      <c r="J300" s="5" t="s">
        <v>54</v>
      </c>
      <c r="K300" s="5" t="s">
        <v>2975</v>
      </c>
      <c r="L300" s="5" t="s">
        <v>2987</v>
      </c>
      <c r="M300" s="5" t="s">
        <v>2230</v>
      </c>
    </row>
    <row r="301" ht="22.5" hidden="1" customHeight="1">
      <c r="A301" s="37">
        <v>46011.67550518519</v>
      </c>
      <c r="B301" s="5" t="s">
        <v>2225</v>
      </c>
      <c r="C301" s="19" t="s">
        <v>38</v>
      </c>
      <c r="D301" s="17">
        <v>1.0</v>
      </c>
      <c r="E301" s="17">
        <v>174.29999999999998</v>
      </c>
      <c r="F301" s="19"/>
      <c r="G301" s="5"/>
      <c r="H301" s="5">
        <v>174.29999999999998</v>
      </c>
      <c r="I301" s="19"/>
      <c r="J301" s="5" t="s">
        <v>54</v>
      </c>
      <c r="K301" s="5" t="s">
        <v>2975</v>
      </c>
      <c r="L301" s="5" t="s">
        <v>2987</v>
      </c>
      <c r="M301" s="5" t="s">
        <v>2230</v>
      </c>
    </row>
    <row r="302" ht="22.5" hidden="1" customHeight="1">
      <c r="A302" s="37">
        <v>46011.67550508102</v>
      </c>
      <c r="B302" s="5" t="s">
        <v>2234</v>
      </c>
      <c r="C302" s="19" t="s">
        <v>91</v>
      </c>
      <c r="D302" s="17">
        <v>3.0</v>
      </c>
      <c r="E302" s="17">
        <v>35.0</v>
      </c>
      <c r="F302" s="19"/>
      <c r="G302" s="5"/>
      <c r="H302" s="5">
        <v>105.0</v>
      </c>
      <c r="I302" s="19"/>
      <c r="J302" s="19" t="s">
        <v>436</v>
      </c>
      <c r="K302" s="5" t="s">
        <v>2975</v>
      </c>
      <c r="L302" s="5" t="s">
        <v>2979</v>
      </c>
      <c r="M302" s="5" t="s">
        <v>2230</v>
      </c>
    </row>
    <row r="303" ht="22.5" hidden="1" customHeight="1">
      <c r="A303" s="37">
        <v>46011.675505023144</v>
      </c>
      <c r="B303" s="5" t="s">
        <v>2234</v>
      </c>
      <c r="C303" s="19" t="s">
        <v>933</v>
      </c>
      <c r="D303" s="17">
        <v>1.0</v>
      </c>
      <c r="E303" s="17">
        <v>10.0</v>
      </c>
      <c r="F303" s="19"/>
      <c r="G303" s="5"/>
      <c r="H303" s="5">
        <v>10.0</v>
      </c>
      <c r="I303" s="19"/>
      <c r="J303" s="19" t="s">
        <v>436</v>
      </c>
      <c r="K303" s="5" t="s">
        <v>2975</v>
      </c>
      <c r="L303" s="5" t="s">
        <v>2979</v>
      </c>
      <c r="M303" s="5" t="s">
        <v>2230</v>
      </c>
    </row>
    <row r="304" ht="22.5" hidden="1" customHeight="1">
      <c r="A304" s="37">
        <v>46011.67550496528</v>
      </c>
      <c r="B304" s="5" t="s">
        <v>2234</v>
      </c>
      <c r="C304" s="19" t="s">
        <v>935</v>
      </c>
      <c r="D304" s="17">
        <v>2.0</v>
      </c>
      <c r="E304" s="17">
        <v>5.0</v>
      </c>
      <c r="F304" s="19"/>
      <c r="G304" s="5"/>
      <c r="H304" s="5">
        <v>10.0</v>
      </c>
      <c r="I304" s="19"/>
      <c r="J304" s="19" t="s">
        <v>436</v>
      </c>
      <c r="K304" s="5" t="s">
        <v>2975</v>
      </c>
      <c r="L304" s="5" t="s">
        <v>2979</v>
      </c>
      <c r="M304" s="5" t="s">
        <v>2230</v>
      </c>
    </row>
    <row r="305" ht="22.5" hidden="1" customHeight="1">
      <c r="A305" s="37">
        <v>46011.67550490741</v>
      </c>
      <c r="B305" s="5" t="s">
        <v>2234</v>
      </c>
      <c r="C305" s="19" t="s">
        <v>926</v>
      </c>
      <c r="D305" s="17">
        <v>1.0</v>
      </c>
      <c r="E305" s="17">
        <v>20.0</v>
      </c>
      <c r="F305" s="19"/>
      <c r="G305" s="5"/>
      <c r="H305" s="5">
        <v>20.0</v>
      </c>
      <c r="I305" s="19"/>
      <c r="J305" s="19" t="s">
        <v>436</v>
      </c>
      <c r="K305" s="5" t="s">
        <v>2975</v>
      </c>
      <c r="L305" s="5" t="s">
        <v>2979</v>
      </c>
      <c r="M305" s="5" t="s">
        <v>2230</v>
      </c>
    </row>
    <row r="306" ht="22.5" hidden="1" customHeight="1">
      <c r="A306" s="37">
        <v>46011.67550482639</v>
      </c>
      <c r="B306" s="5" t="s">
        <v>2234</v>
      </c>
      <c r="C306" s="19" t="s">
        <v>929</v>
      </c>
      <c r="D306" s="17">
        <v>1.0</v>
      </c>
      <c r="E306" s="17">
        <v>20.0</v>
      </c>
      <c r="F306" s="19"/>
      <c r="G306" s="5"/>
      <c r="H306" s="5">
        <v>20.0</v>
      </c>
      <c r="I306" s="19"/>
      <c r="J306" s="19" t="s">
        <v>436</v>
      </c>
      <c r="K306" s="5" t="s">
        <v>2975</v>
      </c>
      <c r="L306" s="5" t="s">
        <v>2979</v>
      </c>
      <c r="M306" s="5" t="s">
        <v>2230</v>
      </c>
    </row>
    <row r="307" ht="22.5" hidden="1" customHeight="1">
      <c r="A307" s="37">
        <v>46011.675504768515</v>
      </c>
      <c r="B307" s="5" t="s">
        <v>2234</v>
      </c>
      <c r="C307" s="19" t="s">
        <v>932</v>
      </c>
      <c r="D307" s="17">
        <v>1.0</v>
      </c>
      <c r="E307" s="17">
        <v>30.0</v>
      </c>
      <c r="F307" s="19"/>
      <c r="G307" s="5"/>
      <c r="H307" s="5">
        <v>30.0</v>
      </c>
      <c r="I307" s="19"/>
      <c r="J307" s="19" t="s">
        <v>436</v>
      </c>
      <c r="K307" s="5" t="s">
        <v>2975</v>
      </c>
      <c r="L307" s="5" t="s">
        <v>2979</v>
      </c>
      <c r="M307" s="5" t="s">
        <v>2230</v>
      </c>
    </row>
    <row r="308" ht="22.5" hidden="1" customHeight="1">
      <c r="A308" s="37">
        <v>46011.675504722225</v>
      </c>
      <c r="B308" s="5" t="s">
        <v>2234</v>
      </c>
      <c r="C308" s="19" t="s">
        <v>435</v>
      </c>
      <c r="D308" s="17">
        <v>1.0</v>
      </c>
      <c r="E308" s="17">
        <v>220.0</v>
      </c>
      <c r="F308" s="19"/>
      <c r="G308" s="5"/>
      <c r="H308" s="5">
        <v>220.0</v>
      </c>
      <c r="I308" s="19"/>
      <c r="J308" s="19" t="s">
        <v>436</v>
      </c>
      <c r="K308" s="5" t="s">
        <v>2975</v>
      </c>
      <c r="L308" s="5" t="s">
        <v>2979</v>
      </c>
      <c r="M308" s="5" t="s">
        <v>2230</v>
      </c>
    </row>
    <row r="309" ht="22.5" hidden="1" customHeight="1">
      <c r="A309" s="37">
        <v>46011.67540078703</v>
      </c>
      <c r="B309" s="5" t="s">
        <v>2225</v>
      </c>
      <c r="C309" s="19" t="s">
        <v>29</v>
      </c>
      <c r="D309" s="17">
        <v>1.0</v>
      </c>
      <c r="E309" s="17">
        <v>103.75</v>
      </c>
      <c r="F309" s="19"/>
      <c r="G309" s="5"/>
      <c r="H309" s="5">
        <v>103.75</v>
      </c>
      <c r="I309" s="19"/>
      <c r="J309" s="5" t="s">
        <v>54</v>
      </c>
      <c r="K309" s="5" t="s">
        <v>2975</v>
      </c>
      <c r="L309" s="5" t="s">
        <v>2987</v>
      </c>
      <c r="M309" s="5" t="s">
        <v>2230</v>
      </c>
    </row>
    <row r="310" ht="22.5" hidden="1" customHeight="1">
      <c r="A310" s="37">
        <v>46011.67540057871</v>
      </c>
      <c r="B310" s="5" t="s">
        <v>2225</v>
      </c>
      <c r="C310" s="19" t="s">
        <v>34</v>
      </c>
      <c r="D310" s="17">
        <v>1.0</v>
      </c>
      <c r="E310" s="17">
        <v>136.95000000000002</v>
      </c>
      <c r="F310" s="19"/>
      <c r="G310" s="5"/>
      <c r="H310" s="5">
        <v>136.95000000000002</v>
      </c>
      <c r="I310" s="19"/>
      <c r="J310" s="5" t="s">
        <v>54</v>
      </c>
      <c r="K310" s="5" t="s">
        <v>2975</v>
      </c>
      <c r="L310" s="5" t="s">
        <v>2987</v>
      </c>
      <c r="M310" s="5" t="s">
        <v>2230</v>
      </c>
    </row>
    <row r="311" ht="22.5" hidden="1" customHeight="1">
      <c r="A311" s="37">
        <v>46011.67540021991</v>
      </c>
      <c r="B311" s="5" t="s">
        <v>2225</v>
      </c>
      <c r="C311" s="19" t="s">
        <v>38</v>
      </c>
      <c r="D311" s="17">
        <v>1.0</v>
      </c>
      <c r="E311" s="17">
        <v>174.29999999999998</v>
      </c>
      <c r="F311" s="19"/>
      <c r="G311" s="5"/>
      <c r="H311" s="5">
        <v>174.29999999999998</v>
      </c>
      <c r="I311" s="19"/>
      <c r="J311" s="5" t="s">
        <v>54</v>
      </c>
      <c r="K311" s="5" t="s">
        <v>2975</v>
      </c>
      <c r="L311" s="5" t="s">
        <v>2987</v>
      </c>
      <c r="M311" s="5" t="s">
        <v>2230</v>
      </c>
    </row>
    <row r="312" ht="22.5" hidden="1" customHeight="1">
      <c r="A312" s="37">
        <v>46011.675399988424</v>
      </c>
      <c r="B312" s="5" t="s">
        <v>2234</v>
      </c>
      <c r="C312" s="19" t="s">
        <v>91</v>
      </c>
      <c r="D312" s="17">
        <v>3.0</v>
      </c>
      <c r="E312" s="17">
        <v>35.0</v>
      </c>
      <c r="F312" s="19"/>
      <c r="G312" s="5"/>
      <c r="H312" s="5">
        <v>105.0</v>
      </c>
      <c r="I312" s="19"/>
      <c r="J312" s="19" t="s">
        <v>436</v>
      </c>
      <c r="K312" s="5" t="s">
        <v>2975</v>
      </c>
      <c r="L312" s="5" t="s">
        <v>2979</v>
      </c>
      <c r="M312" s="5" t="s">
        <v>2230</v>
      </c>
    </row>
    <row r="313" ht="22.5" hidden="1" customHeight="1">
      <c r="A313" s="37">
        <v>46011.675399837965</v>
      </c>
      <c r="B313" s="5" t="s">
        <v>2234</v>
      </c>
      <c r="C313" s="19" t="s">
        <v>933</v>
      </c>
      <c r="D313" s="17">
        <v>1.0</v>
      </c>
      <c r="E313" s="17">
        <v>10.0</v>
      </c>
      <c r="F313" s="19"/>
      <c r="G313" s="5"/>
      <c r="H313" s="5">
        <v>10.0</v>
      </c>
      <c r="I313" s="19"/>
      <c r="J313" s="19" t="s">
        <v>436</v>
      </c>
      <c r="K313" s="5" t="s">
        <v>2975</v>
      </c>
      <c r="L313" s="5" t="s">
        <v>2979</v>
      </c>
      <c r="M313" s="5" t="s">
        <v>2230</v>
      </c>
    </row>
    <row r="314" ht="22.5" hidden="1" customHeight="1">
      <c r="A314" s="37">
        <v>46011.675399687505</v>
      </c>
      <c r="B314" s="5" t="s">
        <v>2234</v>
      </c>
      <c r="C314" s="19" t="s">
        <v>935</v>
      </c>
      <c r="D314" s="17">
        <v>2.0</v>
      </c>
      <c r="E314" s="17">
        <v>5.0</v>
      </c>
      <c r="F314" s="19"/>
      <c r="G314" s="5"/>
      <c r="H314" s="5">
        <v>10.0</v>
      </c>
      <c r="I314" s="19"/>
      <c r="J314" s="19" t="s">
        <v>436</v>
      </c>
      <c r="K314" s="5" t="s">
        <v>2975</v>
      </c>
      <c r="L314" s="5" t="s">
        <v>2979</v>
      </c>
      <c r="M314" s="5" t="s">
        <v>2230</v>
      </c>
    </row>
    <row r="315" ht="22.5" hidden="1" customHeight="1">
      <c r="A315" s="37">
        <v>46011.67539952546</v>
      </c>
      <c r="B315" s="5" t="s">
        <v>2234</v>
      </c>
      <c r="C315" s="19" t="s">
        <v>926</v>
      </c>
      <c r="D315" s="17">
        <v>1.0</v>
      </c>
      <c r="E315" s="17">
        <v>20.0</v>
      </c>
      <c r="F315" s="19"/>
      <c r="G315" s="5"/>
      <c r="H315" s="5">
        <v>20.0</v>
      </c>
      <c r="I315" s="19"/>
      <c r="J315" s="19" t="s">
        <v>436</v>
      </c>
      <c r="K315" s="5" t="s">
        <v>2975</v>
      </c>
      <c r="L315" s="5" t="s">
        <v>2979</v>
      </c>
      <c r="M315" s="5" t="s">
        <v>2230</v>
      </c>
    </row>
    <row r="316" ht="22.5" hidden="1" customHeight="1">
      <c r="A316" s="37">
        <v>46011.67539929398</v>
      </c>
      <c r="B316" s="5" t="s">
        <v>2234</v>
      </c>
      <c r="C316" s="19" t="s">
        <v>929</v>
      </c>
      <c r="D316" s="17">
        <v>1.0</v>
      </c>
      <c r="E316" s="17">
        <v>20.0</v>
      </c>
      <c r="F316" s="19"/>
      <c r="G316" s="5"/>
      <c r="H316" s="5">
        <v>20.0</v>
      </c>
      <c r="I316" s="19"/>
      <c r="J316" s="19" t="s">
        <v>436</v>
      </c>
      <c r="K316" s="5" t="s">
        <v>2975</v>
      </c>
      <c r="L316" s="5" t="s">
        <v>2979</v>
      </c>
      <c r="M316" s="5" t="s">
        <v>2230</v>
      </c>
    </row>
    <row r="317" ht="22.5" hidden="1" customHeight="1">
      <c r="A317" s="37">
        <v>46011.675399155094</v>
      </c>
      <c r="B317" s="5" t="s">
        <v>2234</v>
      </c>
      <c r="C317" s="19" t="s">
        <v>932</v>
      </c>
      <c r="D317" s="17">
        <v>1.0</v>
      </c>
      <c r="E317" s="17">
        <v>30.0</v>
      </c>
      <c r="F317" s="19"/>
      <c r="G317" s="5"/>
      <c r="H317" s="5">
        <v>30.0</v>
      </c>
      <c r="I317" s="19"/>
      <c r="J317" s="19" t="s">
        <v>436</v>
      </c>
      <c r="K317" s="5" t="s">
        <v>2975</v>
      </c>
      <c r="L317" s="5" t="s">
        <v>2979</v>
      </c>
      <c r="M317" s="5" t="s">
        <v>2230</v>
      </c>
    </row>
    <row r="318" ht="22.5" hidden="1" customHeight="1">
      <c r="A318" s="37">
        <v>46011.67539902778</v>
      </c>
      <c r="B318" s="5" t="s">
        <v>2234</v>
      </c>
      <c r="C318" s="19" t="s">
        <v>435</v>
      </c>
      <c r="D318" s="17">
        <v>1.0</v>
      </c>
      <c r="E318" s="17">
        <v>220.0</v>
      </c>
      <c r="F318" s="19"/>
      <c r="G318" s="5"/>
      <c r="H318" s="5">
        <v>220.0</v>
      </c>
      <c r="I318" s="19"/>
      <c r="J318" s="19" t="s">
        <v>436</v>
      </c>
      <c r="K318" s="5" t="s">
        <v>2975</v>
      </c>
      <c r="L318" s="5" t="s">
        <v>2979</v>
      </c>
      <c r="M318" s="5" t="s">
        <v>2230</v>
      </c>
    </row>
    <row r="319" ht="22.5" hidden="1" customHeight="1">
      <c r="A319" s="37">
        <v>46011.67498627315</v>
      </c>
      <c r="B319" s="5" t="s">
        <v>2225</v>
      </c>
      <c r="C319" s="19" t="s">
        <v>29</v>
      </c>
      <c r="D319" s="17">
        <v>1.0</v>
      </c>
      <c r="E319" s="17">
        <v>103.75</v>
      </c>
      <c r="F319" s="19"/>
      <c r="G319" s="5"/>
      <c r="H319" s="5">
        <v>103.75</v>
      </c>
      <c r="I319" s="19"/>
      <c r="J319" s="5" t="s">
        <v>54</v>
      </c>
      <c r="K319" s="5" t="s">
        <v>2975</v>
      </c>
      <c r="L319" s="5" t="s">
        <v>2987</v>
      </c>
      <c r="M319" s="5" t="s">
        <v>2230</v>
      </c>
    </row>
    <row r="320" ht="22.5" hidden="1" customHeight="1">
      <c r="A320" s="37">
        <v>46011.674984513884</v>
      </c>
      <c r="B320" s="5" t="s">
        <v>2225</v>
      </c>
      <c r="C320" s="19" t="s">
        <v>34</v>
      </c>
      <c r="D320" s="17">
        <v>1.0</v>
      </c>
      <c r="E320" s="17">
        <v>136.95000000000002</v>
      </c>
      <c r="F320" s="19"/>
      <c r="G320" s="5"/>
      <c r="H320" s="5">
        <v>136.95000000000002</v>
      </c>
      <c r="I320" s="19"/>
      <c r="J320" s="5" t="s">
        <v>54</v>
      </c>
      <c r="K320" s="5" t="s">
        <v>2975</v>
      </c>
      <c r="L320" s="5" t="s">
        <v>2987</v>
      </c>
      <c r="M320" s="5" t="s">
        <v>2230</v>
      </c>
    </row>
    <row r="321" ht="22.5" hidden="1" customHeight="1">
      <c r="A321" s="37">
        <v>46011.67498217593</v>
      </c>
      <c r="B321" s="5" t="s">
        <v>2225</v>
      </c>
      <c r="C321" s="19" t="s">
        <v>38</v>
      </c>
      <c r="D321" s="17">
        <v>1.0</v>
      </c>
      <c r="E321" s="17">
        <v>174.29999999999998</v>
      </c>
      <c r="F321" s="19"/>
      <c r="G321" s="5"/>
      <c r="H321" s="5">
        <v>174.29999999999998</v>
      </c>
      <c r="I321" s="19"/>
      <c r="J321" s="5" t="s">
        <v>54</v>
      </c>
      <c r="K321" s="5" t="s">
        <v>2975</v>
      </c>
      <c r="L321" s="5" t="s">
        <v>2987</v>
      </c>
      <c r="M321" s="5" t="s">
        <v>2230</v>
      </c>
    </row>
    <row r="322" ht="22.5" hidden="1" customHeight="1">
      <c r="A322" s="37">
        <v>46011.6749812037</v>
      </c>
      <c r="B322" s="5" t="s">
        <v>2234</v>
      </c>
      <c r="C322" s="19" t="s">
        <v>91</v>
      </c>
      <c r="D322" s="17">
        <v>3.0</v>
      </c>
      <c r="E322" s="17">
        <v>35.0</v>
      </c>
      <c r="F322" s="19"/>
      <c r="G322" s="5"/>
      <c r="H322" s="5">
        <v>105.0</v>
      </c>
      <c r="I322" s="19"/>
      <c r="J322" s="19" t="s">
        <v>436</v>
      </c>
      <c r="K322" s="5" t="s">
        <v>2975</v>
      </c>
      <c r="L322" s="5" t="s">
        <v>2979</v>
      </c>
      <c r="M322" s="5" t="s">
        <v>2230</v>
      </c>
    </row>
    <row r="323" ht="22.5" hidden="1" customHeight="1">
      <c r="A323" s="37">
        <v>46011.674981041666</v>
      </c>
      <c r="B323" s="5" t="s">
        <v>2234</v>
      </c>
      <c r="C323" s="19" t="s">
        <v>933</v>
      </c>
      <c r="D323" s="17">
        <v>1.0</v>
      </c>
      <c r="E323" s="17">
        <v>10.0</v>
      </c>
      <c r="F323" s="19"/>
      <c r="G323" s="5"/>
      <c r="H323" s="5">
        <v>10.0</v>
      </c>
      <c r="I323" s="19"/>
      <c r="J323" s="19" t="s">
        <v>436</v>
      </c>
      <c r="K323" s="5" t="s">
        <v>2975</v>
      </c>
      <c r="L323" s="5" t="s">
        <v>2979</v>
      </c>
      <c r="M323" s="5" t="s">
        <v>2230</v>
      </c>
    </row>
    <row r="324" ht="22.5" hidden="1" customHeight="1">
      <c r="A324" s="37">
        <v>46011.674980972224</v>
      </c>
      <c r="B324" s="5" t="s">
        <v>2234</v>
      </c>
      <c r="C324" s="19" t="s">
        <v>935</v>
      </c>
      <c r="D324" s="17">
        <v>2.0</v>
      </c>
      <c r="E324" s="17">
        <v>5.0</v>
      </c>
      <c r="F324" s="19"/>
      <c r="G324" s="5"/>
      <c r="H324" s="5">
        <v>10.0</v>
      </c>
      <c r="I324" s="19"/>
      <c r="J324" s="19" t="s">
        <v>436</v>
      </c>
      <c r="K324" s="5" t="s">
        <v>2975</v>
      </c>
      <c r="L324" s="5" t="s">
        <v>2979</v>
      </c>
      <c r="M324" s="5" t="s">
        <v>2230</v>
      </c>
    </row>
    <row r="325" ht="22.5" hidden="1" customHeight="1">
      <c r="A325" s="37">
        <v>46011.6749808912</v>
      </c>
      <c r="B325" s="5" t="s">
        <v>2234</v>
      </c>
      <c r="C325" s="19" t="s">
        <v>926</v>
      </c>
      <c r="D325" s="17">
        <v>1.0</v>
      </c>
      <c r="E325" s="17">
        <v>20.0</v>
      </c>
      <c r="F325" s="19"/>
      <c r="G325" s="5"/>
      <c r="H325" s="5">
        <v>20.0</v>
      </c>
      <c r="I325" s="19"/>
      <c r="J325" s="19" t="s">
        <v>436</v>
      </c>
      <c r="K325" s="5" t="s">
        <v>2975</v>
      </c>
      <c r="L325" s="5" t="s">
        <v>2979</v>
      </c>
      <c r="M325" s="5" t="s">
        <v>2230</v>
      </c>
    </row>
    <row r="326" ht="22.5" hidden="1" customHeight="1">
      <c r="A326" s="37">
        <v>46011.67498078704</v>
      </c>
      <c r="B326" s="5" t="s">
        <v>2234</v>
      </c>
      <c r="C326" s="19" t="s">
        <v>929</v>
      </c>
      <c r="D326" s="17">
        <v>1.0</v>
      </c>
      <c r="E326" s="17">
        <v>20.0</v>
      </c>
      <c r="F326" s="19"/>
      <c r="G326" s="5"/>
      <c r="H326" s="5">
        <v>20.0</v>
      </c>
      <c r="I326" s="19"/>
      <c r="J326" s="19" t="s">
        <v>436</v>
      </c>
      <c r="K326" s="5" t="s">
        <v>2975</v>
      </c>
      <c r="L326" s="5" t="s">
        <v>2979</v>
      </c>
      <c r="M326" s="5" t="s">
        <v>2230</v>
      </c>
    </row>
    <row r="327" ht="22.5" hidden="1" customHeight="1">
      <c r="A327" s="37">
        <v>46011.67498070602</v>
      </c>
      <c r="B327" s="5" t="s">
        <v>2234</v>
      </c>
      <c r="C327" s="19" t="s">
        <v>932</v>
      </c>
      <c r="D327" s="17">
        <v>1.0</v>
      </c>
      <c r="E327" s="17">
        <v>30.0</v>
      </c>
      <c r="F327" s="19"/>
      <c r="G327" s="5"/>
      <c r="H327" s="5">
        <v>30.0</v>
      </c>
      <c r="I327" s="19"/>
      <c r="J327" s="19" t="s">
        <v>436</v>
      </c>
      <c r="K327" s="5" t="s">
        <v>2975</v>
      </c>
      <c r="L327" s="5" t="s">
        <v>2979</v>
      </c>
      <c r="M327" s="5" t="s">
        <v>2230</v>
      </c>
    </row>
    <row r="328" ht="22.5" hidden="1" customHeight="1">
      <c r="A328" s="37">
        <v>46011.674980613425</v>
      </c>
      <c r="B328" s="5" t="s">
        <v>2234</v>
      </c>
      <c r="C328" s="19" t="s">
        <v>435</v>
      </c>
      <c r="D328" s="17">
        <v>1.0</v>
      </c>
      <c r="E328" s="17">
        <v>220.0</v>
      </c>
      <c r="F328" s="19"/>
      <c r="G328" s="5"/>
      <c r="H328" s="5">
        <v>220.0</v>
      </c>
      <c r="I328" s="19"/>
      <c r="J328" s="19" t="s">
        <v>436</v>
      </c>
      <c r="K328" s="5" t="s">
        <v>2975</v>
      </c>
      <c r="L328" s="5" t="s">
        <v>2979</v>
      </c>
      <c r="M328" s="5" t="s">
        <v>2230</v>
      </c>
    </row>
    <row r="329" ht="22.5" hidden="1" customHeight="1">
      <c r="A329" s="37">
        <v>46011.671589942125</v>
      </c>
      <c r="B329" s="5" t="s">
        <v>2225</v>
      </c>
      <c r="C329" s="19" t="s">
        <v>29</v>
      </c>
      <c r="D329" s="17">
        <v>1.0</v>
      </c>
      <c r="E329" s="17">
        <v>86.25</v>
      </c>
      <c r="F329" s="19"/>
      <c r="G329" s="5"/>
      <c r="H329" s="5">
        <v>86.25</v>
      </c>
      <c r="I329" s="19"/>
      <c r="J329" s="5" t="s">
        <v>54</v>
      </c>
      <c r="K329" s="5" t="s">
        <v>2975</v>
      </c>
      <c r="L329" s="5" t="s">
        <v>2987</v>
      </c>
      <c r="M329" s="5" t="s">
        <v>2230</v>
      </c>
    </row>
    <row r="330" ht="22.5" hidden="1" customHeight="1">
      <c r="A330" s="37">
        <v>46011.671588275465</v>
      </c>
      <c r="B330" s="5" t="s">
        <v>2225</v>
      </c>
      <c r="C330" s="19" t="s">
        <v>34</v>
      </c>
      <c r="D330" s="17">
        <v>1.0</v>
      </c>
      <c r="E330" s="17">
        <v>113.85000000000001</v>
      </c>
      <c r="F330" s="19"/>
      <c r="G330" s="5"/>
      <c r="H330" s="5">
        <v>113.85000000000001</v>
      </c>
      <c r="I330" s="19"/>
      <c r="J330" s="5" t="s">
        <v>54</v>
      </c>
      <c r="K330" s="5" t="s">
        <v>2975</v>
      </c>
      <c r="L330" s="5" t="s">
        <v>2987</v>
      </c>
      <c r="M330" s="5" t="s">
        <v>2230</v>
      </c>
    </row>
    <row r="331" ht="22.5" hidden="1" customHeight="1">
      <c r="A331" s="37">
        <v>46011.67158658565</v>
      </c>
      <c r="B331" s="5" t="s">
        <v>2225</v>
      </c>
      <c r="C331" s="19" t="s">
        <v>38</v>
      </c>
      <c r="D331" s="17">
        <v>1.0</v>
      </c>
      <c r="E331" s="17">
        <v>144.9</v>
      </c>
      <c r="F331" s="19"/>
      <c r="G331" s="5"/>
      <c r="H331" s="5">
        <v>144.9</v>
      </c>
      <c r="I331" s="19"/>
      <c r="J331" s="5" t="s">
        <v>54</v>
      </c>
      <c r="K331" s="5" t="s">
        <v>2975</v>
      </c>
      <c r="L331" s="5" t="s">
        <v>2987</v>
      </c>
      <c r="M331" s="5" t="s">
        <v>2230</v>
      </c>
    </row>
    <row r="332" ht="22.5" hidden="1" customHeight="1">
      <c r="A332" s="37">
        <v>46011.67158548611</v>
      </c>
      <c r="B332" s="5" t="s">
        <v>2234</v>
      </c>
      <c r="C332" s="19" t="s">
        <v>91</v>
      </c>
      <c r="D332" s="17">
        <v>1.0</v>
      </c>
      <c r="E332" s="17">
        <v>35.0</v>
      </c>
      <c r="F332" s="19"/>
      <c r="G332" s="5"/>
      <c r="H332" s="5">
        <v>35.0</v>
      </c>
      <c r="I332" s="19"/>
      <c r="J332" s="19" t="s">
        <v>436</v>
      </c>
      <c r="K332" s="5" t="s">
        <v>2975</v>
      </c>
      <c r="L332" s="5" t="s">
        <v>2979</v>
      </c>
      <c r="M332" s="5" t="s">
        <v>2230</v>
      </c>
    </row>
    <row r="333" ht="22.5" hidden="1" customHeight="1">
      <c r="A333" s="37">
        <v>46011.67158539352</v>
      </c>
      <c r="B333" s="5" t="s">
        <v>2234</v>
      </c>
      <c r="C333" s="19" t="s">
        <v>933</v>
      </c>
      <c r="D333" s="17">
        <v>1.0</v>
      </c>
      <c r="E333" s="17">
        <v>10.0</v>
      </c>
      <c r="F333" s="19"/>
      <c r="G333" s="5"/>
      <c r="H333" s="5">
        <v>10.0</v>
      </c>
      <c r="I333" s="19"/>
      <c r="J333" s="19" t="s">
        <v>436</v>
      </c>
      <c r="K333" s="5" t="s">
        <v>2975</v>
      </c>
      <c r="L333" s="5" t="s">
        <v>2979</v>
      </c>
      <c r="M333" s="5" t="s">
        <v>2230</v>
      </c>
    </row>
    <row r="334" ht="22.5" hidden="1" customHeight="1">
      <c r="A334" s="37">
        <v>46011.6715853125</v>
      </c>
      <c r="B334" s="5" t="s">
        <v>2234</v>
      </c>
      <c r="C334" s="19" t="s">
        <v>935</v>
      </c>
      <c r="D334" s="17">
        <v>2.0</v>
      </c>
      <c r="E334" s="17">
        <v>5.0</v>
      </c>
      <c r="F334" s="19"/>
      <c r="G334" s="5"/>
      <c r="H334" s="5">
        <v>10.0</v>
      </c>
      <c r="I334" s="19"/>
      <c r="J334" s="19" t="s">
        <v>436</v>
      </c>
      <c r="K334" s="5" t="s">
        <v>2975</v>
      </c>
      <c r="L334" s="5" t="s">
        <v>2979</v>
      </c>
      <c r="M334" s="5" t="s">
        <v>2230</v>
      </c>
    </row>
    <row r="335" ht="22.5" hidden="1" customHeight="1">
      <c r="A335" s="37">
        <v>46011.67158523148</v>
      </c>
      <c r="B335" s="5" t="s">
        <v>2234</v>
      </c>
      <c r="C335" s="19" t="s">
        <v>926</v>
      </c>
      <c r="D335" s="17">
        <v>1.0</v>
      </c>
      <c r="E335" s="17">
        <v>20.0</v>
      </c>
      <c r="F335" s="19"/>
      <c r="G335" s="5"/>
      <c r="H335" s="5">
        <v>20.0</v>
      </c>
      <c r="I335" s="19"/>
      <c r="J335" s="19" t="s">
        <v>436</v>
      </c>
      <c r="K335" s="5" t="s">
        <v>2975</v>
      </c>
      <c r="L335" s="5" t="s">
        <v>2979</v>
      </c>
      <c r="M335" s="5" t="s">
        <v>2230</v>
      </c>
    </row>
    <row r="336" ht="22.5" hidden="1" customHeight="1">
      <c r="A336" s="37">
        <v>46011.67158512732</v>
      </c>
      <c r="B336" s="5" t="s">
        <v>2234</v>
      </c>
      <c r="C336" s="19" t="s">
        <v>929</v>
      </c>
      <c r="D336" s="17">
        <v>1.0</v>
      </c>
      <c r="E336" s="17">
        <v>20.0</v>
      </c>
      <c r="F336" s="19"/>
      <c r="G336" s="5"/>
      <c r="H336" s="5">
        <v>20.0</v>
      </c>
      <c r="I336" s="19"/>
      <c r="J336" s="19" t="s">
        <v>436</v>
      </c>
      <c r="K336" s="5" t="s">
        <v>2975</v>
      </c>
      <c r="L336" s="5" t="s">
        <v>2979</v>
      </c>
      <c r="M336" s="5" t="s">
        <v>2230</v>
      </c>
    </row>
    <row r="337" ht="22.5" hidden="1" customHeight="1">
      <c r="A337" s="37">
        <v>46011.67158502315</v>
      </c>
      <c r="B337" s="5" t="s">
        <v>2234</v>
      </c>
      <c r="C337" s="19" t="s">
        <v>932</v>
      </c>
      <c r="D337" s="17">
        <v>1.0</v>
      </c>
      <c r="E337" s="17">
        <v>30.0</v>
      </c>
      <c r="F337" s="19"/>
      <c r="G337" s="5"/>
      <c r="H337" s="5">
        <v>30.0</v>
      </c>
      <c r="I337" s="19"/>
      <c r="J337" s="19" t="s">
        <v>436</v>
      </c>
      <c r="K337" s="5" t="s">
        <v>2975</v>
      </c>
      <c r="L337" s="5" t="s">
        <v>2979</v>
      </c>
      <c r="M337" s="5" t="s">
        <v>2230</v>
      </c>
    </row>
    <row r="338" ht="22.5" hidden="1" customHeight="1">
      <c r="A338" s="37">
        <v>46011.67158494213</v>
      </c>
      <c r="B338" s="5" t="s">
        <v>2234</v>
      </c>
      <c r="C338" s="19" t="s">
        <v>435</v>
      </c>
      <c r="D338" s="17">
        <v>1.0</v>
      </c>
      <c r="E338" s="17">
        <v>220.0</v>
      </c>
      <c r="F338" s="17"/>
      <c r="G338" s="19"/>
      <c r="H338" s="5">
        <v>220.0</v>
      </c>
      <c r="I338" s="19"/>
      <c r="J338" s="19" t="s">
        <v>436</v>
      </c>
      <c r="K338" s="5" t="s">
        <v>2975</v>
      </c>
      <c r="L338" s="5" t="s">
        <v>2979</v>
      </c>
      <c r="M338" s="5" t="s">
        <v>2230</v>
      </c>
    </row>
    <row r="339" ht="22.5" hidden="1" customHeight="1">
      <c r="A339" s="37">
        <v>46011.66969804398</v>
      </c>
      <c r="B339" s="5" t="s">
        <v>2225</v>
      </c>
      <c r="C339" s="19" t="s">
        <v>29</v>
      </c>
      <c r="D339" s="17">
        <v>1.0</v>
      </c>
      <c r="E339" s="17">
        <v>86.25</v>
      </c>
      <c r="F339" s="17"/>
      <c r="G339" s="19"/>
      <c r="H339" s="5">
        <v>86.25</v>
      </c>
      <c r="I339" s="19"/>
      <c r="J339" s="5" t="s">
        <v>54</v>
      </c>
      <c r="K339" s="5" t="s">
        <v>2975</v>
      </c>
      <c r="L339" s="5" t="s">
        <v>2987</v>
      </c>
      <c r="M339" s="5" t="s">
        <v>2230</v>
      </c>
    </row>
    <row r="340" ht="22.5" hidden="1" customHeight="1">
      <c r="A340" s="37">
        <v>46011.669697916666</v>
      </c>
      <c r="B340" s="5" t="s">
        <v>2225</v>
      </c>
      <c r="C340" s="19" t="s">
        <v>34</v>
      </c>
      <c r="D340" s="17">
        <v>1.0</v>
      </c>
      <c r="E340" s="17">
        <v>120.74999999999999</v>
      </c>
      <c r="F340" s="17"/>
      <c r="G340" s="19"/>
      <c r="H340" s="5">
        <v>120.74999999999999</v>
      </c>
      <c r="I340" s="19"/>
      <c r="J340" s="5" t="s">
        <v>54</v>
      </c>
      <c r="K340" s="5" t="s">
        <v>2975</v>
      </c>
      <c r="L340" s="5" t="s">
        <v>2987</v>
      </c>
      <c r="M340" s="5" t="s">
        <v>2230</v>
      </c>
    </row>
    <row r="341" ht="22.5" hidden="1" customHeight="1">
      <c r="A341" s="37">
        <v>46011.669697777776</v>
      </c>
      <c r="B341" s="5" t="s">
        <v>2225</v>
      </c>
      <c r="C341" s="19" t="s">
        <v>38</v>
      </c>
      <c r="D341" s="17">
        <v>1.0</v>
      </c>
      <c r="E341" s="17">
        <v>138.0</v>
      </c>
      <c r="F341" s="17"/>
      <c r="G341" s="19"/>
      <c r="H341" s="5">
        <v>138.0</v>
      </c>
      <c r="I341" s="19"/>
      <c r="J341" s="5" t="s">
        <v>54</v>
      </c>
      <c r="K341" s="5" t="s">
        <v>2975</v>
      </c>
      <c r="L341" s="5" t="s">
        <v>2987</v>
      </c>
      <c r="M341" s="5" t="s">
        <v>2230</v>
      </c>
    </row>
    <row r="342" ht="22.5" hidden="1" customHeight="1">
      <c r="A342" s="37">
        <v>46011.66969761574</v>
      </c>
      <c r="B342" s="5" t="s">
        <v>2234</v>
      </c>
      <c r="C342" s="19" t="s">
        <v>91</v>
      </c>
      <c r="D342" s="17">
        <v>1.0</v>
      </c>
      <c r="E342" s="17">
        <v>35.0</v>
      </c>
      <c r="F342" s="17"/>
      <c r="G342" s="19"/>
      <c r="H342" s="5">
        <v>35.0</v>
      </c>
      <c r="I342" s="19"/>
      <c r="J342" s="19" t="s">
        <v>436</v>
      </c>
      <c r="K342" s="5" t="s">
        <v>2975</v>
      </c>
      <c r="L342" s="5" t="s">
        <v>2979</v>
      </c>
      <c r="M342" s="5" t="s">
        <v>2230</v>
      </c>
    </row>
    <row r="343" ht="22.5" hidden="1" customHeight="1">
      <c r="A343" s="37">
        <v>46011.66969753472</v>
      </c>
      <c r="B343" s="5" t="s">
        <v>2234</v>
      </c>
      <c r="C343" s="19" t="s">
        <v>933</v>
      </c>
      <c r="D343" s="17">
        <v>1.0</v>
      </c>
      <c r="E343" s="17">
        <v>10.0</v>
      </c>
      <c r="F343" s="17"/>
      <c r="G343" s="19"/>
      <c r="H343" s="5">
        <v>10.0</v>
      </c>
      <c r="I343" s="19"/>
      <c r="J343" s="19" t="s">
        <v>436</v>
      </c>
      <c r="K343" s="5" t="s">
        <v>2975</v>
      </c>
      <c r="L343" s="5" t="s">
        <v>2979</v>
      </c>
      <c r="M343" s="5" t="s">
        <v>2230</v>
      </c>
    </row>
    <row r="344" ht="22.5" hidden="1" customHeight="1">
      <c r="A344" s="37">
        <v>46011.66969743055</v>
      </c>
      <c r="B344" s="5" t="s">
        <v>2234</v>
      </c>
      <c r="C344" s="19" t="s">
        <v>935</v>
      </c>
      <c r="D344" s="17">
        <v>2.0</v>
      </c>
      <c r="E344" s="17">
        <v>5.0</v>
      </c>
      <c r="F344" s="17"/>
      <c r="G344" s="19"/>
      <c r="H344" s="5">
        <v>10.0</v>
      </c>
      <c r="I344" s="19"/>
      <c r="J344" s="19" t="s">
        <v>436</v>
      </c>
      <c r="K344" s="5" t="s">
        <v>2975</v>
      </c>
      <c r="L344" s="5" t="s">
        <v>2979</v>
      </c>
      <c r="M344" s="5" t="s">
        <v>2230</v>
      </c>
    </row>
    <row r="345" ht="22.5" hidden="1" customHeight="1">
      <c r="A345" s="37">
        <v>46011.669697314814</v>
      </c>
      <c r="B345" s="5" t="s">
        <v>2234</v>
      </c>
      <c r="C345" s="19" t="s">
        <v>926</v>
      </c>
      <c r="D345" s="17">
        <v>1.0</v>
      </c>
      <c r="E345" s="17">
        <v>20.0</v>
      </c>
      <c r="F345" s="17"/>
      <c r="G345" s="19"/>
      <c r="H345" s="5">
        <v>20.0</v>
      </c>
      <c r="I345" s="19"/>
      <c r="J345" s="19" t="s">
        <v>436</v>
      </c>
      <c r="K345" s="5" t="s">
        <v>2975</v>
      </c>
      <c r="L345" s="5" t="s">
        <v>2979</v>
      </c>
      <c r="M345" s="5" t="s">
        <v>2230</v>
      </c>
    </row>
    <row r="346" ht="22.5" hidden="1" customHeight="1">
      <c r="A346" s="37">
        <v>46011.66969717592</v>
      </c>
      <c r="B346" s="5" t="s">
        <v>2234</v>
      </c>
      <c r="C346" s="19" t="s">
        <v>929</v>
      </c>
      <c r="D346" s="17">
        <v>1.0</v>
      </c>
      <c r="E346" s="17">
        <v>20.0</v>
      </c>
      <c r="F346" s="17"/>
      <c r="G346" s="19"/>
      <c r="H346" s="5">
        <v>20.0</v>
      </c>
      <c r="I346" s="19"/>
      <c r="J346" s="19" t="s">
        <v>436</v>
      </c>
      <c r="K346" s="5" t="s">
        <v>2975</v>
      </c>
      <c r="L346" s="5" t="s">
        <v>2979</v>
      </c>
      <c r="M346" s="5" t="s">
        <v>2230</v>
      </c>
    </row>
    <row r="347" ht="22.5" hidden="1" customHeight="1">
      <c r="A347" s="37">
        <v>46011.66969707176</v>
      </c>
      <c r="B347" s="5" t="s">
        <v>2234</v>
      </c>
      <c r="C347" s="19" t="s">
        <v>932</v>
      </c>
      <c r="D347" s="17">
        <v>1.0</v>
      </c>
      <c r="E347" s="17">
        <v>30.0</v>
      </c>
      <c r="F347" s="17"/>
      <c r="G347" s="19"/>
      <c r="H347" s="5">
        <v>30.0</v>
      </c>
      <c r="I347" s="19"/>
      <c r="J347" s="19" t="s">
        <v>436</v>
      </c>
      <c r="K347" s="5" t="s">
        <v>2975</v>
      </c>
      <c r="L347" s="5" t="s">
        <v>2979</v>
      </c>
      <c r="M347" s="5" t="s">
        <v>2230</v>
      </c>
    </row>
    <row r="348" ht="22.5" hidden="1" customHeight="1">
      <c r="A348" s="37">
        <v>46011.66969686342</v>
      </c>
      <c r="B348" s="5" t="s">
        <v>2234</v>
      </c>
      <c r="C348" s="19" t="s">
        <v>435</v>
      </c>
      <c r="D348" s="17">
        <v>1.0</v>
      </c>
      <c r="E348" s="17">
        <v>220.0</v>
      </c>
      <c r="F348" s="17"/>
      <c r="G348" s="19"/>
      <c r="H348" s="5">
        <v>220.0</v>
      </c>
      <c r="I348" s="19"/>
      <c r="J348" s="19" t="s">
        <v>436</v>
      </c>
      <c r="K348" s="5" t="s">
        <v>2975</v>
      </c>
      <c r="L348" s="5" t="s">
        <v>2979</v>
      </c>
      <c r="M348" s="5" t="s">
        <v>2230</v>
      </c>
    </row>
    <row r="349" ht="22.5" hidden="1" customHeight="1">
      <c r="A349" s="37">
        <v>46011.66944300926</v>
      </c>
      <c r="B349" s="5" t="s">
        <v>2225</v>
      </c>
      <c r="C349" s="19" t="s">
        <v>29</v>
      </c>
      <c r="D349" s="17">
        <v>1.0</v>
      </c>
      <c r="E349" s="17">
        <v>86.25</v>
      </c>
      <c r="F349" s="17"/>
      <c r="G349" s="19"/>
      <c r="H349" s="5">
        <v>86.25</v>
      </c>
      <c r="I349" s="19"/>
      <c r="J349" s="5" t="s">
        <v>54</v>
      </c>
      <c r="K349" s="5" t="s">
        <v>2975</v>
      </c>
      <c r="L349" s="5" t="s">
        <v>2987</v>
      </c>
      <c r="M349" s="5" t="s">
        <v>2230</v>
      </c>
    </row>
    <row r="350" ht="22.5" hidden="1" customHeight="1">
      <c r="A350" s="37">
        <v>46011.66944116898</v>
      </c>
      <c r="B350" s="5" t="s">
        <v>2225</v>
      </c>
      <c r="C350" s="19" t="s">
        <v>34</v>
      </c>
      <c r="D350" s="17">
        <v>1.0</v>
      </c>
      <c r="E350" s="17">
        <v>120.74999999999999</v>
      </c>
      <c r="F350" s="17"/>
      <c r="G350" s="19"/>
      <c r="H350" s="5">
        <v>120.74999999999999</v>
      </c>
      <c r="I350" s="19"/>
      <c r="J350" s="5" t="s">
        <v>54</v>
      </c>
      <c r="K350" s="5" t="s">
        <v>2975</v>
      </c>
      <c r="L350" s="5" t="s">
        <v>2987</v>
      </c>
      <c r="M350" s="5" t="s">
        <v>2230</v>
      </c>
    </row>
    <row r="351" ht="22.5" hidden="1" customHeight="1">
      <c r="A351" s="37">
        <v>46011.669439502315</v>
      </c>
      <c r="B351" s="5" t="s">
        <v>2225</v>
      </c>
      <c r="C351" s="19" t="s">
        <v>38</v>
      </c>
      <c r="D351" s="17">
        <v>1.0</v>
      </c>
      <c r="E351" s="17">
        <v>138.0</v>
      </c>
      <c r="F351" s="17"/>
      <c r="G351" s="19"/>
      <c r="H351" s="5">
        <v>138.0</v>
      </c>
      <c r="I351" s="19"/>
      <c r="J351" s="5" t="s">
        <v>54</v>
      </c>
      <c r="K351" s="5" t="s">
        <v>2975</v>
      </c>
      <c r="L351" s="5" t="s">
        <v>2987</v>
      </c>
      <c r="M351" s="5" t="s">
        <v>2230</v>
      </c>
    </row>
    <row r="352" ht="22.5" hidden="1" customHeight="1">
      <c r="A352" s="37">
        <v>46011.66943849537</v>
      </c>
      <c r="B352" s="5" t="s">
        <v>2234</v>
      </c>
      <c r="C352" s="19" t="s">
        <v>91</v>
      </c>
      <c r="D352" s="17">
        <v>1.0</v>
      </c>
      <c r="E352" s="17">
        <v>35.0</v>
      </c>
      <c r="F352" s="17"/>
      <c r="G352" s="19"/>
      <c r="H352" s="5">
        <v>35.0</v>
      </c>
      <c r="I352" s="19"/>
      <c r="J352" s="19" t="s">
        <v>436</v>
      </c>
      <c r="K352" s="5" t="s">
        <v>2975</v>
      </c>
      <c r="L352" s="5" t="s">
        <v>2979</v>
      </c>
      <c r="M352" s="5" t="s">
        <v>2230</v>
      </c>
    </row>
    <row r="353" ht="22.5" hidden="1" customHeight="1">
      <c r="A353" s="37">
        <v>46011.6694384375</v>
      </c>
      <c r="B353" s="5" t="s">
        <v>2234</v>
      </c>
      <c r="C353" s="19" t="s">
        <v>933</v>
      </c>
      <c r="D353" s="17">
        <v>1.0</v>
      </c>
      <c r="E353" s="17">
        <v>10.0</v>
      </c>
      <c r="F353" s="17"/>
      <c r="G353" s="19"/>
      <c r="H353" s="5">
        <v>10.0</v>
      </c>
      <c r="I353" s="19"/>
      <c r="J353" s="19" t="s">
        <v>436</v>
      </c>
      <c r="K353" s="5" t="s">
        <v>2975</v>
      </c>
      <c r="L353" s="5" t="s">
        <v>2979</v>
      </c>
      <c r="M353" s="5" t="s">
        <v>2230</v>
      </c>
    </row>
    <row r="354" ht="22.5" hidden="1" customHeight="1">
      <c r="A354" s="37">
        <v>46011.66943836806</v>
      </c>
      <c r="B354" s="5" t="s">
        <v>2234</v>
      </c>
      <c r="C354" s="19" t="s">
        <v>935</v>
      </c>
      <c r="D354" s="17">
        <v>2.0</v>
      </c>
      <c r="E354" s="17">
        <v>5.0</v>
      </c>
      <c r="F354" s="17"/>
      <c r="G354" s="19"/>
      <c r="H354" s="5">
        <v>10.0</v>
      </c>
      <c r="I354" s="19"/>
      <c r="J354" s="19" t="s">
        <v>436</v>
      </c>
      <c r="K354" s="5" t="s">
        <v>2975</v>
      </c>
      <c r="L354" s="5" t="s">
        <v>2979</v>
      </c>
      <c r="M354" s="5" t="s">
        <v>2230</v>
      </c>
    </row>
    <row r="355" ht="22.5" hidden="1" customHeight="1">
      <c r="A355" s="37">
        <v>46011.669438321755</v>
      </c>
      <c r="B355" s="5" t="s">
        <v>2234</v>
      </c>
      <c r="C355" s="19" t="s">
        <v>926</v>
      </c>
      <c r="D355" s="17">
        <v>1.0</v>
      </c>
      <c r="E355" s="17">
        <v>20.0</v>
      </c>
      <c r="F355" s="17"/>
      <c r="G355" s="19"/>
      <c r="H355" s="5">
        <v>20.0</v>
      </c>
      <c r="I355" s="19"/>
      <c r="J355" s="19" t="s">
        <v>436</v>
      </c>
      <c r="K355" s="5" t="s">
        <v>2975</v>
      </c>
      <c r="L355" s="5" t="s">
        <v>2979</v>
      </c>
      <c r="M355" s="5" t="s">
        <v>2230</v>
      </c>
    </row>
    <row r="356" ht="22.5" hidden="1" customHeight="1">
      <c r="A356" s="37">
        <v>46011.66943825231</v>
      </c>
      <c r="B356" s="5" t="s">
        <v>2234</v>
      </c>
      <c r="C356" s="19" t="s">
        <v>929</v>
      </c>
      <c r="D356" s="17">
        <v>1.0</v>
      </c>
      <c r="E356" s="17">
        <v>20.0</v>
      </c>
      <c r="F356" s="17"/>
      <c r="G356" s="19"/>
      <c r="H356" s="5">
        <v>20.0</v>
      </c>
      <c r="I356" s="19"/>
      <c r="J356" s="19" t="s">
        <v>436</v>
      </c>
      <c r="K356" s="5" t="s">
        <v>2975</v>
      </c>
      <c r="L356" s="5" t="s">
        <v>2979</v>
      </c>
      <c r="M356" s="5" t="s">
        <v>2230</v>
      </c>
    </row>
    <row r="357" ht="22.5" hidden="1" customHeight="1">
      <c r="A357" s="37">
        <v>46011.66943819444</v>
      </c>
      <c r="B357" s="5" t="s">
        <v>2234</v>
      </c>
      <c r="C357" s="19" t="s">
        <v>932</v>
      </c>
      <c r="D357" s="17">
        <v>1.0</v>
      </c>
      <c r="E357" s="17">
        <v>30.0</v>
      </c>
      <c r="F357" s="17"/>
      <c r="G357" s="19"/>
      <c r="H357" s="5">
        <v>30.0</v>
      </c>
      <c r="I357" s="19"/>
      <c r="J357" s="19" t="s">
        <v>436</v>
      </c>
      <c r="K357" s="5" t="s">
        <v>2975</v>
      </c>
      <c r="L357" s="5" t="s">
        <v>2979</v>
      </c>
      <c r="M357" s="5" t="s">
        <v>2230</v>
      </c>
    </row>
    <row r="358" ht="22.5" hidden="1" customHeight="1">
      <c r="A358" s="37">
        <v>46011.669438136574</v>
      </c>
      <c r="B358" s="5" t="s">
        <v>2234</v>
      </c>
      <c r="C358" s="19" t="s">
        <v>435</v>
      </c>
      <c r="D358" s="17">
        <v>1.0</v>
      </c>
      <c r="E358" s="17">
        <v>220.0</v>
      </c>
      <c r="F358" s="17"/>
      <c r="G358" s="19"/>
      <c r="H358" s="5">
        <v>220.0</v>
      </c>
      <c r="I358" s="19"/>
      <c r="J358" s="19" t="s">
        <v>436</v>
      </c>
      <c r="K358" s="5" t="s">
        <v>2975</v>
      </c>
      <c r="L358" s="5" t="s">
        <v>2979</v>
      </c>
      <c r="M358" s="5" t="s">
        <v>2230</v>
      </c>
    </row>
    <row r="359" ht="22.5" hidden="1" customHeight="1">
      <c r="A359" s="37">
        <v>46011.668428425925</v>
      </c>
      <c r="B359" s="5" t="s">
        <v>2225</v>
      </c>
      <c r="C359" s="19" t="s">
        <v>29</v>
      </c>
      <c r="D359" s="17">
        <v>3.0</v>
      </c>
      <c r="E359" s="17">
        <v>28.75</v>
      </c>
      <c r="F359" s="17"/>
      <c r="G359" s="19"/>
      <c r="H359" s="5">
        <v>86.25</v>
      </c>
      <c r="I359" s="19"/>
      <c r="J359" s="5" t="s">
        <v>54</v>
      </c>
      <c r="K359" s="5" t="s">
        <v>2975</v>
      </c>
      <c r="L359" s="5" t="s">
        <v>2987</v>
      </c>
      <c r="M359" s="5" t="s">
        <v>2230</v>
      </c>
    </row>
    <row r="360" ht="22.5" hidden="1" customHeight="1">
      <c r="A360" s="37">
        <v>46011.66842666667</v>
      </c>
      <c r="B360" s="5" t="s">
        <v>2225</v>
      </c>
      <c r="C360" s="19" t="s">
        <v>34</v>
      </c>
      <c r="D360" s="17">
        <v>3.0</v>
      </c>
      <c r="E360" s="17">
        <v>40.24999999999999</v>
      </c>
      <c r="F360" s="17"/>
      <c r="G360" s="19"/>
      <c r="H360" s="5">
        <v>120.74999999999999</v>
      </c>
      <c r="I360" s="19"/>
      <c r="J360" s="5" t="s">
        <v>54</v>
      </c>
      <c r="K360" s="5" t="s">
        <v>2975</v>
      </c>
      <c r="L360" s="5" t="s">
        <v>2987</v>
      </c>
      <c r="M360" s="5" t="s">
        <v>2230</v>
      </c>
    </row>
    <row r="361" ht="22.5" hidden="1" customHeight="1">
      <c r="A361" s="37">
        <v>46011.66842505787</v>
      </c>
      <c r="B361" s="5" t="s">
        <v>2225</v>
      </c>
      <c r="C361" s="19" t="s">
        <v>38</v>
      </c>
      <c r="D361" s="17">
        <v>3.0</v>
      </c>
      <c r="E361" s="17">
        <v>46.0</v>
      </c>
      <c r="F361" s="17"/>
      <c r="G361" s="19"/>
      <c r="H361" s="5">
        <v>138.0</v>
      </c>
      <c r="I361" s="19"/>
      <c r="J361" s="5" t="s">
        <v>54</v>
      </c>
      <c r="K361" s="5" t="s">
        <v>2975</v>
      </c>
      <c r="L361" s="5" t="s">
        <v>2987</v>
      </c>
      <c r="M361" s="5" t="s">
        <v>2230</v>
      </c>
    </row>
    <row r="362" ht="22.5" hidden="1" customHeight="1">
      <c r="A362" s="37">
        <v>46011.66842418982</v>
      </c>
      <c r="B362" s="5" t="s">
        <v>2234</v>
      </c>
      <c r="C362" s="19" t="s">
        <v>91</v>
      </c>
      <c r="D362" s="17">
        <v>1.0</v>
      </c>
      <c r="E362" s="17">
        <v>35.0</v>
      </c>
      <c r="F362" s="17"/>
      <c r="G362" s="19"/>
      <c r="H362" s="5">
        <v>35.0</v>
      </c>
      <c r="I362" s="19"/>
      <c r="J362" s="19" t="s">
        <v>436</v>
      </c>
      <c r="K362" s="5" t="s">
        <v>2975</v>
      </c>
      <c r="L362" s="5" t="s">
        <v>2979</v>
      </c>
      <c r="M362" s="5" t="s">
        <v>2230</v>
      </c>
    </row>
    <row r="363" ht="22.5" hidden="1" customHeight="1">
      <c r="A363" s="37">
        <v>46011.668424143514</v>
      </c>
      <c r="B363" s="5" t="s">
        <v>2234</v>
      </c>
      <c r="C363" s="19" t="s">
        <v>933</v>
      </c>
      <c r="D363" s="17">
        <v>1.0</v>
      </c>
      <c r="E363" s="17">
        <v>10.0</v>
      </c>
      <c r="F363" s="17"/>
      <c r="G363" s="19"/>
      <c r="H363" s="5">
        <v>10.0</v>
      </c>
      <c r="I363" s="19"/>
      <c r="J363" s="19" t="s">
        <v>436</v>
      </c>
      <c r="K363" s="5" t="s">
        <v>2975</v>
      </c>
      <c r="L363" s="5" t="s">
        <v>2979</v>
      </c>
      <c r="M363" s="5" t="s">
        <v>2230</v>
      </c>
    </row>
    <row r="364" ht="22.5" hidden="1" customHeight="1">
      <c r="A364" s="37">
        <v>46011.66842408565</v>
      </c>
      <c r="B364" s="5" t="s">
        <v>2234</v>
      </c>
      <c r="C364" s="19" t="s">
        <v>935</v>
      </c>
      <c r="D364" s="17">
        <v>2.0</v>
      </c>
      <c r="E364" s="17">
        <v>5.0</v>
      </c>
      <c r="F364" s="17"/>
      <c r="G364" s="19"/>
      <c r="H364" s="5">
        <v>10.0</v>
      </c>
      <c r="I364" s="19"/>
      <c r="J364" s="19" t="s">
        <v>436</v>
      </c>
      <c r="K364" s="5" t="s">
        <v>2975</v>
      </c>
      <c r="L364" s="5" t="s">
        <v>2979</v>
      </c>
      <c r="M364" s="5" t="s">
        <v>2230</v>
      </c>
    </row>
    <row r="365" ht="22.5" hidden="1" customHeight="1">
      <c r="A365" s="37">
        <v>46011.66842402778</v>
      </c>
      <c r="B365" s="5" t="s">
        <v>2234</v>
      </c>
      <c r="C365" s="19" t="s">
        <v>926</v>
      </c>
      <c r="D365" s="17">
        <v>1.0</v>
      </c>
      <c r="E365" s="17">
        <v>20.0</v>
      </c>
      <c r="F365" s="17"/>
      <c r="G365" s="19"/>
      <c r="H365" s="5">
        <v>20.0</v>
      </c>
      <c r="I365" s="19"/>
      <c r="J365" s="19" t="s">
        <v>436</v>
      </c>
      <c r="K365" s="5" t="s">
        <v>2975</v>
      </c>
      <c r="L365" s="5" t="s">
        <v>2979</v>
      </c>
      <c r="M365" s="5" t="s">
        <v>2230</v>
      </c>
    </row>
    <row r="366" ht="22.5" hidden="1" customHeight="1">
      <c r="A366" s="37">
        <v>46011.66842393519</v>
      </c>
      <c r="B366" s="5" t="s">
        <v>2234</v>
      </c>
      <c r="C366" s="19" t="s">
        <v>929</v>
      </c>
      <c r="D366" s="17">
        <v>1.0</v>
      </c>
      <c r="E366" s="17">
        <v>20.0</v>
      </c>
      <c r="F366" s="17"/>
      <c r="G366" s="19"/>
      <c r="H366" s="5">
        <v>20.0</v>
      </c>
      <c r="I366" s="19"/>
      <c r="J366" s="19" t="s">
        <v>436</v>
      </c>
      <c r="K366" s="5" t="s">
        <v>2975</v>
      </c>
      <c r="L366" s="5" t="s">
        <v>2979</v>
      </c>
      <c r="M366" s="5" t="s">
        <v>2230</v>
      </c>
    </row>
    <row r="367" ht="22.5" hidden="1" customHeight="1">
      <c r="A367" s="37">
        <v>46011.668423888885</v>
      </c>
      <c r="B367" s="5" t="s">
        <v>2234</v>
      </c>
      <c r="C367" s="19" t="s">
        <v>932</v>
      </c>
      <c r="D367" s="17">
        <v>1.0</v>
      </c>
      <c r="E367" s="17">
        <v>30.0</v>
      </c>
      <c r="F367" s="17"/>
      <c r="G367" s="19"/>
      <c r="H367" s="5">
        <v>30.0</v>
      </c>
      <c r="I367" s="19"/>
      <c r="J367" s="19" t="s">
        <v>436</v>
      </c>
      <c r="K367" s="5" t="s">
        <v>2975</v>
      </c>
      <c r="L367" s="5" t="s">
        <v>2979</v>
      </c>
      <c r="M367" s="5" t="s">
        <v>2230</v>
      </c>
    </row>
    <row r="368" ht="22.5" hidden="1" customHeight="1">
      <c r="A368" s="37">
        <v>46011.668423842595</v>
      </c>
      <c r="B368" s="5" t="s">
        <v>2234</v>
      </c>
      <c r="C368" s="19" t="s">
        <v>435</v>
      </c>
      <c r="D368" s="17">
        <v>1.0</v>
      </c>
      <c r="E368" s="17">
        <v>220.0</v>
      </c>
      <c r="F368" s="17"/>
      <c r="G368" s="19"/>
      <c r="H368" s="5">
        <v>220.0</v>
      </c>
      <c r="I368" s="19"/>
      <c r="J368" s="19" t="s">
        <v>436</v>
      </c>
      <c r="K368" s="5" t="s">
        <v>2975</v>
      </c>
      <c r="L368" s="5" t="s">
        <v>2979</v>
      </c>
      <c r="M368" s="5" t="s">
        <v>2230</v>
      </c>
    </row>
    <row r="369" ht="22.5" hidden="1" customHeight="1">
      <c r="A369" s="37">
        <v>46011.66758487269</v>
      </c>
      <c r="B369" s="5" t="s">
        <v>2225</v>
      </c>
      <c r="C369" s="19" t="s">
        <v>29</v>
      </c>
      <c r="D369" s="17">
        <v>1.0</v>
      </c>
      <c r="E369" s="17">
        <v>86.25</v>
      </c>
      <c r="F369" s="17"/>
      <c r="G369" s="19"/>
      <c r="H369" s="5">
        <v>86.25</v>
      </c>
      <c r="I369" s="19"/>
      <c r="J369" s="5" t="s">
        <v>54</v>
      </c>
      <c r="K369" s="5" t="s">
        <v>2975</v>
      </c>
      <c r="L369" s="5" t="s">
        <v>2987</v>
      </c>
      <c r="M369" s="5" t="s">
        <v>2230</v>
      </c>
    </row>
    <row r="370" ht="22.5" hidden="1" customHeight="1">
      <c r="A370" s="37">
        <v>46011.6675796875</v>
      </c>
      <c r="B370" s="5" t="s">
        <v>2225</v>
      </c>
      <c r="C370" s="19" t="s">
        <v>34</v>
      </c>
      <c r="D370" s="17">
        <v>1.0</v>
      </c>
      <c r="E370" s="17">
        <v>120.74999999999999</v>
      </c>
      <c r="F370" s="17"/>
      <c r="G370" s="19"/>
      <c r="H370" s="5">
        <v>120.74999999999999</v>
      </c>
      <c r="I370" s="19"/>
      <c r="J370" s="5" t="s">
        <v>54</v>
      </c>
      <c r="K370" s="5" t="s">
        <v>2975</v>
      </c>
      <c r="L370" s="5" t="s">
        <v>2987</v>
      </c>
      <c r="M370" s="5" t="s">
        <v>2230</v>
      </c>
    </row>
    <row r="371" ht="22.5" hidden="1" customHeight="1">
      <c r="A371" s="37">
        <v>46011.66757784723</v>
      </c>
      <c r="B371" s="5" t="s">
        <v>2225</v>
      </c>
      <c r="C371" s="19" t="s">
        <v>38</v>
      </c>
      <c r="D371" s="17">
        <v>1.0</v>
      </c>
      <c r="E371" s="17">
        <v>138.0</v>
      </c>
      <c r="F371" s="17"/>
      <c r="G371" s="19"/>
      <c r="H371" s="5">
        <v>138.0</v>
      </c>
      <c r="I371" s="19"/>
      <c r="J371" s="5" t="s">
        <v>54</v>
      </c>
      <c r="K371" s="5" t="s">
        <v>2975</v>
      </c>
      <c r="L371" s="5" t="s">
        <v>2987</v>
      </c>
      <c r="M371" s="5" t="s">
        <v>2230</v>
      </c>
    </row>
    <row r="372" ht="22.5" hidden="1" customHeight="1">
      <c r="A372" s="37">
        <v>46011.66757666667</v>
      </c>
      <c r="B372" s="5" t="s">
        <v>2234</v>
      </c>
      <c r="C372" s="19" t="s">
        <v>91</v>
      </c>
      <c r="D372" s="17">
        <v>1.0</v>
      </c>
      <c r="E372" s="17">
        <v>35.0</v>
      </c>
      <c r="F372" s="17"/>
      <c r="G372" s="19"/>
      <c r="H372" s="5">
        <v>35.0</v>
      </c>
      <c r="I372" s="19"/>
      <c r="J372" s="19" t="s">
        <v>436</v>
      </c>
      <c r="K372" s="5" t="s">
        <v>2975</v>
      </c>
      <c r="L372" s="5" t="s">
        <v>2979</v>
      </c>
      <c r="M372" s="5" t="s">
        <v>2230</v>
      </c>
    </row>
    <row r="373" ht="22.5" hidden="1" customHeight="1">
      <c r="A373" s="37">
        <v>46011.66757659722</v>
      </c>
      <c r="B373" s="5" t="s">
        <v>2234</v>
      </c>
      <c r="C373" s="19" t="s">
        <v>933</v>
      </c>
      <c r="D373" s="17">
        <v>1.0</v>
      </c>
      <c r="E373" s="17">
        <v>10.0</v>
      </c>
      <c r="F373" s="17"/>
      <c r="G373" s="19"/>
      <c r="H373" s="5">
        <v>10.0</v>
      </c>
      <c r="I373" s="19"/>
      <c r="J373" s="19" t="s">
        <v>436</v>
      </c>
      <c r="K373" s="5" t="s">
        <v>2975</v>
      </c>
      <c r="L373" s="5" t="s">
        <v>2979</v>
      </c>
      <c r="M373" s="5" t="s">
        <v>2230</v>
      </c>
    </row>
    <row r="374" ht="22.5" hidden="1" customHeight="1">
      <c r="A374" s="37">
        <v>46011.66757653935</v>
      </c>
      <c r="B374" s="5" t="s">
        <v>2234</v>
      </c>
      <c r="C374" s="19" t="s">
        <v>935</v>
      </c>
      <c r="D374" s="17">
        <v>2.0</v>
      </c>
      <c r="E374" s="17">
        <v>5.0</v>
      </c>
      <c r="F374" s="17"/>
      <c r="G374" s="19"/>
      <c r="H374" s="5">
        <v>10.0</v>
      </c>
      <c r="I374" s="19"/>
      <c r="J374" s="19" t="s">
        <v>436</v>
      </c>
      <c r="K374" s="5" t="s">
        <v>2975</v>
      </c>
      <c r="L374" s="5" t="s">
        <v>2979</v>
      </c>
      <c r="M374" s="5" t="s">
        <v>2230</v>
      </c>
    </row>
    <row r="375" ht="22.5" hidden="1" customHeight="1">
      <c r="A375" s="37">
        <v>46011.667576481486</v>
      </c>
      <c r="B375" s="5" t="s">
        <v>2234</v>
      </c>
      <c r="C375" s="19" t="s">
        <v>926</v>
      </c>
      <c r="D375" s="17">
        <v>1.0</v>
      </c>
      <c r="E375" s="17">
        <v>20.0</v>
      </c>
      <c r="F375" s="17"/>
      <c r="G375" s="19"/>
      <c r="H375" s="5">
        <v>20.0</v>
      </c>
      <c r="I375" s="19"/>
      <c r="J375" s="19" t="s">
        <v>436</v>
      </c>
      <c r="K375" s="5" t="s">
        <v>2975</v>
      </c>
      <c r="L375" s="5" t="s">
        <v>2979</v>
      </c>
      <c r="M375" s="5" t="s">
        <v>2230</v>
      </c>
    </row>
    <row r="376" ht="22.5" hidden="1" customHeight="1">
      <c r="A376" s="37">
        <v>46011.66757640046</v>
      </c>
      <c r="B376" s="5" t="s">
        <v>2234</v>
      </c>
      <c r="C376" s="19" t="s">
        <v>929</v>
      </c>
      <c r="D376" s="17">
        <v>1.0</v>
      </c>
      <c r="E376" s="17">
        <v>20.0</v>
      </c>
      <c r="F376" s="17"/>
      <c r="G376" s="19"/>
      <c r="H376" s="5">
        <v>20.0</v>
      </c>
      <c r="I376" s="19"/>
      <c r="J376" s="19" t="s">
        <v>436</v>
      </c>
      <c r="K376" s="5" t="s">
        <v>2975</v>
      </c>
      <c r="L376" s="5" t="s">
        <v>2979</v>
      </c>
      <c r="M376" s="5" t="s">
        <v>2230</v>
      </c>
    </row>
    <row r="377" ht="22.5" hidden="1" customHeight="1">
      <c r="A377" s="37">
        <v>46011.66757634259</v>
      </c>
      <c r="B377" s="5" t="s">
        <v>2234</v>
      </c>
      <c r="C377" s="19" t="s">
        <v>932</v>
      </c>
      <c r="D377" s="17">
        <v>1.0</v>
      </c>
      <c r="E377" s="17">
        <v>30.0</v>
      </c>
      <c r="F377" s="17"/>
      <c r="G377" s="19"/>
      <c r="H377" s="5">
        <v>30.0</v>
      </c>
      <c r="I377" s="19"/>
      <c r="J377" s="19" t="s">
        <v>436</v>
      </c>
      <c r="K377" s="5" t="s">
        <v>2975</v>
      </c>
      <c r="L377" s="5" t="s">
        <v>2979</v>
      </c>
      <c r="M377" s="5" t="s">
        <v>2230</v>
      </c>
    </row>
    <row r="378" ht="22.5" hidden="1" customHeight="1">
      <c r="A378" s="37">
        <v>46011.66757627315</v>
      </c>
      <c r="B378" s="5" t="s">
        <v>2234</v>
      </c>
      <c r="C378" s="19" t="s">
        <v>435</v>
      </c>
      <c r="D378" s="17">
        <v>1.0</v>
      </c>
      <c r="E378" s="17">
        <v>220.0</v>
      </c>
      <c r="F378" s="17"/>
      <c r="G378" s="19"/>
      <c r="H378" s="5">
        <v>220.0</v>
      </c>
      <c r="I378" s="19"/>
      <c r="J378" s="19" t="s">
        <v>436</v>
      </c>
      <c r="K378" s="5" t="s">
        <v>2975</v>
      </c>
      <c r="L378" s="5" t="s">
        <v>2979</v>
      </c>
      <c r="M378" s="5" t="s">
        <v>2230</v>
      </c>
    </row>
    <row r="379" ht="22.5" hidden="1" customHeight="1">
      <c r="A379" s="37">
        <v>46011.666730578705</v>
      </c>
      <c r="B379" s="5" t="s">
        <v>2225</v>
      </c>
      <c r="C379" s="19" t="s">
        <v>29</v>
      </c>
      <c r="D379" s="17">
        <v>1.0</v>
      </c>
      <c r="E379" s="17">
        <v>86.25</v>
      </c>
      <c r="F379" s="17"/>
      <c r="G379" s="19"/>
      <c r="H379" s="5">
        <v>86.25</v>
      </c>
      <c r="I379" s="19"/>
      <c r="J379" s="5" t="s">
        <v>54</v>
      </c>
      <c r="K379" s="5" t="s">
        <v>2975</v>
      </c>
      <c r="L379" s="5" t="s">
        <v>2987</v>
      </c>
      <c r="M379" s="5" t="s">
        <v>2230</v>
      </c>
    </row>
    <row r="380" ht="22.5" hidden="1" customHeight="1">
      <c r="A380" s="37">
        <v>46011.666727916665</v>
      </c>
      <c r="B380" s="5" t="s">
        <v>2225</v>
      </c>
      <c r="C380" s="19" t="s">
        <v>34</v>
      </c>
      <c r="D380" s="17">
        <v>1.0</v>
      </c>
      <c r="E380" s="17">
        <v>120.74999999999999</v>
      </c>
      <c r="F380" s="17"/>
      <c r="G380" s="19"/>
      <c r="H380" s="5">
        <v>120.74999999999999</v>
      </c>
      <c r="I380" s="19"/>
      <c r="J380" s="5" t="s">
        <v>54</v>
      </c>
      <c r="K380" s="5" t="s">
        <v>2975</v>
      </c>
      <c r="L380" s="5" t="s">
        <v>2987</v>
      </c>
      <c r="M380" s="5" t="s">
        <v>2230</v>
      </c>
    </row>
    <row r="381" ht="22.5" hidden="1" customHeight="1">
      <c r="A381" s="37">
        <v>46011.666725601855</v>
      </c>
      <c r="B381" s="5" t="s">
        <v>2225</v>
      </c>
      <c r="C381" s="19" t="s">
        <v>38</v>
      </c>
      <c r="D381" s="17">
        <v>1.0</v>
      </c>
      <c r="E381" s="17">
        <v>138.0</v>
      </c>
      <c r="F381" s="17"/>
      <c r="G381" s="19"/>
      <c r="H381" s="5">
        <v>138.0</v>
      </c>
      <c r="I381" s="19"/>
      <c r="J381" s="5" t="s">
        <v>54</v>
      </c>
      <c r="K381" s="5" t="s">
        <v>2975</v>
      </c>
      <c r="L381" s="5" t="s">
        <v>2987</v>
      </c>
      <c r="M381" s="5" t="s">
        <v>2230</v>
      </c>
    </row>
    <row r="382" ht="22.5" hidden="1" customHeight="1">
      <c r="A382" s="37">
        <v>46011.666723981485</v>
      </c>
      <c r="B382" s="5" t="s">
        <v>2234</v>
      </c>
      <c r="C382" s="19" t="s">
        <v>91</v>
      </c>
      <c r="D382" s="17">
        <v>1.0</v>
      </c>
      <c r="E382" s="17">
        <v>35.0</v>
      </c>
      <c r="F382" s="17"/>
      <c r="G382" s="19"/>
      <c r="H382" s="5">
        <v>35.0</v>
      </c>
      <c r="I382" s="19"/>
      <c r="J382" s="19" t="s">
        <v>436</v>
      </c>
      <c r="K382" s="5" t="s">
        <v>2975</v>
      </c>
      <c r="L382" s="5" t="s">
        <v>2979</v>
      </c>
      <c r="M382" s="5" t="s">
        <v>2230</v>
      </c>
    </row>
    <row r="383" ht="22.5" hidden="1" customHeight="1">
      <c r="A383" s="37">
        <v>46011.66672383102</v>
      </c>
      <c r="B383" s="5" t="s">
        <v>2234</v>
      </c>
      <c r="C383" s="19" t="s">
        <v>933</v>
      </c>
      <c r="D383" s="17">
        <v>1.0</v>
      </c>
      <c r="E383" s="17">
        <v>10.0</v>
      </c>
      <c r="F383" s="17"/>
      <c r="G383" s="19"/>
      <c r="H383" s="5">
        <v>10.0</v>
      </c>
      <c r="I383" s="19"/>
      <c r="J383" s="19" t="s">
        <v>436</v>
      </c>
      <c r="K383" s="5" t="s">
        <v>2975</v>
      </c>
      <c r="L383" s="5" t="s">
        <v>2979</v>
      </c>
      <c r="M383" s="5" t="s">
        <v>2230</v>
      </c>
    </row>
    <row r="384" ht="22.5" hidden="1" customHeight="1">
      <c r="A384" s="37">
        <v>46011.66672365741</v>
      </c>
      <c r="B384" s="5" t="s">
        <v>2234</v>
      </c>
      <c r="C384" s="19" t="s">
        <v>935</v>
      </c>
      <c r="D384" s="17">
        <v>2.0</v>
      </c>
      <c r="E384" s="17">
        <v>5.0</v>
      </c>
      <c r="F384" s="17"/>
      <c r="G384" s="19"/>
      <c r="H384" s="5">
        <v>10.0</v>
      </c>
      <c r="I384" s="19"/>
      <c r="J384" s="19" t="s">
        <v>436</v>
      </c>
      <c r="K384" s="5" t="s">
        <v>2975</v>
      </c>
      <c r="L384" s="5" t="s">
        <v>2979</v>
      </c>
      <c r="M384" s="5" t="s">
        <v>2230</v>
      </c>
    </row>
    <row r="385" ht="22.5" hidden="1" customHeight="1">
      <c r="A385" s="37">
        <v>46011.666723437505</v>
      </c>
      <c r="B385" s="5" t="s">
        <v>2234</v>
      </c>
      <c r="C385" s="19" t="s">
        <v>926</v>
      </c>
      <c r="D385" s="17">
        <v>1.0</v>
      </c>
      <c r="E385" s="17">
        <v>20.0</v>
      </c>
      <c r="F385" s="17"/>
      <c r="G385" s="19"/>
      <c r="H385" s="5">
        <v>20.0</v>
      </c>
      <c r="I385" s="19"/>
      <c r="J385" s="19" t="s">
        <v>436</v>
      </c>
      <c r="K385" s="5" t="s">
        <v>2975</v>
      </c>
      <c r="L385" s="5" t="s">
        <v>2979</v>
      </c>
      <c r="M385" s="5" t="s">
        <v>2230</v>
      </c>
    </row>
    <row r="386" ht="22.5" hidden="1" customHeight="1">
      <c r="A386" s="37">
        <v>46011.666722974536</v>
      </c>
      <c r="B386" s="5" t="s">
        <v>2234</v>
      </c>
      <c r="C386" s="19" t="s">
        <v>929</v>
      </c>
      <c r="D386" s="17">
        <v>1.0</v>
      </c>
      <c r="E386" s="17">
        <v>20.0</v>
      </c>
      <c r="F386" s="17"/>
      <c r="G386" s="19"/>
      <c r="H386" s="5">
        <v>20.0</v>
      </c>
      <c r="I386" s="19"/>
      <c r="J386" s="19" t="s">
        <v>436</v>
      </c>
      <c r="K386" s="5" t="s">
        <v>2975</v>
      </c>
      <c r="L386" s="5" t="s">
        <v>2979</v>
      </c>
      <c r="M386" s="5" t="s">
        <v>2230</v>
      </c>
    </row>
    <row r="387" ht="22.5" hidden="1" customHeight="1">
      <c r="A387" s="37">
        <v>46011.66672255787</v>
      </c>
      <c r="B387" s="5" t="s">
        <v>2234</v>
      </c>
      <c r="C387" s="19" t="s">
        <v>932</v>
      </c>
      <c r="D387" s="17">
        <v>1.0</v>
      </c>
      <c r="E387" s="17">
        <v>30.0</v>
      </c>
      <c r="F387" s="17"/>
      <c r="G387" s="19"/>
      <c r="H387" s="5">
        <v>30.0</v>
      </c>
      <c r="I387" s="19"/>
      <c r="J387" s="19" t="s">
        <v>436</v>
      </c>
      <c r="K387" s="5" t="s">
        <v>2975</v>
      </c>
      <c r="L387" s="5" t="s">
        <v>2979</v>
      </c>
      <c r="M387" s="5" t="s">
        <v>2230</v>
      </c>
    </row>
    <row r="388" ht="22.5" hidden="1" customHeight="1">
      <c r="A388" s="37">
        <v>46011.66672230324</v>
      </c>
      <c r="B388" s="5" t="s">
        <v>2234</v>
      </c>
      <c r="C388" s="19" t="s">
        <v>435</v>
      </c>
      <c r="D388" s="17">
        <v>1.0</v>
      </c>
      <c r="E388" s="17">
        <v>220.0</v>
      </c>
      <c r="F388" s="17"/>
      <c r="G388" s="19"/>
      <c r="H388" s="5">
        <v>220.0</v>
      </c>
      <c r="I388" s="19"/>
      <c r="J388" s="19" t="s">
        <v>436</v>
      </c>
      <c r="K388" s="5" t="s">
        <v>2975</v>
      </c>
      <c r="L388" s="5" t="s">
        <v>2979</v>
      </c>
      <c r="M388" s="5" t="s">
        <v>2230</v>
      </c>
    </row>
    <row r="389" ht="22.5" hidden="1" customHeight="1">
      <c r="A389" s="37">
        <v>46011.66620236111</v>
      </c>
      <c r="B389" s="5" t="s">
        <v>2225</v>
      </c>
      <c r="C389" s="19" t="s">
        <v>29</v>
      </c>
      <c r="D389" s="17">
        <v>3.0</v>
      </c>
      <c r="E389" s="17">
        <v>28.75</v>
      </c>
      <c r="F389" s="17"/>
      <c r="G389" s="19"/>
      <c r="H389" s="5">
        <v>86.25</v>
      </c>
      <c r="I389" s="19"/>
      <c r="J389" s="5" t="s">
        <v>54</v>
      </c>
      <c r="K389" s="5" t="s">
        <v>2975</v>
      </c>
      <c r="L389" s="5" t="s">
        <v>2987</v>
      </c>
      <c r="M389" s="5" t="s">
        <v>2230</v>
      </c>
    </row>
    <row r="390" ht="22.5" hidden="1" customHeight="1">
      <c r="A390" s="37">
        <v>46011.66619603009</v>
      </c>
      <c r="B390" s="5" t="s">
        <v>2225</v>
      </c>
      <c r="C390" s="19" t="s">
        <v>34</v>
      </c>
      <c r="D390" s="17">
        <v>3.0</v>
      </c>
      <c r="E390" s="17">
        <v>40.24999999999999</v>
      </c>
      <c r="F390" s="17"/>
      <c r="G390" s="19"/>
      <c r="H390" s="5">
        <v>120.74999999999999</v>
      </c>
      <c r="I390" s="19"/>
      <c r="J390" s="5" t="s">
        <v>54</v>
      </c>
      <c r="K390" s="5" t="s">
        <v>2975</v>
      </c>
      <c r="L390" s="5" t="s">
        <v>2987</v>
      </c>
      <c r="M390" s="5" t="s">
        <v>2230</v>
      </c>
    </row>
    <row r="391" ht="22.5" hidden="1" customHeight="1">
      <c r="A391" s="37">
        <v>46011.66619417824</v>
      </c>
      <c r="B391" s="5" t="s">
        <v>2225</v>
      </c>
      <c r="C391" s="19" t="s">
        <v>38</v>
      </c>
      <c r="D391" s="17">
        <v>3.0</v>
      </c>
      <c r="E391" s="17">
        <v>46.0</v>
      </c>
      <c r="F391" s="17"/>
      <c r="G391" s="19"/>
      <c r="H391" s="5">
        <v>138.0</v>
      </c>
      <c r="I391" s="19"/>
      <c r="J391" s="5" t="s">
        <v>54</v>
      </c>
      <c r="K391" s="5" t="s">
        <v>2975</v>
      </c>
      <c r="L391" s="5" t="s">
        <v>2987</v>
      </c>
      <c r="M391" s="5" t="s">
        <v>2230</v>
      </c>
    </row>
    <row r="392" ht="22.5" hidden="1" customHeight="1">
      <c r="A392" s="37">
        <v>46011.66619321759</v>
      </c>
      <c r="B392" s="5" t="s">
        <v>2234</v>
      </c>
      <c r="C392" s="19" t="s">
        <v>91</v>
      </c>
      <c r="D392" s="17">
        <v>1.0</v>
      </c>
      <c r="E392" s="17">
        <v>35.0</v>
      </c>
      <c r="F392" s="17"/>
      <c r="G392" s="19"/>
      <c r="H392" s="5">
        <v>35.0</v>
      </c>
      <c r="I392" s="19"/>
      <c r="J392" s="19" t="s">
        <v>436</v>
      </c>
      <c r="K392" s="5" t="s">
        <v>2975</v>
      </c>
      <c r="L392" s="5" t="s">
        <v>2979</v>
      </c>
      <c r="M392" s="5" t="s">
        <v>2230</v>
      </c>
    </row>
    <row r="393" ht="22.5" hidden="1" customHeight="1">
      <c r="A393" s="37">
        <v>46011.666193136574</v>
      </c>
      <c r="B393" s="5" t="s">
        <v>2234</v>
      </c>
      <c r="C393" s="19" t="s">
        <v>933</v>
      </c>
      <c r="D393" s="17">
        <v>1.0</v>
      </c>
      <c r="E393" s="17">
        <v>10.0</v>
      </c>
      <c r="F393" s="17"/>
      <c r="G393" s="19"/>
      <c r="H393" s="5">
        <v>10.0</v>
      </c>
      <c r="I393" s="19"/>
      <c r="J393" s="19" t="s">
        <v>436</v>
      </c>
      <c r="K393" s="5" t="s">
        <v>2975</v>
      </c>
      <c r="L393" s="5" t="s">
        <v>2979</v>
      </c>
      <c r="M393" s="5" t="s">
        <v>2230</v>
      </c>
    </row>
    <row r="394" ht="22.5" hidden="1" customHeight="1">
      <c r="A394" s="37">
        <v>46011.66619305556</v>
      </c>
      <c r="B394" s="5" t="s">
        <v>2234</v>
      </c>
      <c r="C394" s="19" t="s">
        <v>935</v>
      </c>
      <c r="D394" s="17">
        <v>2.0</v>
      </c>
      <c r="E394" s="17">
        <v>5.0</v>
      </c>
      <c r="F394" s="17"/>
      <c r="G394" s="19"/>
      <c r="H394" s="5">
        <v>10.0</v>
      </c>
      <c r="I394" s="19"/>
      <c r="J394" s="19" t="s">
        <v>436</v>
      </c>
      <c r="K394" s="5" t="s">
        <v>2975</v>
      </c>
      <c r="L394" s="5" t="s">
        <v>2979</v>
      </c>
      <c r="M394" s="5" t="s">
        <v>2230</v>
      </c>
    </row>
    <row r="395" ht="22.5" hidden="1" customHeight="1">
      <c r="A395" s="37">
        <v>46011.66619293981</v>
      </c>
      <c r="B395" s="5" t="s">
        <v>2234</v>
      </c>
      <c r="C395" s="19" t="s">
        <v>926</v>
      </c>
      <c r="D395" s="17">
        <v>1.0</v>
      </c>
      <c r="E395" s="17">
        <v>20.0</v>
      </c>
      <c r="F395" s="17"/>
      <c r="G395" s="19"/>
      <c r="H395" s="5">
        <v>20.0</v>
      </c>
      <c r="I395" s="19"/>
      <c r="J395" s="19" t="s">
        <v>436</v>
      </c>
      <c r="K395" s="5" t="s">
        <v>2975</v>
      </c>
      <c r="L395" s="5" t="s">
        <v>2979</v>
      </c>
      <c r="M395" s="5" t="s">
        <v>2230</v>
      </c>
    </row>
    <row r="396" ht="22.5" hidden="1" customHeight="1">
      <c r="A396" s="37">
        <v>46011.66619287037</v>
      </c>
      <c r="B396" s="5" t="s">
        <v>2234</v>
      </c>
      <c r="C396" s="19" t="s">
        <v>929</v>
      </c>
      <c r="D396" s="17">
        <v>1.0</v>
      </c>
      <c r="E396" s="17">
        <v>20.0</v>
      </c>
      <c r="F396" s="17"/>
      <c r="G396" s="19"/>
      <c r="H396" s="5">
        <v>20.0</v>
      </c>
      <c r="I396" s="19"/>
      <c r="J396" s="19" t="s">
        <v>436</v>
      </c>
      <c r="K396" s="5" t="s">
        <v>2975</v>
      </c>
      <c r="L396" s="5" t="s">
        <v>2979</v>
      </c>
      <c r="M396" s="5" t="s">
        <v>2230</v>
      </c>
    </row>
    <row r="397" ht="22.5" hidden="1" customHeight="1">
      <c r="A397" s="37">
        <v>46011.66619278935</v>
      </c>
      <c r="B397" s="5" t="s">
        <v>2234</v>
      </c>
      <c r="C397" s="19" t="s">
        <v>932</v>
      </c>
      <c r="D397" s="17">
        <v>1.0</v>
      </c>
      <c r="E397" s="17">
        <v>30.0</v>
      </c>
      <c r="F397" s="17"/>
      <c r="G397" s="19"/>
      <c r="H397" s="5">
        <v>30.0</v>
      </c>
      <c r="I397" s="19"/>
      <c r="J397" s="19" t="s">
        <v>436</v>
      </c>
      <c r="K397" s="5" t="s">
        <v>2975</v>
      </c>
      <c r="L397" s="5" t="s">
        <v>2979</v>
      </c>
      <c r="M397" s="5" t="s">
        <v>2230</v>
      </c>
    </row>
    <row r="398" ht="22.5" hidden="1" customHeight="1">
      <c r="A398" s="37">
        <v>46011.6661927199</v>
      </c>
      <c r="B398" s="5" t="s">
        <v>2234</v>
      </c>
      <c r="C398" s="19" t="s">
        <v>435</v>
      </c>
      <c r="D398" s="17">
        <v>1.0</v>
      </c>
      <c r="E398" s="17">
        <v>220.0</v>
      </c>
      <c r="F398" s="17"/>
      <c r="G398" s="19"/>
      <c r="H398" s="5">
        <v>220.0</v>
      </c>
      <c r="I398" s="19"/>
      <c r="J398" s="19" t="s">
        <v>436</v>
      </c>
      <c r="K398" s="5" t="s">
        <v>2975</v>
      </c>
      <c r="L398" s="5" t="s">
        <v>2979</v>
      </c>
      <c r="M398" s="5" t="s">
        <v>2230</v>
      </c>
    </row>
    <row r="399" ht="22.5" hidden="1" customHeight="1">
      <c r="A399" s="37">
        <v>46011.66352465277</v>
      </c>
      <c r="B399" s="5" t="s">
        <v>2225</v>
      </c>
      <c r="C399" s="19" t="s">
        <v>29</v>
      </c>
      <c r="D399" s="17">
        <v>3.0</v>
      </c>
      <c r="E399" s="17">
        <v>28.75</v>
      </c>
      <c r="F399" s="17"/>
      <c r="G399" s="19"/>
      <c r="H399" s="5">
        <v>86.25</v>
      </c>
      <c r="I399" s="19"/>
      <c r="J399" s="5" t="s">
        <v>54</v>
      </c>
      <c r="K399" s="5" t="s">
        <v>2975</v>
      </c>
      <c r="L399" s="5" t="s">
        <v>2987</v>
      </c>
      <c r="M399" s="5" t="s">
        <v>2230</v>
      </c>
    </row>
    <row r="400" ht="22.5" hidden="1" customHeight="1">
      <c r="A400" s="37">
        <v>46011.66351280092</v>
      </c>
      <c r="B400" s="5" t="s">
        <v>2225</v>
      </c>
      <c r="C400" s="19" t="s">
        <v>34</v>
      </c>
      <c r="D400" s="17">
        <v>3.0</v>
      </c>
      <c r="E400" s="17">
        <v>40.24999999999999</v>
      </c>
      <c r="F400" s="17"/>
      <c r="G400" s="19"/>
      <c r="H400" s="5">
        <v>120.74999999999999</v>
      </c>
      <c r="I400" s="19"/>
      <c r="J400" s="5" t="s">
        <v>54</v>
      </c>
      <c r="K400" s="5" t="s">
        <v>2975</v>
      </c>
      <c r="L400" s="5" t="s">
        <v>2987</v>
      </c>
      <c r="M400" s="5" t="s">
        <v>2230</v>
      </c>
    </row>
    <row r="401" ht="22.5" hidden="1" customHeight="1">
      <c r="A401" s="37">
        <v>46011.66351184028</v>
      </c>
      <c r="B401" s="5" t="s">
        <v>2225</v>
      </c>
      <c r="C401" s="19" t="s">
        <v>38</v>
      </c>
      <c r="D401" s="17">
        <v>3.0</v>
      </c>
      <c r="E401" s="17">
        <v>46.0</v>
      </c>
      <c r="F401" s="17"/>
      <c r="G401" s="19"/>
      <c r="H401" s="5">
        <v>138.0</v>
      </c>
      <c r="I401" s="19"/>
      <c r="J401" s="5" t="s">
        <v>54</v>
      </c>
      <c r="K401" s="5" t="s">
        <v>2975</v>
      </c>
      <c r="L401" s="5" t="s">
        <v>2987</v>
      </c>
      <c r="M401" s="5" t="s">
        <v>2230</v>
      </c>
    </row>
    <row r="402" ht="22.5" hidden="1" customHeight="1">
      <c r="A402" s="37">
        <v>46011.66351056713</v>
      </c>
      <c r="B402" s="5" t="s">
        <v>2234</v>
      </c>
      <c r="C402" s="19" t="s">
        <v>91</v>
      </c>
      <c r="D402" s="17">
        <v>1.0</v>
      </c>
      <c r="E402" s="17">
        <v>35.0</v>
      </c>
      <c r="F402" s="17"/>
      <c r="G402" s="19"/>
      <c r="H402" s="5">
        <v>35.0</v>
      </c>
      <c r="I402" s="19"/>
      <c r="J402" s="19" t="s">
        <v>436</v>
      </c>
      <c r="K402" s="5" t="s">
        <v>2975</v>
      </c>
      <c r="L402" s="5" t="s">
        <v>2979</v>
      </c>
      <c r="M402" s="5" t="s">
        <v>2230</v>
      </c>
    </row>
    <row r="403" ht="22.5" hidden="1" customHeight="1">
      <c r="A403" s="37">
        <v>46011.66351048611</v>
      </c>
      <c r="B403" s="5" t="s">
        <v>2234</v>
      </c>
      <c r="C403" s="19" t="s">
        <v>933</v>
      </c>
      <c r="D403" s="17">
        <v>1.0</v>
      </c>
      <c r="E403" s="17">
        <v>10.0</v>
      </c>
      <c r="F403" s="17"/>
      <c r="G403" s="19"/>
      <c r="H403" s="5">
        <v>10.0</v>
      </c>
      <c r="I403" s="19"/>
      <c r="J403" s="19" t="s">
        <v>436</v>
      </c>
      <c r="K403" s="5" t="s">
        <v>2975</v>
      </c>
      <c r="L403" s="5" t="s">
        <v>2979</v>
      </c>
      <c r="M403" s="5" t="s">
        <v>2230</v>
      </c>
    </row>
    <row r="404" ht="22.5" hidden="1" customHeight="1">
      <c r="A404" s="37">
        <v>46011.663510370374</v>
      </c>
      <c r="B404" s="5" t="s">
        <v>2234</v>
      </c>
      <c r="C404" s="19" t="s">
        <v>935</v>
      </c>
      <c r="D404" s="17">
        <v>2.0</v>
      </c>
      <c r="E404" s="17">
        <v>5.0</v>
      </c>
      <c r="F404" s="17"/>
      <c r="G404" s="19"/>
      <c r="H404" s="5">
        <v>10.0</v>
      </c>
      <c r="I404" s="19"/>
      <c r="J404" s="19" t="s">
        <v>436</v>
      </c>
      <c r="K404" s="5" t="s">
        <v>2975</v>
      </c>
      <c r="L404" s="5" t="s">
        <v>2979</v>
      </c>
      <c r="M404" s="5" t="s">
        <v>2230</v>
      </c>
    </row>
    <row r="405" ht="22.5" hidden="1" customHeight="1">
      <c r="A405" s="37">
        <v>46011.66351025463</v>
      </c>
      <c r="B405" s="5" t="s">
        <v>2234</v>
      </c>
      <c r="C405" s="19" t="s">
        <v>926</v>
      </c>
      <c r="D405" s="17">
        <v>1.0</v>
      </c>
      <c r="E405" s="17">
        <v>20.0</v>
      </c>
      <c r="F405" s="17"/>
      <c r="G405" s="19"/>
      <c r="H405" s="5">
        <v>20.0</v>
      </c>
      <c r="I405" s="19"/>
      <c r="J405" s="19" t="s">
        <v>436</v>
      </c>
      <c r="K405" s="5" t="s">
        <v>2975</v>
      </c>
      <c r="L405" s="5" t="s">
        <v>2979</v>
      </c>
      <c r="M405" s="5" t="s">
        <v>2230</v>
      </c>
    </row>
    <row r="406" ht="22.5" hidden="1" customHeight="1">
      <c r="A406" s="37">
        <v>46011.66351009259</v>
      </c>
      <c r="B406" s="5" t="s">
        <v>2234</v>
      </c>
      <c r="C406" s="19" t="s">
        <v>929</v>
      </c>
      <c r="D406" s="17">
        <v>1.0</v>
      </c>
      <c r="E406" s="17">
        <v>20.0</v>
      </c>
      <c r="F406" s="17"/>
      <c r="G406" s="19"/>
      <c r="H406" s="5">
        <v>20.0</v>
      </c>
      <c r="I406" s="19"/>
      <c r="J406" s="19" t="s">
        <v>436</v>
      </c>
      <c r="K406" s="5" t="s">
        <v>2975</v>
      </c>
      <c r="L406" s="5" t="s">
        <v>2979</v>
      </c>
      <c r="M406" s="5" t="s">
        <v>2230</v>
      </c>
    </row>
    <row r="407" ht="22.5" hidden="1" customHeight="1">
      <c r="A407" s="37">
        <v>46011.66350997685</v>
      </c>
      <c r="B407" s="5" t="s">
        <v>2234</v>
      </c>
      <c r="C407" s="19" t="s">
        <v>932</v>
      </c>
      <c r="D407" s="17">
        <v>1.0</v>
      </c>
      <c r="E407" s="17">
        <v>30.0</v>
      </c>
      <c r="F407" s="17"/>
      <c r="G407" s="19"/>
      <c r="H407" s="5">
        <v>30.0</v>
      </c>
      <c r="I407" s="19"/>
      <c r="J407" s="19" t="s">
        <v>436</v>
      </c>
      <c r="K407" s="5" t="s">
        <v>2975</v>
      </c>
      <c r="L407" s="5" t="s">
        <v>2979</v>
      </c>
      <c r="M407" s="5" t="s">
        <v>2230</v>
      </c>
    </row>
    <row r="408" ht="22.5" hidden="1" customHeight="1">
      <c r="A408" s="37">
        <v>46011.663509895836</v>
      </c>
      <c r="B408" s="5" t="s">
        <v>2234</v>
      </c>
      <c r="C408" s="19" t="s">
        <v>435</v>
      </c>
      <c r="D408" s="17">
        <v>1.0</v>
      </c>
      <c r="E408" s="17">
        <v>220.0</v>
      </c>
      <c r="F408" s="17"/>
      <c r="G408" s="19"/>
      <c r="H408" s="5">
        <v>220.0</v>
      </c>
      <c r="I408" s="19"/>
      <c r="J408" s="19" t="s">
        <v>436</v>
      </c>
      <c r="K408" s="5" t="s">
        <v>2975</v>
      </c>
      <c r="L408" s="5" t="s">
        <v>2979</v>
      </c>
      <c r="M408" s="5" t="s">
        <v>2230</v>
      </c>
    </row>
    <row r="409" ht="22.5" hidden="1" customHeight="1">
      <c r="A409" s="37">
        <v>46011.63278157407</v>
      </c>
      <c r="B409" s="5" t="s">
        <v>2973</v>
      </c>
      <c r="C409" s="19" t="s">
        <v>34</v>
      </c>
      <c r="D409" s="17">
        <v>9.0</v>
      </c>
      <c r="E409" s="17">
        <v>133.33333333333334</v>
      </c>
      <c r="F409" s="17"/>
      <c r="G409" s="19"/>
      <c r="H409" s="5">
        <v>1200.0</v>
      </c>
      <c r="I409" s="19"/>
      <c r="J409" s="5" t="s">
        <v>54</v>
      </c>
      <c r="K409" s="5" t="s">
        <v>3159</v>
      </c>
      <c r="L409" s="5" t="s">
        <v>3160</v>
      </c>
      <c r="M409" s="5" t="s">
        <v>2230</v>
      </c>
    </row>
    <row r="410" ht="22.5" hidden="1" customHeight="1">
      <c r="A410" s="37">
        <v>46011.63277982639</v>
      </c>
      <c r="B410" s="5" t="s">
        <v>2977</v>
      </c>
      <c r="C410" s="19" t="s">
        <v>91</v>
      </c>
      <c r="D410" s="17">
        <v>9.0</v>
      </c>
      <c r="E410" s="17">
        <v>35.0</v>
      </c>
      <c r="F410" s="17"/>
      <c r="G410" s="19"/>
      <c r="H410" s="5">
        <v>315.0</v>
      </c>
      <c r="I410" s="19"/>
      <c r="J410" s="19" t="s">
        <v>436</v>
      </c>
      <c r="K410" s="5" t="s">
        <v>3159</v>
      </c>
      <c r="L410" s="5" t="s">
        <v>3162</v>
      </c>
      <c r="M410" s="5" t="s">
        <v>2230</v>
      </c>
    </row>
    <row r="411" ht="22.5" hidden="1" customHeight="1">
      <c r="A411" s="37">
        <v>46011.63277972222</v>
      </c>
      <c r="B411" s="5" t="s">
        <v>2977</v>
      </c>
      <c r="C411" s="19" t="s">
        <v>935</v>
      </c>
      <c r="D411" s="17">
        <v>9.0</v>
      </c>
      <c r="E411" s="17">
        <v>5.0</v>
      </c>
      <c r="F411" s="17"/>
      <c r="G411" s="19"/>
      <c r="H411" s="5">
        <v>45.0</v>
      </c>
      <c r="I411" s="19"/>
      <c r="J411" s="19" t="s">
        <v>436</v>
      </c>
      <c r="K411" s="5" t="s">
        <v>3159</v>
      </c>
      <c r="L411" s="5" t="s">
        <v>3162</v>
      </c>
      <c r="M411" s="5" t="s">
        <v>2230</v>
      </c>
    </row>
    <row r="412" ht="22.5" hidden="1" customHeight="1">
      <c r="A412" s="37">
        <v>46011.63277964121</v>
      </c>
      <c r="B412" s="5" t="s">
        <v>2977</v>
      </c>
      <c r="C412" s="19" t="s">
        <v>929</v>
      </c>
      <c r="D412" s="17">
        <v>9.0</v>
      </c>
      <c r="E412" s="17">
        <v>20.0</v>
      </c>
      <c r="F412" s="17"/>
      <c r="G412" s="19"/>
      <c r="H412" s="5">
        <v>180.0</v>
      </c>
      <c r="I412" s="19"/>
      <c r="J412" s="19" t="s">
        <v>436</v>
      </c>
      <c r="K412" s="5" t="s">
        <v>3159</v>
      </c>
      <c r="L412" s="5" t="s">
        <v>3162</v>
      </c>
      <c r="M412" s="5" t="s">
        <v>2230</v>
      </c>
    </row>
    <row r="413" ht="22.5" hidden="1" customHeight="1">
      <c r="A413" s="37">
        <v>46011.63277953704</v>
      </c>
      <c r="B413" s="5" t="s">
        <v>2977</v>
      </c>
      <c r="C413" s="19" t="s">
        <v>435</v>
      </c>
      <c r="D413" s="17">
        <v>3.0</v>
      </c>
      <c r="E413" s="17">
        <v>220.0</v>
      </c>
      <c r="F413" s="17"/>
      <c r="G413" s="19"/>
      <c r="H413" s="5">
        <v>660.0</v>
      </c>
      <c r="I413" s="19"/>
      <c r="J413" s="19" t="s">
        <v>436</v>
      </c>
      <c r="K413" s="5" t="s">
        <v>3159</v>
      </c>
      <c r="L413" s="5" t="s">
        <v>3162</v>
      </c>
      <c r="M413" s="5" t="s">
        <v>2230</v>
      </c>
    </row>
    <row r="414" ht="22.5" hidden="1" customHeight="1">
      <c r="A414" s="37">
        <v>46011.62054819445</v>
      </c>
      <c r="B414" s="5" t="s">
        <v>2973</v>
      </c>
      <c r="C414" s="19" t="s">
        <v>34</v>
      </c>
      <c r="D414" s="17">
        <v>9.0</v>
      </c>
      <c r="E414" s="17">
        <v>93.33333333333333</v>
      </c>
      <c r="F414" s="17"/>
      <c r="G414" s="19"/>
      <c r="H414" s="5">
        <v>840.0</v>
      </c>
      <c r="I414" s="19"/>
      <c r="J414" s="5" t="s">
        <v>54</v>
      </c>
      <c r="K414" s="5" t="s">
        <v>3159</v>
      </c>
      <c r="L414" s="5" t="s">
        <v>3160</v>
      </c>
      <c r="M414" s="5" t="s">
        <v>2230</v>
      </c>
    </row>
    <row r="415" ht="22.5" hidden="1" customHeight="1">
      <c r="A415" s="37">
        <v>46011.62054684028</v>
      </c>
      <c r="B415" s="5" t="s">
        <v>2977</v>
      </c>
      <c r="C415" s="19" t="s">
        <v>929</v>
      </c>
      <c r="D415" s="17">
        <v>9.0</v>
      </c>
      <c r="E415" s="17">
        <v>20.0</v>
      </c>
      <c r="F415" s="17"/>
      <c r="G415" s="19"/>
      <c r="H415" s="5">
        <v>180.0</v>
      </c>
      <c r="I415" s="19"/>
      <c r="J415" s="19" t="s">
        <v>436</v>
      </c>
      <c r="K415" s="5" t="s">
        <v>3159</v>
      </c>
      <c r="L415" s="5" t="s">
        <v>3162</v>
      </c>
      <c r="M415" s="5" t="s">
        <v>2230</v>
      </c>
    </row>
    <row r="416" ht="22.5" hidden="1" customHeight="1">
      <c r="A416" s="37">
        <v>46011.62054672454</v>
      </c>
      <c r="B416" s="5" t="s">
        <v>2977</v>
      </c>
      <c r="C416" s="19" t="s">
        <v>435</v>
      </c>
      <c r="D416" s="17">
        <v>3.0</v>
      </c>
      <c r="E416" s="17">
        <v>220.0</v>
      </c>
      <c r="F416" s="17"/>
      <c r="G416" s="19"/>
      <c r="H416" s="5">
        <v>660.0</v>
      </c>
      <c r="I416" s="19"/>
      <c r="J416" s="19" t="s">
        <v>436</v>
      </c>
      <c r="K416" s="5" t="s">
        <v>3159</v>
      </c>
      <c r="L416" s="5" t="s">
        <v>3162</v>
      </c>
      <c r="M416" s="5" t="s">
        <v>2230</v>
      </c>
    </row>
    <row r="417" ht="22.5" hidden="1" customHeight="1">
      <c r="A417" s="37">
        <v>46011.61330486111</v>
      </c>
      <c r="B417" s="5" t="s">
        <v>2973</v>
      </c>
      <c r="C417" s="19" t="s">
        <v>3173</v>
      </c>
      <c r="D417" s="17">
        <v>9.0</v>
      </c>
      <c r="E417" s="17">
        <v>93.33333333333333</v>
      </c>
      <c r="F417" s="17"/>
      <c r="G417" s="19"/>
      <c r="H417" s="5">
        <v>840.0</v>
      </c>
      <c r="I417" s="19"/>
      <c r="J417" s="5" t="s">
        <v>54</v>
      </c>
      <c r="K417" s="5" t="s">
        <v>3176</v>
      </c>
      <c r="L417" s="5" t="s">
        <v>3177</v>
      </c>
      <c r="M417" s="5" t="s">
        <v>2230</v>
      </c>
    </row>
    <row r="418" ht="22.5" hidden="1" customHeight="1">
      <c r="A418" s="37">
        <v>46011.61330361111</v>
      </c>
      <c r="B418" s="5" t="s">
        <v>2977</v>
      </c>
      <c r="C418" s="19" t="s">
        <v>3179</v>
      </c>
      <c r="D418" s="17">
        <v>9.0</v>
      </c>
      <c r="E418" s="17">
        <v>20.0</v>
      </c>
      <c r="F418" s="17"/>
      <c r="G418" s="19"/>
      <c r="H418" s="5">
        <v>180.0</v>
      </c>
      <c r="I418" s="19"/>
      <c r="J418" s="19" t="s">
        <v>436</v>
      </c>
      <c r="K418" s="5" t="s">
        <v>3176</v>
      </c>
      <c r="L418" s="5" t="s">
        <v>3182</v>
      </c>
      <c r="M418" s="5" t="s">
        <v>2230</v>
      </c>
    </row>
    <row r="419" ht="22.5" hidden="1" customHeight="1">
      <c r="A419" s="37">
        <v>46011.61330347222</v>
      </c>
      <c r="B419" s="5" t="s">
        <v>2977</v>
      </c>
      <c r="C419" s="19" t="s">
        <v>3183</v>
      </c>
      <c r="D419" s="17">
        <v>3.0</v>
      </c>
      <c r="E419" s="17">
        <v>220.0</v>
      </c>
      <c r="F419" s="17"/>
      <c r="G419" s="19"/>
      <c r="H419" s="5">
        <v>660.0</v>
      </c>
      <c r="I419" s="19"/>
      <c r="J419" s="19" t="s">
        <v>436</v>
      </c>
      <c r="K419" s="5" t="s">
        <v>3176</v>
      </c>
      <c r="L419" s="5" t="s">
        <v>3182</v>
      </c>
      <c r="M419" s="5" t="s">
        <v>2230</v>
      </c>
    </row>
    <row r="420" ht="22.5" hidden="1" customHeight="1">
      <c r="A420" s="14">
        <v>46138.813606145835</v>
      </c>
      <c r="B420" s="6" t="s">
        <v>3185</v>
      </c>
      <c r="C420" s="10" t="s">
        <v>1156</v>
      </c>
      <c r="D420" s="13">
        <v>45.0</v>
      </c>
      <c r="E420" s="13">
        <v>12.5</v>
      </c>
      <c r="F420" s="13"/>
      <c r="G420" s="10"/>
      <c r="H420" s="6">
        <v>562.5</v>
      </c>
      <c r="I420" s="6"/>
      <c r="J420" s="6" t="s">
        <v>54</v>
      </c>
      <c r="K420" s="10" t="s">
        <v>2971</v>
      </c>
      <c r="L420" s="6" t="s">
        <v>3187</v>
      </c>
      <c r="M420" s="6" t="s">
        <v>2230</v>
      </c>
    </row>
    <row r="421" ht="22.5" hidden="1" customHeight="1">
      <c r="A421" s="14">
        <v>46137.93627853009</v>
      </c>
      <c r="B421" s="6" t="s">
        <v>2262</v>
      </c>
      <c r="C421" s="10" t="s">
        <v>117</v>
      </c>
      <c r="D421" s="13">
        <v>1.0</v>
      </c>
      <c r="E421" s="13">
        <v>499.0</v>
      </c>
      <c r="F421" s="13">
        <v>499.0</v>
      </c>
      <c r="G421" s="10" t="s">
        <v>119</v>
      </c>
      <c r="H421" s="6">
        <v>594.0</v>
      </c>
      <c r="I421" s="6" t="s">
        <v>1456</v>
      </c>
      <c r="J421" s="6" t="s">
        <v>3189</v>
      </c>
      <c r="K421" s="6" t="s">
        <v>2230</v>
      </c>
      <c r="L421" s="6"/>
      <c r="M421" s="6"/>
    </row>
    <row r="422" ht="22.5" hidden="1" customHeight="1">
      <c r="A422" s="14">
        <v>46137.93627846065</v>
      </c>
      <c r="B422" s="6" t="s">
        <v>2262</v>
      </c>
      <c r="C422" s="10" t="s">
        <v>129</v>
      </c>
      <c r="D422" s="13">
        <v>1.0</v>
      </c>
      <c r="E422" s="13">
        <v>490.0</v>
      </c>
      <c r="F422" s="13">
        <v>490.0</v>
      </c>
      <c r="G422" s="10" t="s">
        <v>119</v>
      </c>
      <c r="H422" s="6">
        <v>593.0</v>
      </c>
      <c r="I422" s="6" t="s">
        <v>1454</v>
      </c>
      <c r="J422" s="6" t="s">
        <v>3193</v>
      </c>
      <c r="K422" s="6" t="s">
        <v>2230</v>
      </c>
      <c r="L422" s="6"/>
      <c r="M422" s="6"/>
    </row>
    <row r="423" ht="22.5" hidden="1" customHeight="1">
      <c r="A423" s="14">
        <v>46137.936278368055</v>
      </c>
      <c r="B423" s="6" t="s">
        <v>2262</v>
      </c>
      <c r="C423" s="10" t="s">
        <v>715</v>
      </c>
      <c r="D423" s="13">
        <v>1.0</v>
      </c>
      <c r="E423" s="13">
        <v>155.0</v>
      </c>
      <c r="F423" s="13">
        <v>155.0</v>
      </c>
      <c r="G423" s="10" t="s">
        <v>119</v>
      </c>
      <c r="H423" s="6">
        <v>592.0</v>
      </c>
      <c r="I423" s="6" t="s">
        <v>1451</v>
      </c>
      <c r="J423" s="6" t="s">
        <v>3196</v>
      </c>
      <c r="K423" s="6" t="s">
        <v>2230</v>
      </c>
      <c r="L423" s="6"/>
      <c r="M423" s="6"/>
    </row>
    <row r="424" ht="22.5" hidden="1" customHeight="1">
      <c r="A424" s="14">
        <v>46137.93627825231</v>
      </c>
      <c r="B424" s="6" t="s">
        <v>2262</v>
      </c>
      <c r="C424" s="10" t="s">
        <v>298</v>
      </c>
      <c r="D424" s="13">
        <v>2.0</v>
      </c>
      <c r="E424" s="13">
        <v>290.0</v>
      </c>
      <c r="F424" s="13">
        <v>580.0</v>
      </c>
      <c r="G424" s="10" t="s">
        <v>119</v>
      </c>
      <c r="H424" s="6">
        <v>591.0</v>
      </c>
      <c r="I424" s="6" t="s">
        <v>1450</v>
      </c>
      <c r="J424" s="6" t="s">
        <v>3199</v>
      </c>
      <c r="K424" s="6" t="s">
        <v>2230</v>
      </c>
      <c r="L424" s="6"/>
      <c r="M424" s="6"/>
    </row>
    <row r="425" ht="22.5" hidden="1" customHeight="1">
      <c r="A425" s="14">
        <v>46137.93627814815</v>
      </c>
      <c r="B425" s="6" t="s">
        <v>2262</v>
      </c>
      <c r="C425" s="10" t="s">
        <v>377</v>
      </c>
      <c r="D425" s="13">
        <v>2.0</v>
      </c>
      <c r="E425" s="13">
        <v>139.0</v>
      </c>
      <c r="F425" s="13">
        <v>278.0</v>
      </c>
      <c r="G425" s="10" t="s">
        <v>119</v>
      </c>
      <c r="H425" s="6">
        <v>590.0</v>
      </c>
      <c r="I425" s="6" t="s">
        <v>1449</v>
      </c>
      <c r="J425" s="6" t="s">
        <v>3202</v>
      </c>
      <c r="K425" s="6" t="s">
        <v>2230</v>
      </c>
      <c r="L425" s="6"/>
      <c r="M425" s="6"/>
    </row>
    <row r="426" ht="22.5" hidden="1" customHeight="1">
      <c r="A426" s="14">
        <v>46137.936278043984</v>
      </c>
      <c r="B426" s="6" t="s">
        <v>2262</v>
      </c>
      <c r="C426" s="10" t="s">
        <v>1073</v>
      </c>
      <c r="D426" s="13">
        <v>3.0</v>
      </c>
      <c r="E426" s="13">
        <v>106.0</v>
      </c>
      <c r="F426" s="13">
        <v>318.0</v>
      </c>
      <c r="G426" s="10" t="s">
        <v>119</v>
      </c>
      <c r="H426" s="6">
        <v>589.0</v>
      </c>
      <c r="I426" s="6" t="s">
        <v>1448</v>
      </c>
      <c r="J426" s="6" t="s">
        <v>3205</v>
      </c>
      <c r="K426" s="6" t="s">
        <v>2230</v>
      </c>
      <c r="L426" s="6"/>
      <c r="M426" s="6"/>
    </row>
    <row r="427" ht="22.5" hidden="1" customHeight="1">
      <c r="A427" s="14">
        <v>46137.93627791667</v>
      </c>
      <c r="B427" s="6" t="s">
        <v>2262</v>
      </c>
      <c r="C427" s="10" t="s">
        <v>1157</v>
      </c>
      <c r="D427" s="13">
        <v>4.0</v>
      </c>
      <c r="E427" s="13">
        <v>85.0</v>
      </c>
      <c r="F427" s="13">
        <v>340.0</v>
      </c>
      <c r="G427" s="10" t="s">
        <v>119</v>
      </c>
      <c r="H427" s="6">
        <v>588.0</v>
      </c>
      <c r="I427" s="6"/>
      <c r="J427" s="6" t="s">
        <v>2962</v>
      </c>
      <c r="K427" s="6" t="s">
        <v>2230</v>
      </c>
      <c r="L427" s="6"/>
      <c r="M427" s="6"/>
    </row>
    <row r="428" ht="22.5" hidden="1" customHeight="1">
      <c r="A428" s="14">
        <v>46107.71899565972</v>
      </c>
      <c r="B428" s="6" t="s">
        <v>2262</v>
      </c>
      <c r="C428" s="10" t="s">
        <v>635</v>
      </c>
      <c r="D428" s="13">
        <v>6.0</v>
      </c>
      <c r="E428" s="13">
        <v>75.0</v>
      </c>
      <c r="F428" s="13">
        <v>450.0</v>
      </c>
      <c r="G428" s="10" t="s">
        <v>154</v>
      </c>
      <c r="H428" s="6">
        <v>587.0</v>
      </c>
      <c r="I428" s="6"/>
      <c r="J428" s="6" t="s">
        <v>3208</v>
      </c>
      <c r="K428" s="6" t="s">
        <v>2230</v>
      </c>
      <c r="L428" s="6"/>
      <c r="M428" s="6"/>
    </row>
    <row r="429" ht="22.5" customHeight="1">
      <c r="A429" s="14">
        <v>46172.86236655092</v>
      </c>
      <c r="B429" s="6" t="s">
        <v>2282</v>
      </c>
      <c r="C429" s="10" t="s">
        <v>395</v>
      </c>
      <c r="D429" s="13">
        <v>0.5</v>
      </c>
      <c r="E429" s="13">
        <v>50.0</v>
      </c>
      <c r="F429" s="13">
        <v>80.0</v>
      </c>
      <c r="G429" s="6">
        <v>80.0</v>
      </c>
      <c r="H429" s="6">
        <v>40.0</v>
      </c>
      <c r="I429" s="6">
        <v>15.0</v>
      </c>
      <c r="J429" s="10" t="s">
        <v>154</v>
      </c>
      <c r="K429" s="6">
        <v>1220.0</v>
      </c>
      <c r="L429" s="6" t="s">
        <v>3210</v>
      </c>
      <c r="M429" s="6" t="s">
        <v>2230</v>
      </c>
    </row>
    <row r="430" ht="22.5" customHeight="1">
      <c r="A430" s="14">
        <v>46172.862366284724</v>
      </c>
      <c r="B430" s="6" t="s">
        <v>2282</v>
      </c>
      <c r="C430" s="10" t="s">
        <v>633</v>
      </c>
      <c r="D430" s="13">
        <v>1.0</v>
      </c>
      <c r="E430" s="13">
        <v>128.0</v>
      </c>
      <c r="F430" s="13">
        <v>170.0</v>
      </c>
      <c r="G430" s="6">
        <v>170.0</v>
      </c>
      <c r="H430" s="6">
        <v>170.0</v>
      </c>
      <c r="I430" s="6">
        <v>42.0</v>
      </c>
      <c r="J430" s="10" t="s">
        <v>119</v>
      </c>
      <c r="K430" s="6">
        <v>1147.0</v>
      </c>
      <c r="L430" s="6" t="s">
        <v>3212</v>
      </c>
      <c r="M430" s="6" t="s">
        <v>2230</v>
      </c>
    </row>
    <row r="431" ht="22.5" customHeight="1">
      <c r="A431" s="14">
        <v>46172.86236600694</v>
      </c>
      <c r="B431" s="6" t="s">
        <v>2282</v>
      </c>
      <c r="C431" s="10" t="s">
        <v>756</v>
      </c>
      <c r="D431" s="13">
        <v>1.0</v>
      </c>
      <c r="E431" s="13">
        <v>30.0</v>
      </c>
      <c r="F431" s="13">
        <v>100.0</v>
      </c>
      <c r="G431" s="6">
        <v>100.0</v>
      </c>
      <c r="H431" s="6">
        <v>100.0</v>
      </c>
      <c r="I431" s="6">
        <v>70.0</v>
      </c>
      <c r="J431" s="10" t="s">
        <v>154</v>
      </c>
      <c r="K431" s="6">
        <v>1130.0</v>
      </c>
      <c r="L431" s="6" t="s">
        <v>3214</v>
      </c>
      <c r="M431" s="6" t="s">
        <v>2230</v>
      </c>
    </row>
    <row r="432" ht="22.5" customHeight="1">
      <c r="A432" s="14">
        <v>46172.86236554398</v>
      </c>
      <c r="B432" s="6" t="s">
        <v>2282</v>
      </c>
      <c r="C432" s="10" t="s">
        <v>946</v>
      </c>
      <c r="D432" s="13">
        <v>0.6</v>
      </c>
      <c r="E432" s="13">
        <v>75.0</v>
      </c>
      <c r="F432" s="13">
        <v>115.0</v>
      </c>
      <c r="G432" s="6">
        <v>115.0</v>
      </c>
      <c r="H432" s="6">
        <v>69.0</v>
      </c>
      <c r="I432" s="6">
        <v>24.0</v>
      </c>
      <c r="J432" s="10" t="s">
        <v>51</v>
      </c>
      <c r="K432" s="6">
        <v>745.0</v>
      </c>
      <c r="L432" s="6" t="s">
        <v>3217</v>
      </c>
      <c r="M432" s="6" t="s">
        <v>2230</v>
      </c>
    </row>
    <row r="433" ht="22.5" customHeight="1">
      <c r="A433" s="14">
        <v>46150.81058899306</v>
      </c>
      <c r="B433" s="6" t="s">
        <v>2282</v>
      </c>
      <c r="C433" s="10" t="s">
        <v>549</v>
      </c>
      <c r="D433" s="13">
        <v>1.0</v>
      </c>
      <c r="E433" s="13">
        <v>17.5</v>
      </c>
      <c r="F433" s="13">
        <v>25.0</v>
      </c>
      <c r="G433" s="6">
        <v>25.0</v>
      </c>
      <c r="H433" s="6">
        <v>25.0</v>
      </c>
      <c r="I433" s="6">
        <v>7.5</v>
      </c>
      <c r="J433" s="10" t="s">
        <v>119</v>
      </c>
      <c r="K433" s="6">
        <v>1216.0</v>
      </c>
      <c r="L433" s="6" t="s">
        <v>3219</v>
      </c>
      <c r="M433" s="6" t="s">
        <v>2230</v>
      </c>
    </row>
    <row r="434" ht="22.5" customHeight="1">
      <c r="A434" s="14">
        <v>46150.81058885416</v>
      </c>
      <c r="B434" s="6" t="s">
        <v>2282</v>
      </c>
      <c r="C434" s="10" t="s">
        <v>1126</v>
      </c>
      <c r="D434" s="13">
        <v>1.0</v>
      </c>
      <c r="E434" s="13">
        <v>95.0</v>
      </c>
      <c r="F434" s="13">
        <v>135.0</v>
      </c>
      <c r="G434" s="6">
        <v>135.0</v>
      </c>
      <c r="H434" s="6">
        <v>135.0</v>
      </c>
      <c r="I434" s="6">
        <v>40.0</v>
      </c>
      <c r="J434" s="10" t="s">
        <v>119</v>
      </c>
      <c r="K434" s="6">
        <v>1215.0</v>
      </c>
      <c r="L434" s="6" t="s">
        <v>3221</v>
      </c>
      <c r="M434" s="6" t="s">
        <v>2230</v>
      </c>
    </row>
    <row r="435" ht="22.5" customHeight="1">
      <c r="A435" s="14">
        <v>46150.81058870371</v>
      </c>
      <c r="B435" s="6" t="s">
        <v>2282</v>
      </c>
      <c r="C435" s="10" t="s">
        <v>856</v>
      </c>
      <c r="D435" s="13">
        <v>4.0</v>
      </c>
      <c r="E435" s="13">
        <v>4.58</v>
      </c>
      <c r="F435" s="13">
        <v>5.5</v>
      </c>
      <c r="G435" s="6">
        <v>5.5</v>
      </c>
      <c r="H435" s="6">
        <v>22.0</v>
      </c>
      <c r="I435" s="6">
        <v>3.68</v>
      </c>
      <c r="J435" s="10" t="s">
        <v>119</v>
      </c>
      <c r="K435" s="6">
        <v>1214.0</v>
      </c>
      <c r="L435" s="6" t="s">
        <v>3223</v>
      </c>
      <c r="M435" s="6" t="s">
        <v>2230</v>
      </c>
    </row>
    <row r="436" ht="22.5" hidden="1" customHeight="1">
      <c r="A436" s="37">
        <v>46007.76268688658</v>
      </c>
      <c r="B436" s="5" t="s">
        <v>2262</v>
      </c>
      <c r="C436" s="19" t="s">
        <v>435</v>
      </c>
      <c r="D436" s="17">
        <v>6.0</v>
      </c>
      <c r="E436" s="17">
        <v>220.0</v>
      </c>
      <c r="F436" s="17">
        <v>1320.0</v>
      </c>
      <c r="G436" s="19" t="s">
        <v>436</v>
      </c>
      <c r="H436" s="5">
        <v>300.0</v>
      </c>
      <c r="I436" s="5" t="s">
        <v>938</v>
      </c>
      <c r="J436" s="5" t="s">
        <v>3225</v>
      </c>
      <c r="K436" s="5" t="s">
        <v>2230</v>
      </c>
      <c r="L436" s="5"/>
      <c r="M436" s="5"/>
    </row>
    <row r="437" ht="22.5" hidden="1" customHeight="1">
      <c r="A437" s="37">
        <v>46007.76268675926</v>
      </c>
      <c r="B437" s="5" t="s">
        <v>2262</v>
      </c>
      <c r="C437" s="19" t="s">
        <v>933</v>
      </c>
      <c r="D437" s="17">
        <v>50.0</v>
      </c>
      <c r="E437" s="17">
        <v>10.0</v>
      </c>
      <c r="F437" s="17">
        <v>500.0</v>
      </c>
      <c r="G437" s="19" t="s">
        <v>436</v>
      </c>
      <c r="H437" s="5">
        <v>299.0</v>
      </c>
      <c r="I437" s="5" t="s">
        <v>937</v>
      </c>
      <c r="J437" s="5" t="s">
        <v>3227</v>
      </c>
      <c r="K437" s="5" t="s">
        <v>2230</v>
      </c>
      <c r="L437" s="5"/>
      <c r="M437" s="5"/>
    </row>
    <row r="438" ht="22.5" hidden="1" customHeight="1">
      <c r="A438" s="37">
        <v>46007.76268663195</v>
      </c>
      <c r="B438" s="5" t="s">
        <v>2262</v>
      </c>
      <c r="C438" s="19" t="s">
        <v>935</v>
      </c>
      <c r="D438" s="17">
        <v>50.0</v>
      </c>
      <c r="E438" s="17">
        <v>5.0</v>
      </c>
      <c r="F438" s="17">
        <v>250.0</v>
      </c>
      <c r="G438" s="19" t="s">
        <v>436</v>
      </c>
      <c r="H438" s="5">
        <v>298.0</v>
      </c>
      <c r="I438" s="5" t="s">
        <v>934</v>
      </c>
      <c r="J438" s="5" t="s">
        <v>3229</v>
      </c>
      <c r="K438" s="5" t="s">
        <v>2230</v>
      </c>
      <c r="L438" s="5"/>
      <c r="M438" s="5"/>
    </row>
    <row r="439" ht="22.5" hidden="1" customHeight="1">
      <c r="A439" s="37">
        <v>46007.76268650463</v>
      </c>
      <c r="B439" s="5" t="s">
        <v>2262</v>
      </c>
      <c r="C439" s="19" t="s">
        <v>932</v>
      </c>
      <c r="D439" s="17">
        <v>50.0</v>
      </c>
      <c r="E439" s="17">
        <v>30.0</v>
      </c>
      <c r="F439" s="17">
        <v>1500.0</v>
      </c>
      <c r="G439" s="19" t="s">
        <v>436</v>
      </c>
      <c r="H439" s="5">
        <v>297.0</v>
      </c>
      <c r="I439" s="5" t="s">
        <v>931</v>
      </c>
      <c r="J439" s="5" t="s">
        <v>3231</v>
      </c>
      <c r="K439" s="5" t="s">
        <v>2230</v>
      </c>
      <c r="L439" s="5"/>
      <c r="M439" s="5"/>
    </row>
    <row r="440" ht="22.5" hidden="1" customHeight="1">
      <c r="A440" s="37">
        <v>46007.76268640046</v>
      </c>
      <c r="B440" s="5" t="s">
        <v>2262</v>
      </c>
      <c r="C440" s="19" t="s">
        <v>929</v>
      </c>
      <c r="D440" s="17">
        <v>50.0</v>
      </c>
      <c r="E440" s="17">
        <v>20.0</v>
      </c>
      <c r="F440" s="17">
        <v>1000.0</v>
      </c>
      <c r="G440" s="19" t="s">
        <v>436</v>
      </c>
      <c r="H440" s="5">
        <v>296.0</v>
      </c>
      <c r="I440" s="5" t="s">
        <v>928</v>
      </c>
      <c r="J440" s="5" t="s">
        <v>3235</v>
      </c>
      <c r="K440" s="5" t="s">
        <v>2230</v>
      </c>
      <c r="L440" s="5"/>
      <c r="M440" s="5"/>
    </row>
    <row r="441" ht="22.5" hidden="1" customHeight="1">
      <c r="A441" s="37">
        <v>46007.762686284725</v>
      </c>
      <c r="B441" s="5" t="s">
        <v>2262</v>
      </c>
      <c r="C441" s="19" t="s">
        <v>926</v>
      </c>
      <c r="D441" s="17">
        <v>50.0</v>
      </c>
      <c r="E441" s="17">
        <v>20.0</v>
      </c>
      <c r="F441" s="17">
        <v>1000.0</v>
      </c>
      <c r="G441" s="19" t="s">
        <v>436</v>
      </c>
      <c r="H441" s="5">
        <v>295.0</v>
      </c>
      <c r="I441" s="5" t="s">
        <v>924</v>
      </c>
      <c r="J441" s="5" t="s">
        <v>3238</v>
      </c>
      <c r="K441" s="5" t="s">
        <v>2230</v>
      </c>
      <c r="L441" s="5"/>
      <c r="M441" s="5"/>
    </row>
    <row r="442" ht="22.5" hidden="1" customHeight="1">
      <c r="A442" s="37">
        <v>46007.76268616898</v>
      </c>
      <c r="B442" s="5" t="s">
        <v>2262</v>
      </c>
      <c r="C442" s="19" t="s">
        <v>165</v>
      </c>
      <c r="D442" s="17">
        <v>100.0</v>
      </c>
      <c r="E442" s="17">
        <v>35.0</v>
      </c>
      <c r="F442" s="17">
        <v>3500.0</v>
      </c>
      <c r="G442" s="19" t="s">
        <v>436</v>
      </c>
      <c r="H442" s="5">
        <v>294.0</v>
      </c>
      <c r="I442" s="5" t="s">
        <v>922</v>
      </c>
      <c r="J442" s="5" t="s">
        <v>3241</v>
      </c>
      <c r="K442" s="5" t="s">
        <v>2230</v>
      </c>
      <c r="L442" s="5"/>
      <c r="M442" s="5"/>
    </row>
    <row r="443" ht="22.5" hidden="1" customHeight="1">
      <c r="A443" s="37">
        <v>46007.76268605324</v>
      </c>
      <c r="B443" s="5" t="s">
        <v>2262</v>
      </c>
      <c r="C443" s="19" t="s">
        <v>749</v>
      </c>
      <c r="D443" s="17">
        <v>2.0</v>
      </c>
      <c r="E443" s="17">
        <v>150.0</v>
      </c>
      <c r="F443" s="17">
        <v>300.0</v>
      </c>
      <c r="G443" s="19" t="s">
        <v>436</v>
      </c>
      <c r="H443" s="5">
        <v>293.0</v>
      </c>
      <c r="I443" s="5" t="s">
        <v>921</v>
      </c>
      <c r="J443" s="5" t="s">
        <v>3245</v>
      </c>
      <c r="K443" s="5" t="s">
        <v>2230</v>
      </c>
      <c r="L443" s="5"/>
      <c r="M443" s="5"/>
    </row>
    <row r="444" ht="22.5" hidden="1" customHeight="1">
      <c r="A444" s="37">
        <v>46007.76268591435</v>
      </c>
      <c r="B444" s="5" t="s">
        <v>2262</v>
      </c>
      <c r="C444" s="19" t="s">
        <v>250</v>
      </c>
      <c r="D444" s="17">
        <v>4.0</v>
      </c>
      <c r="E444" s="17">
        <v>90.0</v>
      </c>
      <c r="F444" s="17">
        <v>360.0</v>
      </c>
      <c r="G444" s="19" t="s">
        <v>436</v>
      </c>
      <c r="H444" s="5">
        <v>292.0</v>
      </c>
      <c r="I444" s="5" t="s">
        <v>919</v>
      </c>
      <c r="J444" s="5" t="s">
        <v>3249</v>
      </c>
      <c r="K444" s="5" t="s">
        <v>2230</v>
      </c>
      <c r="L444" s="5"/>
      <c r="M444" s="5"/>
    </row>
    <row r="445" ht="22.5" hidden="1" customHeight="1">
      <c r="A445" s="37">
        <v>46007.76268581019</v>
      </c>
      <c r="B445" s="5" t="s">
        <v>2262</v>
      </c>
      <c r="C445" s="19" t="s">
        <v>823</v>
      </c>
      <c r="D445" s="17">
        <v>6.0</v>
      </c>
      <c r="E445" s="17">
        <v>65.0</v>
      </c>
      <c r="F445" s="17">
        <v>390.0</v>
      </c>
      <c r="G445" s="19" t="s">
        <v>436</v>
      </c>
      <c r="H445" s="5">
        <v>291.0</v>
      </c>
      <c r="I445" s="5" t="s">
        <v>917</v>
      </c>
      <c r="J445" s="5" t="s">
        <v>3252</v>
      </c>
      <c r="K445" s="5" t="s">
        <v>2230</v>
      </c>
      <c r="L445" s="5"/>
      <c r="M445" s="5"/>
    </row>
    <row r="446" ht="22.5" hidden="1" customHeight="1">
      <c r="A446" s="37">
        <v>46007.76268569444</v>
      </c>
      <c r="B446" s="5" t="s">
        <v>2262</v>
      </c>
      <c r="C446" s="19" t="s">
        <v>800</v>
      </c>
      <c r="D446" s="17">
        <v>48.0</v>
      </c>
      <c r="E446" s="17">
        <v>11.25</v>
      </c>
      <c r="F446" s="17">
        <v>540.0</v>
      </c>
      <c r="G446" s="19" t="s">
        <v>119</v>
      </c>
      <c r="H446" s="5">
        <v>290.0</v>
      </c>
      <c r="I446" s="19"/>
      <c r="J446" s="5" t="s">
        <v>3254</v>
      </c>
      <c r="K446" s="5" t="s">
        <v>2230</v>
      </c>
      <c r="L446" s="5"/>
      <c r="M446" s="5"/>
    </row>
    <row r="447" ht="22.5" customHeight="1">
      <c r="A447" s="14">
        <v>46150.81058855324</v>
      </c>
      <c r="B447" s="6" t="s">
        <v>2282</v>
      </c>
      <c r="C447" s="10" t="s">
        <v>554</v>
      </c>
      <c r="D447" s="13">
        <v>1.0</v>
      </c>
      <c r="E447" s="13">
        <v>23.22222222222222</v>
      </c>
      <c r="F447" s="13">
        <v>45.0</v>
      </c>
      <c r="G447" s="6">
        <v>45.0</v>
      </c>
      <c r="H447" s="6">
        <v>45.0</v>
      </c>
      <c r="I447" s="6">
        <v>21.78</v>
      </c>
      <c r="J447" s="6" t="s">
        <v>54</v>
      </c>
      <c r="K447" s="6">
        <v>1213.0</v>
      </c>
      <c r="L447" s="6" t="s">
        <v>3257</v>
      </c>
      <c r="M447" s="6" t="s">
        <v>2230</v>
      </c>
    </row>
    <row r="448" ht="22.5" customHeight="1">
      <c r="A448" s="14">
        <v>46150.81058841435</v>
      </c>
      <c r="B448" s="6" t="s">
        <v>2282</v>
      </c>
      <c r="C448" s="10" t="s">
        <v>1162</v>
      </c>
      <c r="D448" s="13">
        <v>1.0</v>
      </c>
      <c r="E448" s="13">
        <v>9.083333333333334</v>
      </c>
      <c r="F448" s="13">
        <v>25.0</v>
      </c>
      <c r="G448" s="6">
        <v>25.0</v>
      </c>
      <c r="H448" s="6">
        <v>25.0</v>
      </c>
      <c r="I448" s="6">
        <v>15.92</v>
      </c>
      <c r="J448" s="6" t="s">
        <v>54</v>
      </c>
      <c r="K448" s="6">
        <v>1212.0</v>
      </c>
      <c r="L448" s="6" t="s">
        <v>3261</v>
      </c>
      <c r="M448" s="6" t="s">
        <v>2230</v>
      </c>
    </row>
    <row r="449" ht="22.5" customHeight="1">
      <c r="A449" s="14">
        <v>46150.81058827546</v>
      </c>
      <c r="B449" s="6" t="s">
        <v>2282</v>
      </c>
      <c r="C449" s="10" t="s">
        <v>330</v>
      </c>
      <c r="D449" s="13">
        <v>1.0</v>
      </c>
      <c r="E449" s="13">
        <v>25.833333333333332</v>
      </c>
      <c r="F449" s="13">
        <v>50.0</v>
      </c>
      <c r="G449" s="6">
        <v>50.0</v>
      </c>
      <c r="H449" s="6">
        <v>50.0</v>
      </c>
      <c r="I449" s="6">
        <v>24.17</v>
      </c>
      <c r="J449" s="6" t="s">
        <v>54</v>
      </c>
      <c r="K449" s="6">
        <v>1211.0</v>
      </c>
      <c r="L449" s="6" t="s">
        <v>3263</v>
      </c>
      <c r="M449" s="6" t="s">
        <v>2230</v>
      </c>
    </row>
    <row r="450" ht="22.5" customHeight="1">
      <c r="A450" s="14">
        <v>46150.81058813658</v>
      </c>
      <c r="B450" s="6" t="s">
        <v>2282</v>
      </c>
      <c r="C450" s="10" t="s">
        <v>1163</v>
      </c>
      <c r="D450" s="13">
        <v>1.0</v>
      </c>
      <c r="E450" s="13">
        <v>9.944444444444445</v>
      </c>
      <c r="F450" s="13">
        <v>25.0</v>
      </c>
      <c r="G450" s="6">
        <v>25.0</v>
      </c>
      <c r="H450" s="6">
        <v>25.0</v>
      </c>
      <c r="I450" s="6">
        <v>15.06</v>
      </c>
      <c r="J450" s="6" t="s">
        <v>54</v>
      </c>
      <c r="K450" s="6">
        <v>1210.0</v>
      </c>
      <c r="L450" s="6" t="s">
        <v>3265</v>
      </c>
      <c r="M450" s="6" t="s">
        <v>2230</v>
      </c>
    </row>
    <row r="451" ht="22.5" customHeight="1">
      <c r="A451" s="14">
        <v>46150.81058798611</v>
      </c>
      <c r="B451" s="6" t="s">
        <v>2282</v>
      </c>
      <c r="C451" s="10" t="s">
        <v>245</v>
      </c>
      <c r="D451" s="13">
        <v>1.0</v>
      </c>
      <c r="E451" s="13">
        <v>150.0</v>
      </c>
      <c r="F451" s="13">
        <v>250.0</v>
      </c>
      <c r="G451" s="6">
        <v>250.0</v>
      </c>
      <c r="H451" s="6">
        <v>250.0</v>
      </c>
      <c r="I451" s="6">
        <v>100.0</v>
      </c>
      <c r="J451" s="10" t="s">
        <v>154</v>
      </c>
      <c r="K451" s="6">
        <v>1189.0</v>
      </c>
      <c r="L451" s="6" t="s">
        <v>3267</v>
      </c>
      <c r="M451" s="6" t="s">
        <v>2230</v>
      </c>
    </row>
    <row r="452" ht="22.5" customHeight="1">
      <c r="A452" s="14">
        <v>46150.81058770833</v>
      </c>
      <c r="B452" s="6" t="s">
        <v>2282</v>
      </c>
      <c r="C452" s="10" t="s">
        <v>245</v>
      </c>
      <c r="D452" s="13">
        <v>1.0</v>
      </c>
      <c r="E452" s="13">
        <v>150.0</v>
      </c>
      <c r="F452" s="13">
        <v>200.0</v>
      </c>
      <c r="G452" s="6">
        <v>200.0</v>
      </c>
      <c r="H452" s="6">
        <v>200.0</v>
      </c>
      <c r="I452" s="6">
        <v>50.0</v>
      </c>
      <c r="J452" s="10" t="s">
        <v>154</v>
      </c>
      <c r="K452" s="6">
        <v>1186.0</v>
      </c>
      <c r="L452" s="6" t="s">
        <v>3270</v>
      </c>
      <c r="M452" s="6" t="s">
        <v>2230</v>
      </c>
    </row>
    <row r="453" ht="22.5" customHeight="1">
      <c r="A453" s="14">
        <v>46150.81058748843</v>
      </c>
      <c r="B453" s="6" t="s">
        <v>2282</v>
      </c>
      <c r="C453" s="10" t="s">
        <v>554</v>
      </c>
      <c r="D453" s="13">
        <v>2.0</v>
      </c>
      <c r="E453" s="13">
        <v>23.22222222222222</v>
      </c>
      <c r="F453" s="13">
        <v>45.0</v>
      </c>
      <c r="G453" s="6">
        <v>45.0</v>
      </c>
      <c r="H453" s="6">
        <v>90.0</v>
      </c>
      <c r="I453" s="6">
        <v>43.56</v>
      </c>
      <c r="J453" s="6" t="s">
        <v>54</v>
      </c>
      <c r="K453" s="6">
        <v>1181.0</v>
      </c>
      <c r="L453" s="6" t="s">
        <v>3273</v>
      </c>
      <c r="M453" s="6" t="s">
        <v>2230</v>
      </c>
    </row>
    <row r="454" ht="22.5" customHeight="1">
      <c r="A454" s="14">
        <v>46150.81058711806</v>
      </c>
      <c r="B454" s="6" t="s">
        <v>2282</v>
      </c>
      <c r="C454" s="10" t="s">
        <v>554</v>
      </c>
      <c r="D454" s="13">
        <v>1.0</v>
      </c>
      <c r="E454" s="13">
        <v>23.22222222222222</v>
      </c>
      <c r="F454" s="13">
        <v>45.0</v>
      </c>
      <c r="G454" s="6">
        <v>45.0</v>
      </c>
      <c r="H454" s="6">
        <v>45.0</v>
      </c>
      <c r="I454" s="6">
        <v>21.78</v>
      </c>
      <c r="J454" s="6" t="s">
        <v>54</v>
      </c>
      <c r="K454" s="6">
        <v>1123.0</v>
      </c>
      <c r="L454" s="6" t="s">
        <v>3275</v>
      </c>
      <c r="M454" s="6" t="s">
        <v>2230</v>
      </c>
    </row>
    <row r="455" ht="22.5" customHeight="1">
      <c r="A455" s="14">
        <v>46150.81058689815</v>
      </c>
      <c r="B455" s="6" t="s">
        <v>2282</v>
      </c>
      <c r="C455" s="10" t="s">
        <v>554</v>
      </c>
      <c r="D455" s="13">
        <v>4.0</v>
      </c>
      <c r="E455" s="13">
        <v>23.22222222222222</v>
      </c>
      <c r="F455" s="13">
        <v>40.0</v>
      </c>
      <c r="G455" s="6">
        <v>40.0</v>
      </c>
      <c r="H455" s="6">
        <v>160.0</v>
      </c>
      <c r="I455" s="6">
        <v>67.11</v>
      </c>
      <c r="J455" s="6" t="s">
        <v>54</v>
      </c>
      <c r="K455" s="6">
        <v>1119.0</v>
      </c>
      <c r="L455" s="6" t="s">
        <v>3277</v>
      </c>
      <c r="M455" s="6" t="s">
        <v>2230</v>
      </c>
    </row>
    <row r="456" ht="22.5" customHeight="1">
      <c r="A456" s="14">
        <v>46150.79060327546</v>
      </c>
      <c r="B456" s="6" t="s">
        <v>2282</v>
      </c>
      <c r="C456" s="10" t="s">
        <v>856</v>
      </c>
      <c r="D456" s="13">
        <v>4.0</v>
      </c>
      <c r="E456" s="13">
        <v>4.58</v>
      </c>
      <c r="F456" s="13">
        <v>7.5</v>
      </c>
      <c r="G456" s="6">
        <v>7.5</v>
      </c>
      <c r="H456" s="6">
        <v>30.0</v>
      </c>
      <c r="I456" s="6">
        <v>11.68</v>
      </c>
      <c r="J456" s="10" t="s">
        <v>119</v>
      </c>
      <c r="K456" s="6">
        <v>1208.0</v>
      </c>
      <c r="L456" s="6" t="s">
        <v>3279</v>
      </c>
      <c r="M456" s="6" t="s">
        <v>2230</v>
      </c>
    </row>
    <row r="457" ht="22.5" customHeight="1">
      <c r="A457" s="14">
        <v>46150.790603009256</v>
      </c>
      <c r="B457" s="6" t="s">
        <v>2282</v>
      </c>
      <c r="C457" s="10" t="s">
        <v>496</v>
      </c>
      <c r="D457" s="13">
        <v>2.0</v>
      </c>
      <c r="E457" s="13">
        <v>7.2</v>
      </c>
      <c r="F457" s="13">
        <v>20.0</v>
      </c>
      <c r="G457" s="6">
        <v>20.0</v>
      </c>
      <c r="H457" s="6">
        <v>40.0</v>
      </c>
      <c r="I457" s="6">
        <v>25.6</v>
      </c>
      <c r="J457" s="10" t="s">
        <v>119</v>
      </c>
      <c r="K457" s="6">
        <v>1207.0</v>
      </c>
      <c r="L457" s="6" t="s">
        <v>3281</v>
      </c>
      <c r="M457" s="6" t="s">
        <v>2230</v>
      </c>
    </row>
    <row r="458" ht="22.5" customHeight="1">
      <c r="A458" s="14">
        <v>46150.79060274306</v>
      </c>
      <c r="B458" s="6" t="s">
        <v>2282</v>
      </c>
      <c r="C458" s="10" t="s">
        <v>572</v>
      </c>
      <c r="D458" s="13">
        <v>7.0</v>
      </c>
      <c r="E458" s="13">
        <v>4.38</v>
      </c>
      <c r="F458" s="13">
        <v>8.5</v>
      </c>
      <c r="G458" s="6">
        <v>8.5</v>
      </c>
      <c r="H458" s="6">
        <v>59.5</v>
      </c>
      <c r="I458" s="6">
        <v>28.84</v>
      </c>
      <c r="J458" s="10" t="s">
        <v>119</v>
      </c>
      <c r="K458" s="6">
        <v>1206.0</v>
      </c>
      <c r="L458" s="6" t="s">
        <v>3283</v>
      </c>
      <c r="M458" s="6" t="s">
        <v>2230</v>
      </c>
    </row>
    <row r="459" ht="22.5" customHeight="1">
      <c r="A459" s="14">
        <v>46150.7906025</v>
      </c>
      <c r="B459" s="6" t="s">
        <v>2282</v>
      </c>
      <c r="C459" s="10" t="s">
        <v>287</v>
      </c>
      <c r="D459" s="13">
        <v>1.0</v>
      </c>
      <c r="E459" s="13">
        <v>45.0</v>
      </c>
      <c r="F459" s="13">
        <v>60.0</v>
      </c>
      <c r="G459" s="6">
        <v>60.0</v>
      </c>
      <c r="H459" s="6">
        <v>60.0</v>
      </c>
      <c r="I459" s="6">
        <v>15.0</v>
      </c>
      <c r="J459" s="10" t="s">
        <v>31</v>
      </c>
      <c r="K459" s="6">
        <v>1205.0</v>
      </c>
      <c r="L459" s="6" t="s">
        <v>3285</v>
      </c>
      <c r="M459" s="6" t="s">
        <v>2230</v>
      </c>
    </row>
    <row r="460" ht="22.5" customHeight="1">
      <c r="A460" s="14">
        <v>46150.790602141205</v>
      </c>
      <c r="B460" s="6" t="s">
        <v>2282</v>
      </c>
      <c r="C460" s="10" t="s">
        <v>667</v>
      </c>
      <c r="D460" s="13">
        <v>1.0</v>
      </c>
      <c r="E460" s="13">
        <v>55.0</v>
      </c>
      <c r="F460" s="13">
        <v>65.0</v>
      </c>
      <c r="G460" s="6">
        <v>65.0</v>
      </c>
      <c r="H460" s="6">
        <v>65.0</v>
      </c>
      <c r="I460" s="6">
        <v>10.0</v>
      </c>
      <c r="J460" s="10" t="s">
        <v>1052</v>
      </c>
      <c r="K460" s="6">
        <v>1204.0</v>
      </c>
      <c r="L460" s="6" t="s">
        <v>3288</v>
      </c>
      <c r="M460" s="6" t="s">
        <v>2230</v>
      </c>
    </row>
    <row r="461" ht="22.5" customHeight="1">
      <c r="A461" s="14">
        <v>46150.790601898145</v>
      </c>
      <c r="B461" s="6" t="s">
        <v>2282</v>
      </c>
      <c r="C461" s="10" t="s">
        <v>662</v>
      </c>
      <c r="D461" s="13">
        <v>1.0</v>
      </c>
      <c r="E461" s="13">
        <v>50.0</v>
      </c>
      <c r="F461" s="13">
        <v>65.0</v>
      </c>
      <c r="G461" s="6">
        <v>65.0</v>
      </c>
      <c r="H461" s="6">
        <v>65.0</v>
      </c>
      <c r="I461" s="6">
        <v>15.0</v>
      </c>
      <c r="J461" s="10" t="s">
        <v>1052</v>
      </c>
      <c r="K461" s="6">
        <v>1203.0</v>
      </c>
      <c r="L461" s="6" t="s">
        <v>3290</v>
      </c>
      <c r="M461" s="6" t="s">
        <v>2230</v>
      </c>
    </row>
    <row r="462" ht="22.5" customHeight="1">
      <c r="A462" s="14">
        <v>46150.790601354165</v>
      </c>
      <c r="B462" s="6" t="s">
        <v>2282</v>
      </c>
      <c r="C462" s="10" t="s">
        <v>496</v>
      </c>
      <c r="D462" s="13">
        <v>4.0</v>
      </c>
      <c r="E462" s="13">
        <v>7.2</v>
      </c>
      <c r="F462" s="13">
        <v>15.0</v>
      </c>
      <c r="G462" s="6">
        <v>15.0</v>
      </c>
      <c r="H462" s="6">
        <v>60.0</v>
      </c>
      <c r="I462" s="6">
        <v>31.2</v>
      </c>
      <c r="J462" s="10" t="s">
        <v>119</v>
      </c>
      <c r="K462" s="6">
        <v>1202.0</v>
      </c>
      <c r="L462" s="6" t="s">
        <v>3292</v>
      </c>
      <c r="M462" s="6" t="s">
        <v>2230</v>
      </c>
    </row>
    <row r="463" ht="22.5" customHeight="1">
      <c r="A463" s="14">
        <v>46150.790601064815</v>
      </c>
      <c r="B463" s="6" t="s">
        <v>2282</v>
      </c>
      <c r="C463" s="10" t="s">
        <v>46</v>
      </c>
      <c r="D463" s="13">
        <v>1.0</v>
      </c>
      <c r="E463" s="13">
        <v>92.5</v>
      </c>
      <c r="F463" s="13">
        <v>250.0</v>
      </c>
      <c r="G463" s="6">
        <v>250.0</v>
      </c>
      <c r="H463" s="6">
        <v>250.0</v>
      </c>
      <c r="I463" s="6">
        <v>157.5</v>
      </c>
      <c r="J463" s="6" t="s">
        <v>54</v>
      </c>
      <c r="K463" s="6">
        <v>1194.0</v>
      </c>
      <c r="L463" s="6" t="s">
        <v>3294</v>
      </c>
      <c r="M463" s="6" t="s">
        <v>2230</v>
      </c>
    </row>
    <row r="464" ht="22.5" customHeight="1">
      <c r="A464" s="14">
        <v>46150.790600740744</v>
      </c>
      <c r="B464" s="6" t="s">
        <v>2282</v>
      </c>
      <c r="C464" s="10" t="s">
        <v>336</v>
      </c>
      <c r="D464" s="13">
        <v>1.0</v>
      </c>
      <c r="E464" s="13">
        <v>100.0</v>
      </c>
      <c r="F464" s="13">
        <v>150.0</v>
      </c>
      <c r="G464" s="6">
        <v>150.0</v>
      </c>
      <c r="H464" s="6">
        <v>150.0</v>
      </c>
      <c r="I464" s="6">
        <v>50.0</v>
      </c>
      <c r="J464" s="10" t="s">
        <v>154</v>
      </c>
      <c r="K464" s="6">
        <v>1193.0</v>
      </c>
      <c r="L464" s="6" t="s">
        <v>3296</v>
      </c>
      <c r="M464" s="6" t="s">
        <v>2230</v>
      </c>
    </row>
    <row r="465" ht="22.5" customHeight="1">
      <c r="A465" s="14">
        <v>46150.790600486114</v>
      </c>
      <c r="B465" s="6" t="s">
        <v>2282</v>
      </c>
      <c r="C465" s="10" t="s">
        <v>673</v>
      </c>
      <c r="D465" s="13">
        <v>1.0</v>
      </c>
      <c r="E465" s="13">
        <v>6.75</v>
      </c>
      <c r="F465" s="13">
        <v>10.0</v>
      </c>
      <c r="G465" s="6">
        <v>10.0</v>
      </c>
      <c r="H465" s="6">
        <v>10.0</v>
      </c>
      <c r="I465" s="6">
        <v>3.25</v>
      </c>
      <c r="J465" s="10" t="s">
        <v>119</v>
      </c>
      <c r="K465" s="6">
        <v>1192.0</v>
      </c>
      <c r="L465" s="6" t="s">
        <v>3298</v>
      </c>
      <c r="M465" s="6" t="s">
        <v>2230</v>
      </c>
    </row>
    <row r="466" ht="22.5" customHeight="1">
      <c r="A466" s="14">
        <v>46150.79060025463</v>
      </c>
      <c r="B466" s="6" t="s">
        <v>2282</v>
      </c>
      <c r="C466" s="10" t="s">
        <v>309</v>
      </c>
      <c r="D466" s="13">
        <v>1.0</v>
      </c>
      <c r="E466" s="13">
        <v>20.0</v>
      </c>
      <c r="F466" s="13">
        <v>25.0</v>
      </c>
      <c r="G466" s="6">
        <v>25.0</v>
      </c>
      <c r="H466" s="6">
        <v>25.0</v>
      </c>
      <c r="I466" s="6">
        <v>5.0</v>
      </c>
      <c r="J466" s="10" t="s">
        <v>154</v>
      </c>
      <c r="K466" s="6">
        <v>1191.0</v>
      </c>
      <c r="L466" s="6" t="s">
        <v>3301</v>
      </c>
      <c r="M466" s="6" t="s">
        <v>2230</v>
      </c>
    </row>
    <row r="467" ht="22.5" hidden="1" customHeight="1">
      <c r="A467" s="37">
        <v>46005.851610185186</v>
      </c>
      <c r="B467" s="5" t="s">
        <v>2262</v>
      </c>
      <c r="C467" s="19" t="s">
        <v>545</v>
      </c>
      <c r="D467" s="17">
        <v>4.0</v>
      </c>
      <c r="E467" s="17">
        <v>85.0</v>
      </c>
      <c r="F467" s="17">
        <v>340.0</v>
      </c>
      <c r="G467" s="19" t="s">
        <v>914</v>
      </c>
      <c r="H467" s="5">
        <v>289.0</v>
      </c>
      <c r="I467" s="19"/>
      <c r="J467" s="5" t="s">
        <v>2962</v>
      </c>
      <c r="K467" s="5" t="s">
        <v>2230</v>
      </c>
      <c r="L467" s="5"/>
      <c r="M467" s="5"/>
    </row>
    <row r="468" ht="22.5" customHeight="1">
      <c r="A468" s="14">
        <v>46150.7906</v>
      </c>
      <c r="B468" s="6" t="s">
        <v>2282</v>
      </c>
      <c r="C468" s="10" t="s">
        <v>898</v>
      </c>
      <c r="D468" s="13">
        <v>3.0</v>
      </c>
      <c r="E468" s="13">
        <v>15.0</v>
      </c>
      <c r="F468" s="13">
        <v>25.0</v>
      </c>
      <c r="G468" s="6">
        <v>25.0</v>
      </c>
      <c r="H468" s="6">
        <v>75.0</v>
      </c>
      <c r="I468" s="6">
        <v>30.0</v>
      </c>
      <c r="J468" s="10" t="s">
        <v>154</v>
      </c>
      <c r="K468" s="6">
        <v>1190.0</v>
      </c>
      <c r="L468" s="6" t="s">
        <v>3305</v>
      </c>
      <c r="M468" s="6" t="s">
        <v>2230</v>
      </c>
    </row>
    <row r="469" ht="22.5" customHeight="1">
      <c r="A469" s="14">
        <v>46150.790599687505</v>
      </c>
      <c r="B469" s="6" t="s">
        <v>2282</v>
      </c>
      <c r="C469" s="10" t="s">
        <v>200</v>
      </c>
      <c r="D469" s="13">
        <v>1.0</v>
      </c>
      <c r="E469" s="13">
        <v>120.0</v>
      </c>
      <c r="F469" s="13">
        <v>250.0</v>
      </c>
      <c r="G469" s="6">
        <v>250.0</v>
      </c>
      <c r="H469" s="6">
        <v>250.0</v>
      </c>
      <c r="I469" s="6">
        <v>130.0</v>
      </c>
      <c r="J469" s="10" t="s">
        <v>436</v>
      </c>
      <c r="K469" s="6">
        <v>1188.0</v>
      </c>
      <c r="L469" s="6" t="s">
        <v>3307</v>
      </c>
      <c r="M469" s="6" t="s">
        <v>2230</v>
      </c>
    </row>
    <row r="470" ht="22.5" hidden="1" customHeight="1">
      <c r="A470" s="37">
        <v>46005.80339321759</v>
      </c>
      <c r="B470" s="5" t="s">
        <v>2262</v>
      </c>
      <c r="C470" s="19" t="s">
        <v>625</v>
      </c>
      <c r="D470" s="17">
        <v>1.0</v>
      </c>
      <c r="E470" s="17">
        <v>39.0</v>
      </c>
      <c r="F470" s="17">
        <v>39.0</v>
      </c>
      <c r="G470" s="19" t="s">
        <v>119</v>
      </c>
      <c r="H470" s="5">
        <v>288.0</v>
      </c>
      <c r="I470" s="5" t="s">
        <v>911</v>
      </c>
      <c r="J470" s="5" t="s">
        <v>3309</v>
      </c>
      <c r="K470" s="5" t="s">
        <v>2230</v>
      </c>
      <c r="L470" s="5"/>
      <c r="M470" s="5"/>
    </row>
    <row r="471" ht="22.5" hidden="1" customHeight="1">
      <c r="A471" s="37">
        <v>46005.803393159724</v>
      </c>
      <c r="B471" s="5" t="s">
        <v>2262</v>
      </c>
      <c r="C471" s="19" t="s">
        <v>584</v>
      </c>
      <c r="D471" s="17">
        <v>36.0</v>
      </c>
      <c r="E471" s="17">
        <v>5.0</v>
      </c>
      <c r="F471" s="17">
        <v>180.0</v>
      </c>
      <c r="G471" s="19" t="s">
        <v>119</v>
      </c>
      <c r="H471" s="5">
        <v>287.0</v>
      </c>
      <c r="I471" s="5" t="s">
        <v>910</v>
      </c>
      <c r="J471" s="5" t="s">
        <v>3312</v>
      </c>
      <c r="K471" s="5" t="s">
        <v>2230</v>
      </c>
      <c r="L471" s="5"/>
      <c r="M471" s="5"/>
    </row>
    <row r="472" ht="22.5" hidden="1" customHeight="1">
      <c r="A472" s="37">
        <v>46005.80339310185</v>
      </c>
      <c r="B472" s="5" t="s">
        <v>2262</v>
      </c>
      <c r="C472" s="19" t="s">
        <v>709</v>
      </c>
      <c r="D472" s="17">
        <v>1.0</v>
      </c>
      <c r="E472" s="17">
        <v>143.0</v>
      </c>
      <c r="F472" s="17">
        <v>143.0</v>
      </c>
      <c r="G472" s="19" t="s">
        <v>119</v>
      </c>
      <c r="H472" s="5">
        <v>286.0</v>
      </c>
      <c r="I472" s="5" t="s">
        <v>909</v>
      </c>
      <c r="J472" s="5" t="s">
        <v>3314</v>
      </c>
      <c r="K472" s="5" t="s">
        <v>2230</v>
      </c>
      <c r="L472" s="5"/>
      <c r="M472" s="5"/>
    </row>
    <row r="473" ht="22.5" hidden="1" customHeight="1">
      <c r="A473" s="37">
        <v>46005.80339303241</v>
      </c>
      <c r="B473" s="5" t="s">
        <v>2262</v>
      </c>
      <c r="C473" s="19" t="s">
        <v>714</v>
      </c>
      <c r="D473" s="17">
        <v>1.0</v>
      </c>
      <c r="E473" s="17">
        <v>154.0</v>
      </c>
      <c r="F473" s="17">
        <v>154.0</v>
      </c>
      <c r="G473" s="19" t="s">
        <v>119</v>
      </c>
      <c r="H473" s="5">
        <v>285.0</v>
      </c>
      <c r="I473" s="5" t="s">
        <v>907</v>
      </c>
      <c r="J473" s="5" t="s">
        <v>3318</v>
      </c>
      <c r="K473" s="5" t="s">
        <v>2230</v>
      </c>
      <c r="L473" s="5"/>
      <c r="M473" s="5"/>
    </row>
    <row r="474" ht="22.5" hidden="1" customHeight="1">
      <c r="A474" s="37">
        <v>46005.803392974536</v>
      </c>
      <c r="B474" s="5" t="s">
        <v>2262</v>
      </c>
      <c r="C474" s="19" t="s">
        <v>552</v>
      </c>
      <c r="D474" s="17">
        <v>1.0</v>
      </c>
      <c r="E474" s="17">
        <v>134.0</v>
      </c>
      <c r="F474" s="17">
        <v>134.0</v>
      </c>
      <c r="G474" s="19" t="s">
        <v>119</v>
      </c>
      <c r="H474" s="5">
        <v>284.0</v>
      </c>
      <c r="I474" s="5" t="s">
        <v>905</v>
      </c>
      <c r="J474" s="5" t="s">
        <v>3320</v>
      </c>
      <c r="K474" s="5" t="s">
        <v>2230</v>
      </c>
      <c r="L474" s="5"/>
      <c r="M474" s="5"/>
    </row>
    <row r="475" ht="22.5" hidden="1" customHeight="1">
      <c r="A475" s="37">
        <v>46005.803392905094</v>
      </c>
      <c r="B475" s="5" t="s">
        <v>2262</v>
      </c>
      <c r="C475" s="19" t="s">
        <v>650</v>
      </c>
      <c r="D475" s="17">
        <v>1.0</v>
      </c>
      <c r="E475" s="17">
        <v>124.0</v>
      </c>
      <c r="F475" s="17">
        <v>124.0</v>
      </c>
      <c r="G475" s="19" t="s">
        <v>119</v>
      </c>
      <c r="H475" s="5">
        <v>283.0</v>
      </c>
      <c r="I475" s="5" t="s">
        <v>901</v>
      </c>
      <c r="J475" s="5" t="s">
        <v>3322</v>
      </c>
      <c r="K475" s="5" t="s">
        <v>2230</v>
      </c>
      <c r="L475" s="5"/>
      <c r="M475" s="5"/>
    </row>
    <row r="476" ht="22.5" hidden="1" customHeight="1">
      <c r="A476" s="37">
        <v>46005.803392835645</v>
      </c>
      <c r="B476" s="5" t="s">
        <v>2262</v>
      </c>
      <c r="C476" s="19" t="s">
        <v>700</v>
      </c>
      <c r="D476" s="17">
        <v>1.0</v>
      </c>
      <c r="E476" s="17">
        <v>159.0</v>
      </c>
      <c r="F476" s="17">
        <v>159.0</v>
      </c>
      <c r="G476" s="19" t="s">
        <v>119</v>
      </c>
      <c r="H476" s="5">
        <v>282.0</v>
      </c>
      <c r="I476" s="5" t="s">
        <v>899</v>
      </c>
      <c r="J476" s="5" t="s">
        <v>3324</v>
      </c>
      <c r="K476" s="5" t="s">
        <v>2230</v>
      </c>
      <c r="L476" s="5"/>
      <c r="M476" s="5"/>
    </row>
    <row r="477" ht="22.5" hidden="1" customHeight="1">
      <c r="A477" s="37">
        <v>46005.80339277777</v>
      </c>
      <c r="B477" s="5" t="s">
        <v>2262</v>
      </c>
      <c r="C477" s="19" t="s">
        <v>723</v>
      </c>
      <c r="D477" s="17">
        <v>1.0</v>
      </c>
      <c r="E477" s="17">
        <v>139.0</v>
      </c>
      <c r="F477" s="17">
        <v>139.0</v>
      </c>
      <c r="G477" s="19" t="s">
        <v>119</v>
      </c>
      <c r="H477" s="5">
        <v>281.0</v>
      </c>
      <c r="I477" s="5" t="s">
        <v>897</v>
      </c>
      <c r="J477" s="5" t="s">
        <v>3326</v>
      </c>
      <c r="K477" s="5" t="s">
        <v>2230</v>
      </c>
      <c r="L477" s="5"/>
      <c r="M477" s="5"/>
    </row>
    <row r="478" ht="22.5" hidden="1" customHeight="1">
      <c r="A478" s="37">
        <v>46005.80339271991</v>
      </c>
      <c r="B478" s="5" t="s">
        <v>2262</v>
      </c>
      <c r="C478" s="19" t="s">
        <v>834</v>
      </c>
      <c r="D478" s="17">
        <v>1.0</v>
      </c>
      <c r="E478" s="17">
        <v>139.0</v>
      </c>
      <c r="F478" s="17">
        <v>139.0</v>
      </c>
      <c r="G478" s="19" t="s">
        <v>119</v>
      </c>
      <c r="H478" s="5">
        <v>280.0</v>
      </c>
      <c r="I478" s="5" t="s">
        <v>895</v>
      </c>
      <c r="J478" s="5" t="s">
        <v>3328</v>
      </c>
      <c r="K478" s="5" t="s">
        <v>2230</v>
      </c>
      <c r="L478" s="5"/>
      <c r="M478" s="5"/>
    </row>
    <row r="479" ht="22.5" hidden="1" customHeight="1">
      <c r="A479" s="37">
        <v>46005.80339266204</v>
      </c>
      <c r="B479" s="5" t="s">
        <v>2262</v>
      </c>
      <c r="C479" s="19" t="s">
        <v>555</v>
      </c>
      <c r="D479" s="17">
        <v>1.0</v>
      </c>
      <c r="E479" s="17">
        <v>151.0</v>
      </c>
      <c r="F479" s="17">
        <v>151.0</v>
      </c>
      <c r="G479" s="19" t="s">
        <v>119</v>
      </c>
      <c r="H479" s="5">
        <v>279.0</v>
      </c>
      <c r="I479" s="5" t="s">
        <v>894</v>
      </c>
      <c r="J479" s="5" t="s">
        <v>3331</v>
      </c>
      <c r="K479" s="5" t="s">
        <v>2230</v>
      </c>
      <c r="L479" s="5"/>
      <c r="M479" s="5"/>
    </row>
    <row r="480" ht="22.5" hidden="1" customHeight="1">
      <c r="A480" s="37">
        <v>46005.80339260417</v>
      </c>
      <c r="B480" s="5" t="s">
        <v>2262</v>
      </c>
      <c r="C480" s="19" t="s">
        <v>892</v>
      </c>
      <c r="D480" s="17">
        <v>1.0</v>
      </c>
      <c r="E480" s="17">
        <v>130.0</v>
      </c>
      <c r="F480" s="17">
        <v>130.0</v>
      </c>
      <c r="G480" s="19" t="s">
        <v>119</v>
      </c>
      <c r="H480" s="5">
        <v>278.0</v>
      </c>
      <c r="I480" s="5" t="s">
        <v>891</v>
      </c>
      <c r="J480" s="5" t="s">
        <v>3333</v>
      </c>
      <c r="K480" s="5" t="s">
        <v>2230</v>
      </c>
      <c r="L480" s="5"/>
      <c r="M480" s="5"/>
    </row>
    <row r="481" ht="22.5" hidden="1" customHeight="1">
      <c r="A481" s="37">
        <v>46005.803392546295</v>
      </c>
      <c r="B481" s="5" t="s">
        <v>2262</v>
      </c>
      <c r="C481" s="19" t="s">
        <v>688</v>
      </c>
      <c r="D481" s="17">
        <v>2.0</v>
      </c>
      <c r="E481" s="17">
        <v>160.0</v>
      </c>
      <c r="F481" s="17">
        <v>320.0</v>
      </c>
      <c r="G481" s="19" t="s">
        <v>119</v>
      </c>
      <c r="H481" s="5">
        <v>277.0</v>
      </c>
      <c r="I481" s="5" t="s">
        <v>889</v>
      </c>
      <c r="J481" s="5" t="s">
        <v>3335</v>
      </c>
      <c r="K481" s="5" t="s">
        <v>2230</v>
      </c>
      <c r="L481" s="5"/>
      <c r="M481" s="5"/>
    </row>
    <row r="482" ht="22.5" hidden="1" customHeight="1">
      <c r="A482" s="37">
        <v>46005.80339247685</v>
      </c>
      <c r="B482" s="5" t="s">
        <v>2262</v>
      </c>
      <c r="C482" s="19" t="s">
        <v>530</v>
      </c>
      <c r="D482" s="17">
        <v>1.0</v>
      </c>
      <c r="E482" s="17">
        <v>167.5</v>
      </c>
      <c r="F482" s="17">
        <v>167.5</v>
      </c>
      <c r="G482" s="19" t="s">
        <v>119</v>
      </c>
      <c r="H482" s="5">
        <v>276.0</v>
      </c>
      <c r="I482" s="5" t="s">
        <v>887</v>
      </c>
      <c r="J482" s="5" t="s">
        <v>3338</v>
      </c>
      <c r="K482" s="5" t="s">
        <v>2230</v>
      </c>
      <c r="L482" s="5"/>
      <c r="M482" s="5"/>
    </row>
    <row r="483" ht="22.5" hidden="1" customHeight="1">
      <c r="A483" s="37">
        <v>46005.80339240741</v>
      </c>
      <c r="B483" s="5" t="s">
        <v>2262</v>
      </c>
      <c r="C483" s="19" t="s">
        <v>739</v>
      </c>
      <c r="D483" s="17">
        <v>1.0</v>
      </c>
      <c r="E483" s="17">
        <v>125.0</v>
      </c>
      <c r="F483" s="17">
        <v>125.0</v>
      </c>
      <c r="G483" s="19" t="s">
        <v>119</v>
      </c>
      <c r="H483" s="5">
        <v>275.0</v>
      </c>
      <c r="I483" s="5" t="s">
        <v>886</v>
      </c>
      <c r="J483" s="5" t="s">
        <v>3340</v>
      </c>
      <c r="K483" s="5" t="s">
        <v>2230</v>
      </c>
      <c r="L483" s="5"/>
      <c r="M483" s="5"/>
    </row>
    <row r="484" ht="22.5" hidden="1" customHeight="1">
      <c r="A484" s="37">
        <v>46005.80339234954</v>
      </c>
      <c r="B484" s="5" t="s">
        <v>2262</v>
      </c>
      <c r="C484" s="19" t="s">
        <v>660</v>
      </c>
      <c r="D484" s="17">
        <v>1.0</v>
      </c>
      <c r="E484" s="17">
        <v>130.0</v>
      </c>
      <c r="F484" s="17">
        <v>130.0</v>
      </c>
      <c r="G484" s="19" t="s">
        <v>119</v>
      </c>
      <c r="H484" s="5">
        <v>274.0</v>
      </c>
      <c r="I484" s="5" t="s">
        <v>884</v>
      </c>
      <c r="J484" s="5" t="s">
        <v>3342</v>
      </c>
      <c r="K484" s="5" t="s">
        <v>2230</v>
      </c>
      <c r="L484" s="5"/>
      <c r="M484" s="5"/>
    </row>
    <row r="485" ht="22.5" hidden="1" customHeight="1">
      <c r="A485" s="37">
        <v>46005.803392291666</v>
      </c>
      <c r="B485" s="5" t="s">
        <v>2262</v>
      </c>
      <c r="C485" s="19" t="s">
        <v>883</v>
      </c>
      <c r="D485" s="17">
        <v>1.0</v>
      </c>
      <c r="E485" s="17">
        <v>115.0</v>
      </c>
      <c r="F485" s="17">
        <v>115.0</v>
      </c>
      <c r="G485" s="19" t="s">
        <v>119</v>
      </c>
      <c r="H485" s="5">
        <v>273.0</v>
      </c>
      <c r="I485" s="5" t="s">
        <v>881</v>
      </c>
      <c r="J485" s="5" t="s">
        <v>3344</v>
      </c>
      <c r="K485" s="5" t="s">
        <v>2230</v>
      </c>
      <c r="L485" s="5"/>
      <c r="M485" s="5"/>
    </row>
    <row r="486" ht="22.5" hidden="1" customHeight="1">
      <c r="A486" s="37">
        <v>46005.80339224537</v>
      </c>
      <c r="B486" s="5" t="s">
        <v>2262</v>
      </c>
      <c r="C486" s="19" t="s">
        <v>664</v>
      </c>
      <c r="D486" s="17">
        <v>1.0</v>
      </c>
      <c r="E486" s="17">
        <v>165.0</v>
      </c>
      <c r="F486" s="17">
        <v>165.0</v>
      </c>
      <c r="G486" s="19" t="s">
        <v>119</v>
      </c>
      <c r="H486" s="5">
        <v>272.0</v>
      </c>
      <c r="I486" s="5" t="s">
        <v>880</v>
      </c>
      <c r="J486" s="5" t="s">
        <v>3347</v>
      </c>
      <c r="K486" s="5" t="s">
        <v>2230</v>
      </c>
      <c r="L486" s="5"/>
      <c r="M486" s="5"/>
    </row>
    <row r="487" ht="22.5" hidden="1" customHeight="1">
      <c r="A487" s="37">
        <v>46005.8033921412</v>
      </c>
      <c r="B487" s="5" t="s">
        <v>2262</v>
      </c>
      <c r="C487" s="19" t="s">
        <v>735</v>
      </c>
      <c r="D487" s="17">
        <v>1.0</v>
      </c>
      <c r="E487" s="17">
        <v>125.0</v>
      </c>
      <c r="F487" s="17">
        <v>125.0</v>
      </c>
      <c r="G487" s="19" t="s">
        <v>119</v>
      </c>
      <c r="H487" s="5">
        <v>271.0</v>
      </c>
      <c r="I487" s="5" t="s">
        <v>878</v>
      </c>
      <c r="J487" s="5" t="s">
        <v>3349</v>
      </c>
      <c r="K487" s="5" t="s">
        <v>2230</v>
      </c>
      <c r="L487" s="5"/>
      <c r="M487" s="5"/>
    </row>
    <row r="488" ht="22.5" hidden="1" customHeight="1">
      <c r="A488" s="37">
        <v>46005.80339206019</v>
      </c>
      <c r="B488" s="5" t="s">
        <v>2262</v>
      </c>
      <c r="C488" s="19" t="s">
        <v>790</v>
      </c>
      <c r="D488" s="17">
        <v>1.0</v>
      </c>
      <c r="E488" s="17">
        <v>135.0</v>
      </c>
      <c r="F488" s="17">
        <v>135.0</v>
      </c>
      <c r="G488" s="19" t="s">
        <v>119</v>
      </c>
      <c r="H488" s="5">
        <v>270.0</v>
      </c>
      <c r="I488" s="5" t="s">
        <v>877</v>
      </c>
      <c r="J488" s="5" t="s">
        <v>3351</v>
      </c>
      <c r="K488" s="5" t="s">
        <v>2230</v>
      </c>
      <c r="L488" s="5"/>
      <c r="M488" s="5"/>
    </row>
    <row r="489" ht="22.5" hidden="1" customHeight="1">
      <c r="A489" s="37">
        <v>46005.803392002315</v>
      </c>
      <c r="B489" s="5" t="s">
        <v>2262</v>
      </c>
      <c r="C489" s="19" t="s">
        <v>685</v>
      </c>
      <c r="D489" s="17">
        <v>1.0</v>
      </c>
      <c r="E489" s="17">
        <v>160.0</v>
      </c>
      <c r="F489" s="17">
        <v>160.0</v>
      </c>
      <c r="G489" s="19" t="s">
        <v>119</v>
      </c>
      <c r="H489" s="5">
        <v>269.0</v>
      </c>
      <c r="I489" s="5" t="s">
        <v>875</v>
      </c>
      <c r="J489" s="5" t="s">
        <v>3354</v>
      </c>
      <c r="K489" s="5" t="s">
        <v>2230</v>
      </c>
      <c r="L489" s="5"/>
      <c r="M489" s="5"/>
    </row>
    <row r="490" ht="22.5" hidden="1" customHeight="1">
      <c r="A490" s="37">
        <v>46005.8033919213</v>
      </c>
      <c r="B490" s="5" t="s">
        <v>2262</v>
      </c>
      <c r="C490" s="19" t="s">
        <v>874</v>
      </c>
      <c r="D490" s="17">
        <v>1.0</v>
      </c>
      <c r="E490" s="17">
        <v>135.0</v>
      </c>
      <c r="F490" s="17">
        <v>135.0</v>
      </c>
      <c r="G490" s="19" t="s">
        <v>119</v>
      </c>
      <c r="H490" s="5">
        <v>268.0</v>
      </c>
      <c r="I490" s="5" t="s">
        <v>873</v>
      </c>
      <c r="J490" s="5" t="s">
        <v>3357</v>
      </c>
      <c r="K490" s="5" t="s">
        <v>2230</v>
      </c>
      <c r="L490" s="5"/>
      <c r="M490" s="5"/>
    </row>
    <row r="491" ht="22.5" hidden="1" customHeight="1">
      <c r="A491" s="37">
        <v>46005.80339184028</v>
      </c>
      <c r="B491" s="5" t="s">
        <v>2262</v>
      </c>
      <c r="C491" s="19" t="s">
        <v>872</v>
      </c>
      <c r="D491" s="17">
        <v>1.0</v>
      </c>
      <c r="E491" s="17">
        <v>95.0</v>
      </c>
      <c r="F491" s="17">
        <v>95.0</v>
      </c>
      <c r="G491" s="19" t="s">
        <v>119</v>
      </c>
      <c r="H491" s="5">
        <v>267.0</v>
      </c>
      <c r="I491" s="5" t="s">
        <v>870</v>
      </c>
      <c r="J491" s="5" t="s">
        <v>3359</v>
      </c>
      <c r="K491" s="5" t="s">
        <v>2230</v>
      </c>
      <c r="L491" s="5"/>
      <c r="M491" s="5"/>
    </row>
    <row r="492" ht="22.5" hidden="1" customHeight="1">
      <c r="A492" s="37">
        <v>46005.803391759255</v>
      </c>
      <c r="B492" s="5" t="s">
        <v>2262</v>
      </c>
      <c r="C492" s="19" t="s">
        <v>746</v>
      </c>
      <c r="D492" s="17">
        <v>1.0</v>
      </c>
      <c r="E492" s="17">
        <v>150.0</v>
      </c>
      <c r="F492" s="17">
        <v>150.0</v>
      </c>
      <c r="G492" s="19" t="s">
        <v>119</v>
      </c>
      <c r="H492" s="5">
        <v>266.0</v>
      </c>
      <c r="I492" s="5" t="s">
        <v>869</v>
      </c>
      <c r="J492" s="5" t="s">
        <v>3363</v>
      </c>
      <c r="K492" s="5" t="s">
        <v>2230</v>
      </c>
      <c r="L492" s="5"/>
      <c r="M492" s="5"/>
    </row>
    <row r="493" ht="22.5" hidden="1" customHeight="1">
      <c r="A493" s="37">
        <v>46005.80339168981</v>
      </c>
      <c r="B493" s="5" t="s">
        <v>2262</v>
      </c>
      <c r="C493" s="19" t="s">
        <v>868</v>
      </c>
      <c r="D493" s="17">
        <v>1.0</v>
      </c>
      <c r="E493" s="17">
        <v>125.0</v>
      </c>
      <c r="F493" s="17">
        <v>125.0</v>
      </c>
      <c r="G493" s="19" t="s">
        <v>119</v>
      </c>
      <c r="H493" s="5">
        <v>265.0</v>
      </c>
      <c r="I493" s="5" t="s">
        <v>867</v>
      </c>
      <c r="J493" s="5" t="s">
        <v>3365</v>
      </c>
      <c r="K493" s="5" t="s">
        <v>2230</v>
      </c>
      <c r="L493" s="5"/>
      <c r="M493" s="5"/>
    </row>
    <row r="494" ht="22.5" hidden="1" customHeight="1">
      <c r="A494" s="37">
        <v>46005.80339162037</v>
      </c>
      <c r="B494" s="5" t="s">
        <v>2262</v>
      </c>
      <c r="C494" s="19" t="s">
        <v>683</v>
      </c>
      <c r="D494" s="17">
        <v>1.0</v>
      </c>
      <c r="E494" s="17">
        <v>160.0</v>
      </c>
      <c r="F494" s="17">
        <v>160.0</v>
      </c>
      <c r="G494" s="19" t="s">
        <v>119</v>
      </c>
      <c r="H494" s="5">
        <v>264.0</v>
      </c>
      <c r="I494" s="5" t="s">
        <v>866</v>
      </c>
      <c r="J494" s="5" t="s">
        <v>3367</v>
      </c>
      <c r="K494" s="5" t="s">
        <v>2230</v>
      </c>
      <c r="L494" s="5"/>
      <c r="M494" s="5"/>
    </row>
    <row r="495" ht="22.5" hidden="1" customHeight="1">
      <c r="A495" s="37">
        <v>46005.80339155093</v>
      </c>
      <c r="B495" s="5" t="s">
        <v>2262</v>
      </c>
      <c r="C495" s="19" t="s">
        <v>704</v>
      </c>
      <c r="D495" s="17">
        <v>1.0</v>
      </c>
      <c r="E495" s="17">
        <v>150.0</v>
      </c>
      <c r="F495" s="17">
        <v>150.0</v>
      </c>
      <c r="G495" s="19" t="s">
        <v>119</v>
      </c>
      <c r="H495" s="5">
        <v>263.0</v>
      </c>
      <c r="I495" s="5" t="s">
        <v>864</v>
      </c>
      <c r="J495" s="5" t="s">
        <v>3372</v>
      </c>
      <c r="K495" s="5" t="s">
        <v>2230</v>
      </c>
      <c r="L495" s="5"/>
      <c r="M495" s="5"/>
    </row>
    <row r="496" ht="22.5" hidden="1" customHeight="1">
      <c r="A496" s="37">
        <v>46005.80339143518</v>
      </c>
      <c r="B496" s="5" t="s">
        <v>2262</v>
      </c>
      <c r="C496" s="19" t="s">
        <v>563</v>
      </c>
      <c r="D496" s="17">
        <v>1.0</v>
      </c>
      <c r="E496" s="17">
        <v>175.0</v>
      </c>
      <c r="F496" s="17">
        <v>175.0</v>
      </c>
      <c r="G496" s="19" t="s">
        <v>119</v>
      </c>
      <c r="H496" s="5">
        <v>262.0</v>
      </c>
      <c r="I496" s="5" t="s">
        <v>862</v>
      </c>
      <c r="J496" s="5" t="s">
        <v>3374</v>
      </c>
      <c r="K496" s="5" t="s">
        <v>2230</v>
      </c>
      <c r="L496" s="5"/>
      <c r="M496" s="5"/>
    </row>
    <row r="497" ht="22.5" hidden="1" customHeight="1">
      <c r="A497" s="37">
        <v>46005.80339136574</v>
      </c>
      <c r="B497" s="5" t="s">
        <v>2262</v>
      </c>
      <c r="C497" s="19" t="s">
        <v>851</v>
      </c>
      <c r="D497" s="17">
        <v>1.0</v>
      </c>
      <c r="E497" s="17">
        <v>137.0</v>
      </c>
      <c r="F497" s="17">
        <v>137.0</v>
      </c>
      <c r="G497" s="19" t="s">
        <v>119</v>
      </c>
      <c r="H497" s="5">
        <v>261.0</v>
      </c>
      <c r="I497" s="5" t="s">
        <v>860</v>
      </c>
      <c r="J497" s="5" t="s">
        <v>3376</v>
      </c>
      <c r="K497" s="5" t="s">
        <v>2230</v>
      </c>
      <c r="L497" s="5"/>
      <c r="M497" s="5"/>
    </row>
    <row r="498" ht="22.5" hidden="1" customHeight="1">
      <c r="A498" s="37">
        <v>46005.80339128472</v>
      </c>
      <c r="B498" s="5" t="s">
        <v>2262</v>
      </c>
      <c r="C498" s="19" t="s">
        <v>797</v>
      </c>
      <c r="D498" s="17">
        <v>1.0</v>
      </c>
      <c r="E498" s="17">
        <v>145.0</v>
      </c>
      <c r="F498" s="17">
        <v>145.0</v>
      </c>
      <c r="G498" s="19" t="s">
        <v>119</v>
      </c>
      <c r="H498" s="5">
        <v>260.0</v>
      </c>
      <c r="I498" s="5" t="s">
        <v>859</v>
      </c>
      <c r="J498" s="5" t="s">
        <v>3378</v>
      </c>
      <c r="K498" s="5" t="s">
        <v>2230</v>
      </c>
      <c r="L498" s="5"/>
      <c r="M498" s="5"/>
    </row>
    <row r="499" ht="22.5" hidden="1" customHeight="1">
      <c r="A499" s="37">
        <v>46005.803391215275</v>
      </c>
      <c r="B499" s="5" t="s">
        <v>2262</v>
      </c>
      <c r="C499" s="19" t="s">
        <v>602</v>
      </c>
      <c r="D499" s="17">
        <v>1.0</v>
      </c>
      <c r="E499" s="17">
        <v>174.0</v>
      </c>
      <c r="F499" s="17">
        <v>174.0</v>
      </c>
      <c r="G499" s="19" t="s">
        <v>119</v>
      </c>
      <c r="H499" s="5">
        <v>259.0</v>
      </c>
      <c r="I499" s="5" t="s">
        <v>857</v>
      </c>
      <c r="J499" s="5" t="s">
        <v>3380</v>
      </c>
      <c r="K499" s="5" t="s">
        <v>2230</v>
      </c>
      <c r="L499" s="5"/>
      <c r="M499" s="5"/>
    </row>
    <row r="500" ht="22.5" hidden="1" customHeight="1">
      <c r="A500" s="37">
        <v>46005.80339114583</v>
      </c>
      <c r="B500" s="5" t="s">
        <v>2262</v>
      </c>
      <c r="C500" s="19" t="s">
        <v>541</v>
      </c>
      <c r="D500" s="17">
        <v>1.0</v>
      </c>
      <c r="E500" s="17">
        <v>178.0</v>
      </c>
      <c r="F500" s="17">
        <v>178.0</v>
      </c>
      <c r="G500" s="19" t="s">
        <v>119</v>
      </c>
      <c r="H500" s="5">
        <v>258.0</v>
      </c>
      <c r="I500" s="5" t="s">
        <v>855</v>
      </c>
      <c r="J500" s="5" t="s">
        <v>3382</v>
      </c>
      <c r="K500" s="5" t="s">
        <v>2230</v>
      </c>
      <c r="L500" s="5"/>
      <c r="M500" s="5"/>
    </row>
    <row r="501" ht="22.5" hidden="1" customHeight="1">
      <c r="A501" s="37">
        <v>46005.80339107639</v>
      </c>
      <c r="B501" s="5" t="s">
        <v>2262</v>
      </c>
      <c r="C501" s="19" t="s">
        <v>854</v>
      </c>
      <c r="D501" s="17">
        <v>1.0</v>
      </c>
      <c r="E501" s="17">
        <v>120.0</v>
      </c>
      <c r="F501" s="17">
        <v>120.0</v>
      </c>
      <c r="G501" s="19" t="s">
        <v>119</v>
      </c>
      <c r="H501" s="5">
        <v>257.0</v>
      </c>
      <c r="I501" s="5" t="s">
        <v>853</v>
      </c>
      <c r="J501" s="5" t="s">
        <v>3385</v>
      </c>
      <c r="K501" s="5" t="s">
        <v>2230</v>
      </c>
      <c r="L501" s="5"/>
      <c r="M501" s="5"/>
    </row>
    <row r="502" ht="22.5" hidden="1" customHeight="1">
      <c r="A502" s="37">
        <v>46005.80339100695</v>
      </c>
      <c r="B502" s="5" t="s">
        <v>2262</v>
      </c>
      <c r="C502" s="19" t="s">
        <v>519</v>
      </c>
      <c r="D502" s="17">
        <v>1.0</v>
      </c>
      <c r="E502" s="17">
        <v>180.0</v>
      </c>
      <c r="F502" s="17">
        <v>180.0</v>
      </c>
      <c r="G502" s="19" t="s">
        <v>119</v>
      </c>
      <c r="H502" s="5">
        <v>256.0</v>
      </c>
      <c r="I502" s="5" t="s">
        <v>850</v>
      </c>
      <c r="J502" s="5" t="s">
        <v>3387</v>
      </c>
      <c r="K502" s="5" t="s">
        <v>2230</v>
      </c>
      <c r="L502" s="5"/>
      <c r="M502" s="5"/>
    </row>
    <row r="503" ht="22.5" hidden="1" customHeight="1">
      <c r="A503" s="37">
        <v>46005.8033909375</v>
      </c>
      <c r="B503" s="5" t="s">
        <v>2262</v>
      </c>
      <c r="C503" s="19" t="s">
        <v>849</v>
      </c>
      <c r="D503" s="17">
        <v>1.0</v>
      </c>
      <c r="E503" s="17">
        <v>135.0</v>
      </c>
      <c r="F503" s="17">
        <v>135.0</v>
      </c>
      <c r="G503" s="19" t="s">
        <v>119</v>
      </c>
      <c r="H503" s="5">
        <v>255.0</v>
      </c>
      <c r="I503" s="5" t="s">
        <v>847</v>
      </c>
      <c r="J503" s="5" t="s">
        <v>3389</v>
      </c>
      <c r="K503" s="5" t="s">
        <v>2230</v>
      </c>
      <c r="L503" s="5"/>
      <c r="M503" s="5"/>
    </row>
    <row r="504" ht="22.5" hidden="1" customHeight="1">
      <c r="A504" s="37">
        <v>46005.80339087963</v>
      </c>
      <c r="B504" s="5" t="s">
        <v>2262</v>
      </c>
      <c r="C504" s="19" t="s">
        <v>764</v>
      </c>
      <c r="D504" s="17">
        <v>1.0</v>
      </c>
      <c r="E504" s="17">
        <v>136.5</v>
      </c>
      <c r="F504" s="17">
        <v>136.5</v>
      </c>
      <c r="G504" s="19" t="s">
        <v>119</v>
      </c>
      <c r="H504" s="5">
        <v>254.0</v>
      </c>
      <c r="I504" s="5" t="s">
        <v>844</v>
      </c>
      <c r="J504" s="5" t="s">
        <v>3391</v>
      </c>
      <c r="K504" s="5" t="s">
        <v>2230</v>
      </c>
      <c r="L504" s="5"/>
      <c r="M504" s="5"/>
    </row>
    <row r="505" ht="22.5" hidden="1" customHeight="1">
      <c r="A505" s="37">
        <v>46005.80339082176</v>
      </c>
      <c r="B505" s="5" t="s">
        <v>2262</v>
      </c>
      <c r="C505" s="19" t="s">
        <v>540</v>
      </c>
      <c r="D505" s="17">
        <v>18.0</v>
      </c>
      <c r="E505" s="17">
        <v>11.125</v>
      </c>
      <c r="F505" s="17">
        <v>200.25</v>
      </c>
      <c r="G505" s="19" t="s">
        <v>119</v>
      </c>
      <c r="H505" s="5">
        <v>253.0</v>
      </c>
      <c r="I505" s="5" t="s">
        <v>843</v>
      </c>
      <c r="J505" s="5" t="s">
        <v>3393</v>
      </c>
      <c r="K505" s="5" t="s">
        <v>2230</v>
      </c>
      <c r="L505" s="5"/>
      <c r="M505" s="5"/>
    </row>
    <row r="506" ht="22.5" hidden="1" customHeight="1">
      <c r="A506" s="37">
        <v>46005.80339076389</v>
      </c>
      <c r="B506" s="5" t="s">
        <v>2262</v>
      </c>
      <c r="C506" s="19" t="s">
        <v>680</v>
      </c>
      <c r="D506" s="17">
        <v>1.0</v>
      </c>
      <c r="E506" s="17">
        <v>160.0</v>
      </c>
      <c r="F506" s="17">
        <v>160.0</v>
      </c>
      <c r="G506" s="19" t="s">
        <v>119</v>
      </c>
      <c r="H506" s="5">
        <v>252.0</v>
      </c>
      <c r="I506" s="5" t="s">
        <v>842</v>
      </c>
      <c r="J506" s="5" t="s">
        <v>3396</v>
      </c>
      <c r="K506" s="5" t="s">
        <v>2230</v>
      </c>
      <c r="L506" s="5"/>
      <c r="M506" s="5"/>
    </row>
    <row r="507" ht="22.5" hidden="1" customHeight="1">
      <c r="A507" s="37">
        <v>46005.803390706016</v>
      </c>
      <c r="B507" s="5" t="s">
        <v>2262</v>
      </c>
      <c r="C507" s="19" t="s">
        <v>536</v>
      </c>
      <c r="D507" s="17">
        <v>6.0</v>
      </c>
      <c r="E507" s="17">
        <v>11.25</v>
      </c>
      <c r="F507" s="17">
        <v>67.5</v>
      </c>
      <c r="G507" s="19" t="s">
        <v>119</v>
      </c>
      <c r="H507" s="5">
        <v>251.0</v>
      </c>
      <c r="I507" s="5" t="s">
        <v>838</v>
      </c>
      <c r="J507" s="5" t="s">
        <v>3399</v>
      </c>
      <c r="K507" s="5" t="s">
        <v>2230</v>
      </c>
      <c r="L507" s="5"/>
      <c r="M507" s="5"/>
    </row>
    <row r="508" ht="22.5" hidden="1" customHeight="1">
      <c r="A508" s="37">
        <v>46005.803390625</v>
      </c>
      <c r="B508" s="5" t="s">
        <v>2262</v>
      </c>
      <c r="C508" s="19" t="s">
        <v>549</v>
      </c>
      <c r="D508" s="17">
        <v>3.0</v>
      </c>
      <c r="E508" s="17">
        <v>17.5</v>
      </c>
      <c r="F508" s="17">
        <v>52.5</v>
      </c>
      <c r="G508" s="19" t="s">
        <v>119</v>
      </c>
      <c r="H508" s="5">
        <v>250.0</v>
      </c>
      <c r="I508" s="5" t="s">
        <v>835</v>
      </c>
      <c r="J508" s="5" t="s">
        <v>3401</v>
      </c>
      <c r="K508" s="5" t="s">
        <v>2230</v>
      </c>
      <c r="L508" s="5"/>
      <c r="M508" s="5"/>
    </row>
    <row r="509" ht="22.5" hidden="1" customHeight="1">
      <c r="A509" s="37">
        <v>46005.80339056713</v>
      </c>
      <c r="B509" s="5" t="s">
        <v>2262</v>
      </c>
      <c r="C509" s="19" t="s">
        <v>547</v>
      </c>
      <c r="D509" s="17">
        <v>2.0</v>
      </c>
      <c r="E509" s="17">
        <v>135.0</v>
      </c>
      <c r="F509" s="17">
        <v>270.0</v>
      </c>
      <c r="G509" s="19" t="s">
        <v>119</v>
      </c>
      <c r="H509" s="5">
        <v>249.0</v>
      </c>
      <c r="I509" s="5" t="s">
        <v>833</v>
      </c>
      <c r="J509" s="5" t="s">
        <v>3403</v>
      </c>
      <c r="K509" s="5" t="s">
        <v>2230</v>
      </c>
      <c r="L509" s="5"/>
      <c r="M509" s="5"/>
    </row>
    <row r="510" ht="22.5" hidden="1" customHeight="1">
      <c r="A510" s="37">
        <v>46005.803390497684</v>
      </c>
      <c r="B510" s="5" t="s">
        <v>2262</v>
      </c>
      <c r="C510" s="19" t="s">
        <v>558</v>
      </c>
      <c r="D510" s="17">
        <v>14.0</v>
      </c>
      <c r="E510" s="17">
        <v>125.0</v>
      </c>
      <c r="F510" s="17">
        <v>1750.0</v>
      </c>
      <c r="G510" s="19" t="s">
        <v>119</v>
      </c>
      <c r="H510" s="5">
        <v>248.0</v>
      </c>
      <c r="I510" s="19"/>
      <c r="J510" s="5" t="s">
        <v>3406</v>
      </c>
      <c r="K510" s="5" t="s">
        <v>2230</v>
      </c>
      <c r="L510" s="5"/>
      <c r="M510" s="5"/>
    </row>
    <row r="511" ht="22.5" customHeight="1">
      <c r="A511" s="14">
        <v>46150.79059942129</v>
      </c>
      <c r="B511" s="6" t="s">
        <v>2282</v>
      </c>
      <c r="C511" s="10" t="s">
        <v>120</v>
      </c>
      <c r="D511" s="13">
        <v>1.0</v>
      </c>
      <c r="E511" s="13">
        <v>175.0</v>
      </c>
      <c r="F511" s="13">
        <v>250.0</v>
      </c>
      <c r="G511" s="6">
        <v>250.0</v>
      </c>
      <c r="H511" s="6">
        <v>250.0</v>
      </c>
      <c r="I511" s="6">
        <v>75.0</v>
      </c>
      <c r="J511" s="10" t="s">
        <v>436</v>
      </c>
      <c r="K511" s="6">
        <v>1187.0</v>
      </c>
      <c r="L511" s="6" t="s">
        <v>3408</v>
      </c>
      <c r="M511" s="6" t="s">
        <v>2230</v>
      </c>
    </row>
    <row r="512" ht="22.5" customHeight="1">
      <c r="A512" s="14">
        <v>46150.79059903935</v>
      </c>
      <c r="B512" s="6" t="s">
        <v>2282</v>
      </c>
      <c r="C512" s="10" t="s">
        <v>1146</v>
      </c>
      <c r="D512" s="13">
        <v>1.0</v>
      </c>
      <c r="E512" s="13">
        <v>17.5</v>
      </c>
      <c r="F512" s="13">
        <v>30.0</v>
      </c>
      <c r="G512" s="6">
        <v>30.0</v>
      </c>
      <c r="H512" s="6">
        <v>30.0</v>
      </c>
      <c r="I512" s="6">
        <v>12.5</v>
      </c>
      <c r="J512" s="10" t="s">
        <v>125</v>
      </c>
      <c r="K512" s="6">
        <v>1185.0</v>
      </c>
      <c r="L512" s="6" t="s">
        <v>3410</v>
      </c>
      <c r="M512" s="6" t="s">
        <v>2230</v>
      </c>
    </row>
    <row r="513" ht="22.5" customHeight="1">
      <c r="A513" s="14">
        <v>46150.790598796295</v>
      </c>
      <c r="B513" s="6" t="s">
        <v>2282</v>
      </c>
      <c r="C513" s="10" t="s">
        <v>518</v>
      </c>
      <c r="D513" s="13">
        <v>0.3333333333333333</v>
      </c>
      <c r="E513" s="13">
        <v>75.0</v>
      </c>
      <c r="F513" s="13">
        <v>210.0</v>
      </c>
      <c r="G513" s="6">
        <v>210.0</v>
      </c>
      <c r="H513" s="6">
        <v>70.0</v>
      </c>
      <c r="I513" s="6">
        <v>45.0</v>
      </c>
      <c r="J513" s="10" t="s">
        <v>51</v>
      </c>
      <c r="K513" s="6">
        <v>1184.0</v>
      </c>
      <c r="L513" s="6" t="s">
        <v>3412</v>
      </c>
      <c r="M513" s="6" t="s">
        <v>2230</v>
      </c>
    </row>
    <row r="514" ht="22.5" customHeight="1">
      <c r="A514" s="14">
        <v>46150.79059791667</v>
      </c>
      <c r="B514" s="6" t="s">
        <v>2282</v>
      </c>
      <c r="C514" s="10" t="s">
        <v>852</v>
      </c>
      <c r="D514" s="13">
        <v>1.0</v>
      </c>
      <c r="E514" s="13">
        <v>11.82</v>
      </c>
      <c r="F514" s="13">
        <v>25.0</v>
      </c>
      <c r="G514" s="6">
        <v>25.0</v>
      </c>
      <c r="H514" s="6">
        <v>25.0</v>
      </c>
      <c r="I514" s="6">
        <v>13.18</v>
      </c>
      <c r="J514" s="10" t="s">
        <v>154</v>
      </c>
      <c r="K514" s="6">
        <v>1183.0</v>
      </c>
      <c r="L514" s="6" t="s">
        <v>3414</v>
      </c>
      <c r="M514" s="6" t="s">
        <v>2230</v>
      </c>
    </row>
    <row r="515" ht="22.5" customHeight="1">
      <c r="A515" s="14">
        <v>46150.79059730324</v>
      </c>
      <c r="B515" s="6" t="s">
        <v>2282</v>
      </c>
      <c r="C515" s="10" t="s">
        <v>1162</v>
      </c>
      <c r="D515" s="13">
        <v>2.0</v>
      </c>
      <c r="E515" s="13">
        <v>9.083333333333334</v>
      </c>
      <c r="F515" s="13">
        <v>25.0</v>
      </c>
      <c r="G515" s="6">
        <v>25.0</v>
      </c>
      <c r="H515" s="6">
        <v>50.0</v>
      </c>
      <c r="I515" s="6">
        <v>31.83</v>
      </c>
      <c r="J515" s="6" t="s">
        <v>54</v>
      </c>
      <c r="K515" s="6">
        <v>1182.0</v>
      </c>
      <c r="L515" s="6" t="s">
        <v>3416</v>
      </c>
      <c r="M515" s="6" t="s">
        <v>2230</v>
      </c>
    </row>
    <row r="516" ht="22.5" customHeight="1">
      <c r="A516" s="14">
        <v>46150.79059672454</v>
      </c>
      <c r="B516" s="6" t="s">
        <v>2282</v>
      </c>
      <c r="C516" s="10" t="s">
        <v>1146</v>
      </c>
      <c r="D516" s="13">
        <v>1.0</v>
      </c>
      <c r="E516" s="13">
        <v>17.5</v>
      </c>
      <c r="F516" s="13">
        <v>35.0</v>
      </c>
      <c r="G516" s="6">
        <v>35.0</v>
      </c>
      <c r="H516" s="6">
        <v>35.0</v>
      </c>
      <c r="I516" s="6">
        <v>17.5</v>
      </c>
      <c r="J516" s="10" t="s">
        <v>125</v>
      </c>
      <c r="K516" s="6">
        <v>1180.0</v>
      </c>
      <c r="L516" s="6" t="s">
        <v>3418</v>
      </c>
      <c r="M516" s="6" t="s">
        <v>2230</v>
      </c>
    </row>
    <row r="517" ht="22.5" customHeight="1">
      <c r="A517" s="14">
        <v>46149.507909120366</v>
      </c>
      <c r="B517" s="6" t="s">
        <v>2282</v>
      </c>
      <c r="C517" s="10" t="s">
        <v>898</v>
      </c>
      <c r="D517" s="13">
        <v>6.0</v>
      </c>
      <c r="E517" s="13">
        <v>15.0</v>
      </c>
      <c r="F517" s="13">
        <v>20.0</v>
      </c>
      <c r="G517" s="6">
        <v>19.99</v>
      </c>
      <c r="H517" s="6">
        <v>114.0</v>
      </c>
      <c r="I517" s="6">
        <f t="shared" ref="I517:I520" si="1">H517-D517*E517</f>
        <v>24</v>
      </c>
      <c r="J517" s="10" t="s">
        <v>154</v>
      </c>
      <c r="K517" s="6">
        <v>1175.0</v>
      </c>
      <c r="L517" s="6" t="s">
        <v>3426</v>
      </c>
      <c r="M517" s="6" t="s">
        <v>2230</v>
      </c>
    </row>
    <row r="518" ht="22.5" customHeight="1">
      <c r="A518" s="14">
        <v>46149.50790886574</v>
      </c>
      <c r="B518" s="6" t="s">
        <v>2282</v>
      </c>
      <c r="C518" s="10" t="s">
        <v>898</v>
      </c>
      <c r="D518" s="13">
        <v>9.0</v>
      </c>
      <c r="E518" s="13">
        <v>15.0</v>
      </c>
      <c r="F518" s="13">
        <v>20.0</v>
      </c>
      <c r="G518" s="6">
        <v>19.99</v>
      </c>
      <c r="H518" s="6">
        <v>171.0</v>
      </c>
      <c r="I518" s="6">
        <f t="shared" si="1"/>
        <v>36</v>
      </c>
      <c r="J518" s="10" t="s">
        <v>154</v>
      </c>
      <c r="K518" s="6">
        <v>1173.0</v>
      </c>
      <c r="L518" s="6" t="s">
        <v>3429</v>
      </c>
      <c r="M518" s="6" t="s">
        <v>2230</v>
      </c>
    </row>
    <row r="519" ht="22.5" customHeight="1">
      <c r="A519" s="14">
        <v>46149.50790862269</v>
      </c>
      <c r="B519" s="6" t="s">
        <v>2282</v>
      </c>
      <c r="C519" s="10" t="s">
        <v>1006</v>
      </c>
      <c r="D519" s="13">
        <v>1.0</v>
      </c>
      <c r="E519" s="13">
        <v>120.0</v>
      </c>
      <c r="F519" s="13">
        <v>150.0</v>
      </c>
      <c r="G519" s="6">
        <v>149.93</v>
      </c>
      <c r="H519" s="6">
        <v>142.5</v>
      </c>
      <c r="I519" s="6">
        <f t="shared" si="1"/>
        <v>22.5</v>
      </c>
      <c r="J519" s="10" t="s">
        <v>154</v>
      </c>
      <c r="K519" s="6">
        <v>1172.0</v>
      </c>
      <c r="L519" s="6" t="s">
        <v>3431</v>
      </c>
      <c r="M519" s="6" t="s">
        <v>2230</v>
      </c>
    </row>
    <row r="520" ht="22.5" customHeight="1">
      <c r="A520" s="14">
        <v>46149.5079083912</v>
      </c>
      <c r="B520" s="6" t="s">
        <v>2282</v>
      </c>
      <c r="C520" s="10" t="s">
        <v>923</v>
      </c>
      <c r="D520" s="13">
        <v>2.0</v>
      </c>
      <c r="E520" s="13">
        <v>129.0</v>
      </c>
      <c r="F520" s="13">
        <v>170.0</v>
      </c>
      <c r="G520" s="6">
        <v>169.92</v>
      </c>
      <c r="H520" s="6">
        <v>323.0</v>
      </c>
      <c r="I520" s="6">
        <f t="shared" si="1"/>
        <v>65</v>
      </c>
      <c r="J520" s="10" t="s">
        <v>125</v>
      </c>
      <c r="K520" s="6">
        <v>1164.0</v>
      </c>
      <c r="L520" s="6" t="s">
        <v>3433</v>
      </c>
      <c r="M520" s="6" t="s">
        <v>2230</v>
      </c>
    </row>
    <row r="521" ht="22.5" customHeight="1">
      <c r="A521" s="14">
        <v>46149.49906054398</v>
      </c>
      <c r="B521" s="6" t="s">
        <v>2282</v>
      </c>
      <c r="C521" s="10" t="s">
        <v>1000</v>
      </c>
      <c r="D521" s="13">
        <v>1.0</v>
      </c>
      <c r="E521" s="13">
        <v>10.0</v>
      </c>
      <c r="F521" s="13">
        <v>15.0</v>
      </c>
      <c r="G521" s="6">
        <v>15.0</v>
      </c>
      <c r="H521" s="6">
        <v>15.0</v>
      </c>
      <c r="I521" s="6">
        <v>5.0</v>
      </c>
      <c r="J521" s="10" t="s">
        <v>1052</v>
      </c>
      <c r="K521" s="6">
        <v>1179.0</v>
      </c>
      <c r="L521" s="6" t="s">
        <v>3435</v>
      </c>
      <c r="M521" s="6" t="s">
        <v>2230</v>
      </c>
    </row>
    <row r="522" ht="22.5" customHeight="1">
      <c r="A522" s="14">
        <v>46149.499060173606</v>
      </c>
      <c r="B522" s="6" t="s">
        <v>2282</v>
      </c>
      <c r="C522" s="10" t="s">
        <v>336</v>
      </c>
      <c r="D522" s="13">
        <v>1.0</v>
      </c>
      <c r="E522" s="13">
        <v>100.0</v>
      </c>
      <c r="F522" s="13">
        <v>120.0</v>
      </c>
      <c r="G522" s="6">
        <v>120.0</v>
      </c>
      <c r="H522" s="6">
        <v>120.0</v>
      </c>
      <c r="I522" s="6">
        <v>20.0</v>
      </c>
      <c r="J522" s="10" t="s">
        <v>154</v>
      </c>
      <c r="K522" s="6">
        <v>1178.0</v>
      </c>
      <c r="L522" s="6" t="s">
        <v>3437</v>
      </c>
      <c r="M522" s="6" t="s">
        <v>2230</v>
      </c>
    </row>
    <row r="523" ht="22.5" customHeight="1">
      <c r="A523" s="14">
        <v>46149.49905987269</v>
      </c>
      <c r="B523" s="6" t="s">
        <v>2282</v>
      </c>
      <c r="C523" s="10" t="s">
        <v>1161</v>
      </c>
      <c r="D523" s="13">
        <v>6.0</v>
      </c>
      <c r="E523" s="13">
        <v>90.0</v>
      </c>
      <c r="F523" s="13">
        <v>100.0</v>
      </c>
      <c r="G523" s="6">
        <v>100.0</v>
      </c>
      <c r="H523" s="6">
        <v>600.0</v>
      </c>
      <c r="I523" s="6">
        <v>60.0</v>
      </c>
      <c r="J523" s="10" t="s">
        <v>51</v>
      </c>
      <c r="K523" s="6">
        <v>1177.0</v>
      </c>
      <c r="L523" s="6" t="s">
        <v>3440</v>
      </c>
      <c r="M523" s="6" t="s">
        <v>2230</v>
      </c>
    </row>
    <row r="524" ht="22.5" customHeight="1">
      <c r="A524" s="14">
        <v>46149.49905961806</v>
      </c>
      <c r="B524" s="6" t="s">
        <v>2282</v>
      </c>
      <c r="C524" s="10" t="s">
        <v>1160</v>
      </c>
      <c r="D524" s="13">
        <v>1.0</v>
      </c>
      <c r="E524" s="13">
        <v>55.0</v>
      </c>
      <c r="F524" s="13">
        <v>60.0</v>
      </c>
      <c r="G524" s="6">
        <v>60.0</v>
      </c>
      <c r="H524" s="6">
        <v>60.0</v>
      </c>
      <c r="I524" s="6">
        <v>5.0</v>
      </c>
      <c r="J524" s="10" t="s">
        <v>436</v>
      </c>
      <c r="K524" s="6">
        <v>1176.0</v>
      </c>
      <c r="L524" s="6" t="s">
        <v>3444</v>
      </c>
      <c r="M524" s="6" t="s">
        <v>2230</v>
      </c>
    </row>
    <row r="525" ht="22.5" customHeight="1">
      <c r="A525" s="14">
        <v>46149.49905939815</v>
      </c>
      <c r="B525" s="6" t="s">
        <v>2282</v>
      </c>
      <c r="C525" s="10" t="s">
        <v>511</v>
      </c>
      <c r="D525" s="13">
        <v>2.0</v>
      </c>
      <c r="E525" s="13">
        <v>40.0</v>
      </c>
      <c r="F525" s="13">
        <v>60.0</v>
      </c>
      <c r="G525" s="6">
        <v>59.97</v>
      </c>
      <c r="H525" s="6">
        <v>114.0</v>
      </c>
      <c r="I525" s="6">
        <f t="shared" ref="I525:I532" si="2">H525-D525*E525</f>
        <v>34</v>
      </c>
      <c r="J525" s="10" t="s">
        <v>31</v>
      </c>
      <c r="K525" s="6">
        <v>1174.0</v>
      </c>
      <c r="L525" s="6" t="s">
        <v>3448</v>
      </c>
      <c r="M525" s="6" t="s">
        <v>2230</v>
      </c>
    </row>
    <row r="526" ht="22.5" customHeight="1">
      <c r="A526" s="14">
        <v>46149.499059016205</v>
      </c>
      <c r="B526" s="6" t="s">
        <v>2282</v>
      </c>
      <c r="C526" s="10" t="s">
        <v>611</v>
      </c>
      <c r="D526" s="13">
        <v>1.0</v>
      </c>
      <c r="E526" s="13">
        <v>29.0</v>
      </c>
      <c r="F526" s="13">
        <v>50.0</v>
      </c>
      <c r="G526" s="6">
        <v>49.98</v>
      </c>
      <c r="H526" s="6">
        <v>47.5</v>
      </c>
      <c r="I526" s="6">
        <f t="shared" si="2"/>
        <v>18.5</v>
      </c>
      <c r="J526" s="10" t="s">
        <v>119</v>
      </c>
      <c r="K526" s="6">
        <v>1171.0</v>
      </c>
      <c r="L526" s="6" t="s">
        <v>3450</v>
      </c>
      <c r="M526" s="6" t="s">
        <v>2230</v>
      </c>
    </row>
    <row r="527" ht="22.5" customHeight="1">
      <c r="A527" s="14">
        <v>46149.49905878472</v>
      </c>
      <c r="B527" s="6" t="s">
        <v>2282</v>
      </c>
      <c r="C527" s="10" t="s">
        <v>1055</v>
      </c>
      <c r="D527" s="13">
        <v>5.0</v>
      </c>
      <c r="E527" s="13">
        <v>11.0</v>
      </c>
      <c r="F527" s="13">
        <v>15.0</v>
      </c>
      <c r="G527" s="6">
        <v>14.99</v>
      </c>
      <c r="H527" s="6">
        <v>71.25</v>
      </c>
      <c r="I527" s="6">
        <f t="shared" si="2"/>
        <v>16.25</v>
      </c>
      <c r="J527" s="10" t="s">
        <v>119</v>
      </c>
      <c r="K527" s="6">
        <v>1170.0</v>
      </c>
      <c r="L527" s="6" t="s">
        <v>3453</v>
      </c>
      <c r="M527" s="6" t="s">
        <v>2230</v>
      </c>
    </row>
    <row r="528" ht="22.5" customHeight="1">
      <c r="A528" s="14">
        <v>46149.49905856482</v>
      </c>
      <c r="B528" s="6" t="s">
        <v>2282</v>
      </c>
      <c r="C528" s="10" t="s">
        <v>577</v>
      </c>
      <c r="D528" s="13">
        <v>1.0</v>
      </c>
      <c r="E528" s="13">
        <v>175.0</v>
      </c>
      <c r="F528" s="13">
        <v>295.0</v>
      </c>
      <c r="G528" s="6">
        <v>294.71</v>
      </c>
      <c r="H528" s="6">
        <v>265.5</v>
      </c>
      <c r="I528" s="6">
        <f t="shared" si="2"/>
        <v>90.5</v>
      </c>
      <c r="J528" s="10" t="s">
        <v>125</v>
      </c>
      <c r="K528" s="6">
        <v>1169.0</v>
      </c>
      <c r="L528" s="6" t="s">
        <v>3457</v>
      </c>
      <c r="M528" s="6" t="s">
        <v>2230</v>
      </c>
    </row>
    <row r="529" ht="22.5" customHeight="1">
      <c r="A529" s="14">
        <v>46149.49905835648</v>
      </c>
      <c r="B529" s="6" t="s">
        <v>2282</v>
      </c>
      <c r="C529" s="10" t="s">
        <v>812</v>
      </c>
      <c r="D529" s="13">
        <v>6.0</v>
      </c>
      <c r="E529" s="13">
        <v>15.0</v>
      </c>
      <c r="F529" s="13">
        <v>20.0</v>
      </c>
      <c r="G529" s="6">
        <v>19.99</v>
      </c>
      <c r="H529" s="6">
        <v>114.0</v>
      </c>
      <c r="I529" s="6">
        <f t="shared" si="2"/>
        <v>24</v>
      </c>
      <c r="J529" s="10" t="s">
        <v>154</v>
      </c>
      <c r="K529" s="6">
        <v>1168.0</v>
      </c>
      <c r="L529" s="6" t="s">
        <v>3459</v>
      </c>
      <c r="M529" s="6" t="s">
        <v>2230</v>
      </c>
    </row>
    <row r="530" ht="22.5" customHeight="1">
      <c r="A530" s="14">
        <v>46149.499057939815</v>
      </c>
      <c r="B530" s="6" t="s">
        <v>2282</v>
      </c>
      <c r="C530" s="10" t="s">
        <v>640</v>
      </c>
      <c r="D530" s="13">
        <v>2.0</v>
      </c>
      <c r="E530" s="13">
        <v>167.0</v>
      </c>
      <c r="F530" s="13">
        <v>210.0</v>
      </c>
      <c r="G530" s="6">
        <v>209.79</v>
      </c>
      <c r="H530" s="6">
        <v>378.0</v>
      </c>
      <c r="I530" s="6">
        <f t="shared" si="2"/>
        <v>44</v>
      </c>
      <c r="J530" s="10" t="s">
        <v>119</v>
      </c>
      <c r="K530" s="6">
        <v>1167.0</v>
      </c>
      <c r="L530" s="6" t="s">
        <v>3462</v>
      </c>
      <c r="M530" s="6" t="s">
        <v>2230</v>
      </c>
    </row>
    <row r="531" ht="22.5" customHeight="1">
      <c r="A531" s="14">
        <v>46149.49905758102</v>
      </c>
      <c r="B531" s="6" t="s">
        <v>2282</v>
      </c>
      <c r="C531" s="10" t="s">
        <v>812</v>
      </c>
      <c r="D531" s="13">
        <v>3.0</v>
      </c>
      <c r="E531" s="13">
        <v>15.0</v>
      </c>
      <c r="F531" s="13">
        <v>20.0</v>
      </c>
      <c r="G531" s="6">
        <v>19.99</v>
      </c>
      <c r="H531" s="6">
        <v>57.0</v>
      </c>
      <c r="I531" s="6">
        <f t="shared" si="2"/>
        <v>12</v>
      </c>
      <c r="J531" s="10" t="s">
        <v>154</v>
      </c>
      <c r="K531" s="6">
        <v>1166.0</v>
      </c>
      <c r="L531" s="6" t="s">
        <v>3465</v>
      </c>
      <c r="M531" s="6" t="s">
        <v>2230</v>
      </c>
    </row>
    <row r="532" ht="22.5" customHeight="1">
      <c r="A532" s="14">
        <v>46149.499057187495</v>
      </c>
      <c r="B532" s="6" t="s">
        <v>2282</v>
      </c>
      <c r="C532" s="10" t="s">
        <v>768</v>
      </c>
      <c r="D532" s="13">
        <v>1.0</v>
      </c>
      <c r="E532" s="13">
        <v>30.0</v>
      </c>
      <c r="F532" s="13">
        <v>60.0</v>
      </c>
      <c r="G532" s="6">
        <v>59.97</v>
      </c>
      <c r="H532" s="6">
        <v>57.0</v>
      </c>
      <c r="I532" s="6">
        <f t="shared" si="2"/>
        <v>27</v>
      </c>
      <c r="J532" s="10" t="s">
        <v>31</v>
      </c>
      <c r="K532" s="6">
        <v>1165.0</v>
      </c>
      <c r="L532" s="6" t="s">
        <v>3469</v>
      </c>
      <c r="M532" s="6" t="s">
        <v>2230</v>
      </c>
    </row>
    <row r="533" ht="22.5" customHeight="1">
      <c r="A533" s="14">
        <v>46143.66956545139</v>
      </c>
      <c r="B533" s="6" t="s">
        <v>2282</v>
      </c>
      <c r="C533" s="10" t="s">
        <v>306</v>
      </c>
      <c r="D533" s="13">
        <v>2.0</v>
      </c>
      <c r="E533" s="13">
        <v>9.17</v>
      </c>
      <c r="F533" s="13">
        <v>25.0</v>
      </c>
      <c r="G533" s="6">
        <v>25.0</v>
      </c>
      <c r="H533" s="6">
        <v>50.0</v>
      </c>
      <c r="I533" s="6">
        <v>31.66</v>
      </c>
      <c r="J533" s="10" t="s">
        <v>51</v>
      </c>
      <c r="K533" s="6">
        <v>1156.0</v>
      </c>
      <c r="L533" s="6" t="s">
        <v>3471</v>
      </c>
      <c r="M533" s="6" t="s">
        <v>2230</v>
      </c>
    </row>
    <row r="534" ht="22.5" customHeight="1">
      <c r="A534" s="14">
        <v>46142.97388709491</v>
      </c>
      <c r="B534" s="6" t="s">
        <v>2282</v>
      </c>
      <c r="C534" s="10" t="s">
        <v>802</v>
      </c>
      <c r="D534" s="13">
        <v>1.0</v>
      </c>
      <c r="E534" s="13">
        <v>53.33</v>
      </c>
      <c r="F534" s="13">
        <v>70.0</v>
      </c>
      <c r="G534" s="6">
        <v>70.0</v>
      </c>
      <c r="H534" s="6">
        <v>70.0</v>
      </c>
      <c r="I534" s="6">
        <v>16.67</v>
      </c>
      <c r="J534" s="10"/>
      <c r="K534" s="6">
        <v>1157.0</v>
      </c>
      <c r="L534" s="6" t="s">
        <v>3473</v>
      </c>
      <c r="M534" s="6" t="s">
        <v>2230</v>
      </c>
    </row>
    <row r="535" ht="22.5" customHeight="1">
      <c r="A535" s="14">
        <v>46142.973886747684</v>
      </c>
      <c r="B535" s="6" t="s">
        <v>2282</v>
      </c>
      <c r="C535" s="10" t="s">
        <v>902</v>
      </c>
      <c r="D535" s="13">
        <v>1.0</v>
      </c>
      <c r="E535" s="13">
        <v>81.67</v>
      </c>
      <c r="F535" s="13">
        <v>100.0</v>
      </c>
      <c r="G535" s="6">
        <v>100.0</v>
      </c>
      <c r="H535" s="6">
        <v>100.0</v>
      </c>
      <c r="I535" s="6">
        <v>18.33</v>
      </c>
      <c r="J535" s="10" t="s">
        <v>154</v>
      </c>
      <c r="K535" s="6">
        <v>1155.0</v>
      </c>
      <c r="L535" s="6" t="s">
        <v>3475</v>
      </c>
      <c r="M535" s="6" t="s">
        <v>2230</v>
      </c>
    </row>
    <row r="536" ht="22.5" customHeight="1">
      <c r="A536" s="14">
        <v>46142.97388650463</v>
      </c>
      <c r="B536" s="6" t="s">
        <v>2282</v>
      </c>
      <c r="C536" s="10" t="s">
        <v>756</v>
      </c>
      <c r="D536" s="13">
        <v>0.2857142857142857</v>
      </c>
      <c r="E536" s="13">
        <v>30.0</v>
      </c>
      <c r="F536" s="13">
        <v>70.0</v>
      </c>
      <c r="G536" s="6">
        <v>70.0</v>
      </c>
      <c r="H536" s="6">
        <v>20.0</v>
      </c>
      <c r="I536" s="6">
        <v>11.43</v>
      </c>
      <c r="J536" s="10" t="s">
        <v>154</v>
      </c>
      <c r="K536" s="6">
        <v>1154.0</v>
      </c>
      <c r="L536" s="6" t="s">
        <v>3477</v>
      </c>
      <c r="M536" s="6" t="s">
        <v>2230</v>
      </c>
    </row>
    <row r="537" ht="22.5" customHeight="1">
      <c r="A537" s="14">
        <v>46142.97388630787</v>
      </c>
      <c r="B537" s="6" t="s">
        <v>2282</v>
      </c>
      <c r="C537" s="10" t="s">
        <v>1156</v>
      </c>
      <c r="D537" s="13">
        <v>16.0</v>
      </c>
      <c r="E537" s="13">
        <v>12.5</v>
      </c>
      <c r="F537" s="13">
        <v>20.0</v>
      </c>
      <c r="G537" s="6">
        <v>20.0</v>
      </c>
      <c r="H537" s="6">
        <v>320.0</v>
      </c>
      <c r="I537" s="6">
        <v>120.0</v>
      </c>
      <c r="J537" s="6" t="s">
        <v>54</v>
      </c>
      <c r="K537" s="6">
        <v>1153.0</v>
      </c>
      <c r="L537" s="6" t="s">
        <v>3479</v>
      </c>
      <c r="M537" s="6" t="s">
        <v>2230</v>
      </c>
    </row>
    <row r="538" ht="22.5" customHeight="1">
      <c r="A538" s="14">
        <v>46142.97388612269</v>
      </c>
      <c r="B538" s="6" t="s">
        <v>2282</v>
      </c>
      <c r="C538" s="10" t="s">
        <v>91</v>
      </c>
      <c r="D538" s="13">
        <v>1.0</v>
      </c>
      <c r="E538" s="13">
        <v>35.0</v>
      </c>
      <c r="F538" s="13">
        <v>50.0</v>
      </c>
      <c r="G538" s="6">
        <v>50.0</v>
      </c>
      <c r="H538" s="6">
        <v>50.0</v>
      </c>
      <c r="I538" s="6">
        <v>15.0</v>
      </c>
      <c r="J538" s="10" t="s">
        <v>436</v>
      </c>
      <c r="K538" s="6">
        <v>1152.0</v>
      </c>
      <c r="L538" s="6" t="s">
        <v>3481</v>
      </c>
      <c r="M538" s="6" t="s">
        <v>2230</v>
      </c>
    </row>
    <row r="539" ht="22.5" customHeight="1">
      <c r="A539" s="14">
        <v>46142.9738858912</v>
      </c>
      <c r="B539" s="6" t="s">
        <v>2282</v>
      </c>
      <c r="C539" s="10" t="s">
        <v>77</v>
      </c>
      <c r="D539" s="13">
        <v>1.0</v>
      </c>
      <c r="E539" s="13">
        <v>206.11111111111111</v>
      </c>
      <c r="F539" s="13">
        <v>430.0</v>
      </c>
      <c r="G539" s="6">
        <v>430.0</v>
      </c>
      <c r="H539" s="6">
        <v>430.0</v>
      </c>
      <c r="I539" s="6">
        <v>223.89</v>
      </c>
      <c r="J539" s="6" t="s">
        <v>54</v>
      </c>
      <c r="K539" s="6">
        <v>1151.0</v>
      </c>
      <c r="L539" s="6" t="s">
        <v>3484</v>
      </c>
      <c r="M539" s="6" t="s">
        <v>2230</v>
      </c>
    </row>
    <row r="540" ht="22.5" customHeight="1">
      <c r="A540" s="14">
        <v>46142.973885671294</v>
      </c>
      <c r="B540" s="6" t="s">
        <v>2282</v>
      </c>
      <c r="C540" s="10" t="s">
        <v>885</v>
      </c>
      <c r="D540" s="13">
        <v>1.0</v>
      </c>
      <c r="E540" s="13">
        <v>135.0</v>
      </c>
      <c r="F540" s="13">
        <v>150.0</v>
      </c>
      <c r="G540" s="6">
        <v>150.0</v>
      </c>
      <c r="H540" s="6">
        <v>150.0</v>
      </c>
      <c r="I540" s="6">
        <v>15.0</v>
      </c>
      <c r="J540" s="10" t="s">
        <v>154</v>
      </c>
      <c r="K540" s="6">
        <v>1150.0</v>
      </c>
      <c r="L540" s="6" t="s">
        <v>3486</v>
      </c>
      <c r="M540" s="6" t="s">
        <v>2230</v>
      </c>
    </row>
    <row r="541" ht="22.5" customHeight="1">
      <c r="A541" s="14">
        <v>46142.97388543982</v>
      </c>
      <c r="B541" s="6" t="s">
        <v>2282</v>
      </c>
      <c r="C541" s="10" t="s">
        <v>902</v>
      </c>
      <c r="D541" s="13">
        <v>2.0</v>
      </c>
      <c r="E541" s="13">
        <v>81.67</v>
      </c>
      <c r="F541" s="13">
        <v>100.0</v>
      </c>
      <c r="G541" s="6">
        <v>100.0</v>
      </c>
      <c r="H541" s="6">
        <v>200.0</v>
      </c>
      <c r="I541" s="6">
        <v>36.66</v>
      </c>
      <c r="J541" s="10" t="s">
        <v>154</v>
      </c>
      <c r="K541" s="6">
        <v>1149.0</v>
      </c>
      <c r="L541" s="6" t="s">
        <v>3488</v>
      </c>
      <c r="M541" s="6" t="s">
        <v>2230</v>
      </c>
    </row>
    <row r="542" ht="22.5" customHeight="1">
      <c r="A542" s="14">
        <v>46142.97388520833</v>
      </c>
      <c r="B542" s="6" t="s">
        <v>2282</v>
      </c>
      <c r="C542" s="10" t="s">
        <v>596</v>
      </c>
      <c r="D542" s="13">
        <v>1.0</v>
      </c>
      <c r="E542" s="13">
        <v>17.92</v>
      </c>
      <c r="F542" s="13">
        <v>25.0</v>
      </c>
      <c r="G542" s="6">
        <v>25.0</v>
      </c>
      <c r="H542" s="6">
        <v>25.0</v>
      </c>
      <c r="I542" s="6">
        <v>7.08</v>
      </c>
      <c r="J542" s="10" t="s">
        <v>119</v>
      </c>
      <c r="K542" s="6">
        <v>1148.0</v>
      </c>
      <c r="L542" s="6" t="s">
        <v>3490</v>
      </c>
      <c r="M542" s="6" t="s">
        <v>2230</v>
      </c>
    </row>
    <row r="543" ht="22.5" customHeight="1">
      <c r="A543" s="14">
        <v>46142.9738849537</v>
      </c>
      <c r="B543" s="6" t="s">
        <v>2282</v>
      </c>
      <c r="C543" s="10" t="s">
        <v>385</v>
      </c>
      <c r="D543" s="13">
        <v>1.0</v>
      </c>
      <c r="E543" s="13">
        <v>229.5</v>
      </c>
      <c r="F543" s="13">
        <v>280.0</v>
      </c>
      <c r="G543" s="6">
        <v>280.0</v>
      </c>
      <c r="H543" s="6">
        <v>280.0</v>
      </c>
      <c r="I543" s="6">
        <v>50.5</v>
      </c>
      <c r="J543" s="10" t="s">
        <v>119</v>
      </c>
      <c r="K543" s="6">
        <v>1146.0</v>
      </c>
      <c r="L543" s="6" t="s">
        <v>3492</v>
      </c>
      <c r="M543" s="6" t="s">
        <v>2230</v>
      </c>
    </row>
    <row r="544" ht="22.5" customHeight="1">
      <c r="A544" s="14">
        <v>46142.97388471065</v>
      </c>
      <c r="B544" s="6" t="s">
        <v>2282</v>
      </c>
      <c r="C544" s="10" t="s">
        <v>852</v>
      </c>
      <c r="D544" s="13">
        <v>1.0</v>
      </c>
      <c r="E544" s="13">
        <v>11.82</v>
      </c>
      <c r="F544" s="13">
        <v>30.0</v>
      </c>
      <c r="G544" s="6">
        <v>30.0</v>
      </c>
      <c r="H544" s="6">
        <v>30.0</v>
      </c>
      <c r="I544" s="6">
        <v>18.18</v>
      </c>
      <c r="J544" s="10" t="s">
        <v>154</v>
      </c>
      <c r="K544" s="6">
        <v>1145.0</v>
      </c>
      <c r="L544" s="6" t="s">
        <v>3494</v>
      </c>
      <c r="M544" s="6" t="s">
        <v>2230</v>
      </c>
    </row>
    <row r="545" ht="22.5" customHeight="1">
      <c r="A545" s="14">
        <v>46142.97388449074</v>
      </c>
      <c r="B545" s="6" t="s">
        <v>2282</v>
      </c>
      <c r="C545" s="10" t="s">
        <v>518</v>
      </c>
      <c r="D545" s="13">
        <v>0.3333333333333333</v>
      </c>
      <c r="E545" s="13">
        <v>75.0</v>
      </c>
      <c r="F545" s="13">
        <v>150.0</v>
      </c>
      <c r="G545" s="6">
        <v>150.0</v>
      </c>
      <c r="H545" s="6">
        <v>50.0</v>
      </c>
      <c r="I545" s="6">
        <v>25.0</v>
      </c>
      <c r="J545" s="10" t="s">
        <v>51</v>
      </c>
      <c r="K545" s="6">
        <v>1144.0</v>
      </c>
      <c r="L545" s="6" t="s">
        <v>3496</v>
      </c>
      <c r="M545" s="6" t="s">
        <v>2230</v>
      </c>
    </row>
    <row r="546" ht="22.5" customHeight="1">
      <c r="A546" s="14">
        <v>46142.97388427083</v>
      </c>
      <c r="B546" s="6" t="s">
        <v>2282</v>
      </c>
      <c r="C546" s="10" t="s">
        <v>500</v>
      </c>
      <c r="D546" s="13">
        <v>0.2222222222222222</v>
      </c>
      <c r="E546" s="13">
        <v>125.0</v>
      </c>
      <c r="F546" s="13">
        <v>315.0</v>
      </c>
      <c r="G546" s="6">
        <v>315.0</v>
      </c>
      <c r="H546" s="6">
        <v>70.0</v>
      </c>
      <c r="I546" s="6">
        <v>42.22</v>
      </c>
      <c r="J546" s="10" t="s">
        <v>51</v>
      </c>
      <c r="K546" s="6">
        <v>1143.0</v>
      </c>
      <c r="L546" s="6" t="s">
        <v>3498</v>
      </c>
      <c r="M546" s="6" t="s">
        <v>2230</v>
      </c>
    </row>
    <row r="547" ht="22.5" customHeight="1">
      <c r="A547" s="14">
        <v>46142.97388398148</v>
      </c>
      <c r="B547" s="6" t="s">
        <v>2282</v>
      </c>
      <c r="C547" s="10" t="s">
        <v>662</v>
      </c>
      <c r="D547" s="13">
        <v>1.0</v>
      </c>
      <c r="E547" s="13">
        <v>50.0</v>
      </c>
      <c r="F547" s="13">
        <v>75.0</v>
      </c>
      <c r="G547" s="6">
        <v>75.0</v>
      </c>
      <c r="H547" s="6">
        <v>75.0</v>
      </c>
      <c r="I547" s="6">
        <v>25.0</v>
      </c>
      <c r="J547" s="10" t="s">
        <v>1052</v>
      </c>
      <c r="K547" s="6">
        <v>1142.0</v>
      </c>
      <c r="L547" s="6" t="s">
        <v>3500</v>
      </c>
      <c r="M547" s="6" t="s">
        <v>2230</v>
      </c>
    </row>
    <row r="548" ht="22.5" customHeight="1">
      <c r="A548" s="14">
        <v>46142.973883715276</v>
      </c>
      <c r="B548" s="6" t="s">
        <v>2282</v>
      </c>
      <c r="C548" s="10" t="s">
        <v>48</v>
      </c>
      <c r="D548" s="13">
        <v>3.0</v>
      </c>
      <c r="E548" s="13">
        <v>31.5</v>
      </c>
      <c r="F548" s="13">
        <v>50.0</v>
      </c>
      <c r="G548" s="6">
        <v>50.0</v>
      </c>
      <c r="H548" s="6">
        <v>150.0</v>
      </c>
      <c r="I548" s="6">
        <v>55.5</v>
      </c>
      <c r="J548" s="10" t="s">
        <v>31</v>
      </c>
      <c r="K548" s="6">
        <v>1141.0</v>
      </c>
      <c r="L548" s="6" t="s">
        <v>3502</v>
      </c>
      <c r="M548" s="6" t="s">
        <v>2230</v>
      </c>
    </row>
    <row r="549" ht="22.5" customHeight="1">
      <c r="A549" s="14">
        <v>46142.97388346065</v>
      </c>
      <c r="B549" s="6" t="s">
        <v>2282</v>
      </c>
      <c r="C549" s="10" t="s">
        <v>812</v>
      </c>
      <c r="D549" s="13">
        <v>4.0</v>
      </c>
      <c r="E549" s="13">
        <v>15.0</v>
      </c>
      <c r="F549" s="13">
        <v>20.0</v>
      </c>
      <c r="G549" s="6">
        <v>20.0</v>
      </c>
      <c r="H549" s="6">
        <v>80.0</v>
      </c>
      <c r="I549" s="6">
        <v>20.0</v>
      </c>
      <c r="J549" s="10" t="s">
        <v>154</v>
      </c>
      <c r="K549" s="6">
        <v>1140.0</v>
      </c>
      <c r="L549" s="6" t="s">
        <v>3504</v>
      </c>
      <c r="M549" s="6" t="s">
        <v>2230</v>
      </c>
    </row>
    <row r="550" ht="22.5" customHeight="1">
      <c r="A550" s="14">
        <v>46142.97388326389</v>
      </c>
      <c r="B550" s="6" t="s">
        <v>2282</v>
      </c>
      <c r="C550" s="10" t="s">
        <v>1159</v>
      </c>
      <c r="D550" s="13">
        <v>1.0</v>
      </c>
      <c r="E550" s="13">
        <v>120.0</v>
      </c>
      <c r="F550" s="13">
        <v>200.0</v>
      </c>
      <c r="G550" s="6">
        <v>200.0</v>
      </c>
      <c r="H550" s="6">
        <v>200.0</v>
      </c>
      <c r="I550" s="6">
        <v>80.0</v>
      </c>
      <c r="J550" s="10" t="s">
        <v>154</v>
      </c>
      <c r="K550" s="6">
        <v>1139.0</v>
      </c>
      <c r="L550" s="6" t="s">
        <v>3506</v>
      </c>
      <c r="M550" s="6" t="s">
        <v>2230</v>
      </c>
    </row>
    <row r="551" ht="22.5" customHeight="1">
      <c r="A551" s="14">
        <v>46142.9738830787</v>
      </c>
      <c r="B551" s="6" t="s">
        <v>2282</v>
      </c>
      <c r="C551" s="10" t="s">
        <v>1087</v>
      </c>
      <c r="D551" s="13">
        <v>5.0</v>
      </c>
      <c r="E551" s="13">
        <v>11.0</v>
      </c>
      <c r="F551" s="13">
        <v>15.0</v>
      </c>
      <c r="G551" s="6">
        <v>15.0</v>
      </c>
      <c r="H551" s="6">
        <v>75.0</v>
      </c>
      <c r="I551" s="6">
        <v>20.0</v>
      </c>
      <c r="J551" s="10"/>
      <c r="K551" s="6">
        <v>1138.0</v>
      </c>
      <c r="L551" s="6" t="s">
        <v>3508</v>
      </c>
      <c r="M551" s="6" t="s">
        <v>2230</v>
      </c>
    </row>
    <row r="552" ht="22.5" customHeight="1">
      <c r="A552" s="14">
        <v>46142.97388288194</v>
      </c>
      <c r="B552" s="6" t="s">
        <v>2282</v>
      </c>
      <c r="C552" s="10" t="s">
        <v>577</v>
      </c>
      <c r="D552" s="13">
        <v>1.0</v>
      </c>
      <c r="E552" s="13">
        <v>175.0</v>
      </c>
      <c r="F552" s="13">
        <v>250.0</v>
      </c>
      <c r="G552" s="6">
        <v>250.0</v>
      </c>
      <c r="H552" s="6">
        <v>250.0</v>
      </c>
      <c r="I552" s="6">
        <v>75.0</v>
      </c>
      <c r="J552" s="10" t="s">
        <v>125</v>
      </c>
      <c r="K552" s="6">
        <v>1137.0</v>
      </c>
      <c r="L552" s="6" t="s">
        <v>3511</v>
      </c>
      <c r="M552" s="6" t="s">
        <v>2230</v>
      </c>
    </row>
    <row r="553" ht="22.5" customHeight="1">
      <c r="A553" s="14">
        <v>46142.97388269676</v>
      </c>
      <c r="B553" s="6" t="s">
        <v>2282</v>
      </c>
      <c r="C553" s="10" t="s">
        <v>402</v>
      </c>
      <c r="D553" s="13">
        <v>1.0</v>
      </c>
      <c r="E553" s="13">
        <v>225.0</v>
      </c>
      <c r="F553" s="13">
        <v>420.0</v>
      </c>
      <c r="G553" s="6">
        <v>420.0</v>
      </c>
      <c r="H553" s="6">
        <v>420.0</v>
      </c>
      <c r="I553" s="6">
        <v>195.0</v>
      </c>
      <c r="J553" s="10" t="s">
        <v>31</v>
      </c>
      <c r="K553" s="6">
        <v>1136.0</v>
      </c>
      <c r="L553" s="6" t="s">
        <v>3514</v>
      </c>
      <c r="M553" s="6" t="s">
        <v>2230</v>
      </c>
    </row>
    <row r="554" ht="22.5" customHeight="1">
      <c r="A554" s="14">
        <v>46142.973882499995</v>
      </c>
      <c r="B554" s="6" t="s">
        <v>2282</v>
      </c>
      <c r="C554" s="10" t="s">
        <v>882</v>
      </c>
      <c r="D554" s="13">
        <v>1.0</v>
      </c>
      <c r="E554" s="13">
        <v>12.5</v>
      </c>
      <c r="F554" s="13">
        <v>30.0</v>
      </c>
      <c r="G554" s="6">
        <v>30.0</v>
      </c>
      <c r="H554" s="6">
        <v>30.0</v>
      </c>
      <c r="I554" s="6">
        <v>17.5</v>
      </c>
      <c r="J554" s="10" t="s">
        <v>119</v>
      </c>
      <c r="K554" s="6">
        <v>1135.0</v>
      </c>
      <c r="L554" s="6" t="s">
        <v>3516</v>
      </c>
      <c r="M554" s="6" t="s">
        <v>2230</v>
      </c>
    </row>
    <row r="555" ht="22.5" customHeight="1">
      <c r="A555" s="14">
        <v>46142.973882280094</v>
      </c>
      <c r="B555" s="6" t="s">
        <v>2282</v>
      </c>
      <c r="C555" s="10" t="s">
        <v>882</v>
      </c>
      <c r="D555" s="13">
        <v>1.0</v>
      </c>
      <c r="E555" s="13">
        <v>12.5</v>
      </c>
      <c r="F555" s="13">
        <v>30.0</v>
      </c>
      <c r="G555" s="6">
        <v>30.0</v>
      </c>
      <c r="H555" s="6">
        <v>30.0</v>
      </c>
      <c r="I555" s="6">
        <v>17.5</v>
      </c>
      <c r="J555" s="10" t="s">
        <v>119</v>
      </c>
      <c r="K555" s="6">
        <v>1134.0</v>
      </c>
      <c r="L555" s="6" t="s">
        <v>3518</v>
      </c>
      <c r="M555" s="6" t="s">
        <v>2230</v>
      </c>
    </row>
    <row r="556" ht="22.5" customHeight="1">
      <c r="A556" s="14">
        <v>46142.97388208333</v>
      </c>
      <c r="B556" s="6" t="s">
        <v>2282</v>
      </c>
      <c r="C556" s="10" t="s">
        <v>689</v>
      </c>
      <c r="D556" s="13">
        <v>2.0</v>
      </c>
      <c r="E556" s="13">
        <v>130.0</v>
      </c>
      <c r="F556" s="13">
        <v>150.0</v>
      </c>
      <c r="G556" s="6">
        <v>150.0</v>
      </c>
      <c r="H556" s="6">
        <v>300.0</v>
      </c>
      <c r="I556" s="6">
        <v>40.0</v>
      </c>
      <c r="J556" s="10" t="s">
        <v>119</v>
      </c>
      <c r="K556" s="6">
        <v>1133.0</v>
      </c>
      <c r="L556" s="6" t="s">
        <v>3520</v>
      </c>
      <c r="M556" s="6" t="s">
        <v>2230</v>
      </c>
    </row>
    <row r="557" ht="22.5" customHeight="1">
      <c r="A557" s="14">
        <v>46142.97388188657</v>
      </c>
      <c r="B557" s="6" t="s">
        <v>2282</v>
      </c>
      <c r="C557" s="10" t="s">
        <v>144</v>
      </c>
      <c r="D557" s="13">
        <v>1.0</v>
      </c>
      <c r="E557" s="13">
        <v>140.0</v>
      </c>
      <c r="F557" s="13">
        <v>170.0</v>
      </c>
      <c r="G557" s="6">
        <v>170.0</v>
      </c>
      <c r="H557" s="6">
        <v>170.0</v>
      </c>
      <c r="I557" s="6">
        <v>30.0</v>
      </c>
      <c r="J557" s="10" t="s">
        <v>620</v>
      </c>
      <c r="K557" s="6">
        <v>1132.0</v>
      </c>
      <c r="L557" s="6" t="s">
        <v>3523</v>
      </c>
      <c r="M557" s="6" t="s">
        <v>2230</v>
      </c>
    </row>
    <row r="558" ht="22.5" customHeight="1">
      <c r="A558" s="14">
        <v>46142.973881701386</v>
      </c>
      <c r="B558" s="6" t="s">
        <v>2282</v>
      </c>
      <c r="C558" s="10" t="s">
        <v>496</v>
      </c>
      <c r="D558" s="13">
        <v>1.0</v>
      </c>
      <c r="E558" s="13">
        <v>7.2</v>
      </c>
      <c r="F558" s="13">
        <v>20.0</v>
      </c>
      <c r="G558" s="6">
        <v>20.0</v>
      </c>
      <c r="H558" s="6">
        <v>20.0</v>
      </c>
      <c r="I558" s="6">
        <v>12.8</v>
      </c>
      <c r="J558" s="10" t="s">
        <v>119</v>
      </c>
      <c r="K558" s="6">
        <v>1131.0</v>
      </c>
      <c r="L558" s="6" t="s">
        <v>3527</v>
      </c>
      <c r="M558" s="6" t="s">
        <v>2230</v>
      </c>
    </row>
    <row r="559" ht="22.5" customHeight="1">
      <c r="A559" s="14">
        <v>46142.97388146991</v>
      </c>
      <c r="B559" s="6" t="s">
        <v>2282</v>
      </c>
      <c r="C559" s="10" t="s">
        <v>395</v>
      </c>
      <c r="D559" s="13">
        <v>1.0</v>
      </c>
      <c r="E559" s="13">
        <v>50.0</v>
      </c>
      <c r="F559" s="13">
        <v>100.0</v>
      </c>
      <c r="G559" s="6">
        <v>100.0</v>
      </c>
      <c r="H559" s="6">
        <v>100.0</v>
      </c>
      <c r="I559" s="6">
        <v>50.0</v>
      </c>
      <c r="J559" s="10" t="s">
        <v>154</v>
      </c>
      <c r="K559" s="6">
        <v>1129.0</v>
      </c>
      <c r="L559" s="6" t="s">
        <v>3530</v>
      </c>
      <c r="M559" s="6" t="s">
        <v>2230</v>
      </c>
    </row>
    <row r="560" ht="22.5" customHeight="1">
      <c r="A560" s="14">
        <v>46142.97388116898</v>
      </c>
      <c r="B560" s="6" t="s">
        <v>2282</v>
      </c>
      <c r="C560" s="10" t="s">
        <v>77</v>
      </c>
      <c r="D560" s="13">
        <v>1.0</v>
      </c>
      <c r="E560" s="13">
        <v>315.0</v>
      </c>
      <c r="F560" s="13">
        <v>400.0</v>
      </c>
      <c r="G560" s="6">
        <v>400.0</v>
      </c>
      <c r="H560" s="6">
        <v>400.0</v>
      </c>
      <c r="I560" s="6">
        <v>85.0</v>
      </c>
      <c r="J560" s="6" t="s">
        <v>54</v>
      </c>
      <c r="K560" s="6">
        <v>1126.0</v>
      </c>
      <c r="L560" s="6" t="s">
        <v>3532</v>
      </c>
      <c r="M560" s="6" t="s">
        <v>2230</v>
      </c>
    </row>
    <row r="561" ht="22.5" customHeight="1">
      <c r="A561" s="14">
        <v>46142.97388099537</v>
      </c>
      <c r="B561" s="6" t="s">
        <v>2282</v>
      </c>
      <c r="C561" s="10" t="s">
        <v>583</v>
      </c>
      <c r="D561" s="13">
        <v>1.0</v>
      </c>
      <c r="E561" s="13">
        <v>175.0</v>
      </c>
      <c r="F561" s="13">
        <v>250.0</v>
      </c>
      <c r="G561" s="6">
        <v>250.0</v>
      </c>
      <c r="H561" s="6">
        <v>250.0</v>
      </c>
      <c r="I561" s="6">
        <v>75.0</v>
      </c>
      <c r="J561" s="10" t="s">
        <v>51</v>
      </c>
      <c r="K561" s="6">
        <v>1125.0</v>
      </c>
      <c r="L561" s="6" t="s">
        <v>3534</v>
      </c>
      <c r="M561" s="6" t="s">
        <v>2230</v>
      </c>
    </row>
    <row r="562" ht="22.5" customHeight="1">
      <c r="A562" s="14">
        <v>46142.97388081018</v>
      </c>
      <c r="B562" s="6" t="s">
        <v>2282</v>
      </c>
      <c r="C562" s="10" t="s">
        <v>1152</v>
      </c>
      <c r="D562" s="13">
        <v>1.0</v>
      </c>
      <c r="E562" s="13">
        <v>15.0</v>
      </c>
      <c r="F562" s="13">
        <v>25.0</v>
      </c>
      <c r="G562" s="6">
        <v>25.0</v>
      </c>
      <c r="H562" s="6">
        <v>25.0</v>
      </c>
      <c r="I562" s="6">
        <v>10.0</v>
      </c>
      <c r="J562" s="10" t="s">
        <v>119</v>
      </c>
      <c r="K562" s="6">
        <v>1124.0</v>
      </c>
      <c r="L562" s="6" t="s">
        <v>3536</v>
      </c>
      <c r="M562" s="6" t="s">
        <v>2230</v>
      </c>
    </row>
    <row r="563" ht="22.5" customHeight="1">
      <c r="A563" s="14">
        <v>46142.973880590274</v>
      </c>
      <c r="B563" s="6" t="s">
        <v>2282</v>
      </c>
      <c r="C563" s="10" t="s">
        <v>563</v>
      </c>
      <c r="D563" s="13">
        <v>1.0</v>
      </c>
      <c r="E563" s="13">
        <v>175.0</v>
      </c>
      <c r="F563" s="13">
        <v>210.0</v>
      </c>
      <c r="G563" s="6">
        <v>210.0</v>
      </c>
      <c r="H563" s="6">
        <v>210.0</v>
      </c>
      <c r="I563" s="6">
        <v>35.0</v>
      </c>
      <c r="J563" s="10" t="s">
        <v>119</v>
      </c>
      <c r="K563" s="6">
        <v>1122.0</v>
      </c>
      <c r="L563" s="6" t="s">
        <v>3538</v>
      </c>
      <c r="M563" s="6" t="s">
        <v>2230</v>
      </c>
    </row>
    <row r="564" ht="22.5" customHeight="1">
      <c r="A564" s="14">
        <v>46142.97388039352</v>
      </c>
      <c r="B564" s="6" t="s">
        <v>2282</v>
      </c>
      <c r="C564" s="10" t="s">
        <v>1030</v>
      </c>
      <c r="D564" s="13">
        <v>1.0</v>
      </c>
      <c r="E564" s="13">
        <v>8.33</v>
      </c>
      <c r="F564" s="13">
        <v>10.0</v>
      </c>
      <c r="G564" s="6">
        <v>10.0</v>
      </c>
      <c r="H564" s="6">
        <v>10.0</v>
      </c>
      <c r="I564" s="6">
        <v>1.67</v>
      </c>
      <c r="J564" s="10" t="s">
        <v>119</v>
      </c>
      <c r="K564" s="6">
        <v>1121.0</v>
      </c>
      <c r="L564" s="6" t="s">
        <v>3541</v>
      </c>
      <c r="M564" s="6" t="s">
        <v>2230</v>
      </c>
    </row>
    <row r="565" ht="22.5" customHeight="1">
      <c r="A565" s="14">
        <v>46142.97388009259</v>
      </c>
      <c r="B565" s="6" t="s">
        <v>2282</v>
      </c>
      <c r="C565" s="10" t="s">
        <v>554</v>
      </c>
      <c r="D565" s="13">
        <v>1.0</v>
      </c>
      <c r="E565" s="13">
        <v>23.22222222222222</v>
      </c>
      <c r="F565" s="13">
        <v>45.0</v>
      </c>
      <c r="G565" s="6">
        <v>45.0</v>
      </c>
      <c r="H565" s="6">
        <v>45.0</v>
      </c>
      <c r="I565" s="6">
        <v>21.78</v>
      </c>
      <c r="J565" s="6" t="s">
        <v>54</v>
      </c>
      <c r="K565" s="6">
        <v>1120.0</v>
      </c>
      <c r="L565" s="6" t="s">
        <v>3545</v>
      </c>
      <c r="M565" s="6" t="s">
        <v>2230</v>
      </c>
    </row>
    <row r="566" ht="22.5" customHeight="1">
      <c r="A566" s="14">
        <v>46142.97387981482</v>
      </c>
      <c r="B566" s="6" t="s">
        <v>2282</v>
      </c>
      <c r="C566" s="10" t="s">
        <v>549</v>
      </c>
      <c r="D566" s="13">
        <v>2.0</v>
      </c>
      <c r="E566" s="13">
        <v>17.5</v>
      </c>
      <c r="F566" s="13">
        <v>25.0</v>
      </c>
      <c r="G566" s="6">
        <v>25.0</v>
      </c>
      <c r="H566" s="6">
        <v>50.0</v>
      </c>
      <c r="I566" s="6">
        <v>15.0</v>
      </c>
      <c r="J566" s="10" t="s">
        <v>119</v>
      </c>
      <c r="K566" s="6">
        <v>1118.0</v>
      </c>
      <c r="L566" s="6" t="s">
        <v>3547</v>
      </c>
      <c r="M566" s="6" t="s">
        <v>2230</v>
      </c>
    </row>
    <row r="567" ht="22.5" customHeight="1">
      <c r="A567" s="14">
        <v>46142.97387954861</v>
      </c>
      <c r="B567" s="6" t="s">
        <v>2282</v>
      </c>
      <c r="C567" s="10" t="s">
        <v>872</v>
      </c>
      <c r="D567" s="13">
        <v>1.0</v>
      </c>
      <c r="E567" s="13">
        <v>95.0</v>
      </c>
      <c r="F567" s="13">
        <v>130.0</v>
      </c>
      <c r="G567" s="6">
        <v>130.0</v>
      </c>
      <c r="H567" s="6">
        <v>130.0</v>
      </c>
      <c r="I567" s="6">
        <v>35.0</v>
      </c>
      <c r="J567" s="10" t="s">
        <v>119</v>
      </c>
      <c r="K567" s="6">
        <v>1117.0</v>
      </c>
      <c r="L567" s="6" t="s">
        <v>3551</v>
      </c>
      <c r="M567" s="6" t="s">
        <v>2230</v>
      </c>
    </row>
    <row r="568" ht="22.5" customHeight="1">
      <c r="A568" s="14">
        <v>46142.97387930556</v>
      </c>
      <c r="B568" s="6" t="s">
        <v>2282</v>
      </c>
      <c r="C568" s="10" t="s">
        <v>812</v>
      </c>
      <c r="D568" s="13">
        <v>2.0</v>
      </c>
      <c r="E568" s="13">
        <v>15.0</v>
      </c>
      <c r="F568" s="13">
        <v>20.0</v>
      </c>
      <c r="G568" s="6">
        <v>20.0</v>
      </c>
      <c r="H568" s="6">
        <v>40.0</v>
      </c>
      <c r="I568" s="6">
        <v>10.0</v>
      </c>
      <c r="J568" s="10" t="s">
        <v>154</v>
      </c>
      <c r="K568" s="6">
        <v>1115.0</v>
      </c>
      <c r="L568" s="6" t="s">
        <v>3554</v>
      </c>
      <c r="M568" s="6" t="s">
        <v>2230</v>
      </c>
    </row>
    <row r="569" ht="22.5" customHeight="1">
      <c r="A569" s="14">
        <v>46142.973879074074</v>
      </c>
      <c r="B569" s="6" t="s">
        <v>2282</v>
      </c>
      <c r="C569" s="10" t="s">
        <v>637</v>
      </c>
      <c r="D569" s="13">
        <v>1.0</v>
      </c>
      <c r="E569" s="13">
        <v>167.0</v>
      </c>
      <c r="F569" s="13">
        <v>220.0</v>
      </c>
      <c r="G569" s="6">
        <v>220.0</v>
      </c>
      <c r="H569" s="6">
        <v>220.0</v>
      </c>
      <c r="I569" s="6">
        <v>53.0</v>
      </c>
      <c r="J569" s="10" t="s">
        <v>119</v>
      </c>
      <c r="K569" s="6">
        <v>1114.0</v>
      </c>
      <c r="L569" s="6" t="s">
        <v>3556</v>
      </c>
      <c r="M569" s="6" t="s">
        <v>2230</v>
      </c>
    </row>
    <row r="570" ht="22.5" customHeight="1">
      <c r="A570" s="14">
        <v>46142.9738787963</v>
      </c>
      <c r="B570" s="6" t="s">
        <v>2282</v>
      </c>
      <c r="C570" s="10" t="s">
        <v>596</v>
      </c>
      <c r="D570" s="13">
        <v>1.0</v>
      </c>
      <c r="E570" s="13">
        <v>17.92</v>
      </c>
      <c r="F570" s="13">
        <v>25.0</v>
      </c>
      <c r="G570" s="6">
        <v>25.0</v>
      </c>
      <c r="H570" s="6">
        <v>25.0</v>
      </c>
      <c r="I570" s="6">
        <v>7.08</v>
      </c>
      <c r="J570" s="10" t="s">
        <v>119</v>
      </c>
      <c r="K570" s="6">
        <v>1113.0</v>
      </c>
      <c r="L570" s="6" t="s">
        <v>3558</v>
      </c>
      <c r="M570" s="6" t="s">
        <v>2230</v>
      </c>
    </row>
    <row r="571" ht="22.5" customHeight="1">
      <c r="A571" s="14">
        <v>46142.97387857639</v>
      </c>
      <c r="B571" s="6" t="s">
        <v>2282</v>
      </c>
      <c r="C571" s="10" t="s">
        <v>802</v>
      </c>
      <c r="D571" s="13">
        <v>1.0</v>
      </c>
      <c r="E571" s="13">
        <v>53.33</v>
      </c>
      <c r="F571" s="13">
        <v>70.0</v>
      </c>
      <c r="G571" s="6">
        <v>70.0</v>
      </c>
      <c r="H571" s="6">
        <v>70.0</v>
      </c>
      <c r="I571" s="6">
        <v>16.67</v>
      </c>
      <c r="J571" s="10"/>
      <c r="K571" s="6">
        <v>1112.0</v>
      </c>
      <c r="L571" s="6" t="s">
        <v>3560</v>
      </c>
      <c r="M571" s="6" t="s">
        <v>2230</v>
      </c>
    </row>
    <row r="572" ht="22.5" customHeight="1">
      <c r="A572" s="14">
        <v>46142.973878310186</v>
      </c>
      <c r="B572" s="6" t="s">
        <v>2282</v>
      </c>
      <c r="C572" s="10" t="s">
        <v>858</v>
      </c>
      <c r="D572" s="13">
        <v>2.0</v>
      </c>
      <c r="E572" s="13">
        <v>10.845238095238095</v>
      </c>
      <c r="F572" s="13">
        <v>20.0</v>
      </c>
      <c r="G572" s="6">
        <v>20.0</v>
      </c>
      <c r="H572" s="6">
        <v>40.0</v>
      </c>
      <c r="I572" s="6">
        <v>18.31</v>
      </c>
      <c r="J572" s="6" t="s">
        <v>54</v>
      </c>
      <c r="K572" s="6">
        <v>1110.0</v>
      </c>
      <c r="L572" s="6" t="s">
        <v>3562</v>
      </c>
      <c r="M572" s="6" t="s">
        <v>2230</v>
      </c>
    </row>
    <row r="573" ht="22.5" customHeight="1">
      <c r="A573" s="14">
        <v>46142.97387809028</v>
      </c>
      <c r="B573" s="6" t="s">
        <v>2282</v>
      </c>
      <c r="C573" s="10" t="s">
        <v>601</v>
      </c>
      <c r="D573" s="13">
        <v>1.0</v>
      </c>
      <c r="E573" s="13">
        <v>17.92</v>
      </c>
      <c r="F573" s="13">
        <v>25.0</v>
      </c>
      <c r="G573" s="6">
        <v>25.0</v>
      </c>
      <c r="H573" s="6">
        <v>25.0</v>
      </c>
      <c r="I573" s="6">
        <v>7.08</v>
      </c>
      <c r="J573" s="10" t="s">
        <v>119</v>
      </c>
      <c r="K573" s="6">
        <v>1109.0</v>
      </c>
      <c r="L573" s="6" t="s">
        <v>3564</v>
      </c>
      <c r="M573" s="6" t="s">
        <v>2230</v>
      </c>
    </row>
    <row r="574" ht="22.5" customHeight="1">
      <c r="A574" s="14">
        <v>46142.97387783565</v>
      </c>
      <c r="B574" s="6" t="s">
        <v>2282</v>
      </c>
      <c r="C574" s="10" t="s">
        <v>856</v>
      </c>
      <c r="D574" s="13">
        <v>2.0</v>
      </c>
      <c r="E574" s="13">
        <v>4.58</v>
      </c>
      <c r="F574" s="13">
        <v>7.5</v>
      </c>
      <c r="G574" s="6">
        <v>7.5</v>
      </c>
      <c r="H574" s="6">
        <v>15.0</v>
      </c>
      <c r="I574" s="6">
        <v>5.84</v>
      </c>
      <c r="J574" s="10" t="s">
        <v>119</v>
      </c>
      <c r="K574" s="6">
        <v>1108.0</v>
      </c>
      <c r="L574" s="6" t="s">
        <v>3566</v>
      </c>
      <c r="M574" s="6" t="s">
        <v>2230</v>
      </c>
    </row>
    <row r="575" ht="22.5" customHeight="1">
      <c r="A575" s="14">
        <v>46142.97387765047</v>
      </c>
      <c r="B575" s="6" t="s">
        <v>2282</v>
      </c>
      <c r="C575" s="10" t="s">
        <v>1043</v>
      </c>
      <c r="D575" s="13">
        <v>2.0</v>
      </c>
      <c r="E575" s="13">
        <v>85.0</v>
      </c>
      <c r="F575" s="13">
        <v>135.0</v>
      </c>
      <c r="G575" s="6">
        <v>135.0</v>
      </c>
      <c r="H575" s="6">
        <v>270.0</v>
      </c>
      <c r="I575" s="6">
        <v>100.0</v>
      </c>
      <c r="J575" s="10" t="s">
        <v>51</v>
      </c>
      <c r="K575" s="6">
        <v>1107.0</v>
      </c>
      <c r="L575" s="6" t="s">
        <v>3568</v>
      </c>
      <c r="M575" s="6" t="s">
        <v>2230</v>
      </c>
    </row>
    <row r="576" ht="22.5" customHeight="1">
      <c r="A576" s="14">
        <v>46142.97387746528</v>
      </c>
      <c r="B576" s="6" t="s">
        <v>2282</v>
      </c>
      <c r="C576" s="10" t="s">
        <v>144</v>
      </c>
      <c r="D576" s="13">
        <v>2.0</v>
      </c>
      <c r="E576" s="13">
        <v>140.0</v>
      </c>
      <c r="F576" s="13">
        <v>160.0</v>
      </c>
      <c r="G576" s="6">
        <v>160.0</v>
      </c>
      <c r="H576" s="6">
        <v>320.0</v>
      </c>
      <c r="I576" s="6">
        <v>40.0</v>
      </c>
      <c r="J576" s="10" t="s">
        <v>620</v>
      </c>
      <c r="K576" s="6">
        <v>1106.0</v>
      </c>
      <c r="L576" s="6" t="s">
        <v>3570</v>
      </c>
      <c r="M576" s="6" t="s">
        <v>2230</v>
      </c>
    </row>
    <row r="577" ht="22.5" customHeight="1">
      <c r="A577" s="14">
        <v>46142.973876620366</v>
      </c>
      <c r="B577" s="6" t="s">
        <v>2282</v>
      </c>
      <c r="C577" s="10" t="s">
        <v>902</v>
      </c>
      <c r="D577" s="13">
        <v>1.0</v>
      </c>
      <c r="E577" s="13">
        <v>81.67</v>
      </c>
      <c r="F577" s="13">
        <v>100.0</v>
      </c>
      <c r="G577" s="6">
        <v>100.0</v>
      </c>
      <c r="H577" s="6">
        <v>100.0</v>
      </c>
      <c r="I577" s="6">
        <v>18.33</v>
      </c>
      <c r="J577" s="10" t="s">
        <v>154</v>
      </c>
      <c r="K577" s="6">
        <v>1105.0</v>
      </c>
      <c r="L577" s="6" t="s">
        <v>3573</v>
      </c>
      <c r="M577" s="6" t="s">
        <v>2230</v>
      </c>
    </row>
    <row r="578" ht="22.5" customHeight="1">
      <c r="A578" s="14">
        <v>46142.97387642361</v>
      </c>
      <c r="B578" s="6" t="s">
        <v>2282</v>
      </c>
      <c r="C578" s="10" t="s">
        <v>1073</v>
      </c>
      <c r="D578" s="13">
        <v>1.0</v>
      </c>
      <c r="E578" s="13">
        <v>106.0</v>
      </c>
      <c r="F578" s="13">
        <v>135.0</v>
      </c>
      <c r="G578" s="6">
        <v>135.0</v>
      </c>
      <c r="H578" s="6">
        <v>135.0</v>
      </c>
      <c r="I578" s="6">
        <v>29.0</v>
      </c>
      <c r="J578" s="10" t="s">
        <v>119</v>
      </c>
      <c r="K578" s="6">
        <v>1104.0</v>
      </c>
      <c r="L578" s="6" t="s">
        <v>3575</v>
      </c>
      <c r="M578" s="6" t="s">
        <v>2230</v>
      </c>
    </row>
    <row r="579" ht="22.5" customHeight="1">
      <c r="A579" s="14">
        <v>46142.97387622685</v>
      </c>
      <c r="B579" s="6" t="s">
        <v>2282</v>
      </c>
      <c r="C579" s="10" t="s">
        <v>748</v>
      </c>
      <c r="D579" s="13">
        <v>1.0</v>
      </c>
      <c r="E579" s="13">
        <v>75.0</v>
      </c>
      <c r="F579" s="13">
        <v>95.0</v>
      </c>
      <c r="G579" s="6">
        <v>95.0</v>
      </c>
      <c r="H579" s="6">
        <v>95.0</v>
      </c>
      <c r="I579" s="6">
        <v>20.0</v>
      </c>
      <c r="J579" s="10" t="s">
        <v>751</v>
      </c>
      <c r="K579" s="6">
        <v>1102.0</v>
      </c>
      <c r="L579" s="6" t="s">
        <v>3577</v>
      </c>
      <c r="M579" s="6" t="s">
        <v>2230</v>
      </c>
    </row>
    <row r="580" ht="22.5" customHeight="1">
      <c r="A580" s="14">
        <v>46142.97387605324</v>
      </c>
      <c r="B580" s="6" t="s">
        <v>2282</v>
      </c>
      <c r="C580" s="10" t="s">
        <v>575</v>
      </c>
      <c r="D580" s="13">
        <v>1.0</v>
      </c>
      <c r="E580" s="13">
        <v>4.5</v>
      </c>
      <c r="F580" s="13">
        <v>10.0</v>
      </c>
      <c r="G580" s="6">
        <v>10.0</v>
      </c>
      <c r="H580" s="6">
        <v>10.0</v>
      </c>
      <c r="I580" s="6">
        <v>5.5</v>
      </c>
      <c r="J580" s="10" t="s">
        <v>119</v>
      </c>
      <c r="K580" s="6">
        <v>1101.0</v>
      </c>
      <c r="L580" s="6" t="s">
        <v>3579</v>
      </c>
      <c r="M580" s="6" t="s">
        <v>2230</v>
      </c>
    </row>
    <row r="581" ht="22.5" customHeight="1">
      <c r="A581" s="14">
        <v>46142.97387587963</v>
      </c>
      <c r="B581" s="6" t="s">
        <v>2282</v>
      </c>
      <c r="C581" s="10" t="s">
        <v>153</v>
      </c>
      <c r="D581" s="13">
        <v>1.0</v>
      </c>
      <c r="E581" s="13">
        <v>211.67</v>
      </c>
      <c r="F581" s="13">
        <v>250.0</v>
      </c>
      <c r="G581" s="6">
        <v>250.0</v>
      </c>
      <c r="H581" s="6">
        <v>250.0</v>
      </c>
      <c r="I581" s="6">
        <v>38.33</v>
      </c>
      <c r="J581" s="10" t="s">
        <v>31</v>
      </c>
      <c r="K581" s="6">
        <v>1100.0</v>
      </c>
      <c r="L581" s="6" t="s">
        <v>3581</v>
      </c>
      <c r="M581" s="6" t="s">
        <v>2230</v>
      </c>
    </row>
    <row r="582" ht="22.5" customHeight="1">
      <c r="A582" s="14">
        <v>46142.973875578704</v>
      </c>
      <c r="B582" s="6" t="s">
        <v>2282</v>
      </c>
      <c r="C582" s="10" t="s">
        <v>802</v>
      </c>
      <c r="D582" s="13">
        <v>1.0</v>
      </c>
      <c r="E582" s="13">
        <v>53.33</v>
      </c>
      <c r="F582" s="13">
        <v>70.0</v>
      </c>
      <c r="G582" s="6">
        <v>70.0</v>
      </c>
      <c r="H582" s="6">
        <v>70.0</v>
      </c>
      <c r="I582" s="6">
        <v>16.67</v>
      </c>
      <c r="J582" s="10"/>
      <c r="K582" s="6">
        <v>1099.0</v>
      </c>
      <c r="L582" s="6" t="s">
        <v>3584</v>
      </c>
      <c r="M582" s="6" t="s">
        <v>2230</v>
      </c>
    </row>
    <row r="583" ht="22.5" customHeight="1">
      <c r="A583" s="14">
        <v>46142.9738753125</v>
      </c>
      <c r="B583" s="6" t="s">
        <v>2282</v>
      </c>
      <c r="C583" s="10" t="s">
        <v>91</v>
      </c>
      <c r="D583" s="13">
        <v>1.0</v>
      </c>
      <c r="E583" s="13">
        <v>35.0</v>
      </c>
      <c r="F583" s="13">
        <v>50.0</v>
      </c>
      <c r="G583" s="6">
        <v>50.0</v>
      </c>
      <c r="H583" s="6">
        <v>50.0</v>
      </c>
      <c r="I583" s="6">
        <v>15.0</v>
      </c>
      <c r="J583" s="10" t="s">
        <v>436</v>
      </c>
      <c r="K583" s="6">
        <v>1098.0</v>
      </c>
      <c r="L583" s="6" t="s">
        <v>3587</v>
      </c>
      <c r="M583" s="6" t="s">
        <v>2230</v>
      </c>
    </row>
    <row r="584" ht="22.5" customHeight="1">
      <c r="A584" s="14">
        <v>46142.973874918986</v>
      </c>
      <c r="B584" s="6" t="s">
        <v>2282</v>
      </c>
      <c r="C584" s="10" t="s">
        <v>77</v>
      </c>
      <c r="D584" s="13">
        <v>1.0</v>
      </c>
      <c r="E584" s="13">
        <v>315.0</v>
      </c>
      <c r="F584" s="13">
        <v>400.0</v>
      </c>
      <c r="G584" s="6">
        <v>400.0</v>
      </c>
      <c r="H584" s="6">
        <v>400.0</v>
      </c>
      <c r="I584" s="6">
        <v>85.0</v>
      </c>
      <c r="J584" s="6" t="s">
        <v>54</v>
      </c>
      <c r="K584" s="6">
        <v>1097.0</v>
      </c>
      <c r="L584" s="6" t="s">
        <v>3590</v>
      </c>
      <c r="M584" s="6" t="s">
        <v>2230</v>
      </c>
    </row>
    <row r="585" ht="22.5" customHeight="1">
      <c r="A585" s="14">
        <v>46142.97387461805</v>
      </c>
      <c r="B585" s="6" t="s">
        <v>2282</v>
      </c>
      <c r="C585" s="10" t="s">
        <v>1124</v>
      </c>
      <c r="D585" s="13">
        <v>1.0</v>
      </c>
      <c r="E585" s="13">
        <v>20.0</v>
      </c>
      <c r="F585" s="13">
        <v>50.0</v>
      </c>
      <c r="G585" s="6">
        <v>50.0</v>
      </c>
      <c r="H585" s="6">
        <v>50.0</v>
      </c>
      <c r="I585" s="6">
        <v>30.0</v>
      </c>
      <c r="J585" s="10"/>
      <c r="K585" s="6">
        <v>1096.0</v>
      </c>
      <c r="L585" s="6" t="s">
        <v>3594</v>
      </c>
      <c r="M585" s="6" t="s">
        <v>2230</v>
      </c>
    </row>
    <row r="586" ht="22.5" customHeight="1">
      <c r="A586" s="14">
        <v>46142.97387436342</v>
      </c>
      <c r="B586" s="6" t="s">
        <v>2282</v>
      </c>
      <c r="C586" s="10" t="s">
        <v>987</v>
      </c>
      <c r="D586" s="13">
        <v>2.0</v>
      </c>
      <c r="E586" s="13">
        <v>19.0</v>
      </c>
      <c r="F586" s="13">
        <v>30.0</v>
      </c>
      <c r="G586" s="6">
        <v>30.0</v>
      </c>
      <c r="H586" s="6">
        <v>60.0</v>
      </c>
      <c r="I586" s="6">
        <v>22.0</v>
      </c>
      <c r="J586" s="10" t="s">
        <v>119</v>
      </c>
      <c r="K586" s="6">
        <v>1095.0</v>
      </c>
      <c r="L586" s="6" t="s">
        <v>3598</v>
      </c>
      <c r="M586" s="6" t="s">
        <v>2230</v>
      </c>
    </row>
    <row r="587" ht="22.5" customHeight="1">
      <c r="A587" s="14">
        <v>46142.973874097224</v>
      </c>
      <c r="B587" s="6" t="s">
        <v>2282</v>
      </c>
      <c r="C587" s="10" t="s">
        <v>812</v>
      </c>
      <c r="D587" s="13">
        <v>4.0</v>
      </c>
      <c r="E587" s="13">
        <v>15.0</v>
      </c>
      <c r="F587" s="13">
        <v>20.0</v>
      </c>
      <c r="G587" s="6">
        <v>20.0</v>
      </c>
      <c r="H587" s="6">
        <v>80.0</v>
      </c>
      <c r="I587" s="6">
        <v>20.0</v>
      </c>
      <c r="J587" s="10" t="s">
        <v>154</v>
      </c>
      <c r="K587" s="6">
        <v>1093.0</v>
      </c>
      <c r="L587" s="6" t="s">
        <v>3601</v>
      </c>
      <c r="M587" s="6" t="s">
        <v>2230</v>
      </c>
    </row>
    <row r="588" ht="22.5" customHeight="1">
      <c r="A588" s="14">
        <v>46142.90933429398</v>
      </c>
      <c r="B588" s="6" t="s">
        <v>2282</v>
      </c>
      <c r="C588" s="10" t="s">
        <v>480</v>
      </c>
      <c r="D588" s="13">
        <v>2.0</v>
      </c>
      <c r="E588" s="13">
        <v>45.0</v>
      </c>
      <c r="F588" s="13">
        <v>65.0</v>
      </c>
      <c r="G588" s="6">
        <v>65.0</v>
      </c>
      <c r="H588" s="6">
        <v>130.0</v>
      </c>
      <c r="I588" s="6">
        <v>40.0</v>
      </c>
      <c r="J588" s="10" t="s">
        <v>51</v>
      </c>
      <c r="K588" s="6">
        <v>1090.0</v>
      </c>
      <c r="L588" s="6" t="s">
        <v>3603</v>
      </c>
      <c r="M588" s="6" t="s">
        <v>2230</v>
      </c>
    </row>
    <row r="589" ht="22.5" customHeight="1">
      <c r="A589" s="14">
        <v>46142.90933388889</v>
      </c>
      <c r="B589" s="6" t="s">
        <v>2282</v>
      </c>
      <c r="C589" s="10" t="s">
        <v>572</v>
      </c>
      <c r="D589" s="13">
        <v>10.0</v>
      </c>
      <c r="E589" s="13">
        <v>4.38</v>
      </c>
      <c r="F589" s="13">
        <v>8.5</v>
      </c>
      <c r="G589" s="6">
        <v>8.5</v>
      </c>
      <c r="H589" s="6">
        <v>85.0</v>
      </c>
      <c r="I589" s="6">
        <v>41.2</v>
      </c>
      <c r="J589" s="10" t="s">
        <v>119</v>
      </c>
      <c r="K589" s="6">
        <v>1085.0</v>
      </c>
      <c r="L589" s="6" t="s">
        <v>3605</v>
      </c>
      <c r="M589" s="6" t="s">
        <v>2230</v>
      </c>
    </row>
    <row r="590" ht="22.5" customHeight="1">
      <c r="A590" s="14">
        <v>46142.909333483796</v>
      </c>
      <c r="B590" s="6" t="s">
        <v>2282</v>
      </c>
      <c r="C590" s="10" t="s">
        <v>856</v>
      </c>
      <c r="D590" s="13">
        <v>15.0</v>
      </c>
      <c r="E590" s="13">
        <v>4.58</v>
      </c>
      <c r="F590" s="13">
        <v>5.0</v>
      </c>
      <c r="G590" s="6">
        <v>5.0</v>
      </c>
      <c r="H590" s="6">
        <v>75.0</v>
      </c>
      <c r="I590" s="6">
        <v>6.3</v>
      </c>
      <c r="J590" s="10" t="s">
        <v>119</v>
      </c>
      <c r="K590" s="6">
        <v>1065.0</v>
      </c>
      <c r="L590" s="6" t="s">
        <v>3607</v>
      </c>
      <c r="M590" s="6" t="s">
        <v>2230</v>
      </c>
    </row>
    <row r="591" ht="22.5" customHeight="1">
      <c r="A591" s="14">
        <v>46142.90687290509</v>
      </c>
      <c r="B591" s="6" t="s">
        <v>2282</v>
      </c>
      <c r="C591" s="10" t="s">
        <v>1156</v>
      </c>
      <c r="D591" s="13">
        <v>1.0</v>
      </c>
      <c r="E591" s="13">
        <v>12.5</v>
      </c>
      <c r="F591" s="13">
        <v>20.0</v>
      </c>
      <c r="G591" s="6">
        <v>20.0</v>
      </c>
      <c r="H591" s="6">
        <v>20.0</v>
      </c>
      <c r="I591" s="6">
        <v>7.5</v>
      </c>
      <c r="J591" s="6" t="s">
        <v>54</v>
      </c>
      <c r="K591" s="6">
        <v>1091.0</v>
      </c>
      <c r="L591" s="6" t="s">
        <v>3610</v>
      </c>
      <c r="M591" s="6" t="s">
        <v>2230</v>
      </c>
    </row>
    <row r="592" ht="22.5" hidden="1" customHeight="1">
      <c r="A592" s="14">
        <v>46106.962073483795</v>
      </c>
      <c r="B592" s="6" t="s">
        <v>2225</v>
      </c>
      <c r="C592" s="10" t="s">
        <v>702</v>
      </c>
      <c r="D592" s="13">
        <v>5.0</v>
      </c>
      <c r="E592" s="13">
        <v>33.248571428571424</v>
      </c>
      <c r="F592" s="13"/>
      <c r="G592" s="6"/>
      <c r="H592" s="6">
        <v>166.24285714285713</v>
      </c>
      <c r="I592" s="6"/>
      <c r="J592" s="6" t="s">
        <v>54</v>
      </c>
      <c r="K592" s="10" t="s">
        <v>3613</v>
      </c>
      <c r="L592" s="6" t="s">
        <v>2228</v>
      </c>
      <c r="M592" s="6" t="s">
        <v>2230</v>
      </c>
    </row>
    <row r="593" ht="22.5" hidden="1" customHeight="1">
      <c r="A593" s="14">
        <v>46106.96207252315</v>
      </c>
      <c r="B593" s="6" t="s">
        <v>2234</v>
      </c>
      <c r="C593" s="10" t="s">
        <v>741</v>
      </c>
      <c r="D593" s="13">
        <v>0.7142857142857142</v>
      </c>
      <c r="E593" s="13">
        <v>150.0</v>
      </c>
      <c r="F593" s="13"/>
      <c r="G593" s="6"/>
      <c r="H593" s="6">
        <v>107.14285714285712</v>
      </c>
      <c r="I593" s="6"/>
      <c r="J593" s="10" t="s">
        <v>51</v>
      </c>
      <c r="K593" s="10" t="s">
        <v>3613</v>
      </c>
      <c r="L593" s="6" t="s">
        <v>2237</v>
      </c>
      <c r="M593" s="6" t="s">
        <v>2230</v>
      </c>
    </row>
    <row r="594" ht="22.5" hidden="1" customHeight="1">
      <c r="A594" s="14">
        <v>46106.96207241898</v>
      </c>
      <c r="B594" s="6" t="s">
        <v>2234</v>
      </c>
      <c r="C594" s="10" t="s">
        <v>852</v>
      </c>
      <c r="D594" s="13">
        <v>5.0</v>
      </c>
      <c r="E594" s="13">
        <v>11.82</v>
      </c>
      <c r="F594" s="13"/>
      <c r="G594" s="6"/>
      <c r="H594" s="6">
        <v>59.1</v>
      </c>
      <c r="I594" s="6"/>
      <c r="J594" s="10" t="s">
        <v>154</v>
      </c>
      <c r="K594" s="10" t="s">
        <v>3613</v>
      </c>
      <c r="L594" s="6" t="s">
        <v>2237</v>
      </c>
      <c r="M594" s="6" t="s">
        <v>2230</v>
      </c>
    </row>
    <row r="595" ht="22.5" customHeight="1">
      <c r="A595" s="14">
        <v>46142.90687237268</v>
      </c>
      <c r="B595" s="6" t="s">
        <v>2282</v>
      </c>
      <c r="C595" s="10" t="s">
        <v>858</v>
      </c>
      <c r="D595" s="13">
        <v>2.0</v>
      </c>
      <c r="E595" s="13">
        <v>10.845238095238095</v>
      </c>
      <c r="F595" s="13">
        <v>25.0</v>
      </c>
      <c r="G595" s="6">
        <v>25.0</v>
      </c>
      <c r="H595" s="6">
        <v>50.0</v>
      </c>
      <c r="I595" s="6">
        <v>28.31</v>
      </c>
      <c r="J595" s="6" t="s">
        <v>54</v>
      </c>
      <c r="K595" s="6">
        <v>1089.0</v>
      </c>
      <c r="L595" s="6" t="s">
        <v>3617</v>
      </c>
      <c r="M595" s="6" t="s">
        <v>2230</v>
      </c>
    </row>
    <row r="596" ht="22.5" customHeight="1">
      <c r="A596" s="14">
        <v>46142.9068718287</v>
      </c>
      <c r="B596" s="6" t="s">
        <v>2282</v>
      </c>
      <c r="C596" s="10" t="s">
        <v>255</v>
      </c>
      <c r="D596" s="13">
        <v>2.0</v>
      </c>
      <c r="E596" s="13">
        <v>19.5</v>
      </c>
      <c r="F596" s="13">
        <v>50.0</v>
      </c>
      <c r="G596" s="6">
        <v>50.0</v>
      </c>
      <c r="H596" s="6">
        <v>100.0</v>
      </c>
      <c r="I596" s="6">
        <v>61.0</v>
      </c>
      <c r="J596" s="6" t="s">
        <v>54</v>
      </c>
      <c r="K596" s="6">
        <v>1087.0</v>
      </c>
      <c r="L596" s="6" t="s">
        <v>3620</v>
      </c>
      <c r="M596" s="6" t="s">
        <v>2230</v>
      </c>
    </row>
    <row r="597" ht="22.5" customHeight="1">
      <c r="A597" s="14">
        <v>46142.90435697917</v>
      </c>
      <c r="B597" s="6" t="s">
        <v>2282</v>
      </c>
      <c r="C597" s="10" t="s">
        <v>584</v>
      </c>
      <c r="D597" s="13">
        <v>10.0</v>
      </c>
      <c r="E597" s="13">
        <v>5.0</v>
      </c>
      <c r="F597" s="13">
        <v>10.0</v>
      </c>
      <c r="G597" s="6">
        <v>10.0</v>
      </c>
      <c r="H597" s="6">
        <v>100.0</v>
      </c>
      <c r="I597" s="6">
        <v>50.0</v>
      </c>
      <c r="J597" s="10" t="s">
        <v>119</v>
      </c>
      <c r="K597" s="6">
        <v>1088.0</v>
      </c>
      <c r="L597" s="6" t="s">
        <v>3622</v>
      </c>
      <c r="M597" s="6" t="s">
        <v>2230</v>
      </c>
    </row>
    <row r="598" ht="22.5" customHeight="1">
      <c r="A598" s="14">
        <v>46142.90435655093</v>
      </c>
      <c r="B598" s="6" t="s">
        <v>2282</v>
      </c>
      <c r="C598" s="10" t="s">
        <v>769</v>
      </c>
      <c r="D598" s="13">
        <v>1.0</v>
      </c>
      <c r="E598" s="13">
        <v>150.0</v>
      </c>
      <c r="F598" s="13">
        <v>220.0</v>
      </c>
      <c r="G598" s="6">
        <v>220.0</v>
      </c>
      <c r="H598" s="6">
        <v>220.0</v>
      </c>
      <c r="I598" s="6">
        <v>70.0</v>
      </c>
      <c r="J598" s="10" t="s">
        <v>51</v>
      </c>
      <c r="K598" s="6">
        <v>1086.0</v>
      </c>
      <c r="L598" s="6" t="s">
        <v>3624</v>
      </c>
      <c r="M598" s="6" t="s">
        <v>2230</v>
      </c>
    </row>
    <row r="599" ht="22.5" customHeight="1">
      <c r="A599" s="14">
        <v>46142.90435618056</v>
      </c>
      <c r="B599" s="6" t="s">
        <v>2282</v>
      </c>
      <c r="C599" s="10" t="s">
        <v>858</v>
      </c>
      <c r="D599" s="13">
        <v>4.0</v>
      </c>
      <c r="E599" s="13">
        <v>10.845238095238095</v>
      </c>
      <c r="F599" s="13">
        <v>25.0</v>
      </c>
      <c r="G599" s="6">
        <v>25.0</v>
      </c>
      <c r="H599" s="6">
        <v>100.0</v>
      </c>
      <c r="I599" s="6">
        <v>56.62</v>
      </c>
      <c r="J599" s="6" t="s">
        <v>54</v>
      </c>
      <c r="K599" s="6">
        <v>1084.0</v>
      </c>
      <c r="L599" s="6" t="s">
        <v>3627</v>
      </c>
      <c r="M599" s="6" t="s">
        <v>2230</v>
      </c>
    </row>
    <row r="600" ht="22.5" customHeight="1">
      <c r="A600" s="14">
        <v>46142.90435574074</v>
      </c>
      <c r="B600" s="6" t="s">
        <v>2282</v>
      </c>
      <c r="C600" s="10" t="s">
        <v>144</v>
      </c>
      <c r="D600" s="13">
        <v>2.0</v>
      </c>
      <c r="E600" s="13">
        <v>140.0</v>
      </c>
      <c r="F600" s="13">
        <v>170.0</v>
      </c>
      <c r="G600" s="6">
        <v>170.0</v>
      </c>
      <c r="H600" s="6">
        <v>340.0</v>
      </c>
      <c r="I600" s="6">
        <v>60.0</v>
      </c>
      <c r="J600" s="10" t="s">
        <v>620</v>
      </c>
      <c r="K600" s="6">
        <v>1083.0</v>
      </c>
      <c r="L600" s="6" t="s">
        <v>3630</v>
      </c>
      <c r="M600" s="6" t="s">
        <v>2230</v>
      </c>
    </row>
    <row r="601" ht="22.5" customHeight="1">
      <c r="A601" s="14">
        <v>46142.904355335646</v>
      </c>
      <c r="B601" s="6" t="s">
        <v>2282</v>
      </c>
      <c r="C601" s="10" t="s">
        <v>77</v>
      </c>
      <c r="D601" s="13">
        <v>2.0</v>
      </c>
      <c r="E601" s="13">
        <v>315.0</v>
      </c>
      <c r="F601" s="13">
        <v>370.0</v>
      </c>
      <c r="G601" s="6">
        <v>370.0</v>
      </c>
      <c r="H601" s="6">
        <v>740.0</v>
      </c>
      <c r="I601" s="6">
        <v>110.0</v>
      </c>
      <c r="J601" s="6" t="s">
        <v>54</v>
      </c>
      <c r="K601" s="6">
        <v>1081.0</v>
      </c>
      <c r="L601" s="6" t="s">
        <v>3634</v>
      </c>
      <c r="M601" s="6" t="s">
        <v>2230</v>
      </c>
    </row>
    <row r="602" ht="22.5" customHeight="1">
      <c r="A602" s="14">
        <v>46142.904354976854</v>
      </c>
      <c r="B602" s="6" t="s">
        <v>2282</v>
      </c>
      <c r="C602" s="10" t="s">
        <v>898</v>
      </c>
      <c r="D602" s="13">
        <v>4.0</v>
      </c>
      <c r="E602" s="13">
        <v>15.0</v>
      </c>
      <c r="F602" s="13">
        <v>20.0</v>
      </c>
      <c r="G602" s="6">
        <v>20.0</v>
      </c>
      <c r="H602" s="6">
        <v>80.0</v>
      </c>
      <c r="I602" s="6">
        <v>20.0</v>
      </c>
      <c r="J602" s="10" t="s">
        <v>154</v>
      </c>
      <c r="K602" s="6">
        <v>1080.0</v>
      </c>
      <c r="L602" s="6" t="s">
        <v>3636</v>
      </c>
      <c r="M602" s="6" t="s">
        <v>2230</v>
      </c>
    </row>
    <row r="603" ht="22.5" customHeight="1">
      <c r="A603" s="14">
        <v>46142.90435460648</v>
      </c>
      <c r="B603" s="6" t="s">
        <v>2282</v>
      </c>
      <c r="C603" s="10" t="s">
        <v>858</v>
      </c>
      <c r="D603" s="13">
        <v>6.0</v>
      </c>
      <c r="E603" s="13">
        <v>10.845238095238095</v>
      </c>
      <c r="F603" s="13">
        <v>13.5</v>
      </c>
      <c r="G603" s="6">
        <v>13.5</v>
      </c>
      <c r="H603" s="6">
        <v>81.0</v>
      </c>
      <c r="I603" s="6">
        <v>15.93</v>
      </c>
      <c r="J603" s="6" t="s">
        <v>54</v>
      </c>
      <c r="K603" s="6">
        <v>1073.0</v>
      </c>
      <c r="L603" s="6" t="s">
        <v>3639</v>
      </c>
      <c r="M603" s="6" t="s">
        <v>2230</v>
      </c>
    </row>
    <row r="604" ht="22.5" customHeight="1">
      <c r="A604" s="14">
        <v>46142.900946064816</v>
      </c>
      <c r="B604" s="6" t="s">
        <v>2282</v>
      </c>
      <c r="C604" s="10" t="s">
        <v>91</v>
      </c>
      <c r="D604" s="13">
        <v>2.0</v>
      </c>
      <c r="E604" s="13">
        <v>35.0</v>
      </c>
      <c r="F604" s="13">
        <v>42.0</v>
      </c>
      <c r="G604" s="6">
        <v>42.0</v>
      </c>
      <c r="H604" s="6">
        <v>84.0</v>
      </c>
      <c r="I604" s="6">
        <v>14.0</v>
      </c>
      <c r="J604" s="10" t="s">
        <v>436</v>
      </c>
      <c r="K604" s="6">
        <v>1082.0</v>
      </c>
      <c r="L604" s="6" t="s">
        <v>3643</v>
      </c>
      <c r="M604" s="6" t="s">
        <v>2230</v>
      </c>
    </row>
    <row r="605" ht="22.5" customHeight="1">
      <c r="A605" s="14">
        <v>46142.90094530093</v>
      </c>
      <c r="B605" s="6" t="s">
        <v>2282</v>
      </c>
      <c r="C605" s="10" t="s">
        <v>168</v>
      </c>
      <c r="D605" s="13">
        <v>1.0</v>
      </c>
      <c r="E605" s="13">
        <v>135.0</v>
      </c>
      <c r="F605" s="13">
        <v>220.0</v>
      </c>
      <c r="G605" s="6">
        <v>220.0</v>
      </c>
      <c r="H605" s="6">
        <v>220.0</v>
      </c>
      <c r="I605" s="6">
        <v>85.0</v>
      </c>
      <c r="J605" s="10" t="s">
        <v>31</v>
      </c>
      <c r="K605" s="6">
        <v>1079.0</v>
      </c>
      <c r="L605" s="6" t="s">
        <v>3646</v>
      </c>
      <c r="M605" s="6" t="s">
        <v>2230</v>
      </c>
    </row>
    <row r="606" ht="22.5" customHeight="1">
      <c r="A606" s="14">
        <v>46142.90094490741</v>
      </c>
      <c r="B606" s="6" t="s">
        <v>2282</v>
      </c>
      <c r="C606" s="10" t="s">
        <v>178</v>
      </c>
      <c r="D606" s="13">
        <v>1.0</v>
      </c>
      <c r="E606" s="13">
        <v>195.0</v>
      </c>
      <c r="F606" s="13">
        <v>250.0</v>
      </c>
      <c r="G606" s="6">
        <v>250.0</v>
      </c>
      <c r="H606" s="6">
        <v>250.0</v>
      </c>
      <c r="I606" s="6">
        <v>55.0</v>
      </c>
      <c r="J606" s="10" t="s">
        <v>31</v>
      </c>
      <c r="K606" s="6">
        <v>1078.0</v>
      </c>
      <c r="L606" s="6" t="s">
        <v>3648</v>
      </c>
      <c r="M606" s="6" t="s">
        <v>2230</v>
      </c>
    </row>
    <row r="607" ht="22.5" customHeight="1">
      <c r="A607" s="14">
        <v>46142.90094457176</v>
      </c>
      <c r="B607" s="6" t="s">
        <v>2282</v>
      </c>
      <c r="C607" s="10" t="s">
        <v>356</v>
      </c>
      <c r="D607" s="13">
        <v>1.0</v>
      </c>
      <c r="E607" s="13">
        <v>85.0</v>
      </c>
      <c r="F607" s="13">
        <v>125.0</v>
      </c>
      <c r="G607" s="6">
        <v>125.0</v>
      </c>
      <c r="H607" s="6">
        <v>125.0</v>
      </c>
      <c r="I607" s="6">
        <v>40.0</v>
      </c>
      <c r="J607" s="10" t="s">
        <v>51</v>
      </c>
      <c r="K607" s="6">
        <v>1077.0</v>
      </c>
      <c r="L607" s="6" t="s">
        <v>3650</v>
      </c>
      <c r="M607" s="6" t="s">
        <v>2230</v>
      </c>
    </row>
    <row r="608" ht="22.5" customHeight="1">
      <c r="A608" s="14">
        <v>46142.90094412037</v>
      </c>
      <c r="B608" s="6" t="s">
        <v>2282</v>
      </c>
      <c r="C608" s="10" t="s">
        <v>322</v>
      </c>
      <c r="D608" s="13">
        <v>1.0</v>
      </c>
      <c r="E608" s="13">
        <v>75.0</v>
      </c>
      <c r="F608" s="13">
        <v>120.0</v>
      </c>
      <c r="G608" s="6">
        <v>120.0</v>
      </c>
      <c r="H608" s="6">
        <v>120.0</v>
      </c>
      <c r="I608" s="6">
        <v>45.0</v>
      </c>
      <c r="J608" s="10" t="s">
        <v>31</v>
      </c>
      <c r="K608" s="6">
        <v>1076.0</v>
      </c>
      <c r="L608" s="6" t="s">
        <v>3653</v>
      </c>
      <c r="M608" s="6" t="s">
        <v>2230</v>
      </c>
    </row>
    <row r="609" ht="22.5" customHeight="1">
      <c r="A609" s="14">
        <v>46142.90094373842</v>
      </c>
      <c r="B609" s="6" t="s">
        <v>2282</v>
      </c>
      <c r="C609" s="10" t="s">
        <v>309</v>
      </c>
      <c r="D609" s="13">
        <v>1.0</v>
      </c>
      <c r="E609" s="13">
        <v>20.0</v>
      </c>
      <c r="F609" s="13">
        <v>50.0</v>
      </c>
      <c r="G609" s="6">
        <v>50.0</v>
      </c>
      <c r="H609" s="6">
        <v>50.0</v>
      </c>
      <c r="I609" s="6">
        <v>30.0</v>
      </c>
      <c r="J609" s="10" t="s">
        <v>154</v>
      </c>
      <c r="K609" s="6">
        <v>1075.0</v>
      </c>
      <c r="L609" s="6" t="s">
        <v>3655</v>
      </c>
      <c r="M609" s="6" t="s">
        <v>2230</v>
      </c>
    </row>
    <row r="610" ht="22.5" customHeight="1">
      <c r="A610" s="14">
        <v>46142.90094346065</v>
      </c>
      <c r="B610" s="6" t="s">
        <v>2282</v>
      </c>
      <c r="C610" s="10" t="s">
        <v>220</v>
      </c>
      <c r="D610" s="13">
        <v>1.0</v>
      </c>
      <c r="E610" s="13">
        <v>85.0</v>
      </c>
      <c r="F610" s="13">
        <v>150.0</v>
      </c>
      <c r="G610" s="6">
        <v>150.0</v>
      </c>
      <c r="H610" s="6">
        <v>150.0</v>
      </c>
      <c r="I610" s="6">
        <v>65.0</v>
      </c>
      <c r="J610" s="10" t="s">
        <v>51</v>
      </c>
      <c r="K610" s="6">
        <v>1074.0</v>
      </c>
      <c r="L610" s="6" t="s">
        <v>3657</v>
      </c>
      <c r="M610" s="6" t="s">
        <v>2230</v>
      </c>
    </row>
    <row r="611" ht="22.5" customHeight="1">
      <c r="A611" s="14">
        <v>46142.90094305556</v>
      </c>
      <c r="B611" s="6" t="s">
        <v>2282</v>
      </c>
      <c r="C611" s="10" t="s">
        <v>454</v>
      </c>
      <c r="D611" s="13">
        <v>0.4444444444444444</v>
      </c>
      <c r="E611" s="13">
        <v>210.0</v>
      </c>
      <c r="F611" s="13">
        <v>360.0</v>
      </c>
      <c r="G611" s="6">
        <v>360.0</v>
      </c>
      <c r="H611" s="6">
        <v>160.0</v>
      </c>
      <c r="I611" s="6">
        <v>66.67</v>
      </c>
      <c r="J611" s="10" t="s">
        <v>31</v>
      </c>
      <c r="K611" s="6">
        <v>1072.0</v>
      </c>
      <c r="L611" s="6" t="s">
        <v>3659</v>
      </c>
      <c r="M611" s="6" t="s">
        <v>2230</v>
      </c>
    </row>
    <row r="612" ht="22.5" customHeight="1">
      <c r="A612" s="14">
        <v>46142.90094260417</v>
      </c>
      <c r="B612" s="6" t="s">
        <v>2282</v>
      </c>
      <c r="C612" s="10" t="s">
        <v>852</v>
      </c>
      <c r="D612" s="13">
        <v>2.0</v>
      </c>
      <c r="E612" s="13">
        <v>11.82</v>
      </c>
      <c r="F612" s="13">
        <v>20.0</v>
      </c>
      <c r="G612" s="6">
        <v>20.0</v>
      </c>
      <c r="H612" s="6">
        <v>40.0</v>
      </c>
      <c r="I612" s="6">
        <v>16.36</v>
      </c>
      <c r="J612" s="10" t="s">
        <v>154</v>
      </c>
      <c r="K612" s="6">
        <v>1071.0</v>
      </c>
      <c r="L612" s="6" t="s">
        <v>3661</v>
      </c>
      <c r="M612" s="6" t="s">
        <v>2230</v>
      </c>
    </row>
    <row r="613" ht="22.5" customHeight="1">
      <c r="A613" s="14">
        <v>46142.900942002314</v>
      </c>
      <c r="B613" s="6" t="s">
        <v>2282</v>
      </c>
      <c r="C613" s="10" t="s">
        <v>648</v>
      </c>
      <c r="D613" s="13">
        <v>2.0</v>
      </c>
      <c r="E613" s="13">
        <v>150.0</v>
      </c>
      <c r="F613" s="13">
        <v>200.0</v>
      </c>
      <c r="G613" s="6">
        <v>200.0</v>
      </c>
      <c r="H613" s="6">
        <v>400.0</v>
      </c>
      <c r="I613" s="6">
        <v>100.0</v>
      </c>
      <c r="J613" s="10" t="s">
        <v>154</v>
      </c>
      <c r="K613" s="6">
        <v>1070.0</v>
      </c>
      <c r="L613" s="6" t="s">
        <v>3663</v>
      </c>
      <c r="M613" s="6" t="s">
        <v>2230</v>
      </c>
    </row>
    <row r="614" ht="22.5" customHeight="1">
      <c r="A614" s="14">
        <v>46142.900941493055</v>
      </c>
      <c r="B614" s="6" t="s">
        <v>2282</v>
      </c>
      <c r="C614" s="10" t="s">
        <v>936</v>
      </c>
      <c r="D614" s="13">
        <v>1.0</v>
      </c>
      <c r="E614" s="13">
        <v>28.0</v>
      </c>
      <c r="F614" s="13">
        <v>65.0</v>
      </c>
      <c r="G614" s="6">
        <v>65.0</v>
      </c>
      <c r="H614" s="6">
        <v>65.0</v>
      </c>
      <c r="I614" s="6">
        <v>37.0</v>
      </c>
      <c r="J614" s="6"/>
      <c r="K614" s="6">
        <v>1069.0</v>
      </c>
      <c r="L614" s="6" t="s">
        <v>3665</v>
      </c>
      <c r="M614" s="6" t="s">
        <v>2230</v>
      </c>
    </row>
    <row r="615" ht="22.5" customHeight="1">
      <c r="A615" s="14">
        <v>46142.90094101852</v>
      </c>
      <c r="B615" s="6" t="s">
        <v>2282</v>
      </c>
      <c r="C615" s="10" t="s">
        <v>898</v>
      </c>
      <c r="D615" s="13">
        <v>3.0</v>
      </c>
      <c r="E615" s="13">
        <v>15.0</v>
      </c>
      <c r="F615" s="13">
        <v>20.0</v>
      </c>
      <c r="G615" s="6">
        <v>20.0</v>
      </c>
      <c r="H615" s="6">
        <v>60.0</v>
      </c>
      <c r="I615" s="6">
        <v>15.0</v>
      </c>
      <c r="J615" s="10" t="s">
        <v>154</v>
      </c>
      <c r="K615" s="6">
        <v>1068.0</v>
      </c>
      <c r="L615" s="6" t="s">
        <v>3667</v>
      </c>
      <c r="M615" s="6" t="s">
        <v>2230</v>
      </c>
    </row>
    <row r="616" ht="22.5" customHeight="1">
      <c r="A616" s="14">
        <v>46142.90094049768</v>
      </c>
      <c r="B616" s="6" t="s">
        <v>2282</v>
      </c>
      <c r="C616" s="10" t="s">
        <v>309</v>
      </c>
      <c r="D616" s="13">
        <v>1.0</v>
      </c>
      <c r="E616" s="13">
        <v>20.0</v>
      </c>
      <c r="F616" s="13">
        <v>50.0</v>
      </c>
      <c r="G616" s="6">
        <v>50.0</v>
      </c>
      <c r="H616" s="6">
        <v>50.0</v>
      </c>
      <c r="I616" s="6">
        <v>30.0</v>
      </c>
      <c r="J616" s="10" t="s">
        <v>154</v>
      </c>
      <c r="K616" s="6">
        <v>1067.0</v>
      </c>
      <c r="L616" s="6" t="s">
        <v>3670</v>
      </c>
      <c r="M616" s="6" t="s">
        <v>2230</v>
      </c>
    </row>
    <row r="617" ht="22.5" customHeight="1">
      <c r="A617" s="14">
        <v>46142.900940023144</v>
      </c>
      <c r="B617" s="6" t="s">
        <v>2282</v>
      </c>
      <c r="C617" s="10" t="s">
        <v>756</v>
      </c>
      <c r="D617" s="13">
        <v>1.0</v>
      </c>
      <c r="E617" s="13">
        <v>30.0</v>
      </c>
      <c r="F617" s="13">
        <v>70.0</v>
      </c>
      <c r="G617" s="6">
        <v>70.0</v>
      </c>
      <c r="H617" s="6">
        <v>70.0</v>
      </c>
      <c r="I617" s="6">
        <v>40.0</v>
      </c>
      <c r="J617" s="10" t="s">
        <v>154</v>
      </c>
      <c r="K617" s="6">
        <v>1066.0</v>
      </c>
      <c r="L617" s="6" t="s">
        <v>3672</v>
      </c>
      <c r="M617" s="6" t="s">
        <v>2230</v>
      </c>
    </row>
    <row r="618" ht="22.5" customHeight="1">
      <c r="A618" s="14">
        <v>46142.900939432875</v>
      </c>
      <c r="B618" s="6" t="s">
        <v>2282</v>
      </c>
      <c r="C618" s="10" t="s">
        <v>144</v>
      </c>
      <c r="D618" s="13">
        <v>1.0</v>
      </c>
      <c r="E618" s="13">
        <v>140.0</v>
      </c>
      <c r="F618" s="13">
        <v>170.0</v>
      </c>
      <c r="G618" s="6">
        <v>170.0</v>
      </c>
      <c r="H618" s="6">
        <v>170.0</v>
      </c>
      <c r="I618" s="6">
        <v>30.0</v>
      </c>
      <c r="J618" s="10" t="s">
        <v>620</v>
      </c>
      <c r="K618" s="6">
        <v>1064.0</v>
      </c>
      <c r="L618" s="6" t="s">
        <v>3674</v>
      </c>
      <c r="M618" s="6" t="s">
        <v>2230</v>
      </c>
    </row>
    <row r="619" ht="22.5" customHeight="1">
      <c r="A619" s="14">
        <v>46142.87719460648</v>
      </c>
      <c r="B619" s="6" t="s">
        <v>2282</v>
      </c>
      <c r="C619" s="10" t="s">
        <v>1156</v>
      </c>
      <c r="D619" s="13">
        <v>2.0</v>
      </c>
      <c r="E619" s="13">
        <v>12.5</v>
      </c>
      <c r="F619" s="13">
        <v>20.0</v>
      </c>
      <c r="G619" s="6">
        <v>20.0</v>
      </c>
      <c r="H619" s="6">
        <v>40.0</v>
      </c>
      <c r="I619" s="6">
        <v>15.0</v>
      </c>
      <c r="J619" s="6" t="s">
        <v>54</v>
      </c>
      <c r="K619" s="6">
        <v>1063.0</v>
      </c>
      <c r="L619" s="6" t="s">
        <v>3677</v>
      </c>
      <c r="M619" s="6" t="s">
        <v>2230</v>
      </c>
    </row>
    <row r="620" ht="22.5" customHeight="1">
      <c r="A620" s="14">
        <v>46142.87719407407</v>
      </c>
      <c r="B620" s="6" t="s">
        <v>2282</v>
      </c>
      <c r="C620" s="10" t="s">
        <v>1079</v>
      </c>
      <c r="D620" s="13">
        <v>2.0</v>
      </c>
      <c r="E620" s="13">
        <v>90.0</v>
      </c>
      <c r="F620" s="13">
        <v>150.0</v>
      </c>
      <c r="G620" s="6">
        <v>150.0</v>
      </c>
      <c r="H620" s="6">
        <v>300.0</v>
      </c>
      <c r="I620" s="6">
        <v>120.0</v>
      </c>
      <c r="J620" s="10" t="s">
        <v>154</v>
      </c>
      <c r="K620" s="6">
        <v>1062.0</v>
      </c>
      <c r="L620" s="6" t="s">
        <v>3680</v>
      </c>
      <c r="M620" s="6" t="s">
        <v>2230</v>
      </c>
    </row>
    <row r="621" ht="22.5" customHeight="1">
      <c r="A621" s="14">
        <v>46142.87719332176</v>
      </c>
      <c r="B621" s="6" t="s">
        <v>2282</v>
      </c>
      <c r="C621" s="10" t="s">
        <v>220</v>
      </c>
      <c r="D621" s="13">
        <v>1.0</v>
      </c>
      <c r="E621" s="13">
        <v>85.0</v>
      </c>
      <c r="F621" s="13">
        <v>200.0</v>
      </c>
      <c r="G621" s="6">
        <v>200.0</v>
      </c>
      <c r="H621" s="6">
        <v>200.0</v>
      </c>
      <c r="I621" s="6">
        <v>115.0</v>
      </c>
      <c r="J621" s="10" t="s">
        <v>51</v>
      </c>
      <c r="K621" s="6">
        <v>1061.0</v>
      </c>
      <c r="L621" s="6" t="s">
        <v>3684</v>
      </c>
      <c r="M621" s="6" t="s">
        <v>2230</v>
      </c>
    </row>
    <row r="622" ht="22.5" customHeight="1">
      <c r="A622" s="14">
        <v>46142.877192291664</v>
      </c>
      <c r="B622" s="6" t="s">
        <v>2282</v>
      </c>
      <c r="C622" s="10" t="s">
        <v>812</v>
      </c>
      <c r="D622" s="13">
        <v>3.0</v>
      </c>
      <c r="E622" s="13">
        <v>15.0</v>
      </c>
      <c r="F622" s="13">
        <v>20.0</v>
      </c>
      <c r="G622" s="6">
        <v>20.0</v>
      </c>
      <c r="H622" s="6">
        <v>60.0</v>
      </c>
      <c r="I622" s="6">
        <v>15.0</v>
      </c>
      <c r="J622" s="10" t="s">
        <v>154</v>
      </c>
      <c r="K622" s="6">
        <v>1060.0</v>
      </c>
      <c r="L622" s="6" t="s">
        <v>3686</v>
      </c>
      <c r="M622" s="6" t="s">
        <v>2230</v>
      </c>
    </row>
    <row r="623" ht="22.5" customHeight="1">
      <c r="A623" s="14">
        <v>46142.87719121527</v>
      </c>
      <c r="B623" s="6" t="s">
        <v>2282</v>
      </c>
      <c r="C623" s="10" t="s">
        <v>245</v>
      </c>
      <c r="D623" s="13">
        <v>1.0</v>
      </c>
      <c r="E623" s="13">
        <v>150.0</v>
      </c>
      <c r="F623" s="13">
        <v>240.0</v>
      </c>
      <c r="G623" s="6">
        <v>240.0</v>
      </c>
      <c r="H623" s="6">
        <v>240.0</v>
      </c>
      <c r="I623" s="6">
        <v>90.0</v>
      </c>
      <c r="J623" s="10" t="s">
        <v>154</v>
      </c>
      <c r="K623" s="6">
        <v>1059.0</v>
      </c>
      <c r="L623" s="6" t="s">
        <v>3687</v>
      </c>
      <c r="M623" s="6" t="s">
        <v>2230</v>
      </c>
    </row>
    <row r="624" ht="22.5" customHeight="1">
      <c r="A624" s="14">
        <v>46142.877190520834</v>
      </c>
      <c r="B624" s="6" t="s">
        <v>2282</v>
      </c>
      <c r="C624" s="10" t="s">
        <v>309</v>
      </c>
      <c r="D624" s="13">
        <v>1.0</v>
      </c>
      <c r="E624" s="13">
        <v>20.0</v>
      </c>
      <c r="F624" s="13">
        <v>50.0</v>
      </c>
      <c r="G624" s="6">
        <v>50.0</v>
      </c>
      <c r="H624" s="6">
        <v>50.0</v>
      </c>
      <c r="I624" s="6">
        <v>30.0</v>
      </c>
      <c r="J624" s="10" t="s">
        <v>154</v>
      </c>
      <c r="K624" s="6">
        <v>1058.0</v>
      </c>
      <c r="L624" s="6" t="s">
        <v>3690</v>
      </c>
      <c r="M624" s="6" t="s">
        <v>2230</v>
      </c>
    </row>
    <row r="625" ht="22.5" customHeight="1">
      <c r="A625" s="14">
        <v>46142.877189756946</v>
      </c>
      <c r="B625" s="6" t="s">
        <v>2282</v>
      </c>
      <c r="C625" s="10" t="s">
        <v>689</v>
      </c>
      <c r="D625" s="13">
        <v>2.0</v>
      </c>
      <c r="E625" s="13">
        <v>130.0</v>
      </c>
      <c r="F625" s="13">
        <v>150.0</v>
      </c>
      <c r="G625" s="6">
        <v>150.0</v>
      </c>
      <c r="H625" s="6">
        <v>300.0</v>
      </c>
      <c r="I625" s="6">
        <v>40.0</v>
      </c>
      <c r="J625" s="10" t="s">
        <v>119</v>
      </c>
      <c r="K625" s="6">
        <v>1057.0</v>
      </c>
      <c r="L625" s="6" t="s">
        <v>3692</v>
      </c>
      <c r="M625" s="6" t="s">
        <v>2230</v>
      </c>
    </row>
    <row r="626" ht="22.5" customHeight="1">
      <c r="A626" s="14">
        <v>46142.8771890162</v>
      </c>
      <c r="B626" s="6" t="s">
        <v>2282</v>
      </c>
      <c r="C626" s="10" t="s">
        <v>802</v>
      </c>
      <c r="D626" s="13">
        <v>0.2</v>
      </c>
      <c r="E626" s="13">
        <v>53.33</v>
      </c>
      <c r="F626" s="13">
        <v>75.0</v>
      </c>
      <c r="G626" s="6">
        <v>75.0</v>
      </c>
      <c r="H626" s="6">
        <v>15.0</v>
      </c>
      <c r="I626" s="6">
        <v>4.33</v>
      </c>
      <c r="J626" s="6"/>
      <c r="K626" s="6">
        <v>1056.0</v>
      </c>
      <c r="L626" s="6" t="s">
        <v>3694</v>
      </c>
      <c r="M626" s="6" t="s">
        <v>2230</v>
      </c>
    </row>
    <row r="627" ht="22.5" customHeight="1">
      <c r="A627" s="14">
        <v>46142.87718780093</v>
      </c>
      <c r="B627" s="6" t="s">
        <v>2282</v>
      </c>
      <c r="C627" s="10" t="s">
        <v>1157</v>
      </c>
      <c r="D627" s="13">
        <v>1.0</v>
      </c>
      <c r="E627" s="13">
        <v>85.0</v>
      </c>
      <c r="F627" s="13">
        <v>130.0</v>
      </c>
      <c r="G627" s="6">
        <v>130.0</v>
      </c>
      <c r="H627" s="6">
        <v>130.0</v>
      </c>
      <c r="I627" s="6">
        <v>45.0</v>
      </c>
      <c r="J627" s="10" t="s">
        <v>119</v>
      </c>
      <c r="K627" s="6">
        <v>1055.0</v>
      </c>
      <c r="L627" s="6" t="s">
        <v>3696</v>
      </c>
      <c r="M627" s="6" t="s">
        <v>2230</v>
      </c>
    </row>
    <row r="628" ht="22.5" customHeight="1">
      <c r="A628" s="14">
        <v>46142.87474528935</v>
      </c>
      <c r="B628" s="6" t="s">
        <v>2282</v>
      </c>
      <c r="C628" s="10" t="s">
        <v>194</v>
      </c>
      <c r="D628" s="13">
        <v>1.0</v>
      </c>
      <c r="E628" s="13">
        <v>164.17</v>
      </c>
      <c r="F628" s="13">
        <v>100.0</v>
      </c>
      <c r="G628" s="6">
        <v>100.0</v>
      </c>
      <c r="H628" s="6">
        <v>100.0</v>
      </c>
      <c r="I628" s="6">
        <v>-64.17</v>
      </c>
      <c r="J628" s="10" t="s">
        <v>31</v>
      </c>
      <c r="K628" s="6">
        <v>1054.0</v>
      </c>
      <c r="L628" s="6" t="s">
        <v>3699</v>
      </c>
      <c r="M628" s="6" t="s">
        <v>2230</v>
      </c>
    </row>
    <row r="629" ht="22.5" customHeight="1">
      <c r="A629" s="14">
        <v>46142.87410453704</v>
      </c>
      <c r="B629" s="6" t="s">
        <v>2282</v>
      </c>
      <c r="C629" s="10" t="s">
        <v>111</v>
      </c>
      <c r="D629" s="13">
        <v>1.0</v>
      </c>
      <c r="E629" s="13">
        <v>200.0</v>
      </c>
      <c r="F629" s="13">
        <v>200.0</v>
      </c>
      <c r="G629" s="6">
        <v>200.0</v>
      </c>
      <c r="H629" s="6">
        <v>200.0</v>
      </c>
      <c r="I629" s="6">
        <v>0.0</v>
      </c>
      <c r="J629" s="10" t="s">
        <v>154</v>
      </c>
      <c r="K629" s="6">
        <v>1053.0</v>
      </c>
      <c r="L629" s="6" t="s">
        <v>3702</v>
      </c>
      <c r="M629" s="6" t="s">
        <v>2230</v>
      </c>
    </row>
    <row r="630" ht="22.5" customHeight="1">
      <c r="A630" s="14">
        <v>46142.87410424769</v>
      </c>
      <c r="B630" s="6" t="s">
        <v>2282</v>
      </c>
      <c r="C630" s="10" t="s">
        <v>91</v>
      </c>
      <c r="D630" s="13">
        <v>1.0</v>
      </c>
      <c r="E630" s="13">
        <v>35.0</v>
      </c>
      <c r="F630" s="13">
        <v>50.0</v>
      </c>
      <c r="G630" s="6">
        <v>50.0</v>
      </c>
      <c r="H630" s="6">
        <v>50.0</v>
      </c>
      <c r="I630" s="6">
        <v>15.0</v>
      </c>
      <c r="J630" s="10" t="s">
        <v>436</v>
      </c>
      <c r="K630" s="6">
        <v>1052.0</v>
      </c>
      <c r="L630" s="6" t="s">
        <v>3704</v>
      </c>
      <c r="M630" s="6" t="s">
        <v>2230</v>
      </c>
    </row>
    <row r="631" ht="22.5" customHeight="1">
      <c r="A631" s="14">
        <v>46142.87410392361</v>
      </c>
      <c r="B631" s="6" t="s">
        <v>2282</v>
      </c>
      <c r="C631" s="10" t="s">
        <v>77</v>
      </c>
      <c r="D631" s="13">
        <v>1.0</v>
      </c>
      <c r="E631" s="13">
        <v>206.11111111111111</v>
      </c>
      <c r="F631" s="13">
        <v>350.0</v>
      </c>
      <c r="G631" s="6">
        <v>350.0</v>
      </c>
      <c r="H631" s="6">
        <v>350.0</v>
      </c>
      <c r="I631" s="6">
        <v>143.89</v>
      </c>
      <c r="J631" s="6" t="s">
        <v>54</v>
      </c>
      <c r="K631" s="6">
        <v>1051.0</v>
      </c>
      <c r="L631" s="6" t="s">
        <v>3706</v>
      </c>
      <c r="M631" s="6" t="s">
        <v>2230</v>
      </c>
    </row>
    <row r="632" ht="22.5" customHeight="1">
      <c r="A632" s="14">
        <v>46142.87410365741</v>
      </c>
      <c r="B632" s="6" t="s">
        <v>2282</v>
      </c>
      <c r="C632" s="10" t="s">
        <v>837</v>
      </c>
      <c r="D632" s="13">
        <v>1.0</v>
      </c>
      <c r="E632" s="13">
        <v>17.0</v>
      </c>
      <c r="F632" s="13">
        <v>20.0</v>
      </c>
      <c r="G632" s="6">
        <v>20.0</v>
      </c>
      <c r="H632" s="6">
        <v>20.0</v>
      </c>
      <c r="I632" s="6">
        <v>3.0</v>
      </c>
      <c r="J632" s="10" t="s">
        <v>154</v>
      </c>
      <c r="K632" s="6">
        <v>1050.0</v>
      </c>
      <c r="L632" s="6" t="s">
        <v>3708</v>
      </c>
      <c r="M632" s="6" t="s">
        <v>2230</v>
      </c>
    </row>
    <row r="633" ht="22.5" customHeight="1">
      <c r="A633" s="14">
        <v>46142.87410335648</v>
      </c>
      <c r="B633" s="6" t="s">
        <v>2282</v>
      </c>
      <c r="C633" s="10" t="s">
        <v>1004</v>
      </c>
      <c r="D633" s="13">
        <v>1.0</v>
      </c>
      <c r="E633" s="13">
        <v>65.0</v>
      </c>
      <c r="F633" s="13">
        <v>80.0</v>
      </c>
      <c r="G633" s="6">
        <v>80.0</v>
      </c>
      <c r="H633" s="6">
        <v>80.0</v>
      </c>
      <c r="I633" s="6">
        <v>15.0</v>
      </c>
      <c r="J633" s="10" t="s">
        <v>154</v>
      </c>
      <c r="K633" s="6">
        <v>1049.0</v>
      </c>
      <c r="L633" s="6" t="s">
        <v>3711</v>
      </c>
      <c r="M633" s="6" t="s">
        <v>2230</v>
      </c>
    </row>
    <row r="634" ht="22.5" customHeight="1">
      <c r="A634" s="14">
        <v>46142.87410303241</v>
      </c>
      <c r="B634" s="6" t="s">
        <v>2282</v>
      </c>
      <c r="C634" s="10" t="s">
        <v>372</v>
      </c>
      <c r="D634" s="13">
        <v>1.0</v>
      </c>
      <c r="E634" s="13">
        <v>180.0</v>
      </c>
      <c r="F634" s="13">
        <v>200.0</v>
      </c>
      <c r="G634" s="6">
        <v>200.0</v>
      </c>
      <c r="H634" s="6">
        <v>200.0</v>
      </c>
      <c r="I634" s="6">
        <v>20.0</v>
      </c>
      <c r="J634" s="10" t="s">
        <v>31</v>
      </c>
      <c r="K634" s="6">
        <v>1048.0</v>
      </c>
      <c r="L634" s="6" t="s">
        <v>3716</v>
      </c>
      <c r="M634" s="6" t="s">
        <v>2230</v>
      </c>
    </row>
    <row r="635" ht="22.5" customHeight="1">
      <c r="A635" s="14">
        <v>46142.87127940972</v>
      </c>
      <c r="B635" s="6" t="s">
        <v>2282</v>
      </c>
      <c r="C635" s="10" t="s">
        <v>1043</v>
      </c>
      <c r="D635" s="13">
        <v>1.0</v>
      </c>
      <c r="E635" s="13">
        <v>85.0</v>
      </c>
      <c r="F635" s="13">
        <v>140.0</v>
      </c>
      <c r="G635" s="6">
        <v>140.0</v>
      </c>
      <c r="H635" s="6">
        <v>140.0</v>
      </c>
      <c r="I635" s="6">
        <v>55.0</v>
      </c>
      <c r="J635" s="10" t="s">
        <v>51</v>
      </c>
      <c r="K635" s="6">
        <v>1047.0</v>
      </c>
      <c r="L635" s="6" t="s">
        <v>3719</v>
      </c>
      <c r="M635" s="6" t="s">
        <v>2230</v>
      </c>
    </row>
    <row r="636" ht="22.5" customHeight="1">
      <c r="A636" s="14">
        <v>46142.871279224535</v>
      </c>
      <c r="B636" s="6" t="s">
        <v>2282</v>
      </c>
      <c r="C636" s="10" t="s">
        <v>735</v>
      </c>
      <c r="D636" s="13">
        <v>1.0</v>
      </c>
      <c r="E636" s="13">
        <v>125.0</v>
      </c>
      <c r="F636" s="13">
        <v>195.0</v>
      </c>
      <c r="G636" s="6">
        <v>195.0</v>
      </c>
      <c r="H636" s="6">
        <v>195.0</v>
      </c>
      <c r="I636" s="6">
        <v>70.0</v>
      </c>
      <c r="J636" s="10" t="s">
        <v>119</v>
      </c>
      <c r="K636" s="6">
        <v>1043.0</v>
      </c>
      <c r="L636" s="6" t="s">
        <v>3722</v>
      </c>
      <c r="M636" s="6" t="s">
        <v>2230</v>
      </c>
    </row>
    <row r="637" ht="22.5" customHeight="1">
      <c r="A637" s="14">
        <v>46142.870984953704</v>
      </c>
      <c r="B637" s="6" t="s">
        <v>2282</v>
      </c>
      <c r="C637" s="10" t="s">
        <v>1043</v>
      </c>
      <c r="D637" s="13">
        <v>1.0</v>
      </c>
      <c r="E637" s="13">
        <v>85.0</v>
      </c>
      <c r="F637" s="13">
        <v>130.0</v>
      </c>
      <c r="G637" s="6">
        <v>130.0</v>
      </c>
      <c r="H637" s="6">
        <v>130.0</v>
      </c>
      <c r="I637" s="6">
        <v>45.0</v>
      </c>
      <c r="J637" s="10" t="s">
        <v>51</v>
      </c>
      <c r="K637" s="6">
        <v>1041.0</v>
      </c>
      <c r="L637" s="6" t="s">
        <v>3724</v>
      </c>
      <c r="M637" s="6" t="s">
        <v>2230</v>
      </c>
    </row>
    <row r="638" ht="22.5" customHeight="1">
      <c r="A638" s="14">
        <v>46142.87025561342</v>
      </c>
      <c r="B638" s="6" t="s">
        <v>2282</v>
      </c>
      <c r="C638" s="10" t="s">
        <v>653</v>
      </c>
      <c r="D638" s="13">
        <v>1.0</v>
      </c>
      <c r="E638" s="13">
        <v>165.5</v>
      </c>
      <c r="F638" s="13">
        <v>210.0</v>
      </c>
      <c r="G638" s="6">
        <v>210.0</v>
      </c>
      <c r="H638" s="6">
        <v>210.0</v>
      </c>
      <c r="I638" s="6">
        <v>44.5</v>
      </c>
      <c r="J638" s="10" t="s">
        <v>119</v>
      </c>
      <c r="K638" s="6">
        <v>1046.0</v>
      </c>
      <c r="L638" s="6" t="s">
        <v>3728</v>
      </c>
      <c r="M638" s="6" t="s">
        <v>2230</v>
      </c>
    </row>
    <row r="639" ht="22.5" customHeight="1">
      <c r="A639" s="14">
        <v>46142.87025515046</v>
      </c>
      <c r="B639" s="6" t="s">
        <v>2282</v>
      </c>
      <c r="C639" s="10" t="s">
        <v>549</v>
      </c>
      <c r="D639" s="13">
        <v>2.0</v>
      </c>
      <c r="E639" s="13">
        <v>17.5</v>
      </c>
      <c r="F639" s="13">
        <v>25.0</v>
      </c>
      <c r="G639" s="6">
        <v>25.0</v>
      </c>
      <c r="H639" s="6">
        <v>50.0</v>
      </c>
      <c r="I639" s="6">
        <v>15.0</v>
      </c>
      <c r="J639" s="10" t="s">
        <v>119</v>
      </c>
      <c r="K639" s="6">
        <v>1045.0</v>
      </c>
      <c r="L639" s="6" t="s">
        <v>3731</v>
      </c>
      <c r="M639" s="6" t="s">
        <v>2230</v>
      </c>
    </row>
    <row r="640" ht="22.5" customHeight="1">
      <c r="A640" s="14">
        <v>46142.870254548616</v>
      </c>
      <c r="B640" s="6" t="s">
        <v>2282</v>
      </c>
      <c r="C640" s="10" t="s">
        <v>1152</v>
      </c>
      <c r="D640" s="13">
        <v>1.0</v>
      </c>
      <c r="E640" s="13">
        <v>15.0</v>
      </c>
      <c r="F640" s="13">
        <v>25.0</v>
      </c>
      <c r="G640" s="6">
        <v>25.0</v>
      </c>
      <c r="H640" s="6">
        <v>25.0</v>
      </c>
      <c r="I640" s="6">
        <v>10.0</v>
      </c>
      <c r="J640" s="10" t="s">
        <v>119</v>
      </c>
      <c r="K640" s="6">
        <v>1044.0</v>
      </c>
      <c r="L640" s="6" t="s">
        <v>3735</v>
      </c>
      <c r="M640" s="6" t="s">
        <v>2230</v>
      </c>
    </row>
    <row r="641" ht="22.5" customHeight="1">
      <c r="A641" s="14">
        <v>46142.87025415509</v>
      </c>
      <c r="B641" s="6" t="s">
        <v>2282</v>
      </c>
      <c r="C641" s="10" t="s">
        <v>196</v>
      </c>
      <c r="D641" s="13">
        <v>1.0</v>
      </c>
      <c r="E641" s="13">
        <v>338.0</v>
      </c>
      <c r="F641" s="13">
        <v>500.0</v>
      </c>
      <c r="G641" s="6">
        <v>500.0</v>
      </c>
      <c r="H641" s="6">
        <v>500.0</v>
      </c>
      <c r="I641" s="6">
        <v>162.0</v>
      </c>
      <c r="J641" s="10" t="s">
        <v>125</v>
      </c>
      <c r="K641" s="6">
        <v>1042.0</v>
      </c>
      <c r="L641" s="6" t="s">
        <v>3737</v>
      </c>
      <c r="M641" s="6" t="s">
        <v>2230</v>
      </c>
    </row>
    <row r="642" ht="22.5" customHeight="1">
      <c r="A642" s="14">
        <v>46142.870253622685</v>
      </c>
      <c r="B642" s="6" t="s">
        <v>2282</v>
      </c>
      <c r="C642" s="10" t="s">
        <v>1157</v>
      </c>
      <c r="D642" s="13">
        <v>1.0</v>
      </c>
      <c r="E642" s="13">
        <v>85.0</v>
      </c>
      <c r="F642" s="13">
        <v>130.0</v>
      </c>
      <c r="G642" s="6">
        <v>130.0</v>
      </c>
      <c r="H642" s="6">
        <v>130.0</v>
      </c>
      <c r="I642" s="6">
        <v>45.0</v>
      </c>
      <c r="J642" s="10" t="s">
        <v>119</v>
      </c>
      <c r="K642" s="6">
        <v>1040.0</v>
      </c>
      <c r="L642" s="6" t="s">
        <v>3739</v>
      </c>
      <c r="M642" s="6" t="s">
        <v>2230</v>
      </c>
    </row>
    <row r="643" ht="22.5" customHeight="1">
      <c r="A643" s="14">
        <v>46142.870253194444</v>
      </c>
      <c r="B643" s="6" t="s">
        <v>2282</v>
      </c>
      <c r="C643" s="10" t="s">
        <v>1073</v>
      </c>
      <c r="D643" s="13">
        <v>1.0</v>
      </c>
      <c r="E643" s="13">
        <v>106.0</v>
      </c>
      <c r="F643" s="13">
        <v>240.0</v>
      </c>
      <c r="G643" s="6">
        <v>240.0</v>
      </c>
      <c r="H643" s="6">
        <v>240.0</v>
      </c>
      <c r="I643" s="6">
        <v>134.0</v>
      </c>
      <c r="J643" s="10" t="s">
        <v>119</v>
      </c>
      <c r="K643" s="6">
        <v>1039.0</v>
      </c>
      <c r="L643" s="6" t="s">
        <v>3741</v>
      </c>
      <c r="M643" s="6" t="s">
        <v>2230</v>
      </c>
    </row>
    <row r="644" ht="22.5" customHeight="1">
      <c r="A644" s="14">
        <v>46142.8702528125</v>
      </c>
      <c r="B644" s="6" t="s">
        <v>2282</v>
      </c>
      <c r="C644" s="10" t="s">
        <v>1156</v>
      </c>
      <c r="D644" s="13">
        <v>1.0</v>
      </c>
      <c r="E644" s="13">
        <v>12.5</v>
      </c>
      <c r="F644" s="13">
        <v>20.0</v>
      </c>
      <c r="G644" s="6">
        <v>20.0</v>
      </c>
      <c r="H644" s="6">
        <v>20.0</v>
      </c>
      <c r="I644" s="6">
        <v>7.5</v>
      </c>
      <c r="J644" s="6" t="s">
        <v>54</v>
      </c>
      <c r="K644" s="6">
        <v>1038.0</v>
      </c>
      <c r="L644" s="6" t="s">
        <v>3743</v>
      </c>
      <c r="M644" s="6" t="s">
        <v>2230</v>
      </c>
    </row>
    <row r="645" ht="22.5" customHeight="1">
      <c r="A645" s="14">
        <v>46142.87025230324</v>
      </c>
      <c r="B645" s="6" t="s">
        <v>2282</v>
      </c>
      <c r="C645" s="10" t="s">
        <v>673</v>
      </c>
      <c r="D645" s="13">
        <v>2.0</v>
      </c>
      <c r="E645" s="13">
        <v>6.75</v>
      </c>
      <c r="F645" s="13">
        <v>15.0</v>
      </c>
      <c r="G645" s="6">
        <v>15.0</v>
      </c>
      <c r="H645" s="6">
        <v>30.0</v>
      </c>
      <c r="I645" s="6">
        <v>16.5</v>
      </c>
      <c r="J645" s="10" t="s">
        <v>119</v>
      </c>
      <c r="K645" s="6">
        <v>1037.0</v>
      </c>
      <c r="L645" s="6" t="s">
        <v>3745</v>
      </c>
      <c r="M645" s="6" t="s">
        <v>2230</v>
      </c>
    </row>
    <row r="646" ht="22.5" customHeight="1">
      <c r="A646" s="14">
        <v>46142.87025206018</v>
      </c>
      <c r="B646" s="6" t="s">
        <v>2282</v>
      </c>
      <c r="C646" s="10" t="s">
        <v>454</v>
      </c>
      <c r="D646" s="13">
        <v>0.1111111111111111</v>
      </c>
      <c r="E646" s="13">
        <v>210.0</v>
      </c>
      <c r="F646" s="13">
        <v>270.0</v>
      </c>
      <c r="G646" s="6">
        <v>270.0</v>
      </c>
      <c r="H646" s="6">
        <v>30.0</v>
      </c>
      <c r="I646" s="6">
        <v>6.67</v>
      </c>
      <c r="J646" s="10" t="s">
        <v>31</v>
      </c>
      <c r="K646" s="6">
        <v>1036.0</v>
      </c>
      <c r="L646" s="6" t="s">
        <v>3747</v>
      </c>
      <c r="M646" s="6" t="s">
        <v>2230</v>
      </c>
    </row>
    <row r="647" ht="22.5" customHeight="1">
      <c r="A647" s="14">
        <v>46142.870251712964</v>
      </c>
      <c r="B647" s="6" t="s">
        <v>2282</v>
      </c>
      <c r="C647" s="10" t="s">
        <v>1155</v>
      </c>
      <c r="D647" s="13">
        <v>1.0</v>
      </c>
      <c r="E647" s="13">
        <v>11.0</v>
      </c>
      <c r="F647" s="13">
        <v>15.0</v>
      </c>
      <c r="G647" s="6">
        <v>15.0</v>
      </c>
      <c r="H647" s="6">
        <v>15.0</v>
      </c>
      <c r="I647" s="6">
        <v>4.0</v>
      </c>
      <c r="J647" s="10" t="s">
        <v>1052</v>
      </c>
      <c r="K647" s="6">
        <v>1035.0</v>
      </c>
      <c r="L647" s="6" t="s">
        <v>3752</v>
      </c>
      <c r="M647" s="6" t="s">
        <v>2230</v>
      </c>
    </row>
    <row r="648" ht="22.5" customHeight="1">
      <c r="A648" s="14">
        <v>46142.87025144676</v>
      </c>
      <c r="B648" s="6" t="s">
        <v>2282</v>
      </c>
      <c r="C648" s="10" t="s">
        <v>1152</v>
      </c>
      <c r="D648" s="13">
        <v>1.0</v>
      </c>
      <c r="E648" s="13">
        <v>15.0</v>
      </c>
      <c r="F648" s="13">
        <v>25.0</v>
      </c>
      <c r="G648" s="6">
        <v>25.0</v>
      </c>
      <c r="H648" s="6">
        <v>25.0</v>
      </c>
      <c r="I648" s="6">
        <v>10.0</v>
      </c>
      <c r="J648" s="10" t="s">
        <v>119</v>
      </c>
      <c r="K648" s="6">
        <v>1034.0</v>
      </c>
      <c r="L648" s="6" t="s">
        <v>3756</v>
      </c>
      <c r="M648" s="6" t="s">
        <v>2230</v>
      </c>
    </row>
    <row r="649" ht="22.5" customHeight="1">
      <c r="A649" s="14">
        <v>46142.87025104166</v>
      </c>
      <c r="B649" s="6" t="s">
        <v>2282</v>
      </c>
      <c r="C649" s="10" t="s">
        <v>363</v>
      </c>
      <c r="D649" s="13">
        <v>0.16666666666666666</v>
      </c>
      <c r="E649" s="13">
        <v>110.0</v>
      </c>
      <c r="F649" s="13">
        <v>180.0</v>
      </c>
      <c r="G649" s="6">
        <v>180.0</v>
      </c>
      <c r="H649" s="6">
        <v>30.0</v>
      </c>
      <c r="I649" s="6">
        <v>11.67</v>
      </c>
      <c r="J649" s="10" t="s">
        <v>51</v>
      </c>
      <c r="K649" s="6">
        <v>1032.0</v>
      </c>
      <c r="L649" s="6" t="s">
        <v>3758</v>
      </c>
      <c r="M649" s="6" t="s">
        <v>2230</v>
      </c>
    </row>
    <row r="650" ht="22.5" customHeight="1">
      <c r="A650" s="14">
        <v>46142.87025072917</v>
      </c>
      <c r="B650" s="6" t="s">
        <v>2282</v>
      </c>
      <c r="C650" s="10" t="s">
        <v>584</v>
      </c>
      <c r="D650" s="13">
        <v>3.0</v>
      </c>
      <c r="E650" s="13">
        <v>5.0</v>
      </c>
      <c r="F650" s="13">
        <v>10.0</v>
      </c>
      <c r="G650" s="6">
        <v>10.0</v>
      </c>
      <c r="H650" s="6">
        <v>30.0</v>
      </c>
      <c r="I650" s="6">
        <v>15.0</v>
      </c>
      <c r="J650" s="10" t="s">
        <v>119</v>
      </c>
      <c r="K650" s="6">
        <v>1031.0</v>
      </c>
      <c r="L650" s="6" t="s">
        <v>3762</v>
      </c>
      <c r="M650" s="6" t="s">
        <v>2230</v>
      </c>
    </row>
    <row r="651" ht="22.5" customHeight="1">
      <c r="A651" s="14">
        <v>46142.87025039352</v>
      </c>
      <c r="B651" s="6" t="s">
        <v>2282</v>
      </c>
      <c r="C651" s="10" t="s">
        <v>733</v>
      </c>
      <c r="D651" s="13">
        <v>1.0</v>
      </c>
      <c r="E651" s="13">
        <v>26.0</v>
      </c>
      <c r="F651" s="13">
        <v>40.0</v>
      </c>
      <c r="G651" s="6">
        <v>40.0</v>
      </c>
      <c r="H651" s="6">
        <v>40.0</v>
      </c>
      <c r="I651" s="6">
        <v>14.0</v>
      </c>
      <c r="J651" s="10" t="s">
        <v>1052</v>
      </c>
      <c r="K651" s="6">
        <v>1030.0</v>
      </c>
      <c r="L651" s="6" t="s">
        <v>3766</v>
      </c>
      <c r="M651" s="6" t="s">
        <v>2230</v>
      </c>
    </row>
    <row r="652" ht="22.5" customHeight="1">
      <c r="A652" s="14">
        <v>46142.870250011576</v>
      </c>
      <c r="B652" s="6" t="s">
        <v>2282</v>
      </c>
      <c r="C652" s="10" t="s">
        <v>596</v>
      </c>
      <c r="D652" s="13">
        <v>1.0</v>
      </c>
      <c r="E652" s="13">
        <v>17.92</v>
      </c>
      <c r="F652" s="13">
        <v>25.0</v>
      </c>
      <c r="G652" s="6">
        <v>25.0</v>
      </c>
      <c r="H652" s="6">
        <v>25.0</v>
      </c>
      <c r="I652" s="6">
        <v>7.08</v>
      </c>
      <c r="J652" s="10" t="s">
        <v>119</v>
      </c>
      <c r="K652" s="6">
        <v>1029.0</v>
      </c>
      <c r="L652" s="6" t="s">
        <v>3770</v>
      </c>
      <c r="M652" s="6" t="s">
        <v>2230</v>
      </c>
    </row>
    <row r="653" ht="22.5" customHeight="1">
      <c r="A653" s="14">
        <v>46107.60015798611</v>
      </c>
      <c r="B653" s="6" t="s">
        <v>2282</v>
      </c>
      <c r="C653" s="10" t="s">
        <v>1087</v>
      </c>
      <c r="D653" s="13">
        <v>2.0</v>
      </c>
      <c r="E653" s="13">
        <v>11.0</v>
      </c>
      <c r="F653" s="13">
        <v>15.0</v>
      </c>
      <c r="G653" s="6">
        <v>15.0</v>
      </c>
      <c r="H653" s="6">
        <v>30.0</v>
      </c>
      <c r="I653" s="6">
        <v>8.0</v>
      </c>
      <c r="J653" s="10"/>
      <c r="K653" s="6">
        <v>1035.0</v>
      </c>
      <c r="L653" s="6" t="s">
        <v>3774</v>
      </c>
      <c r="M653" s="6" t="s">
        <v>2230</v>
      </c>
    </row>
    <row r="654" ht="22.5" customHeight="1">
      <c r="A654" s="14">
        <v>46107.600157673616</v>
      </c>
      <c r="B654" s="6" t="s">
        <v>2282</v>
      </c>
      <c r="C654" s="10" t="s">
        <v>982</v>
      </c>
      <c r="D654" s="13">
        <v>1.0</v>
      </c>
      <c r="E654" s="13">
        <v>125.0</v>
      </c>
      <c r="F654" s="13">
        <v>170.0</v>
      </c>
      <c r="G654" s="6">
        <v>170.0</v>
      </c>
      <c r="H654" s="6">
        <v>170.0</v>
      </c>
      <c r="I654" s="6">
        <v>45.0</v>
      </c>
      <c r="J654" s="10" t="s">
        <v>125</v>
      </c>
      <c r="K654" s="6">
        <v>1034.0</v>
      </c>
      <c r="L654" s="6" t="s">
        <v>3777</v>
      </c>
      <c r="M654" s="6" t="s">
        <v>2230</v>
      </c>
    </row>
    <row r="655" ht="22.5" customHeight="1">
      <c r="A655" s="14">
        <v>46107.60015732639</v>
      </c>
      <c r="B655" s="6" t="s">
        <v>2282</v>
      </c>
      <c r="C655" s="10" t="s">
        <v>802</v>
      </c>
      <c r="D655" s="13">
        <v>1.0</v>
      </c>
      <c r="E655" s="13">
        <v>53.33</v>
      </c>
      <c r="F655" s="13">
        <v>70.0</v>
      </c>
      <c r="G655" s="6">
        <v>70.0</v>
      </c>
      <c r="H655" s="6">
        <v>70.0</v>
      </c>
      <c r="I655" s="6">
        <v>16.67</v>
      </c>
      <c r="J655" s="10"/>
      <c r="K655" s="6">
        <v>1033.0</v>
      </c>
      <c r="L655" s="6" t="s">
        <v>3779</v>
      </c>
      <c r="M655" s="6" t="s">
        <v>2230</v>
      </c>
    </row>
    <row r="656" ht="22.5" customHeight="1">
      <c r="A656" s="14">
        <v>46107.60015706018</v>
      </c>
      <c r="B656" s="6" t="s">
        <v>2282</v>
      </c>
      <c r="C656" s="10" t="s">
        <v>997</v>
      </c>
      <c r="D656" s="13">
        <v>1.0</v>
      </c>
      <c r="E656" s="13">
        <v>112.0</v>
      </c>
      <c r="F656" s="13">
        <v>140.0</v>
      </c>
      <c r="G656" s="6">
        <v>140.0</v>
      </c>
      <c r="H656" s="6">
        <v>140.0</v>
      </c>
      <c r="I656" s="6">
        <v>28.0</v>
      </c>
      <c r="J656" s="10" t="s">
        <v>119</v>
      </c>
      <c r="K656" s="6">
        <v>1032.0</v>
      </c>
      <c r="L656" s="6" t="s">
        <v>3781</v>
      </c>
      <c r="M656" s="6" t="s">
        <v>2230</v>
      </c>
    </row>
    <row r="657" ht="22.5" customHeight="1">
      <c r="A657" s="14">
        <v>46107.60015673611</v>
      </c>
      <c r="B657" s="6" t="s">
        <v>2282</v>
      </c>
      <c r="C657" s="10" t="s">
        <v>1146</v>
      </c>
      <c r="D657" s="13">
        <v>1.0</v>
      </c>
      <c r="E657" s="13">
        <v>17.5</v>
      </c>
      <c r="F657" s="13">
        <v>30.0</v>
      </c>
      <c r="G657" s="6">
        <v>30.0</v>
      </c>
      <c r="H657" s="6">
        <v>30.0</v>
      </c>
      <c r="I657" s="6">
        <v>12.5</v>
      </c>
      <c r="J657" s="10" t="s">
        <v>125</v>
      </c>
      <c r="K657" s="6">
        <v>1031.0</v>
      </c>
      <c r="L657" s="6" t="s">
        <v>3783</v>
      </c>
      <c r="M657" s="6" t="s">
        <v>2230</v>
      </c>
    </row>
    <row r="658" ht="22.5" customHeight="1">
      <c r="A658" s="14">
        <v>46107.600156388886</v>
      </c>
      <c r="B658" s="6" t="s">
        <v>2282</v>
      </c>
      <c r="C658" s="10" t="s">
        <v>1146</v>
      </c>
      <c r="D658" s="13">
        <v>2.0</v>
      </c>
      <c r="E658" s="13">
        <v>17.5</v>
      </c>
      <c r="F658" s="13">
        <v>35.0</v>
      </c>
      <c r="G658" s="6">
        <v>35.0</v>
      </c>
      <c r="H658" s="6">
        <v>70.0</v>
      </c>
      <c r="I658" s="6">
        <v>35.0</v>
      </c>
      <c r="J658" s="10" t="s">
        <v>125</v>
      </c>
      <c r="K658" s="6">
        <v>1030.0</v>
      </c>
      <c r="L658" s="6" t="s">
        <v>3786</v>
      </c>
      <c r="M658" s="6" t="s">
        <v>2230</v>
      </c>
    </row>
    <row r="659" ht="22.5" customHeight="1">
      <c r="A659" s="14">
        <v>46107.60015596065</v>
      </c>
      <c r="B659" s="6" t="s">
        <v>2282</v>
      </c>
      <c r="C659" s="10" t="s">
        <v>950</v>
      </c>
      <c r="D659" s="13">
        <v>1.0</v>
      </c>
      <c r="E659" s="13">
        <v>72.0</v>
      </c>
      <c r="F659" s="13">
        <v>90.0</v>
      </c>
      <c r="G659" s="6">
        <v>90.0</v>
      </c>
      <c r="H659" s="6">
        <v>90.0</v>
      </c>
      <c r="I659" s="6">
        <v>18.0</v>
      </c>
      <c r="J659" s="10" t="s">
        <v>119</v>
      </c>
      <c r="K659" s="6">
        <v>1029.0</v>
      </c>
      <c r="L659" s="6" t="s">
        <v>3789</v>
      </c>
      <c r="M659" s="6" t="s">
        <v>2230</v>
      </c>
    </row>
    <row r="660" ht="22.5" customHeight="1">
      <c r="A660" s="14">
        <v>46107.60015576389</v>
      </c>
      <c r="B660" s="6" t="s">
        <v>2282</v>
      </c>
      <c r="C660" s="10" t="s">
        <v>487</v>
      </c>
      <c r="D660" s="13">
        <v>1.0</v>
      </c>
      <c r="E660" s="13">
        <v>95.0</v>
      </c>
      <c r="F660" s="13">
        <v>120.0</v>
      </c>
      <c r="G660" s="6">
        <v>120.0</v>
      </c>
      <c r="H660" s="6">
        <v>120.0</v>
      </c>
      <c r="I660" s="6">
        <v>25.0</v>
      </c>
      <c r="J660" s="10" t="s">
        <v>581</v>
      </c>
      <c r="K660" s="6">
        <v>1028.0</v>
      </c>
      <c r="L660" s="6" t="s">
        <v>3791</v>
      </c>
      <c r="M660" s="6" t="s">
        <v>2230</v>
      </c>
    </row>
    <row r="661" ht="22.5" hidden="1" customHeight="1">
      <c r="A661" s="14">
        <v>46106.95646315972</v>
      </c>
      <c r="B661" s="6" t="s">
        <v>2225</v>
      </c>
      <c r="C661" s="10" t="s">
        <v>289</v>
      </c>
      <c r="D661" s="13">
        <v>2.0</v>
      </c>
      <c r="E661" s="13">
        <v>90.23809523809524</v>
      </c>
      <c r="F661" s="13"/>
      <c r="G661" s="6"/>
      <c r="H661" s="6">
        <v>180.47619047619048</v>
      </c>
      <c r="I661" s="6"/>
      <c r="J661" s="6" t="s">
        <v>54</v>
      </c>
      <c r="K661" s="10" t="s">
        <v>3793</v>
      </c>
      <c r="L661" s="6" t="s">
        <v>2228</v>
      </c>
      <c r="M661" s="6" t="s">
        <v>2230</v>
      </c>
    </row>
    <row r="662" ht="22.5" hidden="1" customHeight="1">
      <c r="A662" s="14">
        <v>46106.95646163194</v>
      </c>
      <c r="B662" s="6" t="s">
        <v>2234</v>
      </c>
      <c r="C662" s="10" t="s">
        <v>518</v>
      </c>
      <c r="D662" s="13">
        <v>0.4444444444444444</v>
      </c>
      <c r="E662" s="13">
        <v>75.0</v>
      </c>
      <c r="F662" s="13"/>
      <c r="G662" s="6"/>
      <c r="H662" s="6">
        <v>33.33333333333333</v>
      </c>
      <c r="I662" s="6"/>
      <c r="J662" s="10" t="s">
        <v>51</v>
      </c>
      <c r="K662" s="10" t="s">
        <v>3793</v>
      </c>
      <c r="L662" s="6" t="s">
        <v>2237</v>
      </c>
      <c r="M662" s="6" t="s">
        <v>2230</v>
      </c>
    </row>
    <row r="663" ht="22.5" hidden="1" customHeight="1">
      <c r="A663" s="14">
        <v>46106.95646141203</v>
      </c>
      <c r="B663" s="6" t="s">
        <v>2234</v>
      </c>
      <c r="C663" s="10" t="s">
        <v>756</v>
      </c>
      <c r="D663" s="13">
        <v>0.5714285714285714</v>
      </c>
      <c r="E663" s="13">
        <v>30.0</v>
      </c>
      <c r="F663" s="13"/>
      <c r="G663" s="6"/>
      <c r="H663" s="6">
        <v>17.142857142857142</v>
      </c>
      <c r="I663" s="6"/>
      <c r="J663" s="10" t="s">
        <v>154</v>
      </c>
      <c r="K663" s="10" t="s">
        <v>3793</v>
      </c>
      <c r="L663" s="6" t="s">
        <v>2237</v>
      </c>
      <c r="M663" s="6" t="s">
        <v>2230</v>
      </c>
    </row>
    <row r="664" ht="22.5" hidden="1" customHeight="1">
      <c r="A664" s="14">
        <v>46106.95646100694</v>
      </c>
      <c r="B664" s="6" t="s">
        <v>2234</v>
      </c>
      <c r="C664" s="10" t="s">
        <v>741</v>
      </c>
      <c r="D664" s="13">
        <v>0.4</v>
      </c>
      <c r="E664" s="13">
        <v>150.0</v>
      </c>
      <c r="F664" s="13"/>
      <c r="G664" s="6"/>
      <c r="H664" s="6">
        <v>60.0</v>
      </c>
      <c r="I664" s="6"/>
      <c r="J664" s="10" t="s">
        <v>51</v>
      </c>
      <c r="K664" s="10" t="s">
        <v>3793</v>
      </c>
      <c r="L664" s="6" t="s">
        <v>2237</v>
      </c>
      <c r="M664" s="6" t="s">
        <v>2230</v>
      </c>
    </row>
    <row r="665" ht="22.5" hidden="1" customHeight="1">
      <c r="A665" s="14">
        <v>46106.956460891204</v>
      </c>
      <c r="B665" s="6" t="s">
        <v>2234</v>
      </c>
      <c r="C665" s="10" t="s">
        <v>255</v>
      </c>
      <c r="D665" s="13">
        <v>2.0</v>
      </c>
      <c r="E665" s="13">
        <v>35.0</v>
      </c>
      <c r="F665" s="13"/>
      <c r="G665" s="6"/>
      <c r="H665" s="6">
        <v>70.0</v>
      </c>
      <c r="I665" s="6"/>
      <c r="J665" s="10" t="s">
        <v>31</v>
      </c>
      <c r="K665" s="10" t="s">
        <v>3793</v>
      </c>
      <c r="L665" s="6" t="s">
        <v>2237</v>
      </c>
      <c r="M665" s="6" t="s">
        <v>2230</v>
      </c>
    </row>
    <row r="666" ht="22.5" customHeight="1">
      <c r="A666" s="14">
        <v>46107.600155555556</v>
      </c>
      <c r="B666" s="6" t="s">
        <v>2282</v>
      </c>
      <c r="C666" s="10" t="s">
        <v>1087</v>
      </c>
      <c r="D666" s="13">
        <v>3.0</v>
      </c>
      <c r="E666" s="13">
        <v>11.0</v>
      </c>
      <c r="F666" s="13">
        <v>10.0</v>
      </c>
      <c r="G666" s="6">
        <v>10.0</v>
      </c>
      <c r="H666" s="6">
        <v>30.0</v>
      </c>
      <c r="I666" s="6">
        <v>-3.0</v>
      </c>
      <c r="J666" s="10"/>
      <c r="K666" s="6">
        <v>1027.0</v>
      </c>
      <c r="L666" s="6" t="s">
        <v>3800</v>
      </c>
      <c r="M666" s="6" t="s">
        <v>2230</v>
      </c>
    </row>
    <row r="667" ht="22.5" customHeight="1">
      <c r="A667" s="14">
        <v>46107.600155312495</v>
      </c>
      <c r="B667" s="6" t="s">
        <v>2282</v>
      </c>
      <c r="C667" s="10" t="s">
        <v>1079</v>
      </c>
      <c r="D667" s="13">
        <v>1.0</v>
      </c>
      <c r="E667" s="13">
        <v>90.0</v>
      </c>
      <c r="F667" s="13">
        <v>140.0</v>
      </c>
      <c r="G667" s="6">
        <v>140.0</v>
      </c>
      <c r="H667" s="6">
        <v>140.0</v>
      </c>
      <c r="I667" s="6">
        <v>50.0</v>
      </c>
      <c r="J667" s="10" t="s">
        <v>154</v>
      </c>
      <c r="K667" s="6">
        <v>1026.0</v>
      </c>
      <c r="L667" s="6" t="s">
        <v>3802</v>
      </c>
      <c r="M667" s="6" t="s">
        <v>2230</v>
      </c>
    </row>
    <row r="668" ht="22.5" customHeight="1">
      <c r="A668" s="14">
        <v>46107.6001550463</v>
      </c>
      <c r="B668" s="6" t="s">
        <v>2282</v>
      </c>
      <c r="C668" s="10" t="s">
        <v>893</v>
      </c>
      <c r="D668" s="13">
        <v>1.0</v>
      </c>
      <c r="E668" s="13">
        <v>135.0</v>
      </c>
      <c r="F668" s="13">
        <v>175.0</v>
      </c>
      <c r="G668" s="6">
        <v>175.0</v>
      </c>
      <c r="H668" s="6">
        <v>175.0</v>
      </c>
      <c r="I668" s="6">
        <v>40.0</v>
      </c>
      <c r="J668" s="10" t="s">
        <v>119</v>
      </c>
      <c r="K668" s="6">
        <v>1025.0</v>
      </c>
      <c r="L668" s="6" t="s">
        <v>3804</v>
      </c>
      <c r="M668" s="6" t="s">
        <v>2230</v>
      </c>
    </row>
    <row r="669" ht="22.5" hidden="1" customHeight="1">
      <c r="A669" s="14">
        <v>46106.9218478588</v>
      </c>
      <c r="B669" s="6" t="s">
        <v>2225</v>
      </c>
      <c r="C669" s="10" t="s">
        <v>1029</v>
      </c>
      <c r="D669" s="13">
        <v>2.0</v>
      </c>
      <c r="E669" s="13">
        <v>56.666666666666664</v>
      </c>
      <c r="F669" s="13"/>
      <c r="G669" s="6"/>
      <c r="H669" s="6">
        <v>113.33333333333333</v>
      </c>
      <c r="I669" s="6"/>
      <c r="J669" s="6" t="s">
        <v>54</v>
      </c>
      <c r="K669" s="10" t="s">
        <v>3806</v>
      </c>
      <c r="L669" s="6" t="s">
        <v>2228</v>
      </c>
      <c r="M669" s="6" t="s">
        <v>2230</v>
      </c>
    </row>
    <row r="670" ht="22.5" hidden="1" customHeight="1">
      <c r="A670" s="14">
        <v>46106.92184679398</v>
      </c>
      <c r="B670" s="6" t="s">
        <v>2234</v>
      </c>
      <c r="C670" s="10" t="s">
        <v>454</v>
      </c>
      <c r="D670" s="13">
        <v>0.4444444444444444</v>
      </c>
      <c r="E670" s="13">
        <v>210.0</v>
      </c>
      <c r="F670" s="13"/>
      <c r="G670" s="6"/>
      <c r="H670" s="6">
        <v>93.33333333333333</v>
      </c>
      <c r="I670" s="6"/>
      <c r="J670" s="10" t="s">
        <v>31</v>
      </c>
      <c r="K670" s="10" t="s">
        <v>3806</v>
      </c>
      <c r="L670" s="6" t="s">
        <v>2237</v>
      </c>
      <c r="M670" s="6" t="s">
        <v>2230</v>
      </c>
    </row>
    <row r="671" ht="22.5" hidden="1" customHeight="1">
      <c r="A671" s="14">
        <v>46106.92184671296</v>
      </c>
      <c r="B671" s="6" t="s">
        <v>2234</v>
      </c>
      <c r="C671" s="10" t="s">
        <v>830</v>
      </c>
      <c r="D671" s="13">
        <v>2.0</v>
      </c>
      <c r="E671" s="13">
        <v>10.0</v>
      </c>
      <c r="F671" s="13"/>
      <c r="G671" s="6"/>
      <c r="H671" s="6">
        <v>20.0</v>
      </c>
      <c r="I671" s="6"/>
      <c r="J671" s="10" t="s">
        <v>51</v>
      </c>
      <c r="K671" s="10" t="s">
        <v>3806</v>
      </c>
      <c r="L671" s="6" t="s">
        <v>2237</v>
      </c>
      <c r="M671" s="6" t="s">
        <v>2230</v>
      </c>
    </row>
    <row r="672" ht="22.5" customHeight="1">
      <c r="A672" s="14">
        <v>46107.600154722226</v>
      </c>
      <c r="B672" s="6" t="s">
        <v>2282</v>
      </c>
      <c r="C672" s="10" t="s">
        <v>177</v>
      </c>
      <c r="D672" s="13">
        <v>1.0</v>
      </c>
      <c r="E672" s="13">
        <v>75.0</v>
      </c>
      <c r="F672" s="13">
        <v>100.0</v>
      </c>
      <c r="G672" s="6">
        <v>100.0</v>
      </c>
      <c r="H672" s="6">
        <v>100.0</v>
      </c>
      <c r="I672" s="6">
        <v>25.0</v>
      </c>
      <c r="J672" s="10" t="s">
        <v>154</v>
      </c>
      <c r="K672" s="6">
        <v>1024.0</v>
      </c>
      <c r="L672" s="6" t="s">
        <v>3811</v>
      </c>
      <c r="M672" s="6" t="s">
        <v>2230</v>
      </c>
    </row>
    <row r="673" ht="22.5" customHeight="1">
      <c r="A673" s="14">
        <v>46107.60015452546</v>
      </c>
      <c r="B673" s="6" t="s">
        <v>2282</v>
      </c>
      <c r="C673" s="10" t="s">
        <v>554</v>
      </c>
      <c r="D673" s="13">
        <v>1.0</v>
      </c>
      <c r="E673" s="13">
        <v>23.22222222222222</v>
      </c>
      <c r="F673" s="13">
        <v>25.0</v>
      </c>
      <c r="G673" s="6">
        <v>25.0</v>
      </c>
      <c r="H673" s="6">
        <v>25.0</v>
      </c>
      <c r="I673" s="6">
        <v>1.78</v>
      </c>
      <c r="J673" s="6" t="s">
        <v>54</v>
      </c>
      <c r="K673" s="6">
        <v>1023.0</v>
      </c>
      <c r="L673" s="6" t="s">
        <v>3813</v>
      </c>
      <c r="M673" s="6" t="s">
        <v>2230</v>
      </c>
    </row>
    <row r="674" ht="22.5" customHeight="1">
      <c r="A674" s="14">
        <v>46107.60015431713</v>
      </c>
      <c r="B674" s="6" t="s">
        <v>2282</v>
      </c>
      <c r="C674" s="10" t="s">
        <v>766</v>
      </c>
      <c r="D674" s="13">
        <v>1.0</v>
      </c>
      <c r="E674" s="13">
        <v>150.0</v>
      </c>
      <c r="F674" s="13">
        <v>180.0</v>
      </c>
      <c r="G674" s="6">
        <v>180.0</v>
      </c>
      <c r="H674" s="6">
        <v>180.0</v>
      </c>
      <c r="I674" s="6">
        <v>30.0</v>
      </c>
      <c r="J674" s="10" t="s">
        <v>119</v>
      </c>
      <c r="K674" s="6">
        <v>1022.0</v>
      </c>
      <c r="L674" s="6" t="s">
        <v>3815</v>
      </c>
      <c r="M674" s="6" t="s">
        <v>2230</v>
      </c>
    </row>
    <row r="675" ht="22.5" customHeight="1">
      <c r="A675" s="14">
        <v>46107.6001541088</v>
      </c>
      <c r="B675" s="6" t="s">
        <v>2282</v>
      </c>
      <c r="C675" s="10" t="s">
        <v>210</v>
      </c>
      <c r="D675" s="13">
        <v>2.0</v>
      </c>
      <c r="E675" s="13">
        <v>130.0</v>
      </c>
      <c r="F675" s="13">
        <v>150.0</v>
      </c>
      <c r="G675" s="6">
        <v>150.0</v>
      </c>
      <c r="H675" s="6">
        <v>300.0</v>
      </c>
      <c r="I675" s="6">
        <v>40.0</v>
      </c>
      <c r="J675" s="10" t="s">
        <v>31</v>
      </c>
      <c r="K675" s="6">
        <v>1021.0</v>
      </c>
      <c r="L675" s="6" t="s">
        <v>3817</v>
      </c>
      <c r="M675" s="6" t="s">
        <v>2230</v>
      </c>
    </row>
    <row r="676" ht="22.5" customHeight="1">
      <c r="A676" s="14">
        <v>46107.60015391203</v>
      </c>
      <c r="B676" s="6" t="s">
        <v>2282</v>
      </c>
      <c r="C676" s="10" t="s">
        <v>1014</v>
      </c>
      <c r="D676" s="13">
        <v>1.0</v>
      </c>
      <c r="E676" s="13">
        <v>50.0</v>
      </c>
      <c r="F676" s="13">
        <v>80.0</v>
      </c>
      <c r="G676" s="6">
        <v>80.0</v>
      </c>
      <c r="H676" s="6">
        <v>80.0</v>
      </c>
      <c r="I676" s="6">
        <v>30.0</v>
      </c>
      <c r="J676" s="10" t="s">
        <v>119</v>
      </c>
      <c r="K676" s="6">
        <v>1020.0</v>
      </c>
      <c r="L676" s="6" t="s">
        <v>3819</v>
      </c>
      <c r="M676" s="6" t="s">
        <v>2230</v>
      </c>
    </row>
    <row r="677" ht="22.5" customHeight="1">
      <c r="A677" s="14">
        <v>46107.60015370371</v>
      </c>
      <c r="B677" s="6" t="s">
        <v>2282</v>
      </c>
      <c r="C677" s="10" t="s">
        <v>649</v>
      </c>
      <c r="D677" s="13">
        <v>1.0</v>
      </c>
      <c r="E677" s="13">
        <v>166.0</v>
      </c>
      <c r="F677" s="13">
        <v>100.0</v>
      </c>
      <c r="G677" s="6">
        <v>100.0</v>
      </c>
      <c r="H677" s="6">
        <v>100.0</v>
      </c>
      <c r="I677" s="6">
        <v>-66.0</v>
      </c>
      <c r="J677" s="10" t="s">
        <v>125</v>
      </c>
      <c r="K677" s="6">
        <v>1019.0</v>
      </c>
      <c r="L677" s="6" t="s">
        <v>3821</v>
      </c>
      <c r="M677" s="6" t="s">
        <v>2230</v>
      </c>
    </row>
    <row r="678" ht="22.5" customHeight="1">
      <c r="A678" s="14">
        <v>46107.591912337964</v>
      </c>
      <c r="B678" s="6" t="s">
        <v>2282</v>
      </c>
      <c r="C678" s="10" t="s">
        <v>309</v>
      </c>
      <c r="D678" s="13">
        <v>1.0</v>
      </c>
      <c r="E678" s="13">
        <v>20.0</v>
      </c>
      <c r="F678" s="13">
        <v>50.0</v>
      </c>
      <c r="G678" s="6">
        <v>50.0</v>
      </c>
      <c r="H678" s="6">
        <v>50.0</v>
      </c>
      <c r="I678" s="6">
        <v>30.0</v>
      </c>
      <c r="J678" s="10" t="s">
        <v>154</v>
      </c>
      <c r="K678" s="6">
        <v>1006.0</v>
      </c>
      <c r="L678" s="6" t="s">
        <v>3823</v>
      </c>
      <c r="M678" s="6" t="s">
        <v>2230</v>
      </c>
    </row>
    <row r="679" ht="22.5" customHeight="1">
      <c r="A679" s="14">
        <v>46107.59191210648</v>
      </c>
      <c r="B679" s="6" t="s">
        <v>2282</v>
      </c>
      <c r="C679" s="10" t="s">
        <v>309</v>
      </c>
      <c r="D679" s="13">
        <v>1.0</v>
      </c>
      <c r="E679" s="13">
        <v>20.0</v>
      </c>
      <c r="F679" s="13">
        <v>50.0</v>
      </c>
      <c r="G679" s="6">
        <v>50.0</v>
      </c>
      <c r="H679" s="6">
        <v>50.0</v>
      </c>
      <c r="I679" s="6">
        <v>30.0</v>
      </c>
      <c r="J679" s="10" t="s">
        <v>154</v>
      </c>
      <c r="K679" s="6">
        <v>1004.0</v>
      </c>
      <c r="L679" s="6" t="s">
        <v>3825</v>
      </c>
      <c r="M679" s="6" t="s">
        <v>2230</v>
      </c>
    </row>
    <row r="680" ht="22.5" customHeight="1">
      <c r="A680" s="14">
        <v>46107.59191189815</v>
      </c>
      <c r="B680" s="6" t="s">
        <v>2282</v>
      </c>
      <c r="C680" s="10" t="s">
        <v>194</v>
      </c>
      <c r="D680" s="13">
        <v>1.0</v>
      </c>
      <c r="E680" s="13">
        <v>164.17</v>
      </c>
      <c r="F680" s="13">
        <v>150.0</v>
      </c>
      <c r="G680" s="6">
        <v>150.0</v>
      </c>
      <c r="H680" s="6">
        <v>150.0</v>
      </c>
      <c r="I680" s="6">
        <v>-14.17</v>
      </c>
      <c r="J680" s="10" t="s">
        <v>31</v>
      </c>
      <c r="K680" s="6">
        <v>998.0</v>
      </c>
      <c r="L680" s="6" t="s">
        <v>3828</v>
      </c>
      <c r="M680" s="6" t="s">
        <v>2230</v>
      </c>
    </row>
    <row r="681" ht="22.5" customHeight="1">
      <c r="A681" s="14">
        <v>46107.591911701384</v>
      </c>
      <c r="B681" s="6" t="s">
        <v>2282</v>
      </c>
      <c r="C681" s="10" t="s">
        <v>858</v>
      </c>
      <c r="D681" s="13">
        <v>1.0</v>
      </c>
      <c r="E681" s="13">
        <v>10.845238095238095</v>
      </c>
      <c r="F681" s="13">
        <v>25.0</v>
      </c>
      <c r="G681" s="6">
        <v>25.0</v>
      </c>
      <c r="H681" s="6">
        <v>25.0</v>
      </c>
      <c r="I681" s="6">
        <v>14.15</v>
      </c>
      <c r="J681" s="6" t="s">
        <v>54</v>
      </c>
      <c r="K681" s="6">
        <v>995.0</v>
      </c>
      <c r="L681" s="6" t="s">
        <v>3830</v>
      </c>
      <c r="M681" s="6" t="s">
        <v>2230</v>
      </c>
    </row>
    <row r="682" ht="22.5" customHeight="1">
      <c r="A682" s="14">
        <v>46107.59191149306</v>
      </c>
      <c r="B682" s="6" t="s">
        <v>2282</v>
      </c>
      <c r="C682" s="10" t="s">
        <v>194</v>
      </c>
      <c r="D682" s="13">
        <v>1.0</v>
      </c>
      <c r="E682" s="13">
        <v>164.17</v>
      </c>
      <c r="F682" s="13">
        <v>150.0</v>
      </c>
      <c r="G682" s="6">
        <v>150.0</v>
      </c>
      <c r="H682" s="6">
        <v>150.0</v>
      </c>
      <c r="I682" s="6">
        <v>-14.17</v>
      </c>
      <c r="J682" s="10" t="s">
        <v>31</v>
      </c>
      <c r="K682" s="6">
        <v>992.0</v>
      </c>
      <c r="L682" s="6" t="s">
        <v>3832</v>
      </c>
      <c r="M682" s="6" t="s">
        <v>2230</v>
      </c>
    </row>
    <row r="683" ht="22.5" customHeight="1">
      <c r="A683" s="14">
        <v>46107.59065550926</v>
      </c>
      <c r="B683" s="6" t="s">
        <v>2282</v>
      </c>
      <c r="C683" s="10" t="s">
        <v>567</v>
      </c>
      <c r="D683" s="13">
        <v>1.0</v>
      </c>
      <c r="E683" s="13">
        <v>51.0</v>
      </c>
      <c r="F683" s="13">
        <v>75.0</v>
      </c>
      <c r="G683" s="6">
        <v>75.0</v>
      </c>
      <c r="H683" s="6">
        <v>75.0</v>
      </c>
      <c r="I683" s="6">
        <v>24.0</v>
      </c>
      <c r="J683" s="10" t="s">
        <v>119</v>
      </c>
      <c r="K683" s="6">
        <v>1018.0</v>
      </c>
      <c r="L683" s="6" t="s">
        <v>3834</v>
      </c>
      <c r="M683" s="6" t="s">
        <v>2230</v>
      </c>
    </row>
    <row r="684" ht="22.5" customHeight="1">
      <c r="A684" s="14">
        <v>46107.59065462963</v>
      </c>
      <c r="B684" s="6" t="s">
        <v>2282</v>
      </c>
      <c r="C684" s="10" t="s">
        <v>856</v>
      </c>
      <c r="D684" s="13">
        <v>4.0</v>
      </c>
      <c r="E684" s="13">
        <v>4.58</v>
      </c>
      <c r="F684" s="13">
        <v>7.5</v>
      </c>
      <c r="G684" s="6">
        <v>7.5</v>
      </c>
      <c r="H684" s="6">
        <v>30.0</v>
      </c>
      <c r="I684" s="6">
        <v>11.68</v>
      </c>
      <c r="J684" s="10" t="s">
        <v>119</v>
      </c>
      <c r="K684" s="6">
        <v>1017.0</v>
      </c>
      <c r="L684" s="6" t="s">
        <v>3836</v>
      </c>
      <c r="M684" s="6" t="s">
        <v>2230</v>
      </c>
    </row>
    <row r="685" ht="22.5" customHeight="1">
      <c r="A685" s="14">
        <v>46107.59065372685</v>
      </c>
      <c r="B685" s="6" t="s">
        <v>2282</v>
      </c>
      <c r="C685" s="10" t="s">
        <v>187</v>
      </c>
      <c r="D685" s="13">
        <v>1.0</v>
      </c>
      <c r="E685" s="13">
        <v>350.0</v>
      </c>
      <c r="F685" s="13">
        <v>450.0</v>
      </c>
      <c r="G685" s="6">
        <v>450.0</v>
      </c>
      <c r="H685" s="6">
        <v>450.0</v>
      </c>
      <c r="I685" s="6">
        <v>100.0</v>
      </c>
      <c r="J685" s="10" t="s">
        <v>136</v>
      </c>
      <c r="K685" s="6">
        <v>1016.0</v>
      </c>
      <c r="L685" s="6" t="s">
        <v>3838</v>
      </c>
      <c r="M685" s="6" t="s">
        <v>2230</v>
      </c>
    </row>
    <row r="686" ht="22.5" customHeight="1">
      <c r="A686" s="14">
        <v>46107.590653136576</v>
      </c>
      <c r="B686" s="6" t="s">
        <v>2282</v>
      </c>
      <c r="C686" s="10" t="s">
        <v>599</v>
      </c>
      <c r="D686" s="13">
        <v>2.0</v>
      </c>
      <c r="E686" s="13">
        <v>125.0</v>
      </c>
      <c r="F686" s="13">
        <v>150.0</v>
      </c>
      <c r="G686" s="6">
        <v>150.0</v>
      </c>
      <c r="H686" s="6">
        <v>300.0</v>
      </c>
      <c r="I686" s="6">
        <v>50.0</v>
      </c>
      <c r="J686" s="10" t="s">
        <v>51</v>
      </c>
      <c r="K686" s="6">
        <v>1015.0</v>
      </c>
      <c r="L686" s="6" t="s">
        <v>3840</v>
      </c>
      <c r="M686" s="6" t="s">
        <v>2230</v>
      </c>
    </row>
    <row r="687" ht="22.5" customHeight="1">
      <c r="A687" s="14">
        <v>46107.590652430554</v>
      </c>
      <c r="B687" s="6" t="s">
        <v>2282</v>
      </c>
      <c r="C687" s="10" t="s">
        <v>1014</v>
      </c>
      <c r="D687" s="13">
        <v>1.0</v>
      </c>
      <c r="E687" s="13">
        <v>50.0</v>
      </c>
      <c r="F687" s="13">
        <v>80.0</v>
      </c>
      <c r="G687" s="6">
        <v>80.0</v>
      </c>
      <c r="H687" s="6">
        <v>80.0</v>
      </c>
      <c r="I687" s="6">
        <v>30.0</v>
      </c>
      <c r="J687" s="10" t="s">
        <v>119</v>
      </c>
      <c r="K687" s="6">
        <v>1014.0</v>
      </c>
      <c r="L687" s="6" t="s">
        <v>3842</v>
      </c>
      <c r="M687" s="6" t="s">
        <v>2230</v>
      </c>
    </row>
    <row r="688" ht="22.5" customHeight="1">
      <c r="A688" s="14">
        <v>46107.59065190972</v>
      </c>
      <c r="B688" s="6" t="s">
        <v>2282</v>
      </c>
      <c r="C688" s="10" t="s">
        <v>309</v>
      </c>
      <c r="D688" s="13">
        <v>1.0</v>
      </c>
      <c r="E688" s="13">
        <v>20.0</v>
      </c>
      <c r="F688" s="13">
        <v>50.0</v>
      </c>
      <c r="G688" s="6">
        <v>50.0</v>
      </c>
      <c r="H688" s="6">
        <v>50.0</v>
      </c>
      <c r="I688" s="6">
        <v>30.0</v>
      </c>
      <c r="J688" s="10" t="s">
        <v>154</v>
      </c>
      <c r="K688" s="6">
        <v>1013.0</v>
      </c>
      <c r="L688" s="6" t="s">
        <v>3844</v>
      </c>
      <c r="M688" s="6" t="s">
        <v>2230</v>
      </c>
    </row>
    <row r="689" ht="22.5" customHeight="1">
      <c r="A689" s="14">
        <v>46107.59065142361</v>
      </c>
      <c r="B689" s="6" t="s">
        <v>2282</v>
      </c>
      <c r="C689" s="10" t="s">
        <v>898</v>
      </c>
      <c r="D689" s="13">
        <v>3.0</v>
      </c>
      <c r="E689" s="13">
        <v>15.0</v>
      </c>
      <c r="F689" s="13">
        <v>25.0</v>
      </c>
      <c r="G689" s="6">
        <v>25.0</v>
      </c>
      <c r="H689" s="6">
        <v>75.0</v>
      </c>
      <c r="I689" s="6">
        <v>30.0</v>
      </c>
      <c r="J689" s="10" t="s">
        <v>154</v>
      </c>
      <c r="K689" s="6">
        <v>1012.0</v>
      </c>
      <c r="L689" s="6" t="s">
        <v>3846</v>
      </c>
      <c r="M689" s="6" t="s">
        <v>2230</v>
      </c>
    </row>
    <row r="690" ht="22.5" customHeight="1">
      <c r="A690" s="14">
        <v>46107.590650937505</v>
      </c>
      <c r="B690" s="6" t="s">
        <v>2282</v>
      </c>
      <c r="C690" s="10" t="s">
        <v>245</v>
      </c>
      <c r="D690" s="13">
        <v>1.0</v>
      </c>
      <c r="E690" s="13">
        <v>150.0</v>
      </c>
      <c r="F690" s="13">
        <v>225.0</v>
      </c>
      <c r="G690" s="6">
        <v>225.0</v>
      </c>
      <c r="H690" s="6">
        <v>225.0</v>
      </c>
      <c r="I690" s="6">
        <v>75.0</v>
      </c>
      <c r="J690" s="10" t="s">
        <v>154</v>
      </c>
      <c r="K690" s="6">
        <v>1011.0</v>
      </c>
      <c r="L690" s="6" t="s">
        <v>3850</v>
      </c>
      <c r="M690" s="6" t="s">
        <v>2230</v>
      </c>
    </row>
    <row r="691" ht="22.5" customHeight="1">
      <c r="A691" s="14">
        <v>46107.59065050926</v>
      </c>
      <c r="B691" s="6" t="s">
        <v>2282</v>
      </c>
      <c r="C691" s="10" t="s">
        <v>554</v>
      </c>
      <c r="D691" s="13">
        <v>1.0</v>
      </c>
      <c r="E691" s="13">
        <v>23.22222222222222</v>
      </c>
      <c r="F691" s="13">
        <v>40.0</v>
      </c>
      <c r="G691" s="6">
        <v>40.0</v>
      </c>
      <c r="H691" s="6">
        <v>40.0</v>
      </c>
      <c r="I691" s="6">
        <v>16.78</v>
      </c>
      <c r="J691" s="6" t="s">
        <v>54</v>
      </c>
      <c r="K691" s="6">
        <v>1010.0</v>
      </c>
      <c r="L691" s="6" t="s">
        <v>3852</v>
      </c>
      <c r="M691" s="6" t="s">
        <v>2230</v>
      </c>
    </row>
    <row r="692" ht="22.5" customHeight="1">
      <c r="A692" s="14">
        <v>46107.590650011574</v>
      </c>
      <c r="B692" s="6" t="s">
        <v>2282</v>
      </c>
      <c r="C692" s="10" t="s">
        <v>699</v>
      </c>
      <c r="D692" s="13">
        <v>1.0</v>
      </c>
      <c r="E692" s="13">
        <v>20.0</v>
      </c>
      <c r="F692" s="13">
        <v>50.0</v>
      </c>
      <c r="G692" s="6">
        <v>50.0</v>
      </c>
      <c r="H692" s="6">
        <v>50.0</v>
      </c>
      <c r="I692" s="6">
        <v>30.0</v>
      </c>
      <c r="J692" s="6" t="s">
        <v>54</v>
      </c>
      <c r="K692" s="6">
        <v>1009.0</v>
      </c>
      <c r="L692" s="6" t="s">
        <v>3854</v>
      </c>
      <c r="M692" s="6" t="s">
        <v>2230</v>
      </c>
    </row>
    <row r="693" ht="22.5" customHeight="1">
      <c r="A693" s="14">
        <v>46107.59064931713</v>
      </c>
      <c r="B693" s="6" t="s">
        <v>2282</v>
      </c>
      <c r="C693" s="10" t="s">
        <v>187</v>
      </c>
      <c r="D693" s="13">
        <v>1.0</v>
      </c>
      <c r="E693" s="13">
        <v>350.0</v>
      </c>
      <c r="F693" s="13">
        <v>450.0</v>
      </c>
      <c r="G693" s="6">
        <v>450.0</v>
      </c>
      <c r="H693" s="6">
        <v>450.0</v>
      </c>
      <c r="I693" s="6">
        <v>100.0</v>
      </c>
      <c r="J693" s="10" t="s">
        <v>136</v>
      </c>
      <c r="K693" s="6">
        <v>1008.0</v>
      </c>
      <c r="L693" s="6" t="s">
        <v>3858</v>
      </c>
      <c r="M693" s="6" t="s">
        <v>2230</v>
      </c>
    </row>
    <row r="694" ht="22.5" customHeight="1">
      <c r="A694" s="14">
        <v>46107.590648321755</v>
      </c>
      <c r="B694" s="6" t="s">
        <v>2282</v>
      </c>
      <c r="C694" s="10" t="s">
        <v>898</v>
      </c>
      <c r="D694" s="13">
        <v>3.0</v>
      </c>
      <c r="E694" s="13">
        <v>15.0</v>
      </c>
      <c r="F694" s="13">
        <v>20.0</v>
      </c>
      <c r="G694" s="6">
        <v>20.0</v>
      </c>
      <c r="H694" s="6">
        <v>60.0</v>
      </c>
      <c r="I694" s="6">
        <v>15.0</v>
      </c>
      <c r="J694" s="10" t="s">
        <v>154</v>
      </c>
      <c r="K694" s="6">
        <v>1007.0</v>
      </c>
      <c r="L694" s="6" t="s">
        <v>3860</v>
      </c>
      <c r="M694" s="6" t="s">
        <v>2230</v>
      </c>
    </row>
    <row r="695" ht="22.5" hidden="1" customHeight="1">
      <c r="A695" s="14">
        <v>46106.91160545139</v>
      </c>
      <c r="B695" s="6" t="s">
        <v>2225</v>
      </c>
      <c r="C695" s="10" t="s">
        <v>559</v>
      </c>
      <c r="D695" s="13">
        <v>15.0</v>
      </c>
      <c r="E695" s="13">
        <v>32.333333333333336</v>
      </c>
      <c r="F695" s="13"/>
      <c r="G695" s="6"/>
      <c r="H695" s="6">
        <v>485.0</v>
      </c>
      <c r="I695" s="6"/>
      <c r="J695" s="6" t="s">
        <v>54</v>
      </c>
      <c r="K695" s="10" t="s">
        <v>3806</v>
      </c>
      <c r="L695" s="6" t="s">
        <v>2228</v>
      </c>
      <c r="M695" s="6" t="s">
        <v>2230</v>
      </c>
    </row>
    <row r="696" ht="22.5" hidden="1" customHeight="1">
      <c r="A696" s="14">
        <v>46106.91160386574</v>
      </c>
      <c r="B696" s="6" t="s">
        <v>2234</v>
      </c>
      <c r="C696" s="10" t="s">
        <v>363</v>
      </c>
      <c r="D696" s="13">
        <v>2.5</v>
      </c>
      <c r="E696" s="13">
        <v>110.0</v>
      </c>
      <c r="F696" s="13"/>
      <c r="G696" s="6"/>
      <c r="H696" s="6">
        <v>275.0</v>
      </c>
      <c r="I696" s="6"/>
      <c r="J696" s="10" t="s">
        <v>51</v>
      </c>
      <c r="K696" s="10" t="s">
        <v>3806</v>
      </c>
      <c r="L696" s="6" t="s">
        <v>2237</v>
      </c>
      <c r="M696" s="6" t="s">
        <v>2230</v>
      </c>
    </row>
    <row r="697" ht="22.5" hidden="1" customHeight="1">
      <c r="A697" s="14">
        <v>46106.91160378473</v>
      </c>
      <c r="B697" s="6" t="s">
        <v>2234</v>
      </c>
      <c r="C697" s="10" t="s">
        <v>1248</v>
      </c>
      <c r="D697" s="13">
        <v>15.0</v>
      </c>
      <c r="E697" s="13">
        <v>14.0</v>
      </c>
      <c r="F697" s="13"/>
      <c r="G697" s="6"/>
      <c r="H697" s="6">
        <v>210.0</v>
      </c>
      <c r="I697" s="6"/>
      <c r="J697" s="10" t="s">
        <v>1052</v>
      </c>
      <c r="K697" s="10" t="s">
        <v>3806</v>
      </c>
      <c r="L697" s="6" t="s">
        <v>2237</v>
      </c>
      <c r="M697" s="6" t="s">
        <v>2230</v>
      </c>
    </row>
    <row r="698" ht="22.5" hidden="1" customHeight="1">
      <c r="A698" s="14">
        <v>46106.91109741898</v>
      </c>
      <c r="B698" s="6" t="s">
        <v>2225</v>
      </c>
      <c r="C698" s="10" t="s">
        <v>554</v>
      </c>
      <c r="D698" s="13">
        <v>15.0</v>
      </c>
      <c r="E698" s="13">
        <v>23.22222222222222</v>
      </c>
      <c r="F698" s="13"/>
      <c r="G698" s="6"/>
      <c r="H698" s="6">
        <v>348.3333333333333</v>
      </c>
      <c r="I698" s="6"/>
      <c r="J698" s="6" t="s">
        <v>54</v>
      </c>
      <c r="K698" s="10" t="s">
        <v>3806</v>
      </c>
      <c r="L698" s="6" t="s">
        <v>2228</v>
      </c>
      <c r="M698" s="6" t="s">
        <v>2230</v>
      </c>
    </row>
    <row r="699" ht="22.5" hidden="1" customHeight="1">
      <c r="A699" s="14">
        <v>46106.91109634259</v>
      </c>
      <c r="B699" s="6" t="s">
        <v>2234</v>
      </c>
      <c r="C699" s="10" t="s">
        <v>363</v>
      </c>
      <c r="D699" s="13">
        <v>1.6666666666666665</v>
      </c>
      <c r="E699" s="13">
        <v>110.0</v>
      </c>
      <c r="F699" s="13"/>
      <c r="G699" s="6"/>
      <c r="H699" s="6">
        <v>183.33333333333331</v>
      </c>
      <c r="I699" s="6"/>
      <c r="J699" s="10" t="s">
        <v>51</v>
      </c>
      <c r="K699" s="10" t="s">
        <v>3806</v>
      </c>
      <c r="L699" s="6" t="s">
        <v>2237</v>
      </c>
      <c r="M699" s="6" t="s">
        <v>2230</v>
      </c>
    </row>
    <row r="700" ht="22.5" hidden="1" customHeight="1">
      <c r="A700" s="14">
        <v>46106.91109628472</v>
      </c>
      <c r="B700" s="6" t="s">
        <v>2234</v>
      </c>
      <c r="C700" s="10" t="s">
        <v>1155</v>
      </c>
      <c r="D700" s="13">
        <v>15.0</v>
      </c>
      <c r="E700" s="13">
        <v>11.0</v>
      </c>
      <c r="F700" s="13"/>
      <c r="G700" s="6"/>
      <c r="H700" s="6">
        <v>165.0</v>
      </c>
      <c r="I700" s="6"/>
      <c r="J700" s="10" t="s">
        <v>1052</v>
      </c>
      <c r="K700" s="10" t="s">
        <v>3806</v>
      </c>
      <c r="L700" s="6" t="s">
        <v>2237</v>
      </c>
      <c r="M700" s="6" t="s">
        <v>2230</v>
      </c>
    </row>
    <row r="701" ht="22.5" hidden="1" customHeight="1">
      <c r="A701" s="14">
        <v>46106.90916743055</v>
      </c>
      <c r="B701" s="6" t="s">
        <v>2225</v>
      </c>
      <c r="C701" s="10" t="s">
        <v>554</v>
      </c>
      <c r="D701" s="13">
        <v>15.0</v>
      </c>
      <c r="E701" s="13">
        <v>11.0</v>
      </c>
      <c r="F701" s="13"/>
      <c r="G701" s="6"/>
      <c r="H701" s="6">
        <v>165.0</v>
      </c>
      <c r="I701" s="6"/>
      <c r="J701" s="6" t="s">
        <v>54</v>
      </c>
      <c r="K701" s="10" t="s">
        <v>3806</v>
      </c>
      <c r="L701" s="6" t="s">
        <v>2228</v>
      </c>
      <c r="M701" s="6" t="s">
        <v>2230</v>
      </c>
    </row>
    <row r="702" ht="22.5" hidden="1" customHeight="1">
      <c r="A702" s="14">
        <v>46106.90916563658</v>
      </c>
      <c r="B702" s="6" t="s">
        <v>2234</v>
      </c>
      <c r="C702" s="10" t="s">
        <v>1155</v>
      </c>
      <c r="D702" s="13">
        <v>15.0</v>
      </c>
      <c r="E702" s="13">
        <v>11.0</v>
      </c>
      <c r="F702" s="13"/>
      <c r="G702" s="6"/>
      <c r="H702" s="6">
        <v>165.0</v>
      </c>
      <c r="I702" s="6"/>
      <c r="J702" s="10" t="s">
        <v>1052</v>
      </c>
      <c r="K702" s="10" t="s">
        <v>3806</v>
      </c>
      <c r="L702" s="6" t="s">
        <v>2237</v>
      </c>
      <c r="M702" s="6" t="s">
        <v>2230</v>
      </c>
    </row>
    <row r="703" ht="22.5" hidden="1" customHeight="1">
      <c r="A703" s="14">
        <v>46106.90794665509</v>
      </c>
      <c r="B703" s="6" t="s">
        <v>2225</v>
      </c>
      <c r="C703" s="10" t="s">
        <v>71</v>
      </c>
      <c r="D703" s="13">
        <v>15.0</v>
      </c>
      <c r="E703" s="13">
        <v>14.0</v>
      </c>
      <c r="F703" s="13"/>
      <c r="G703" s="6"/>
      <c r="H703" s="6">
        <v>210.0</v>
      </c>
      <c r="I703" s="6"/>
      <c r="J703" s="6" t="s">
        <v>54</v>
      </c>
      <c r="K703" s="10" t="s">
        <v>3806</v>
      </c>
      <c r="L703" s="6" t="s">
        <v>2228</v>
      </c>
      <c r="M703" s="6" t="s">
        <v>2230</v>
      </c>
    </row>
    <row r="704" ht="22.5" hidden="1" customHeight="1">
      <c r="A704" s="14">
        <v>46106.90794542824</v>
      </c>
      <c r="B704" s="6" t="s">
        <v>2234</v>
      </c>
      <c r="C704" s="10" t="s">
        <v>1248</v>
      </c>
      <c r="D704" s="13">
        <v>15.0</v>
      </c>
      <c r="E704" s="13">
        <v>14.0</v>
      </c>
      <c r="F704" s="13"/>
      <c r="G704" s="6"/>
      <c r="H704" s="6">
        <v>210.0</v>
      </c>
      <c r="I704" s="6"/>
      <c r="J704" s="10" t="s">
        <v>1052</v>
      </c>
      <c r="K704" s="10" t="s">
        <v>3806</v>
      </c>
      <c r="L704" s="6" t="s">
        <v>2237</v>
      </c>
      <c r="M704" s="6" t="s">
        <v>2230</v>
      </c>
    </row>
    <row r="705" ht="22.5" hidden="1" customHeight="1">
      <c r="A705" s="14">
        <v>46106.88882206018</v>
      </c>
      <c r="B705" s="6" t="s">
        <v>2225</v>
      </c>
      <c r="C705" s="10" t="s">
        <v>71</v>
      </c>
      <c r="D705" s="13">
        <v>1.0</v>
      </c>
      <c r="E705" s="13">
        <v>660.0</v>
      </c>
      <c r="F705" s="13"/>
      <c r="G705" s="6"/>
      <c r="H705" s="6">
        <v>660.0</v>
      </c>
      <c r="I705" s="6"/>
      <c r="J705" s="6" t="s">
        <v>54</v>
      </c>
      <c r="K705" s="10" t="s">
        <v>3877</v>
      </c>
      <c r="L705" s="6" t="s">
        <v>2228</v>
      </c>
      <c r="M705" s="6" t="s">
        <v>2230</v>
      </c>
    </row>
    <row r="706" ht="22.5" hidden="1" customHeight="1">
      <c r="A706" s="14">
        <v>46106.88882075231</v>
      </c>
      <c r="B706" s="6" t="s">
        <v>2234</v>
      </c>
      <c r="C706" s="10" t="s">
        <v>933</v>
      </c>
      <c r="D706" s="13">
        <v>2.0</v>
      </c>
      <c r="E706" s="13">
        <v>10.0</v>
      </c>
      <c r="F706" s="13"/>
      <c r="G706" s="6"/>
      <c r="H706" s="6">
        <v>20.0</v>
      </c>
      <c r="I706" s="6"/>
      <c r="J706" s="10" t="s">
        <v>436</v>
      </c>
      <c r="K706" s="10" t="s">
        <v>3877</v>
      </c>
      <c r="L706" s="6" t="s">
        <v>2237</v>
      </c>
      <c r="M706" s="6" t="s">
        <v>2230</v>
      </c>
    </row>
    <row r="707" ht="22.5" hidden="1" customHeight="1">
      <c r="A707" s="14">
        <v>46106.88882069444</v>
      </c>
      <c r="B707" s="6" t="s">
        <v>2234</v>
      </c>
      <c r="C707" s="10" t="s">
        <v>946</v>
      </c>
      <c r="D707" s="13">
        <v>8.0</v>
      </c>
      <c r="E707" s="13">
        <v>75.0</v>
      </c>
      <c r="F707" s="13"/>
      <c r="G707" s="6"/>
      <c r="H707" s="6">
        <v>600.0</v>
      </c>
      <c r="I707" s="6"/>
      <c r="J707" s="10" t="s">
        <v>51</v>
      </c>
      <c r="K707" s="10" t="s">
        <v>3877</v>
      </c>
      <c r="L707" s="6" t="s">
        <v>2237</v>
      </c>
      <c r="M707" s="6" t="s">
        <v>2230</v>
      </c>
    </row>
    <row r="708" ht="22.5" hidden="1" customHeight="1">
      <c r="A708" s="14">
        <v>46106.888820625</v>
      </c>
      <c r="B708" s="6" t="s">
        <v>2234</v>
      </c>
      <c r="C708" s="10" t="s">
        <v>929</v>
      </c>
      <c r="D708" s="13">
        <v>2.0</v>
      </c>
      <c r="E708" s="13">
        <v>20.0</v>
      </c>
      <c r="F708" s="13"/>
      <c r="G708" s="6"/>
      <c r="H708" s="6">
        <v>40.0</v>
      </c>
      <c r="I708" s="6"/>
      <c r="J708" s="10" t="s">
        <v>436</v>
      </c>
      <c r="K708" s="10" t="s">
        <v>3877</v>
      </c>
      <c r="L708" s="6" t="s">
        <v>2237</v>
      </c>
      <c r="M708" s="6" t="s">
        <v>2230</v>
      </c>
    </row>
    <row r="709" ht="22.5" hidden="1" customHeight="1">
      <c r="A709" s="14">
        <v>46106.88476582176</v>
      </c>
      <c r="B709" s="6" t="s">
        <v>2225</v>
      </c>
      <c r="C709" s="10" t="s">
        <v>71</v>
      </c>
      <c r="D709" s="13">
        <v>1.0</v>
      </c>
      <c r="E709" s="13">
        <v>60.0</v>
      </c>
      <c r="F709" s="13"/>
      <c r="G709" s="6"/>
      <c r="H709" s="6">
        <v>60.0</v>
      </c>
      <c r="I709" s="6"/>
      <c r="J709" s="6" t="s">
        <v>54</v>
      </c>
      <c r="K709" s="10" t="s">
        <v>3877</v>
      </c>
      <c r="L709" s="6" t="s">
        <v>2228</v>
      </c>
      <c r="M709" s="6" t="s">
        <v>2230</v>
      </c>
    </row>
    <row r="710" ht="22.5" hidden="1" customHeight="1">
      <c r="A710" s="14">
        <v>46106.8847655787</v>
      </c>
      <c r="B710" s="6" t="s">
        <v>2234</v>
      </c>
      <c r="C710" s="10" t="s">
        <v>933</v>
      </c>
      <c r="D710" s="13">
        <v>2.0</v>
      </c>
      <c r="E710" s="13">
        <v>10.0</v>
      </c>
      <c r="F710" s="13"/>
      <c r="G710" s="6"/>
      <c r="H710" s="6">
        <v>20.0</v>
      </c>
      <c r="I710" s="6"/>
      <c r="J710" s="10" t="s">
        <v>436</v>
      </c>
      <c r="K710" s="10" t="s">
        <v>3877</v>
      </c>
      <c r="L710" s="6" t="s">
        <v>2237</v>
      </c>
      <c r="M710" s="6" t="s">
        <v>2230</v>
      </c>
    </row>
    <row r="711" ht="22.5" hidden="1" customHeight="1">
      <c r="A711" s="14">
        <v>46106.88476552084</v>
      </c>
      <c r="B711" s="6" t="s">
        <v>2234</v>
      </c>
      <c r="C711" s="10" t="s">
        <v>929</v>
      </c>
      <c r="D711" s="13">
        <v>2.0</v>
      </c>
      <c r="E711" s="13">
        <v>20.0</v>
      </c>
      <c r="F711" s="13"/>
      <c r="G711" s="6"/>
      <c r="H711" s="6">
        <v>40.0</v>
      </c>
      <c r="I711" s="6"/>
      <c r="J711" s="10" t="s">
        <v>436</v>
      </c>
      <c r="K711" s="10" t="s">
        <v>3877</v>
      </c>
      <c r="L711" s="6" t="s">
        <v>2237</v>
      </c>
      <c r="M711" s="6" t="s">
        <v>2230</v>
      </c>
    </row>
    <row r="712" ht="22.5" hidden="1" customHeight="1">
      <c r="A712" s="14">
        <v>46106.88134125</v>
      </c>
      <c r="B712" s="6" t="s">
        <v>2225</v>
      </c>
      <c r="C712" s="10" t="s">
        <v>71</v>
      </c>
      <c r="D712" s="13">
        <v>2.0</v>
      </c>
      <c r="E712" s="13">
        <v>30.0</v>
      </c>
      <c r="F712" s="13"/>
      <c r="G712" s="6"/>
      <c r="H712" s="6">
        <v>60.0</v>
      </c>
      <c r="I712" s="6"/>
      <c r="J712" s="6" t="s">
        <v>54</v>
      </c>
      <c r="K712" s="10" t="s">
        <v>2309</v>
      </c>
      <c r="L712" s="6" t="s">
        <v>2228</v>
      </c>
      <c r="M712" s="6" t="s">
        <v>2230</v>
      </c>
    </row>
    <row r="713" ht="22.5" hidden="1" customHeight="1">
      <c r="A713" s="14">
        <v>46106.88134010417</v>
      </c>
      <c r="B713" s="6" t="s">
        <v>2234</v>
      </c>
      <c r="C713" s="10" t="s">
        <v>933</v>
      </c>
      <c r="D713" s="13">
        <v>2.0</v>
      </c>
      <c r="E713" s="13">
        <v>10.0</v>
      </c>
      <c r="F713" s="13"/>
      <c r="G713" s="6"/>
      <c r="H713" s="6">
        <v>20.0</v>
      </c>
      <c r="I713" s="6"/>
      <c r="J713" s="10" t="s">
        <v>436</v>
      </c>
      <c r="K713" s="10" t="s">
        <v>2309</v>
      </c>
      <c r="L713" s="6" t="s">
        <v>2237</v>
      </c>
      <c r="M713" s="6" t="s">
        <v>2230</v>
      </c>
    </row>
    <row r="714" ht="22.5" hidden="1" customHeight="1">
      <c r="A714" s="14">
        <v>46106.88133993055</v>
      </c>
      <c r="B714" s="6" t="s">
        <v>2234</v>
      </c>
      <c r="C714" s="10" t="s">
        <v>929</v>
      </c>
      <c r="D714" s="13">
        <v>2.0</v>
      </c>
      <c r="E714" s="13">
        <v>20.0</v>
      </c>
      <c r="F714" s="13"/>
      <c r="G714" s="6"/>
      <c r="H714" s="6">
        <v>40.0</v>
      </c>
      <c r="I714" s="6"/>
      <c r="J714" s="10" t="s">
        <v>436</v>
      </c>
      <c r="K714" s="10" t="s">
        <v>2309</v>
      </c>
      <c r="L714" s="6" t="s">
        <v>2237</v>
      </c>
      <c r="M714" s="6" t="s">
        <v>2230</v>
      </c>
    </row>
    <row r="715" ht="22.5" hidden="1" customHeight="1">
      <c r="A715" s="14">
        <v>46106.877073888885</v>
      </c>
      <c r="B715" s="6" t="s">
        <v>2262</v>
      </c>
      <c r="C715" s="10" t="s">
        <v>593</v>
      </c>
      <c r="D715" s="13">
        <v>12.0</v>
      </c>
      <c r="E715" s="13">
        <v>55.0</v>
      </c>
      <c r="F715" s="13">
        <v>660.0</v>
      </c>
      <c r="G715" s="10" t="s">
        <v>51</v>
      </c>
      <c r="H715" s="6">
        <v>517.0</v>
      </c>
      <c r="I715" s="6" t="s">
        <v>1337</v>
      </c>
      <c r="J715" s="6" t="s">
        <v>3888</v>
      </c>
      <c r="K715" s="6" t="s">
        <v>2230</v>
      </c>
      <c r="L715" s="6"/>
      <c r="M715" s="6"/>
    </row>
    <row r="716" ht="22.5" hidden="1" customHeight="1">
      <c r="A716" s="14">
        <v>46106.87707378472</v>
      </c>
      <c r="B716" s="6" t="s">
        <v>2262</v>
      </c>
      <c r="C716" s="10" t="s">
        <v>1021</v>
      </c>
      <c r="D716" s="13">
        <v>10.0</v>
      </c>
      <c r="E716" s="13">
        <v>115.0</v>
      </c>
      <c r="F716" s="13">
        <v>1150.0</v>
      </c>
      <c r="G716" s="10" t="s">
        <v>125</v>
      </c>
      <c r="H716" s="6">
        <v>516.0</v>
      </c>
      <c r="I716" s="6" t="s">
        <v>1336</v>
      </c>
      <c r="J716" s="6" t="s">
        <v>3891</v>
      </c>
      <c r="K716" s="6" t="s">
        <v>2230</v>
      </c>
      <c r="L716" s="6"/>
      <c r="M716" s="6"/>
    </row>
    <row r="717" ht="22.5" hidden="1" customHeight="1">
      <c r="A717" s="14">
        <v>46106.87707368056</v>
      </c>
      <c r="B717" s="6" t="s">
        <v>2262</v>
      </c>
      <c r="C717" s="10" t="s">
        <v>1166</v>
      </c>
      <c r="D717" s="13">
        <v>12.0</v>
      </c>
      <c r="E717" s="13">
        <v>65.0</v>
      </c>
      <c r="F717" s="13">
        <v>780.0</v>
      </c>
      <c r="G717" s="10" t="s">
        <v>154</v>
      </c>
      <c r="H717" s="6">
        <v>515.0</v>
      </c>
      <c r="I717" s="6" t="s">
        <v>1335</v>
      </c>
      <c r="J717" s="6" t="s">
        <v>3893</v>
      </c>
      <c r="K717" s="6" t="s">
        <v>2230</v>
      </c>
      <c r="L717" s="6"/>
      <c r="M717" s="6"/>
    </row>
    <row r="718" ht="22.5" hidden="1" customHeight="1">
      <c r="A718" s="14">
        <v>46106.877073553245</v>
      </c>
      <c r="B718" s="6" t="s">
        <v>2262</v>
      </c>
      <c r="C718" s="10" t="s">
        <v>812</v>
      </c>
      <c r="D718" s="13">
        <v>50.0</v>
      </c>
      <c r="E718" s="13">
        <v>15.0</v>
      </c>
      <c r="F718" s="13">
        <v>750.0</v>
      </c>
      <c r="G718" s="10" t="s">
        <v>154</v>
      </c>
      <c r="H718" s="6">
        <v>514.0</v>
      </c>
      <c r="I718" s="6"/>
      <c r="J718" s="6" t="s">
        <v>3896</v>
      </c>
      <c r="K718" s="6" t="s">
        <v>2230</v>
      </c>
      <c r="L718" s="6"/>
      <c r="M718" s="6"/>
    </row>
    <row r="719" ht="22.5" customHeight="1">
      <c r="A719" s="14">
        <v>46107.59064770833</v>
      </c>
      <c r="B719" s="6" t="s">
        <v>2282</v>
      </c>
      <c r="C719" s="10" t="s">
        <v>245</v>
      </c>
      <c r="D719" s="13">
        <v>1.0</v>
      </c>
      <c r="E719" s="13">
        <v>150.0</v>
      </c>
      <c r="F719" s="13">
        <v>240.0</v>
      </c>
      <c r="G719" s="6">
        <v>240.0</v>
      </c>
      <c r="H719" s="6">
        <v>240.0</v>
      </c>
      <c r="I719" s="6">
        <v>90.0</v>
      </c>
      <c r="J719" s="10" t="s">
        <v>154</v>
      </c>
      <c r="K719" s="6">
        <v>1005.0</v>
      </c>
      <c r="L719" s="6" t="s">
        <v>3899</v>
      </c>
      <c r="M719" s="6" t="s">
        <v>2230</v>
      </c>
    </row>
    <row r="720" ht="22.5" customHeight="1">
      <c r="A720" s="14">
        <v>46107.59064707176</v>
      </c>
      <c r="B720" s="6" t="s">
        <v>2282</v>
      </c>
      <c r="C720" s="10" t="s">
        <v>220</v>
      </c>
      <c r="D720" s="13">
        <v>1.0</v>
      </c>
      <c r="E720" s="13">
        <v>85.0</v>
      </c>
      <c r="F720" s="13">
        <v>150.0</v>
      </c>
      <c r="G720" s="6">
        <v>150.0</v>
      </c>
      <c r="H720" s="6">
        <v>150.0</v>
      </c>
      <c r="I720" s="6">
        <v>65.0</v>
      </c>
      <c r="J720" s="10" t="s">
        <v>51</v>
      </c>
      <c r="K720" s="6">
        <v>1003.0</v>
      </c>
      <c r="L720" s="6" t="s">
        <v>3902</v>
      </c>
      <c r="M720" s="6" t="s">
        <v>2230</v>
      </c>
    </row>
    <row r="721" ht="22.5" customHeight="1">
      <c r="A721" s="14">
        <v>46107.590646365745</v>
      </c>
      <c r="B721" s="6" t="s">
        <v>2282</v>
      </c>
      <c r="C721" s="10" t="s">
        <v>898</v>
      </c>
      <c r="D721" s="13">
        <v>2.0</v>
      </c>
      <c r="E721" s="13">
        <v>15.0</v>
      </c>
      <c r="F721" s="13">
        <v>20.0</v>
      </c>
      <c r="G721" s="6">
        <v>20.0</v>
      </c>
      <c r="H721" s="6">
        <v>40.0</v>
      </c>
      <c r="I721" s="6">
        <v>10.0</v>
      </c>
      <c r="J721" s="10" t="s">
        <v>154</v>
      </c>
      <c r="K721" s="6">
        <v>1002.0</v>
      </c>
      <c r="L721" s="6" t="s">
        <v>3904</v>
      </c>
      <c r="M721" s="6" t="s">
        <v>2230</v>
      </c>
    </row>
    <row r="722" ht="22.5" customHeight="1">
      <c r="A722" s="14">
        <v>46107.59064571759</v>
      </c>
      <c r="B722" s="6" t="s">
        <v>2282</v>
      </c>
      <c r="C722" s="10" t="s">
        <v>634</v>
      </c>
      <c r="D722" s="13">
        <v>1.0</v>
      </c>
      <c r="E722" s="13">
        <v>167.0</v>
      </c>
      <c r="F722" s="13">
        <v>210.0</v>
      </c>
      <c r="G722" s="6">
        <v>210.0</v>
      </c>
      <c r="H722" s="6">
        <v>210.0</v>
      </c>
      <c r="I722" s="6">
        <v>43.0</v>
      </c>
      <c r="J722" s="10" t="s">
        <v>119</v>
      </c>
      <c r="K722" s="6">
        <v>1001.0</v>
      </c>
      <c r="L722" s="6" t="s">
        <v>3908</v>
      </c>
      <c r="M722" s="6" t="s">
        <v>2230</v>
      </c>
    </row>
    <row r="723" ht="22.5" customHeight="1">
      <c r="A723" s="14">
        <v>46107.59064524306</v>
      </c>
      <c r="B723" s="6" t="s">
        <v>2282</v>
      </c>
      <c r="C723" s="10" t="s">
        <v>363</v>
      </c>
      <c r="D723" s="13">
        <v>0.2222222222222222</v>
      </c>
      <c r="E723" s="13">
        <v>110.0</v>
      </c>
      <c r="F723" s="13">
        <v>180.0</v>
      </c>
      <c r="G723" s="6">
        <v>180.0</v>
      </c>
      <c r="H723" s="6">
        <v>40.0</v>
      </c>
      <c r="I723" s="6">
        <v>15.56</v>
      </c>
      <c r="J723" s="10" t="s">
        <v>51</v>
      </c>
      <c r="K723" s="6">
        <v>1000.0</v>
      </c>
      <c r="L723" s="6" t="s">
        <v>3911</v>
      </c>
      <c r="M723" s="6" t="s">
        <v>2230</v>
      </c>
    </row>
    <row r="724" ht="22.5" customHeight="1">
      <c r="A724" s="14">
        <v>46107.59064443287</v>
      </c>
      <c r="B724" s="6" t="s">
        <v>2282</v>
      </c>
      <c r="C724" s="10" t="s">
        <v>584</v>
      </c>
      <c r="D724" s="13">
        <v>11.0</v>
      </c>
      <c r="E724" s="13">
        <v>5.0</v>
      </c>
      <c r="F724" s="13">
        <v>10.0</v>
      </c>
      <c r="G724" s="6">
        <v>10.0</v>
      </c>
      <c r="H724" s="6">
        <v>110.0</v>
      </c>
      <c r="I724" s="6">
        <v>55.0</v>
      </c>
      <c r="J724" s="10" t="s">
        <v>119</v>
      </c>
      <c r="K724" s="6">
        <v>999.0</v>
      </c>
      <c r="L724" s="6" t="s">
        <v>3915</v>
      </c>
      <c r="M724" s="6" t="s">
        <v>2230</v>
      </c>
    </row>
    <row r="725" ht="22.5" customHeight="1">
      <c r="A725" s="14">
        <v>46107.590643483796</v>
      </c>
      <c r="B725" s="6" t="s">
        <v>2282</v>
      </c>
      <c r="C725" s="10" t="s">
        <v>946</v>
      </c>
      <c r="D725" s="13">
        <v>2.0</v>
      </c>
      <c r="E725" s="13">
        <v>75.0</v>
      </c>
      <c r="F725" s="13">
        <v>100.0</v>
      </c>
      <c r="G725" s="6">
        <v>100.0</v>
      </c>
      <c r="H725" s="6">
        <v>200.0</v>
      </c>
      <c r="I725" s="6">
        <v>50.0</v>
      </c>
      <c r="J725" s="10" t="s">
        <v>51</v>
      </c>
      <c r="K725" s="6">
        <v>997.0</v>
      </c>
      <c r="L725" s="6" t="s">
        <v>3918</v>
      </c>
      <c r="M725" s="6" t="s">
        <v>2230</v>
      </c>
    </row>
    <row r="726" ht="22.5" customHeight="1">
      <c r="A726" s="14">
        <v>46107.59064288194</v>
      </c>
      <c r="B726" s="6" t="s">
        <v>2282</v>
      </c>
      <c r="C726" s="10" t="s">
        <v>645</v>
      </c>
      <c r="D726" s="13">
        <v>1.0</v>
      </c>
      <c r="E726" s="13">
        <v>17.0</v>
      </c>
      <c r="F726" s="13">
        <v>25.0</v>
      </c>
      <c r="G726" s="6">
        <v>25.0</v>
      </c>
      <c r="H726" s="6">
        <v>25.0</v>
      </c>
      <c r="I726" s="6">
        <v>8.0</v>
      </c>
      <c r="J726" s="10" t="s">
        <v>1052</v>
      </c>
      <c r="K726" s="6">
        <v>996.0</v>
      </c>
      <c r="L726" s="6" t="s">
        <v>3920</v>
      </c>
      <c r="M726" s="6" t="s">
        <v>2230</v>
      </c>
    </row>
    <row r="727" ht="22.5" customHeight="1">
      <c r="A727" s="14">
        <v>46107.59064239584</v>
      </c>
      <c r="B727" s="6" t="s">
        <v>2282</v>
      </c>
      <c r="C727" s="10" t="s">
        <v>515</v>
      </c>
      <c r="D727" s="13">
        <v>1.0</v>
      </c>
      <c r="E727" s="13">
        <v>50.0</v>
      </c>
      <c r="F727" s="13">
        <v>60.0</v>
      </c>
      <c r="G727" s="6">
        <v>60.0</v>
      </c>
      <c r="H727" s="6">
        <v>60.0</v>
      </c>
      <c r="I727" s="6">
        <v>10.0</v>
      </c>
      <c r="J727" s="10" t="s">
        <v>31</v>
      </c>
      <c r="K727" s="6">
        <v>994.0</v>
      </c>
      <c r="L727" s="6" t="s">
        <v>3922</v>
      </c>
      <c r="M727" s="6" t="s">
        <v>2230</v>
      </c>
    </row>
    <row r="728" ht="22.5" customHeight="1">
      <c r="A728" s="14">
        <v>46107.59064200232</v>
      </c>
      <c r="B728" s="6" t="s">
        <v>2282</v>
      </c>
      <c r="C728" s="10" t="s">
        <v>982</v>
      </c>
      <c r="D728" s="13">
        <v>1.0</v>
      </c>
      <c r="E728" s="13">
        <v>125.0</v>
      </c>
      <c r="F728" s="13">
        <v>150.0</v>
      </c>
      <c r="G728" s="6">
        <v>150.0</v>
      </c>
      <c r="H728" s="6">
        <v>150.0</v>
      </c>
      <c r="I728" s="6">
        <v>25.0</v>
      </c>
      <c r="J728" s="10" t="s">
        <v>125</v>
      </c>
      <c r="K728" s="6">
        <v>993.0</v>
      </c>
      <c r="L728" s="6" t="s">
        <v>3924</v>
      </c>
      <c r="M728" s="6" t="s">
        <v>2230</v>
      </c>
    </row>
    <row r="729" ht="22.5" customHeight="1">
      <c r="A729" s="14">
        <v>46107.590641469906</v>
      </c>
      <c r="B729" s="6" t="s">
        <v>2282</v>
      </c>
      <c r="C729" s="10" t="s">
        <v>111</v>
      </c>
      <c r="D729" s="13">
        <v>1.0</v>
      </c>
      <c r="E729" s="13">
        <v>200.0</v>
      </c>
      <c r="F729" s="13">
        <v>250.0</v>
      </c>
      <c r="G729" s="6">
        <v>250.0</v>
      </c>
      <c r="H729" s="6">
        <v>250.0</v>
      </c>
      <c r="I729" s="6">
        <v>50.0</v>
      </c>
      <c r="J729" s="10" t="s">
        <v>154</v>
      </c>
      <c r="K729" s="6">
        <v>991.0</v>
      </c>
      <c r="L729" s="6" t="s">
        <v>3926</v>
      </c>
      <c r="M729" s="6" t="s">
        <v>2230</v>
      </c>
    </row>
    <row r="730" ht="22.5" customHeight="1">
      <c r="A730" s="14">
        <v>46107.59064070602</v>
      </c>
      <c r="B730" s="6" t="s">
        <v>2282</v>
      </c>
      <c r="C730" s="10" t="s">
        <v>861</v>
      </c>
      <c r="D730" s="13">
        <v>1.0</v>
      </c>
      <c r="E730" s="13">
        <v>23.33</v>
      </c>
      <c r="F730" s="13">
        <v>30.0</v>
      </c>
      <c r="G730" s="6">
        <v>30.0</v>
      </c>
      <c r="H730" s="6">
        <v>30.0</v>
      </c>
      <c r="I730" s="6">
        <v>6.67</v>
      </c>
      <c r="J730" s="10"/>
      <c r="K730" s="6">
        <v>990.0</v>
      </c>
      <c r="L730" s="6" t="s">
        <v>3928</v>
      </c>
      <c r="M730" s="6" t="s">
        <v>2230</v>
      </c>
    </row>
    <row r="731" ht="22.5" customHeight="1">
      <c r="A731" s="14">
        <v>46107.59064010417</v>
      </c>
      <c r="B731" s="6" t="s">
        <v>2282</v>
      </c>
      <c r="C731" s="10" t="s">
        <v>123</v>
      </c>
      <c r="D731" s="13">
        <v>1.0</v>
      </c>
      <c r="E731" s="13">
        <v>490.0</v>
      </c>
      <c r="F731" s="13">
        <v>650.0</v>
      </c>
      <c r="G731" s="6">
        <v>650.0</v>
      </c>
      <c r="H731" s="6">
        <v>650.0</v>
      </c>
      <c r="I731" s="6">
        <v>160.0</v>
      </c>
      <c r="J731" s="10" t="s">
        <v>125</v>
      </c>
      <c r="K731" s="6">
        <v>989.0</v>
      </c>
      <c r="L731" s="6" t="s">
        <v>3931</v>
      </c>
      <c r="M731" s="6" t="s">
        <v>2230</v>
      </c>
    </row>
    <row r="732" ht="22.5" customHeight="1">
      <c r="A732" s="14">
        <v>46107.59063939815</v>
      </c>
      <c r="B732" s="6" t="s">
        <v>2282</v>
      </c>
      <c r="C732" s="10" t="s">
        <v>1129</v>
      </c>
      <c r="D732" s="13">
        <v>3.0</v>
      </c>
      <c r="E732" s="13">
        <v>8.0</v>
      </c>
      <c r="F732" s="13">
        <v>10.0</v>
      </c>
      <c r="G732" s="6">
        <v>10.0</v>
      </c>
      <c r="H732" s="6">
        <v>30.0</v>
      </c>
      <c r="I732" s="6">
        <v>6.0</v>
      </c>
      <c r="J732" s="10" t="s">
        <v>125</v>
      </c>
      <c r="K732" s="6">
        <v>988.0</v>
      </c>
      <c r="L732" s="6" t="s">
        <v>3934</v>
      </c>
      <c r="M732" s="6" t="s">
        <v>2230</v>
      </c>
    </row>
    <row r="733" ht="22.5" customHeight="1">
      <c r="A733" s="14">
        <v>46107.59063849537</v>
      </c>
      <c r="B733" s="6" t="s">
        <v>2282</v>
      </c>
      <c r="C733" s="10" t="s">
        <v>1049</v>
      </c>
      <c r="D733" s="13">
        <v>1.0</v>
      </c>
      <c r="E733" s="13">
        <v>95.0</v>
      </c>
      <c r="F733" s="13">
        <v>190.0</v>
      </c>
      <c r="G733" s="6">
        <v>190.0</v>
      </c>
      <c r="H733" s="6">
        <v>190.0</v>
      </c>
      <c r="I733" s="6">
        <v>95.0</v>
      </c>
      <c r="J733" s="10" t="s">
        <v>154</v>
      </c>
      <c r="K733" s="6">
        <v>987.0</v>
      </c>
      <c r="L733" s="6" t="s">
        <v>3936</v>
      </c>
      <c r="M733" s="6" t="s">
        <v>2230</v>
      </c>
    </row>
    <row r="734" ht="22.5" customHeight="1">
      <c r="A734" s="14">
        <v>46107.59063762732</v>
      </c>
      <c r="B734" s="6" t="s">
        <v>2282</v>
      </c>
      <c r="C734" s="10" t="s">
        <v>177</v>
      </c>
      <c r="D734" s="13">
        <v>2.0</v>
      </c>
      <c r="E734" s="13">
        <v>75.0</v>
      </c>
      <c r="F734" s="13">
        <v>150.0</v>
      </c>
      <c r="G734" s="6">
        <v>150.0</v>
      </c>
      <c r="H734" s="6">
        <v>300.0</v>
      </c>
      <c r="I734" s="6">
        <v>150.0</v>
      </c>
      <c r="J734" s="10" t="s">
        <v>154</v>
      </c>
      <c r="K734" s="6">
        <v>986.0</v>
      </c>
      <c r="L734" s="6" t="s">
        <v>3939</v>
      </c>
      <c r="M734" s="6" t="s">
        <v>2230</v>
      </c>
    </row>
    <row r="735" ht="22.5" customHeight="1">
      <c r="A735" s="14">
        <v>46107.59063690972</v>
      </c>
      <c r="B735" s="6" t="s">
        <v>2282</v>
      </c>
      <c r="C735" s="10" t="s">
        <v>841</v>
      </c>
      <c r="D735" s="13">
        <v>1.0</v>
      </c>
      <c r="E735" s="13">
        <v>15.0</v>
      </c>
      <c r="F735" s="13">
        <v>30.0</v>
      </c>
      <c r="G735" s="6">
        <v>30.0</v>
      </c>
      <c r="H735" s="6">
        <v>30.0</v>
      </c>
      <c r="I735" s="6">
        <v>15.0</v>
      </c>
      <c r="J735" s="10"/>
      <c r="K735" s="6">
        <v>985.0</v>
      </c>
      <c r="L735" s="6" t="s">
        <v>3942</v>
      </c>
      <c r="M735" s="6" t="s">
        <v>2230</v>
      </c>
    </row>
    <row r="736" ht="22.5" customHeight="1">
      <c r="A736" s="14">
        <v>46107.59063633102</v>
      </c>
      <c r="B736" s="6" t="s">
        <v>2282</v>
      </c>
      <c r="C736" s="10" t="s">
        <v>549</v>
      </c>
      <c r="D736" s="13">
        <v>1.0</v>
      </c>
      <c r="E736" s="13">
        <v>17.5</v>
      </c>
      <c r="F736" s="13">
        <v>25.0</v>
      </c>
      <c r="G736" s="6">
        <v>25.0</v>
      </c>
      <c r="H736" s="6">
        <v>25.0</v>
      </c>
      <c r="I736" s="6">
        <v>7.5</v>
      </c>
      <c r="J736" s="10" t="s">
        <v>119</v>
      </c>
      <c r="K736" s="6">
        <v>984.0</v>
      </c>
      <c r="L736" s="6" t="s">
        <v>3944</v>
      </c>
      <c r="M736" s="6" t="s">
        <v>2230</v>
      </c>
    </row>
    <row r="737" ht="22.5" customHeight="1">
      <c r="A737" s="14">
        <v>46107.59063571759</v>
      </c>
      <c r="B737" s="6" t="s">
        <v>2282</v>
      </c>
      <c r="C737" s="10" t="s">
        <v>248</v>
      </c>
      <c r="D737" s="13">
        <v>2.0</v>
      </c>
      <c r="E737" s="13">
        <v>100.0</v>
      </c>
      <c r="F737" s="13">
        <v>150.0</v>
      </c>
      <c r="G737" s="6">
        <v>150.0</v>
      </c>
      <c r="H737" s="6">
        <v>300.0</v>
      </c>
      <c r="I737" s="6">
        <v>100.0</v>
      </c>
      <c r="J737" s="10" t="s">
        <v>154</v>
      </c>
      <c r="K737" s="6">
        <v>983.0</v>
      </c>
      <c r="L737" s="6" t="s">
        <v>3946</v>
      </c>
      <c r="M737" s="6" t="s">
        <v>2230</v>
      </c>
    </row>
    <row r="738" ht="22.5" customHeight="1">
      <c r="A738" s="14">
        <v>46107.59063503472</v>
      </c>
      <c r="B738" s="6" t="s">
        <v>2282</v>
      </c>
      <c r="C738" s="10" t="s">
        <v>100</v>
      </c>
      <c r="D738" s="13">
        <v>2.0</v>
      </c>
      <c r="E738" s="13">
        <v>400.0</v>
      </c>
      <c r="F738" s="13">
        <v>500.0</v>
      </c>
      <c r="G738" s="6">
        <v>500.0</v>
      </c>
      <c r="H738" s="6">
        <v>1000.0</v>
      </c>
      <c r="I738" s="6">
        <v>200.0</v>
      </c>
      <c r="J738" s="10" t="s">
        <v>154</v>
      </c>
      <c r="K738" s="6">
        <v>982.0</v>
      </c>
      <c r="L738" s="6" t="s">
        <v>3948</v>
      </c>
      <c r="M738" s="6" t="s">
        <v>2230</v>
      </c>
    </row>
    <row r="739" ht="22.5" customHeight="1">
      <c r="A739" s="14">
        <v>46107.590634513894</v>
      </c>
      <c r="B739" s="6" t="s">
        <v>2282</v>
      </c>
      <c r="C739" s="10" t="s">
        <v>645</v>
      </c>
      <c r="D739" s="13">
        <v>4.0</v>
      </c>
      <c r="E739" s="13">
        <v>17.0</v>
      </c>
      <c r="F739" s="13">
        <v>25.0</v>
      </c>
      <c r="G739" s="6">
        <v>25.0</v>
      </c>
      <c r="H739" s="6">
        <v>100.0</v>
      </c>
      <c r="I739" s="6">
        <v>32.0</v>
      </c>
      <c r="J739" s="10" t="s">
        <v>1052</v>
      </c>
      <c r="K739" s="6">
        <v>981.0</v>
      </c>
      <c r="L739" s="6" t="s">
        <v>3950</v>
      </c>
      <c r="M739" s="6" t="s">
        <v>2230</v>
      </c>
    </row>
    <row r="740" ht="22.5" customHeight="1">
      <c r="A740" s="14">
        <v>46107.59063385417</v>
      </c>
      <c r="B740" s="6" t="s">
        <v>2282</v>
      </c>
      <c r="C740" s="10" t="s">
        <v>554</v>
      </c>
      <c r="D740" s="13">
        <v>2.0</v>
      </c>
      <c r="E740" s="13">
        <v>23.22222222222222</v>
      </c>
      <c r="F740" s="13">
        <v>40.0</v>
      </c>
      <c r="G740" s="6">
        <v>40.0</v>
      </c>
      <c r="H740" s="6">
        <v>80.0</v>
      </c>
      <c r="I740" s="6">
        <v>33.56</v>
      </c>
      <c r="J740" s="6" t="s">
        <v>54</v>
      </c>
      <c r="K740" s="6">
        <v>980.0</v>
      </c>
      <c r="L740" s="6" t="s">
        <v>3953</v>
      </c>
      <c r="M740" s="6" t="s">
        <v>2230</v>
      </c>
    </row>
    <row r="741" ht="22.5" customHeight="1">
      <c r="A741" s="14">
        <v>46107.59063335648</v>
      </c>
      <c r="B741" s="6" t="s">
        <v>2282</v>
      </c>
      <c r="C741" s="10" t="s">
        <v>91</v>
      </c>
      <c r="D741" s="13">
        <v>1.0</v>
      </c>
      <c r="E741" s="13">
        <v>35.0</v>
      </c>
      <c r="F741" s="13">
        <v>50.0</v>
      </c>
      <c r="G741" s="6">
        <v>50.0</v>
      </c>
      <c r="H741" s="6">
        <v>50.0</v>
      </c>
      <c r="I741" s="6">
        <v>15.0</v>
      </c>
      <c r="J741" s="10" t="s">
        <v>436</v>
      </c>
      <c r="K741" s="6">
        <v>979.0</v>
      </c>
      <c r="L741" s="6" t="s">
        <v>3955</v>
      </c>
      <c r="M741" s="6" t="s">
        <v>2230</v>
      </c>
    </row>
    <row r="742" ht="22.5" hidden="1" customHeight="1">
      <c r="A742" s="37"/>
      <c r="B742" s="5" t="s">
        <v>2262</v>
      </c>
      <c r="C742" s="19" t="s">
        <v>852</v>
      </c>
      <c r="D742" s="17">
        <v>18.0</v>
      </c>
      <c r="E742" s="17">
        <v>10.0</v>
      </c>
      <c r="F742" s="5">
        <v>180.0</v>
      </c>
      <c r="G742" s="19" t="s">
        <v>154</v>
      </c>
      <c r="H742" s="5">
        <v>361.0</v>
      </c>
      <c r="I742" s="19"/>
      <c r="J742" s="5" t="s">
        <v>3957</v>
      </c>
      <c r="K742" s="5" t="s">
        <v>2230</v>
      </c>
      <c r="L742" s="5"/>
      <c r="M742" s="5"/>
    </row>
    <row r="743" ht="22.5" hidden="1" customHeight="1">
      <c r="A743" s="37"/>
      <c r="B743" s="5" t="s">
        <v>2262</v>
      </c>
      <c r="C743" s="19" t="s">
        <v>255</v>
      </c>
      <c r="D743" s="17">
        <v>18.0</v>
      </c>
      <c r="E743" s="17">
        <v>20.0</v>
      </c>
      <c r="F743" s="5">
        <v>360.0</v>
      </c>
      <c r="G743" s="19" t="s">
        <v>154</v>
      </c>
      <c r="H743" s="5">
        <v>362.0</v>
      </c>
      <c r="I743" s="5" t="s">
        <v>1062</v>
      </c>
      <c r="J743" s="5" t="s">
        <v>3959</v>
      </c>
      <c r="K743" s="5" t="s">
        <v>2230</v>
      </c>
      <c r="L743" s="5"/>
      <c r="M743" s="5"/>
    </row>
    <row r="744" ht="22.5" hidden="1" customHeight="1">
      <c r="A744" s="37"/>
      <c r="B744" s="5" t="s">
        <v>2262</v>
      </c>
      <c r="C744" s="19" t="s">
        <v>1067</v>
      </c>
      <c r="D744" s="17">
        <v>2.0</v>
      </c>
      <c r="E744" s="17">
        <v>65.0</v>
      </c>
      <c r="F744" s="5">
        <v>130.0</v>
      </c>
      <c r="G744" s="19" t="s">
        <v>154</v>
      </c>
      <c r="H744" s="5">
        <v>363.0</v>
      </c>
      <c r="I744" s="5" t="s">
        <v>1066</v>
      </c>
      <c r="J744" s="5" t="s">
        <v>3961</v>
      </c>
      <c r="K744" s="5" t="s">
        <v>2230</v>
      </c>
      <c r="L744" s="5"/>
      <c r="M744" s="5"/>
    </row>
    <row r="745" ht="22.5" hidden="1" customHeight="1">
      <c r="A745" s="37"/>
      <c r="B745" s="5" t="s">
        <v>2262</v>
      </c>
      <c r="C745" s="19" t="s">
        <v>756</v>
      </c>
      <c r="D745" s="17">
        <v>12.0</v>
      </c>
      <c r="E745" s="17">
        <v>30.0</v>
      </c>
      <c r="F745" s="5">
        <v>360.0</v>
      </c>
      <c r="G745" s="19" t="s">
        <v>154</v>
      </c>
      <c r="H745" s="5">
        <v>364.0</v>
      </c>
      <c r="I745" s="5" t="s">
        <v>1069</v>
      </c>
      <c r="J745" s="5" t="s">
        <v>3963</v>
      </c>
      <c r="K745" s="5" t="s">
        <v>2230</v>
      </c>
      <c r="L745" s="5"/>
      <c r="M745" s="5"/>
    </row>
    <row r="746" ht="22.5" hidden="1" customHeight="1">
      <c r="A746" s="37"/>
      <c r="B746" s="5" t="s">
        <v>2262</v>
      </c>
      <c r="C746" s="19" t="s">
        <v>662</v>
      </c>
      <c r="D746" s="17">
        <v>6.0</v>
      </c>
      <c r="E746" s="17">
        <v>50.0</v>
      </c>
      <c r="F746" s="19" t="s">
        <v>1052</v>
      </c>
      <c r="G746" s="5">
        <v>365.0</v>
      </c>
      <c r="H746" s="5" t="s">
        <v>2522</v>
      </c>
      <c r="I746" s="19"/>
      <c r="J746" s="19"/>
      <c r="K746" s="17"/>
      <c r="L746" s="5"/>
      <c r="M746" s="5"/>
    </row>
    <row r="747" ht="22.5" hidden="1" customHeight="1">
      <c r="A747" s="37"/>
      <c r="B747" s="5" t="s">
        <v>2262</v>
      </c>
      <c r="C747" s="19" t="s">
        <v>667</v>
      </c>
      <c r="D747" s="17">
        <v>10.0</v>
      </c>
      <c r="E747" s="17">
        <v>55.0</v>
      </c>
      <c r="F747" s="19" t="s">
        <v>1052</v>
      </c>
      <c r="G747" s="5">
        <v>366.0</v>
      </c>
      <c r="H747" s="5" t="s">
        <v>2522</v>
      </c>
      <c r="I747" s="19"/>
      <c r="J747" s="19"/>
      <c r="K747" s="17"/>
      <c r="L747" s="5"/>
      <c r="M747" s="5"/>
    </row>
    <row r="748" ht="22.5" hidden="1" customHeight="1">
      <c r="A748" s="37"/>
      <c r="B748" s="5" t="s">
        <v>2234</v>
      </c>
      <c r="C748" s="19" t="s">
        <v>3968</v>
      </c>
      <c r="D748" s="17">
        <v>1.0</v>
      </c>
      <c r="E748" s="17">
        <v>20.0</v>
      </c>
      <c r="F748" s="19"/>
      <c r="G748" s="5"/>
      <c r="H748" s="5">
        <v>20.0</v>
      </c>
      <c r="I748" s="19"/>
      <c r="J748" s="19" t="s">
        <v>3969</v>
      </c>
      <c r="K748" s="5" t="s">
        <v>3971</v>
      </c>
      <c r="L748" s="5" t="s">
        <v>2237</v>
      </c>
      <c r="M748" s="5" t="s">
        <v>2230</v>
      </c>
    </row>
    <row r="749" ht="22.5" hidden="1" customHeight="1">
      <c r="A749" s="37"/>
      <c r="B749" s="5" t="s">
        <v>2234</v>
      </c>
      <c r="C749" s="19" t="s">
        <v>3972</v>
      </c>
      <c r="D749" s="17">
        <v>1.0</v>
      </c>
      <c r="E749" s="17">
        <v>20.0</v>
      </c>
      <c r="F749" s="19"/>
      <c r="G749" s="5"/>
      <c r="H749" s="5">
        <v>20.0</v>
      </c>
      <c r="I749" s="19"/>
      <c r="J749" s="19" t="s">
        <v>3969</v>
      </c>
      <c r="K749" s="5" t="s">
        <v>3971</v>
      </c>
      <c r="L749" s="5" t="s">
        <v>2237</v>
      </c>
      <c r="M749" s="5" t="s">
        <v>2230</v>
      </c>
    </row>
    <row r="750" ht="22.5" hidden="1" customHeight="1">
      <c r="A750" s="37"/>
      <c r="B750" s="5" t="s">
        <v>2225</v>
      </c>
      <c r="C750" s="19" t="s">
        <v>3974</v>
      </c>
      <c r="D750" s="17">
        <v>5.0</v>
      </c>
      <c r="E750" s="17">
        <v>8.0</v>
      </c>
      <c r="F750" s="19"/>
      <c r="G750" s="5"/>
      <c r="H750" s="5">
        <v>40.0</v>
      </c>
      <c r="I750" s="19"/>
      <c r="J750" s="5" t="s">
        <v>54</v>
      </c>
      <c r="K750" s="5" t="s">
        <v>3971</v>
      </c>
      <c r="L750" s="5" t="s">
        <v>2228</v>
      </c>
      <c r="M750" s="5" t="s">
        <v>2230</v>
      </c>
    </row>
    <row r="751" ht="22.5" hidden="1" customHeight="1">
      <c r="A751" s="37"/>
      <c r="B751" s="5" t="s">
        <v>2234</v>
      </c>
      <c r="C751" s="19" t="s">
        <v>3968</v>
      </c>
      <c r="D751" s="17">
        <v>1.0</v>
      </c>
      <c r="E751" s="17">
        <v>20.0</v>
      </c>
      <c r="F751" s="19"/>
      <c r="G751" s="5"/>
      <c r="H751" s="5">
        <v>20.0</v>
      </c>
      <c r="I751" s="19"/>
      <c r="J751" s="19" t="s">
        <v>3969</v>
      </c>
      <c r="K751" s="5" t="s">
        <v>3971</v>
      </c>
      <c r="L751" s="5" t="s">
        <v>2237</v>
      </c>
      <c r="M751" s="5" t="s">
        <v>2230</v>
      </c>
    </row>
    <row r="752" ht="22.5" hidden="1" customHeight="1">
      <c r="A752" s="37"/>
      <c r="B752" s="5" t="s">
        <v>2234</v>
      </c>
      <c r="C752" s="19" t="s">
        <v>3972</v>
      </c>
      <c r="D752" s="17">
        <v>5.0</v>
      </c>
      <c r="E752" s="17">
        <v>20.0</v>
      </c>
      <c r="F752" s="19"/>
      <c r="G752" s="5"/>
      <c r="H752" s="5">
        <v>100.0</v>
      </c>
      <c r="I752" s="19"/>
      <c r="J752" s="19" t="s">
        <v>3969</v>
      </c>
      <c r="K752" s="5" t="s">
        <v>3971</v>
      </c>
      <c r="L752" s="5" t="s">
        <v>2237</v>
      </c>
      <c r="M752" s="5" t="s">
        <v>2230</v>
      </c>
    </row>
    <row r="753" ht="22.5" hidden="1" customHeight="1">
      <c r="A753" s="37"/>
      <c r="B753" s="5" t="s">
        <v>2225</v>
      </c>
      <c r="C753" s="19" t="s">
        <v>3974</v>
      </c>
      <c r="D753" s="17">
        <v>4.0</v>
      </c>
      <c r="E753" s="17">
        <v>30.0</v>
      </c>
      <c r="F753" s="19"/>
      <c r="G753" s="5"/>
      <c r="H753" s="5">
        <v>120.0</v>
      </c>
      <c r="I753" s="19"/>
      <c r="J753" s="5" t="s">
        <v>54</v>
      </c>
      <c r="K753" s="5" t="s">
        <v>3971</v>
      </c>
      <c r="L753" s="5" t="s">
        <v>2228</v>
      </c>
      <c r="M753" s="5" t="s">
        <v>2230</v>
      </c>
    </row>
    <row r="754" ht="22.5" hidden="1" customHeight="1">
      <c r="A754" s="37"/>
      <c r="B754" s="5" t="s">
        <v>2234</v>
      </c>
      <c r="C754" s="19" t="s">
        <v>3968</v>
      </c>
      <c r="D754" s="17">
        <v>1.0</v>
      </c>
      <c r="E754" s="17">
        <v>20.0</v>
      </c>
      <c r="F754" s="19"/>
      <c r="G754" s="5"/>
      <c r="H754" s="5">
        <v>20.0</v>
      </c>
      <c r="I754" s="19"/>
      <c r="J754" s="19" t="s">
        <v>3969</v>
      </c>
      <c r="K754" s="5" t="s">
        <v>3971</v>
      </c>
      <c r="L754" s="5" t="s">
        <v>2237</v>
      </c>
      <c r="M754" s="5" t="s">
        <v>2230</v>
      </c>
    </row>
    <row r="755" ht="22.5" hidden="1" customHeight="1">
      <c r="A755" s="37"/>
      <c r="B755" s="5" t="s">
        <v>2234</v>
      </c>
      <c r="C755" s="19" t="s">
        <v>3972</v>
      </c>
      <c r="D755" s="17">
        <v>4.0</v>
      </c>
      <c r="E755" s="17">
        <v>20.0</v>
      </c>
      <c r="F755" s="19"/>
      <c r="G755" s="5"/>
      <c r="H755" s="5">
        <v>80.0</v>
      </c>
      <c r="I755" s="19"/>
      <c r="J755" s="19" t="s">
        <v>3969</v>
      </c>
      <c r="K755" s="5" t="s">
        <v>3971</v>
      </c>
      <c r="L755" s="5" t="s">
        <v>2237</v>
      </c>
      <c r="M755" s="5" t="s">
        <v>2230</v>
      </c>
    </row>
    <row r="756" ht="22.5" hidden="1" customHeight="1">
      <c r="A756" s="37"/>
      <c r="B756" s="5" t="s">
        <v>2225</v>
      </c>
      <c r="C756" s="19" t="s">
        <v>3974</v>
      </c>
      <c r="D756" s="17">
        <v>4.0</v>
      </c>
      <c r="E756" s="17">
        <v>25.0</v>
      </c>
      <c r="F756" s="19"/>
      <c r="G756" s="5"/>
      <c r="H756" s="5">
        <v>100.0</v>
      </c>
      <c r="I756" s="19"/>
      <c r="J756" s="5" t="s">
        <v>54</v>
      </c>
      <c r="K756" s="5" t="s">
        <v>3971</v>
      </c>
      <c r="L756" s="5" t="s">
        <v>2228</v>
      </c>
      <c r="M756" s="5" t="s">
        <v>2230</v>
      </c>
    </row>
    <row r="757" ht="22.5" hidden="1" customHeight="1">
      <c r="A757" s="37"/>
      <c r="B757" s="5" t="s">
        <v>2234</v>
      </c>
      <c r="C757" s="19" t="s">
        <v>3968</v>
      </c>
      <c r="D757" s="17">
        <v>1.0</v>
      </c>
      <c r="E757" s="17">
        <v>20.0</v>
      </c>
      <c r="F757" s="19"/>
      <c r="G757" s="5"/>
      <c r="H757" s="5">
        <v>20.0</v>
      </c>
      <c r="I757" s="19"/>
      <c r="J757" s="19" t="s">
        <v>3969</v>
      </c>
      <c r="K757" s="5" t="s">
        <v>3971</v>
      </c>
      <c r="L757" s="5" t="s">
        <v>2237</v>
      </c>
      <c r="M757" s="5" t="s">
        <v>2230</v>
      </c>
    </row>
    <row r="758" ht="22.5" hidden="1" customHeight="1">
      <c r="A758" s="37"/>
      <c r="B758" s="5" t="s">
        <v>2234</v>
      </c>
      <c r="C758" s="19" t="s">
        <v>3972</v>
      </c>
      <c r="D758" s="17">
        <v>4.0</v>
      </c>
      <c r="E758" s="17">
        <v>20.0</v>
      </c>
      <c r="F758" s="19"/>
      <c r="G758" s="5"/>
      <c r="H758" s="5">
        <v>80.0</v>
      </c>
      <c r="I758" s="19"/>
      <c r="J758" s="19" t="s">
        <v>3969</v>
      </c>
      <c r="K758" s="5" t="s">
        <v>3971</v>
      </c>
      <c r="L758" s="5" t="s">
        <v>2237</v>
      </c>
      <c r="M758" s="5" t="s">
        <v>2230</v>
      </c>
    </row>
    <row r="759" ht="22.5" hidden="1" customHeight="1">
      <c r="A759" s="37"/>
      <c r="B759" s="5" t="s">
        <v>2225</v>
      </c>
      <c r="C759" s="19" t="s">
        <v>3974</v>
      </c>
      <c r="D759" s="17">
        <v>2.0</v>
      </c>
      <c r="E759" s="17" t="e">
        <v>#NUM!</v>
      </c>
      <c r="F759" s="19"/>
      <c r="G759" s="5"/>
      <c r="H759" s="5" t="e">
        <v>#NUM!</v>
      </c>
      <c r="I759" s="19"/>
      <c r="J759" s="5" t="s">
        <v>54</v>
      </c>
      <c r="K759" s="5" t="s">
        <v>3971</v>
      </c>
      <c r="L759" s="5" t="s">
        <v>2228</v>
      </c>
      <c r="M759" s="5" t="s">
        <v>2230</v>
      </c>
    </row>
    <row r="760" ht="22.5" hidden="1" customHeight="1">
      <c r="A760" s="37"/>
      <c r="B760" s="5" t="s">
        <v>2225</v>
      </c>
      <c r="C760" s="19" t="s">
        <v>3999</v>
      </c>
      <c r="D760" s="17">
        <v>2.0</v>
      </c>
      <c r="E760" s="17" t="e">
        <v>#NUM!</v>
      </c>
      <c r="F760" s="19"/>
      <c r="G760" s="5"/>
      <c r="H760" s="5" t="e">
        <v>#NUM!</v>
      </c>
      <c r="I760" s="19"/>
      <c r="J760" s="5" t="s">
        <v>54</v>
      </c>
      <c r="K760" s="5" t="s">
        <v>3971</v>
      </c>
      <c r="L760" s="5" t="s">
        <v>2228</v>
      </c>
      <c r="M760" s="5" t="s">
        <v>2230</v>
      </c>
    </row>
    <row r="761" ht="22.5" hidden="1" customHeight="1">
      <c r="A761" s="37"/>
      <c r="B761" s="5" t="s">
        <v>2234</v>
      </c>
      <c r="C761" s="19" t="s">
        <v>852</v>
      </c>
      <c r="D761" s="17">
        <v>1.0</v>
      </c>
      <c r="E761" s="17">
        <v>10.0</v>
      </c>
      <c r="F761" s="19"/>
      <c r="G761" s="5"/>
      <c r="H761" s="5">
        <v>10.0</v>
      </c>
      <c r="I761" s="19"/>
      <c r="J761" s="19" t="s">
        <v>154</v>
      </c>
      <c r="K761" s="5" t="s">
        <v>3971</v>
      </c>
      <c r="L761" s="5" t="s">
        <v>2237</v>
      </c>
      <c r="M761" s="5" t="s">
        <v>2230</v>
      </c>
    </row>
    <row r="762" ht="22.5" hidden="1" customHeight="1">
      <c r="A762" s="37"/>
      <c r="B762" s="5" t="s">
        <v>2234</v>
      </c>
      <c r="C762" s="19" t="s">
        <v>756</v>
      </c>
      <c r="D762" s="17">
        <v>3.0</v>
      </c>
      <c r="E762" s="17">
        <v>30.0</v>
      </c>
      <c r="F762" s="19"/>
      <c r="G762" s="5"/>
      <c r="H762" s="5">
        <v>90.0</v>
      </c>
      <c r="I762" s="19"/>
      <c r="J762" s="19" t="s">
        <v>154</v>
      </c>
      <c r="K762" s="5" t="s">
        <v>3971</v>
      </c>
      <c r="L762" s="5" t="s">
        <v>2237</v>
      </c>
      <c r="M762" s="5" t="s">
        <v>2230</v>
      </c>
    </row>
    <row r="763" ht="22.5" hidden="1" customHeight="1">
      <c r="A763" s="37"/>
      <c r="B763" s="5" t="s">
        <v>2225</v>
      </c>
      <c r="C763" s="19" t="s">
        <v>699</v>
      </c>
      <c r="D763" s="17">
        <v>3.0</v>
      </c>
      <c r="E763" s="17">
        <v>33.333333333333336</v>
      </c>
      <c r="F763" s="19"/>
      <c r="G763" s="5"/>
      <c r="H763" s="5">
        <v>100.0</v>
      </c>
      <c r="I763" s="19"/>
      <c r="J763" s="5" t="s">
        <v>54</v>
      </c>
      <c r="K763" s="5" t="s">
        <v>3971</v>
      </c>
      <c r="L763" s="5" t="s">
        <v>2228</v>
      </c>
      <c r="M763" s="5" t="s">
        <v>2230</v>
      </c>
    </row>
    <row r="764" ht="22.5" hidden="1" customHeight="1">
      <c r="A764" s="37"/>
      <c r="B764" s="5" t="s">
        <v>2234</v>
      </c>
      <c r="C764" s="19" t="s">
        <v>852</v>
      </c>
      <c r="D764" s="17">
        <v>3.0</v>
      </c>
      <c r="E764" s="17">
        <v>10.0</v>
      </c>
      <c r="F764" s="19"/>
      <c r="G764" s="5"/>
      <c r="H764" s="5">
        <v>30.0</v>
      </c>
      <c r="I764" s="19"/>
      <c r="J764" s="19" t="s">
        <v>154</v>
      </c>
      <c r="K764" s="5" t="s">
        <v>3971</v>
      </c>
      <c r="L764" s="5" t="s">
        <v>2237</v>
      </c>
      <c r="M764" s="5" t="s">
        <v>2230</v>
      </c>
    </row>
    <row r="765" ht="22.5" hidden="1" customHeight="1">
      <c r="A765" s="37"/>
      <c r="B765" s="5" t="s">
        <v>2234</v>
      </c>
      <c r="C765" s="19" t="s">
        <v>756</v>
      </c>
      <c r="D765" s="17">
        <v>1.0</v>
      </c>
      <c r="E765" s="17">
        <v>30.0</v>
      </c>
      <c r="F765" s="19"/>
      <c r="G765" s="5"/>
      <c r="H765" s="5">
        <v>30.0</v>
      </c>
      <c r="I765" s="19"/>
      <c r="J765" s="19" t="s">
        <v>154</v>
      </c>
      <c r="K765" s="5" t="s">
        <v>3971</v>
      </c>
      <c r="L765" s="5" t="s">
        <v>2237</v>
      </c>
      <c r="M765" s="5" t="s">
        <v>2230</v>
      </c>
    </row>
    <row r="766" ht="22.5" hidden="1" customHeight="1">
      <c r="A766" s="37"/>
      <c r="B766" s="5" t="s">
        <v>2225</v>
      </c>
      <c r="C766" s="19" t="s">
        <v>699</v>
      </c>
      <c r="D766" s="17">
        <v>3.0</v>
      </c>
      <c r="E766" s="17">
        <v>20.0</v>
      </c>
      <c r="F766" s="19"/>
      <c r="G766" s="5"/>
      <c r="H766" s="5">
        <v>60.0</v>
      </c>
      <c r="I766" s="19"/>
      <c r="J766" s="5" t="s">
        <v>54</v>
      </c>
      <c r="K766" s="5" t="s">
        <v>3971</v>
      </c>
      <c r="L766" s="5" t="s">
        <v>2228</v>
      </c>
      <c r="M766" s="5" t="s">
        <v>2230</v>
      </c>
    </row>
    <row r="767" ht="22.5" hidden="1" customHeight="1">
      <c r="A767" s="37"/>
      <c r="B767" s="5" t="s">
        <v>2234</v>
      </c>
      <c r="C767" s="19" t="s">
        <v>852</v>
      </c>
      <c r="D767" s="17">
        <v>3.0</v>
      </c>
      <c r="E767" s="17">
        <v>10.0</v>
      </c>
      <c r="F767" s="19"/>
      <c r="G767" s="5"/>
      <c r="H767" s="5">
        <v>30.0</v>
      </c>
      <c r="I767" s="19"/>
      <c r="J767" s="19" t="s">
        <v>154</v>
      </c>
      <c r="K767" s="5" t="s">
        <v>3971</v>
      </c>
      <c r="L767" s="5" t="s">
        <v>2237</v>
      </c>
      <c r="M767" s="5" t="s">
        <v>2230</v>
      </c>
    </row>
    <row r="768" ht="22.5" hidden="1" customHeight="1">
      <c r="A768" s="37"/>
      <c r="B768" s="5" t="s">
        <v>2234</v>
      </c>
      <c r="C768" s="19" t="s">
        <v>756</v>
      </c>
      <c r="D768" s="17">
        <v>1.0</v>
      </c>
      <c r="E768" s="17">
        <v>30.0</v>
      </c>
      <c r="F768" s="19"/>
      <c r="G768" s="5"/>
      <c r="H768" s="5">
        <v>30.0</v>
      </c>
      <c r="I768" s="19"/>
      <c r="J768" s="19" t="s">
        <v>154</v>
      </c>
      <c r="K768" s="5" t="s">
        <v>3971</v>
      </c>
      <c r="L768" s="5" t="s">
        <v>2237</v>
      </c>
      <c r="M768" s="5" t="s">
        <v>2230</v>
      </c>
    </row>
    <row r="769" ht="22.5" hidden="1" customHeight="1">
      <c r="A769" s="37"/>
      <c r="B769" s="5" t="s">
        <v>2225</v>
      </c>
      <c r="C769" s="19" t="s">
        <v>699</v>
      </c>
      <c r="D769" s="17">
        <v>3.0</v>
      </c>
      <c r="E769" s="17">
        <v>20.0</v>
      </c>
      <c r="F769" s="19"/>
      <c r="G769" s="5"/>
      <c r="H769" s="5">
        <v>60.0</v>
      </c>
      <c r="I769" s="19"/>
      <c r="J769" s="5" t="s">
        <v>54</v>
      </c>
      <c r="K769" s="5" t="s">
        <v>3971</v>
      </c>
      <c r="L769" s="5" t="s">
        <v>2228</v>
      </c>
      <c r="M769" s="5" t="s">
        <v>2230</v>
      </c>
    </row>
    <row r="770" ht="22.5" hidden="1" customHeight="1">
      <c r="A770" s="37"/>
      <c r="B770" s="5" t="s">
        <v>2234</v>
      </c>
      <c r="C770" s="19" t="s">
        <v>391</v>
      </c>
      <c r="D770" s="17">
        <v>1.0</v>
      </c>
      <c r="E770" s="17">
        <v>85.0</v>
      </c>
      <c r="F770" s="19"/>
      <c r="G770" s="5"/>
      <c r="H770" s="5">
        <v>85.0</v>
      </c>
      <c r="I770" s="19"/>
      <c r="J770" s="19" t="s">
        <v>31</v>
      </c>
      <c r="K770" s="19" t="s">
        <v>2479</v>
      </c>
      <c r="L770" s="5" t="s">
        <v>2237</v>
      </c>
      <c r="M770" s="5" t="s">
        <v>2230</v>
      </c>
    </row>
    <row r="771" ht="22.5" hidden="1" customHeight="1">
      <c r="A771" s="37"/>
      <c r="B771" s="5" t="s">
        <v>2225</v>
      </c>
      <c r="C771" s="19" t="s">
        <v>753</v>
      </c>
      <c r="D771" s="17">
        <v>12.0</v>
      </c>
      <c r="E771" s="17">
        <v>7.083333333333333</v>
      </c>
      <c r="F771" s="19"/>
      <c r="G771" s="5"/>
      <c r="H771" s="5">
        <v>85.0</v>
      </c>
      <c r="I771" s="19"/>
      <c r="J771" s="5" t="s">
        <v>54</v>
      </c>
      <c r="K771" s="19" t="s">
        <v>2479</v>
      </c>
      <c r="L771" s="5" t="s">
        <v>2228</v>
      </c>
      <c r="M771" s="5" t="s">
        <v>2230</v>
      </c>
    </row>
    <row r="772" ht="22.5" hidden="1" customHeight="1">
      <c r="A772" s="37"/>
      <c r="B772" s="5" t="s">
        <v>2262</v>
      </c>
      <c r="C772" s="19" t="s">
        <v>799</v>
      </c>
      <c r="D772" s="17">
        <v>2.0</v>
      </c>
      <c r="E772" s="17">
        <v>145.0</v>
      </c>
      <c r="F772" s="5">
        <v>290.0</v>
      </c>
      <c r="G772" s="19" t="s">
        <v>119</v>
      </c>
      <c r="H772" s="5">
        <v>405.0</v>
      </c>
      <c r="I772" s="19"/>
      <c r="J772" s="5" t="s">
        <v>4023</v>
      </c>
      <c r="K772" s="5" t="s">
        <v>2230</v>
      </c>
      <c r="L772" s="5"/>
      <c r="M772" s="5"/>
    </row>
    <row r="773" ht="22.5" hidden="1" customHeight="1">
      <c r="A773" s="37"/>
      <c r="B773" s="5" t="s">
        <v>2262</v>
      </c>
      <c r="C773" s="19" t="s">
        <v>801</v>
      </c>
      <c r="D773" s="17">
        <v>4.0</v>
      </c>
      <c r="E773" s="17">
        <v>145.0</v>
      </c>
      <c r="F773" s="5">
        <v>580.0</v>
      </c>
      <c r="G773" s="19" t="s">
        <v>119</v>
      </c>
      <c r="H773" s="5">
        <v>406.0</v>
      </c>
      <c r="I773" s="5" t="s">
        <v>1143</v>
      </c>
      <c r="J773" s="5" t="s">
        <v>4025</v>
      </c>
      <c r="K773" s="5" t="s">
        <v>2230</v>
      </c>
      <c r="L773" s="5"/>
      <c r="M773" s="5"/>
    </row>
    <row r="774" ht="22.5" hidden="1" customHeight="1">
      <c r="A774" s="37"/>
      <c r="B774" s="5" t="s">
        <v>2262</v>
      </c>
      <c r="C774" s="19" t="s">
        <v>730</v>
      </c>
      <c r="D774" s="17">
        <v>1.0</v>
      </c>
      <c r="E774" s="17">
        <v>140.0</v>
      </c>
      <c r="F774" s="5">
        <v>140.0</v>
      </c>
      <c r="G774" s="19" t="s">
        <v>119</v>
      </c>
      <c r="H774" s="5">
        <v>407.0</v>
      </c>
      <c r="I774" s="5" t="s">
        <v>1144</v>
      </c>
      <c r="J774" s="5" t="s">
        <v>4027</v>
      </c>
      <c r="K774" s="5" t="s">
        <v>2230</v>
      </c>
      <c r="L774" s="5"/>
      <c r="M774" s="5"/>
    </row>
    <row r="775" ht="22.5" hidden="1" customHeight="1">
      <c r="A775" s="37"/>
      <c r="B775" s="5" t="s">
        <v>2262</v>
      </c>
      <c r="C775" s="19" t="s">
        <v>737</v>
      </c>
      <c r="D775" s="17">
        <v>1.0</v>
      </c>
      <c r="E775" s="17">
        <v>151.0</v>
      </c>
      <c r="F775" s="5">
        <v>151.0</v>
      </c>
      <c r="G775" s="19" t="s">
        <v>119</v>
      </c>
      <c r="H775" s="5">
        <v>408.0</v>
      </c>
      <c r="I775" s="5" t="s">
        <v>1145</v>
      </c>
      <c r="J775" s="5" t="s">
        <v>4029</v>
      </c>
      <c r="K775" s="5" t="s">
        <v>2230</v>
      </c>
      <c r="L775" s="5"/>
      <c r="M775" s="5"/>
    </row>
    <row r="776" ht="22.5" hidden="1" customHeight="1">
      <c r="A776" s="37"/>
      <c r="B776" s="5" t="s">
        <v>2262</v>
      </c>
      <c r="C776" s="19" t="s">
        <v>1123</v>
      </c>
      <c r="D776" s="17">
        <v>1.0</v>
      </c>
      <c r="E776" s="17">
        <v>95.0</v>
      </c>
      <c r="F776" s="5">
        <v>95.0</v>
      </c>
      <c r="G776" s="19" t="s">
        <v>119</v>
      </c>
      <c r="H776" s="5">
        <v>409.0</v>
      </c>
      <c r="I776" s="5" t="s">
        <v>1148</v>
      </c>
      <c r="J776" s="5" t="s">
        <v>4031</v>
      </c>
      <c r="K776" s="5" t="s">
        <v>2230</v>
      </c>
      <c r="L776" s="5"/>
      <c r="M776" s="5"/>
    </row>
    <row r="777" ht="22.5" hidden="1" customHeight="1">
      <c r="A777" s="37"/>
      <c r="B777" s="5" t="s">
        <v>2262</v>
      </c>
      <c r="C777" s="19" t="s">
        <v>729</v>
      </c>
      <c r="D777" s="17">
        <v>2.0</v>
      </c>
      <c r="E777" s="17">
        <v>154.0</v>
      </c>
      <c r="F777" s="5">
        <v>308.0</v>
      </c>
      <c r="G777" s="19" t="s">
        <v>119</v>
      </c>
      <c r="H777" s="5">
        <v>410.0</v>
      </c>
      <c r="I777" s="5" t="s">
        <v>1149</v>
      </c>
      <c r="J777" s="5" t="s">
        <v>4033</v>
      </c>
      <c r="K777" s="5" t="s">
        <v>2230</v>
      </c>
      <c r="L777" s="5"/>
      <c r="M777" s="5"/>
    </row>
    <row r="778" ht="22.5" hidden="1" customHeight="1">
      <c r="A778" s="37"/>
      <c r="B778" s="5" t="s">
        <v>2262</v>
      </c>
      <c r="C778" s="19" t="s">
        <v>1126</v>
      </c>
      <c r="D778" s="17">
        <v>1.0</v>
      </c>
      <c r="E778" s="17">
        <v>95.0</v>
      </c>
      <c r="F778" s="5">
        <v>95.0</v>
      </c>
      <c r="G778" s="19" t="s">
        <v>119</v>
      </c>
      <c r="H778" s="5">
        <v>411.0</v>
      </c>
      <c r="I778" s="5" t="s">
        <v>1150</v>
      </c>
      <c r="J778" s="5" t="s">
        <v>4036</v>
      </c>
      <c r="K778" s="5" t="s">
        <v>2230</v>
      </c>
      <c r="L778" s="5"/>
      <c r="M778" s="5"/>
    </row>
    <row r="779" ht="22.5" hidden="1" customHeight="1">
      <c r="A779" s="37"/>
      <c r="B779" s="5" t="s">
        <v>2262</v>
      </c>
      <c r="C779" s="19" t="s">
        <v>666</v>
      </c>
      <c r="D779" s="17">
        <v>1.0</v>
      </c>
      <c r="E779" s="17">
        <v>165.0</v>
      </c>
      <c r="F779" s="5">
        <v>165.0</v>
      </c>
      <c r="G779" s="19" t="s">
        <v>119</v>
      </c>
      <c r="H779" s="5">
        <v>412.0</v>
      </c>
      <c r="I779" s="5" t="s">
        <v>1153</v>
      </c>
      <c r="J779" s="5" t="s">
        <v>4038</v>
      </c>
      <c r="K779" s="5" t="s">
        <v>2230</v>
      </c>
      <c r="L779" s="5"/>
      <c r="M779" s="5"/>
    </row>
    <row r="780" ht="22.5" hidden="1" customHeight="1">
      <c r="A780" s="37"/>
      <c r="B780" s="5" t="s">
        <v>2262</v>
      </c>
      <c r="C780" s="19" t="s">
        <v>360</v>
      </c>
      <c r="D780" s="17">
        <v>1.0</v>
      </c>
      <c r="E780" s="17">
        <v>245.0</v>
      </c>
      <c r="F780" s="5">
        <v>245.0</v>
      </c>
      <c r="G780" s="19" t="s">
        <v>119</v>
      </c>
      <c r="H780" s="5">
        <v>413.0</v>
      </c>
      <c r="I780" s="5" t="s">
        <v>1154</v>
      </c>
      <c r="J780" s="5" t="s">
        <v>4040</v>
      </c>
      <c r="K780" s="5" t="s">
        <v>2230</v>
      </c>
      <c r="L780" s="5"/>
      <c r="M780" s="5"/>
    </row>
    <row r="781" ht="22.5" hidden="1" customHeight="1">
      <c r="A781" s="37"/>
      <c r="B781" s="5" t="s">
        <v>2262</v>
      </c>
      <c r="C781" s="19" t="s">
        <v>627</v>
      </c>
      <c r="D781" s="17">
        <v>1.0</v>
      </c>
      <c r="E781" s="17">
        <v>167.5</v>
      </c>
      <c r="F781" s="5">
        <v>167.5</v>
      </c>
      <c r="G781" s="19" t="s">
        <v>119</v>
      </c>
      <c r="H781" s="5">
        <v>414.0</v>
      </c>
      <c r="I781" s="5" t="s">
        <v>1158</v>
      </c>
      <c r="J781" s="5" t="s">
        <v>4042</v>
      </c>
      <c r="K781" s="5" t="s">
        <v>2230</v>
      </c>
      <c r="L781" s="5"/>
      <c r="M781" s="5"/>
    </row>
    <row r="782" ht="22.5" hidden="1" customHeight="1">
      <c r="A782" s="37"/>
      <c r="B782" s="5" t="s">
        <v>2262</v>
      </c>
      <c r="C782" s="19" t="s">
        <v>820</v>
      </c>
      <c r="D782" s="17">
        <v>1.0</v>
      </c>
      <c r="E782" s="17">
        <v>126.0</v>
      </c>
      <c r="F782" s="5">
        <v>126.0</v>
      </c>
      <c r="G782" s="19" t="s">
        <v>119</v>
      </c>
      <c r="H782" s="5">
        <v>415.0</v>
      </c>
      <c r="I782" s="5" t="s">
        <v>1164</v>
      </c>
      <c r="J782" s="5" t="s">
        <v>4044</v>
      </c>
      <c r="K782" s="5" t="s">
        <v>2230</v>
      </c>
      <c r="L782" s="5"/>
      <c r="M782" s="5"/>
    </row>
    <row r="783" ht="22.5" hidden="1" customHeight="1">
      <c r="A783" s="37"/>
      <c r="B783" s="5" t="s">
        <v>2262</v>
      </c>
      <c r="C783" s="19" t="s">
        <v>888</v>
      </c>
      <c r="D783" s="17">
        <v>2.0</v>
      </c>
      <c r="E783" s="17">
        <v>129.0</v>
      </c>
      <c r="F783" s="5">
        <v>258.0</v>
      </c>
      <c r="G783" s="19" t="s">
        <v>119</v>
      </c>
      <c r="H783" s="5">
        <v>416.0</v>
      </c>
      <c r="I783" s="5" t="s">
        <v>1169</v>
      </c>
      <c r="J783" s="5" t="s">
        <v>4046</v>
      </c>
      <c r="K783" s="5" t="s">
        <v>2230</v>
      </c>
      <c r="L783" s="5"/>
      <c r="M783" s="5"/>
    </row>
    <row r="784" ht="22.5" hidden="1" customHeight="1">
      <c r="A784" s="37"/>
      <c r="B784" s="5" t="s">
        <v>2262</v>
      </c>
      <c r="C784" s="19" t="s">
        <v>813</v>
      </c>
      <c r="D784" s="17">
        <v>2.0</v>
      </c>
      <c r="E784" s="17">
        <v>141.0</v>
      </c>
      <c r="F784" s="5">
        <v>282.0</v>
      </c>
      <c r="G784" s="19" t="s">
        <v>119</v>
      </c>
      <c r="H784" s="5">
        <v>417.0</v>
      </c>
      <c r="I784" s="5" t="s">
        <v>1172</v>
      </c>
      <c r="J784" s="5" t="s">
        <v>4049</v>
      </c>
      <c r="K784" s="5" t="s">
        <v>2230</v>
      </c>
      <c r="L784" s="5"/>
      <c r="M784" s="5"/>
    </row>
    <row r="785" ht="22.5" hidden="1" customHeight="1">
      <c r="A785" s="37"/>
      <c r="B785" s="5" t="s">
        <v>2262</v>
      </c>
      <c r="C785" s="19" t="s">
        <v>816</v>
      </c>
      <c r="D785" s="17">
        <v>2.0</v>
      </c>
      <c r="E785" s="17">
        <v>141.0</v>
      </c>
      <c r="F785" s="5">
        <v>282.0</v>
      </c>
      <c r="G785" s="19" t="s">
        <v>119</v>
      </c>
      <c r="H785" s="5">
        <v>418.0</v>
      </c>
      <c r="I785" s="5" t="s">
        <v>1177</v>
      </c>
      <c r="J785" s="5" t="s">
        <v>4051</v>
      </c>
      <c r="K785" s="5" t="s">
        <v>2230</v>
      </c>
      <c r="L785" s="5"/>
      <c r="M785" s="5"/>
    </row>
    <row r="786" ht="22.5" hidden="1" customHeight="1">
      <c r="A786" s="37"/>
      <c r="B786" s="5" t="s">
        <v>2262</v>
      </c>
      <c r="C786" s="19" t="s">
        <v>1179</v>
      </c>
      <c r="D786" s="17">
        <v>2.0</v>
      </c>
      <c r="E786" s="17">
        <v>46.0</v>
      </c>
      <c r="F786" s="5">
        <v>92.0</v>
      </c>
      <c r="G786" s="19" t="s">
        <v>119</v>
      </c>
      <c r="H786" s="5">
        <v>419.0</v>
      </c>
      <c r="I786" s="5" t="s">
        <v>1178</v>
      </c>
      <c r="J786" s="5" t="s">
        <v>4054</v>
      </c>
      <c r="K786" s="5" t="s">
        <v>2230</v>
      </c>
      <c r="L786" s="5"/>
      <c r="M786" s="5"/>
    </row>
    <row r="787" ht="22.5" hidden="1" customHeight="1">
      <c r="A787" s="37"/>
      <c r="B787" s="5" t="s">
        <v>2262</v>
      </c>
      <c r="C787" s="19" t="s">
        <v>653</v>
      </c>
      <c r="D787" s="17">
        <v>3.0</v>
      </c>
      <c r="E787" s="17">
        <v>165.5</v>
      </c>
      <c r="F787" s="5">
        <v>496.5</v>
      </c>
      <c r="G787" s="19" t="s">
        <v>119</v>
      </c>
      <c r="H787" s="5">
        <v>420.0</v>
      </c>
      <c r="I787" s="5" t="s">
        <v>1181</v>
      </c>
      <c r="J787" s="5" t="s">
        <v>4059</v>
      </c>
      <c r="K787" s="5" t="s">
        <v>2230</v>
      </c>
      <c r="L787" s="5"/>
      <c r="M787" s="5"/>
    </row>
    <row r="788" ht="22.5" hidden="1" customHeight="1">
      <c r="A788" s="37"/>
      <c r="B788" s="5" t="s">
        <v>2262</v>
      </c>
      <c r="C788" s="19" t="s">
        <v>1183</v>
      </c>
      <c r="D788" s="17">
        <v>2.0</v>
      </c>
      <c r="E788" s="17">
        <v>22.0</v>
      </c>
      <c r="F788" s="5">
        <v>44.0</v>
      </c>
      <c r="G788" s="19" t="s">
        <v>119</v>
      </c>
      <c r="H788" s="5">
        <v>421.0</v>
      </c>
      <c r="I788" s="5" t="s">
        <v>1182</v>
      </c>
      <c r="J788" s="5" t="s">
        <v>4061</v>
      </c>
      <c r="K788" s="5" t="s">
        <v>2230</v>
      </c>
      <c r="L788" s="5"/>
      <c r="M788" s="5"/>
    </row>
    <row r="789" ht="22.5" hidden="1" customHeight="1">
      <c r="A789" s="37"/>
      <c r="B789" s="5" t="s">
        <v>2262</v>
      </c>
      <c r="C789" s="19" t="s">
        <v>942</v>
      </c>
      <c r="D789" s="17">
        <v>2.0</v>
      </c>
      <c r="E789" s="17">
        <v>126.0</v>
      </c>
      <c r="F789" s="5">
        <v>252.0</v>
      </c>
      <c r="G789" s="19" t="s">
        <v>119</v>
      </c>
      <c r="H789" s="5">
        <v>422.0</v>
      </c>
      <c r="I789" s="5" t="s">
        <v>1184</v>
      </c>
      <c r="J789" s="5" t="s">
        <v>4063</v>
      </c>
      <c r="K789" s="5" t="s">
        <v>2230</v>
      </c>
      <c r="L789" s="5"/>
      <c r="M789" s="5"/>
    </row>
    <row r="790" ht="22.5" hidden="1" customHeight="1">
      <c r="A790" s="37"/>
      <c r="B790" s="5" t="s">
        <v>2262</v>
      </c>
      <c r="C790" s="19" t="s">
        <v>300</v>
      </c>
      <c r="D790" s="17">
        <v>1.0</v>
      </c>
      <c r="E790" s="17">
        <v>288.0</v>
      </c>
      <c r="F790" s="5">
        <v>288.0</v>
      </c>
      <c r="G790" s="19" t="s">
        <v>119</v>
      </c>
      <c r="H790" s="5">
        <v>423.0</v>
      </c>
      <c r="I790" s="5" t="s">
        <v>1185</v>
      </c>
      <c r="J790" s="5" t="s">
        <v>4067</v>
      </c>
      <c r="K790" s="5" t="s">
        <v>2230</v>
      </c>
      <c r="L790" s="5"/>
      <c r="M790" s="5"/>
    </row>
    <row r="791" ht="22.5" hidden="1" customHeight="1">
      <c r="A791" s="37"/>
      <c r="B791" s="5" t="s">
        <v>2262</v>
      </c>
      <c r="C791" s="19" t="s">
        <v>711</v>
      </c>
      <c r="D791" s="17">
        <v>1.0</v>
      </c>
      <c r="E791" s="17">
        <v>155.0</v>
      </c>
      <c r="F791" s="5">
        <v>155.0</v>
      </c>
      <c r="G791" s="19" t="s">
        <v>119</v>
      </c>
      <c r="H791" s="5">
        <v>424.0</v>
      </c>
      <c r="I791" s="5" t="s">
        <v>1186</v>
      </c>
      <c r="J791" s="5" t="s">
        <v>4069</v>
      </c>
      <c r="K791" s="5" t="s">
        <v>2230</v>
      </c>
      <c r="L791" s="5"/>
      <c r="M791" s="5"/>
    </row>
    <row r="792" ht="22.5" hidden="1" customHeight="1">
      <c r="A792" s="37"/>
      <c r="B792" s="5" t="s">
        <v>2262</v>
      </c>
      <c r="C792" s="19" t="s">
        <v>965</v>
      </c>
      <c r="D792" s="17">
        <v>3.0</v>
      </c>
      <c r="E792" s="17">
        <v>125.0</v>
      </c>
      <c r="F792" s="5">
        <v>375.0</v>
      </c>
      <c r="G792" s="19" t="s">
        <v>119</v>
      </c>
      <c r="H792" s="5">
        <v>425.0</v>
      </c>
      <c r="I792" s="5" t="s">
        <v>1187</v>
      </c>
      <c r="J792" s="5" t="s">
        <v>4072</v>
      </c>
      <c r="K792" s="5" t="s">
        <v>2230</v>
      </c>
      <c r="L792" s="5"/>
      <c r="M792" s="5"/>
    </row>
    <row r="793" ht="22.5" hidden="1" customHeight="1">
      <c r="A793" s="37"/>
      <c r="B793" s="5" t="s">
        <v>2262</v>
      </c>
      <c r="C793" s="19" t="s">
        <v>1189</v>
      </c>
      <c r="D793" s="17">
        <v>12.0</v>
      </c>
      <c r="E793" s="17">
        <v>12.5</v>
      </c>
      <c r="F793" s="5">
        <v>150.0</v>
      </c>
      <c r="G793" s="19" t="s">
        <v>119</v>
      </c>
      <c r="H793" s="5">
        <v>426.0</v>
      </c>
      <c r="I793" s="5" t="s">
        <v>1188</v>
      </c>
      <c r="J793" s="5" t="s">
        <v>4074</v>
      </c>
      <c r="K793" s="5" t="s">
        <v>2230</v>
      </c>
      <c r="L793" s="5"/>
      <c r="M793" s="5"/>
    </row>
    <row r="794" ht="22.5" hidden="1" customHeight="1">
      <c r="A794" s="37"/>
      <c r="B794" s="5" t="s">
        <v>2262</v>
      </c>
      <c r="C794" s="19" t="s">
        <v>856</v>
      </c>
      <c r="D794" s="17">
        <v>24.0</v>
      </c>
      <c r="E794" s="17">
        <v>4.583333333333333</v>
      </c>
      <c r="F794" s="5">
        <v>110.0</v>
      </c>
      <c r="G794" s="19" t="s">
        <v>119</v>
      </c>
      <c r="H794" s="5">
        <v>427.0</v>
      </c>
      <c r="I794" s="5" t="s">
        <v>1190</v>
      </c>
      <c r="J794" s="5" t="s">
        <v>4076</v>
      </c>
      <c r="K794" s="5" t="s">
        <v>2230</v>
      </c>
      <c r="L794" s="5"/>
      <c r="M794" s="5"/>
    </row>
    <row r="795" ht="22.5" hidden="1" customHeight="1">
      <c r="A795" s="37"/>
      <c r="B795" s="5" t="s">
        <v>2262</v>
      </c>
      <c r="C795" s="19" t="s">
        <v>331</v>
      </c>
      <c r="D795" s="17">
        <v>5.0</v>
      </c>
      <c r="E795" s="17">
        <v>255.0</v>
      </c>
      <c r="F795" s="5">
        <v>1275.0</v>
      </c>
      <c r="G795" s="19" t="s">
        <v>119</v>
      </c>
      <c r="H795" s="5">
        <v>428.0</v>
      </c>
      <c r="I795" s="5" t="s">
        <v>1192</v>
      </c>
      <c r="J795" s="5" t="s">
        <v>4078</v>
      </c>
      <c r="K795" s="5" t="s">
        <v>2230</v>
      </c>
      <c r="L795" s="5"/>
      <c r="M795" s="5"/>
    </row>
    <row r="796" ht="22.5" hidden="1" customHeight="1">
      <c r="A796" s="37"/>
      <c r="B796" s="5" t="s">
        <v>2262</v>
      </c>
      <c r="C796" s="19" t="s">
        <v>349</v>
      </c>
      <c r="D796" s="17">
        <v>3.0</v>
      </c>
      <c r="E796" s="17">
        <v>250.0</v>
      </c>
      <c r="F796" s="5">
        <v>750.0</v>
      </c>
      <c r="G796" s="19" t="s">
        <v>119</v>
      </c>
      <c r="H796" s="5">
        <v>429.0</v>
      </c>
      <c r="I796" s="5" t="s">
        <v>1193</v>
      </c>
      <c r="J796" s="5" t="s">
        <v>4080</v>
      </c>
      <c r="K796" s="5" t="s">
        <v>2230</v>
      </c>
      <c r="L796" s="5"/>
      <c r="M796" s="5"/>
    </row>
    <row r="797" ht="22.5" hidden="1" customHeight="1">
      <c r="A797" s="37"/>
      <c r="B797" s="5" t="s">
        <v>2262</v>
      </c>
      <c r="C797" s="19" t="s">
        <v>367</v>
      </c>
      <c r="D797" s="17">
        <v>5.0</v>
      </c>
      <c r="E797" s="17">
        <v>242.0</v>
      </c>
      <c r="F797" s="5">
        <v>1210.0</v>
      </c>
      <c r="G797" s="19" t="s">
        <v>119</v>
      </c>
      <c r="H797" s="5">
        <v>430.0</v>
      </c>
      <c r="I797" s="5" t="s">
        <v>1195</v>
      </c>
      <c r="J797" s="5" t="s">
        <v>4084</v>
      </c>
      <c r="K797" s="5" t="s">
        <v>2230</v>
      </c>
      <c r="L797" s="5"/>
      <c r="M797" s="5"/>
    </row>
    <row r="798" ht="22.5" hidden="1" customHeight="1">
      <c r="A798" s="37"/>
      <c r="B798" s="5" t="s">
        <v>2262</v>
      </c>
      <c r="C798" s="19" t="s">
        <v>845</v>
      </c>
      <c r="D798" s="17">
        <v>3.0</v>
      </c>
      <c r="E798" s="17">
        <v>115.0</v>
      </c>
      <c r="F798" s="5">
        <v>345.0</v>
      </c>
      <c r="G798" s="19" t="s">
        <v>119</v>
      </c>
      <c r="H798" s="5">
        <v>431.0</v>
      </c>
      <c r="I798" s="5" t="s">
        <v>1197</v>
      </c>
      <c r="J798" s="5" t="s">
        <v>4088</v>
      </c>
      <c r="K798" s="5" t="s">
        <v>2230</v>
      </c>
      <c r="L798" s="5"/>
      <c r="M798" s="5"/>
    </row>
    <row r="799" ht="22.5" hidden="1" customHeight="1">
      <c r="A799" s="37"/>
      <c r="B799" s="5" t="s">
        <v>2262</v>
      </c>
      <c r="C799" s="19" t="s">
        <v>631</v>
      </c>
      <c r="D799" s="17">
        <v>2.0</v>
      </c>
      <c r="E799" s="17">
        <v>167.0</v>
      </c>
      <c r="F799" s="5">
        <v>334.0</v>
      </c>
      <c r="G799" s="19" t="s">
        <v>119</v>
      </c>
      <c r="H799" s="5">
        <v>432.0</v>
      </c>
      <c r="I799" s="5" t="s">
        <v>1198</v>
      </c>
      <c r="J799" s="5" t="s">
        <v>4091</v>
      </c>
      <c r="K799" s="5" t="s">
        <v>2230</v>
      </c>
      <c r="L799" s="5"/>
      <c r="M799" s="5"/>
    </row>
    <row r="800" ht="22.5" hidden="1" customHeight="1">
      <c r="A800" s="37"/>
      <c r="B800" s="5" t="s">
        <v>2262</v>
      </c>
      <c r="C800" s="19" t="s">
        <v>528</v>
      </c>
      <c r="D800" s="17">
        <v>2.0</v>
      </c>
      <c r="E800" s="17">
        <v>180.0</v>
      </c>
      <c r="F800" s="5">
        <v>360.0</v>
      </c>
      <c r="G800" s="19" t="s">
        <v>119</v>
      </c>
      <c r="H800" s="5">
        <v>433.0</v>
      </c>
      <c r="I800" s="5" t="s">
        <v>1199</v>
      </c>
      <c r="J800" s="5" t="s">
        <v>4095</v>
      </c>
      <c r="K800" s="5" t="s">
        <v>2230</v>
      </c>
      <c r="L800" s="5"/>
      <c r="M800" s="5"/>
    </row>
    <row r="801" ht="22.5" hidden="1" customHeight="1">
      <c r="A801" s="37"/>
      <c r="B801" s="5" t="s">
        <v>2262</v>
      </c>
      <c r="C801" s="19" t="s">
        <v>1055</v>
      </c>
      <c r="D801" s="17">
        <v>40.0</v>
      </c>
      <c r="E801" s="17">
        <v>11.0</v>
      </c>
      <c r="F801" s="5">
        <v>440.0</v>
      </c>
      <c r="G801" s="19" t="s">
        <v>119</v>
      </c>
      <c r="H801" s="5">
        <v>434.0</v>
      </c>
      <c r="I801" s="5" t="s">
        <v>1200</v>
      </c>
      <c r="J801" s="5" t="s">
        <v>4097</v>
      </c>
      <c r="K801" s="5" t="s">
        <v>2230</v>
      </c>
      <c r="L801" s="5"/>
      <c r="M801" s="5"/>
    </row>
    <row r="802" ht="22.5" hidden="1" customHeight="1">
      <c r="A802" s="37"/>
      <c r="B802" s="5" t="s">
        <v>2262</v>
      </c>
      <c r="C802" s="19" t="s">
        <v>893</v>
      </c>
      <c r="D802" s="17">
        <v>2.0</v>
      </c>
      <c r="E802" s="17">
        <v>135.0</v>
      </c>
      <c r="F802" s="5">
        <v>270.0</v>
      </c>
      <c r="G802" s="19" t="s">
        <v>119</v>
      </c>
      <c r="H802" s="5">
        <v>435.0</v>
      </c>
      <c r="I802" s="5" t="s">
        <v>1202</v>
      </c>
      <c r="J802" s="5" t="s">
        <v>4100</v>
      </c>
      <c r="K802" s="5" t="s">
        <v>2230</v>
      </c>
      <c r="L802" s="5"/>
      <c r="M802" s="5"/>
    </row>
    <row r="803" ht="22.5" hidden="1" customHeight="1">
      <c r="A803" s="37"/>
      <c r="B803" s="5" t="s">
        <v>2262</v>
      </c>
      <c r="C803" s="19" t="s">
        <v>604</v>
      </c>
      <c r="D803" s="17">
        <v>2.0</v>
      </c>
      <c r="E803" s="17">
        <v>171.0</v>
      </c>
      <c r="F803" s="5">
        <v>342.0</v>
      </c>
      <c r="G803" s="19" t="s">
        <v>119</v>
      </c>
      <c r="H803" s="5">
        <v>436.0</v>
      </c>
      <c r="I803" s="5" t="s">
        <v>1204</v>
      </c>
      <c r="J803" s="5" t="s">
        <v>4103</v>
      </c>
      <c r="K803" s="5" t="s">
        <v>2230</v>
      </c>
      <c r="L803" s="5"/>
      <c r="M803" s="5"/>
    </row>
    <row r="804" ht="22.5" hidden="1" customHeight="1">
      <c r="A804" s="37"/>
      <c r="B804" s="5" t="s">
        <v>2262</v>
      </c>
      <c r="C804" s="19" t="s">
        <v>828</v>
      </c>
      <c r="D804" s="17">
        <v>1.0</v>
      </c>
      <c r="E804" s="17">
        <v>130.0</v>
      </c>
      <c r="F804" s="5">
        <v>130.0</v>
      </c>
      <c r="G804" s="19" t="s">
        <v>119</v>
      </c>
      <c r="H804" s="5">
        <v>437.0</v>
      </c>
      <c r="I804" s="5" t="s">
        <v>1205</v>
      </c>
      <c r="J804" s="5" t="s">
        <v>4106</v>
      </c>
      <c r="K804" s="5" t="s">
        <v>2230</v>
      </c>
      <c r="L804" s="5"/>
      <c r="M804" s="5"/>
    </row>
    <row r="805" ht="22.5" hidden="1" customHeight="1">
      <c r="A805" s="37"/>
      <c r="B805" s="5" t="s">
        <v>2262</v>
      </c>
      <c r="C805" s="19" t="s">
        <v>837</v>
      </c>
      <c r="D805" s="17">
        <v>10.0</v>
      </c>
      <c r="E805" s="17">
        <v>17.0</v>
      </c>
      <c r="F805" s="5">
        <v>170.0</v>
      </c>
      <c r="G805" s="19" t="s">
        <v>154</v>
      </c>
      <c r="H805" s="5">
        <v>438.0</v>
      </c>
      <c r="I805" s="19"/>
      <c r="J805" s="5" t="s">
        <v>4110</v>
      </c>
      <c r="K805" s="5" t="s">
        <v>2230</v>
      </c>
      <c r="L805" s="5"/>
      <c r="M805" s="5"/>
    </row>
    <row r="806" ht="22.5" hidden="1" customHeight="1">
      <c r="A806" s="37"/>
      <c r="B806" s="5" t="s">
        <v>2262</v>
      </c>
      <c r="C806" s="19" t="s">
        <v>1097</v>
      </c>
      <c r="D806" s="17">
        <v>24.0</v>
      </c>
      <c r="E806" s="17">
        <v>30.0</v>
      </c>
      <c r="F806" s="5">
        <v>720.0</v>
      </c>
      <c r="G806" s="19" t="s">
        <v>154</v>
      </c>
      <c r="H806" s="5">
        <v>439.0</v>
      </c>
      <c r="I806" s="5" t="s">
        <v>1210</v>
      </c>
      <c r="J806" s="5" t="s">
        <v>4114</v>
      </c>
      <c r="K806" s="5" t="s">
        <v>2230</v>
      </c>
      <c r="L806" s="5"/>
      <c r="M806" s="5"/>
    </row>
    <row r="807" ht="22.5" hidden="1" customHeight="1">
      <c r="A807" s="37"/>
      <c r="B807" s="5" t="s">
        <v>2262</v>
      </c>
      <c r="C807" s="19" t="s">
        <v>435</v>
      </c>
      <c r="D807" s="17">
        <v>7.0</v>
      </c>
      <c r="E807" s="17">
        <v>180.0</v>
      </c>
      <c r="F807" s="5">
        <v>1260.0</v>
      </c>
      <c r="G807" s="19" t="s">
        <v>534</v>
      </c>
      <c r="H807" s="5">
        <v>440.0</v>
      </c>
      <c r="I807" s="5" t="s">
        <v>1211</v>
      </c>
      <c r="J807" s="5" t="s">
        <v>4117</v>
      </c>
      <c r="K807" s="5" t="s">
        <v>2230</v>
      </c>
      <c r="L807" s="5"/>
      <c r="M807" s="5"/>
    </row>
    <row r="808" ht="22.5" hidden="1" customHeight="1">
      <c r="A808" s="37"/>
      <c r="B808" s="5" t="s">
        <v>2234</v>
      </c>
      <c r="C808" s="19" t="s">
        <v>533</v>
      </c>
      <c r="D808" s="17">
        <v>0.25</v>
      </c>
      <c r="E808" s="17">
        <v>180.0</v>
      </c>
      <c r="F808" s="19"/>
      <c r="G808" s="5"/>
      <c r="H808" s="5">
        <v>45.0</v>
      </c>
      <c r="I808" s="19"/>
      <c r="J808" s="19" t="s">
        <v>534</v>
      </c>
      <c r="K808" s="19" t="s">
        <v>4121</v>
      </c>
      <c r="L808" s="5" t="s">
        <v>2237</v>
      </c>
      <c r="M808" s="5" t="s">
        <v>2230</v>
      </c>
    </row>
    <row r="809" ht="22.5" hidden="1" customHeight="1">
      <c r="A809" s="37"/>
      <c r="B809" s="5" t="s">
        <v>2234</v>
      </c>
      <c r="C809" s="19" t="s">
        <v>926</v>
      </c>
      <c r="D809" s="17">
        <v>1.0</v>
      </c>
      <c r="E809" s="17">
        <v>20.0</v>
      </c>
      <c r="F809" s="19"/>
      <c r="G809" s="5"/>
      <c r="H809" s="5">
        <v>20.0</v>
      </c>
      <c r="I809" s="19"/>
      <c r="J809" s="19" t="s">
        <v>436</v>
      </c>
      <c r="K809" s="19" t="s">
        <v>4121</v>
      </c>
      <c r="L809" s="5" t="s">
        <v>2237</v>
      </c>
      <c r="M809" s="5" t="s">
        <v>2230</v>
      </c>
    </row>
    <row r="810" ht="22.5" hidden="1" customHeight="1">
      <c r="A810" s="37"/>
      <c r="B810" s="5" t="s">
        <v>2234</v>
      </c>
      <c r="C810" s="19" t="s">
        <v>935</v>
      </c>
      <c r="D810" s="17">
        <v>1.0</v>
      </c>
      <c r="E810" s="17">
        <v>5.0</v>
      </c>
      <c r="F810" s="19"/>
      <c r="G810" s="5"/>
      <c r="H810" s="5">
        <v>5.0</v>
      </c>
      <c r="I810" s="19"/>
      <c r="J810" s="19" t="s">
        <v>436</v>
      </c>
      <c r="K810" s="19" t="s">
        <v>4121</v>
      </c>
      <c r="L810" s="5" t="s">
        <v>2237</v>
      </c>
      <c r="M810" s="5" t="s">
        <v>2230</v>
      </c>
    </row>
    <row r="811" ht="22.5" hidden="1" customHeight="1">
      <c r="A811" s="37"/>
      <c r="B811" s="5" t="s">
        <v>2234</v>
      </c>
      <c r="C811" s="19" t="s">
        <v>933</v>
      </c>
      <c r="D811" s="17">
        <v>1.0</v>
      </c>
      <c r="E811" s="17">
        <v>10.0</v>
      </c>
      <c r="F811" s="19"/>
      <c r="G811" s="5"/>
      <c r="H811" s="5">
        <v>10.0</v>
      </c>
      <c r="I811" s="19"/>
      <c r="J811" s="19" t="s">
        <v>436</v>
      </c>
      <c r="K811" s="19" t="s">
        <v>4121</v>
      </c>
      <c r="L811" s="5" t="s">
        <v>2237</v>
      </c>
      <c r="M811" s="5" t="s">
        <v>2230</v>
      </c>
    </row>
    <row r="812" ht="22.5" hidden="1" customHeight="1">
      <c r="A812" s="37"/>
      <c r="B812" s="5" t="s">
        <v>2225</v>
      </c>
      <c r="C812" s="19" t="s">
        <v>29</v>
      </c>
      <c r="D812" s="17">
        <v>4.0</v>
      </c>
      <c r="E812" s="17">
        <v>20.0</v>
      </c>
      <c r="F812" s="19"/>
      <c r="G812" s="5"/>
      <c r="H812" s="5">
        <v>80.0</v>
      </c>
      <c r="I812" s="19"/>
      <c r="J812" s="5" t="s">
        <v>54</v>
      </c>
      <c r="K812" s="19" t="s">
        <v>4121</v>
      </c>
      <c r="L812" s="5" t="s">
        <v>2228</v>
      </c>
      <c r="M812" s="5" t="s">
        <v>2230</v>
      </c>
    </row>
    <row r="813" ht="22.5" hidden="1" customHeight="1">
      <c r="A813" s="37"/>
      <c r="B813" s="5" t="s">
        <v>2234</v>
      </c>
      <c r="C813" s="19" t="s">
        <v>533</v>
      </c>
      <c r="D813" s="17">
        <v>0.75</v>
      </c>
      <c r="E813" s="17">
        <v>180.0</v>
      </c>
      <c r="F813" s="19"/>
      <c r="G813" s="5"/>
      <c r="H813" s="5">
        <v>135.0</v>
      </c>
      <c r="I813" s="19"/>
      <c r="J813" s="19" t="s">
        <v>534</v>
      </c>
      <c r="K813" s="19" t="s">
        <v>4121</v>
      </c>
      <c r="L813" s="5" t="s">
        <v>2237</v>
      </c>
      <c r="M813" s="5" t="s">
        <v>2230</v>
      </c>
    </row>
    <row r="814" ht="22.5" hidden="1" customHeight="1">
      <c r="A814" s="37"/>
      <c r="B814" s="5" t="s">
        <v>2234</v>
      </c>
      <c r="C814" s="19" t="s">
        <v>926</v>
      </c>
      <c r="D814" s="17">
        <v>3.0</v>
      </c>
      <c r="E814" s="17">
        <v>20.0</v>
      </c>
      <c r="F814" s="19"/>
      <c r="G814" s="5"/>
      <c r="H814" s="5">
        <v>60.0</v>
      </c>
      <c r="I814" s="19"/>
      <c r="J814" s="19" t="s">
        <v>436</v>
      </c>
      <c r="K814" s="19" t="s">
        <v>4121</v>
      </c>
      <c r="L814" s="5" t="s">
        <v>2237</v>
      </c>
      <c r="M814" s="5" t="s">
        <v>2230</v>
      </c>
    </row>
    <row r="815" ht="22.5" hidden="1" customHeight="1">
      <c r="A815" s="37"/>
      <c r="B815" s="5" t="s">
        <v>2234</v>
      </c>
      <c r="C815" s="19" t="s">
        <v>935</v>
      </c>
      <c r="D815" s="17">
        <v>2.0</v>
      </c>
      <c r="E815" s="17">
        <v>5.0</v>
      </c>
      <c r="F815" s="19"/>
      <c r="G815" s="5"/>
      <c r="H815" s="5">
        <v>10.0</v>
      </c>
      <c r="I815" s="19"/>
      <c r="J815" s="19" t="s">
        <v>436</v>
      </c>
      <c r="K815" s="19" t="s">
        <v>4121</v>
      </c>
      <c r="L815" s="5" t="s">
        <v>2237</v>
      </c>
      <c r="M815" s="5" t="s">
        <v>2230</v>
      </c>
    </row>
    <row r="816" ht="22.5" hidden="1" customHeight="1">
      <c r="A816" s="37"/>
      <c r="B816" s="5" t="s">
        <v>2234</v>
      </c>
      <c r="C816" s="19" t="s">
        <v>933</v>
      </c>
      <c r="D816" s="17">
        <v>1.0</v>
      </c>
      <c r="E816" s="17">
        <v>10.0</v>
      </c>
      <c r="F816" s="19"/>
      <c r="G816" s="5"/>
      <c r="H816" s="5">
        <v>10.0</v>
      </c>
      <c r="I816" s="19"/>
      <c r="J816" s="19" t="s">
        <v>436</v>
      </c>
      <c r="K816" s="19" t="s">
        <v>4121</v>
      </c>
      <c r="L816" s="5" t="s">
        <v>2237</v>
      </c>
      <c r="M816" s="5" t="s">
        <v>2230</v>
      </c>
    </row>
    <row r="817" ht="22.5" hidden="1" customHeight="1">
      <c r="A817" s="37"/>
      <c r="B817" s="5" t="s">
        <v>2225</v>
      </c>
      <c r="C817" s="19" t="s">
        <v>29</v>
      </c>
      <c r="D817" s="17">
        <v>3.0</v>
      </c>
      <c r="E817" s="17">
        <v>71.66666666666667</v>
      </c>
      <c r="F817" s="19"/>
      <c r="G817" s="5"/>
      <c r="H817" s="5">
        <v>215.0</v>
      </c>
      <c r="I817" s="19"/>
      <c r="J817" s="5" t="s">
        <v>54</v>
      </c>
      <c r="K817" s="19" t="s">
        <v>4121</v>
      </c>
      <c r="L817" s="5" t="s">
        <v>2228</v>
      </c>
      <c r="M817" s="5" t="s">
        <v>2230</v>
      </c>
    </row>
    <row r="818" ht="22.5" customHeight="1">
      <c r="A818" s="14">
        <v>46107.590632928244</v>
      </c>
      <c r="B818" s="6" t="s">
        <v>2282</v>
      </c>
      <c r="C818" s="10" t="s">
        <v>34</v>
      </c>
      <c r="D818" s="13">
        <v>1.0</v>
      </c>
      <c r="E818" s="13">
        <v>90.0</v>
      </c>
      <c r="F818" s="13">
        <v>250.0</v>
      </c>
      <c r="G818" s="6">
        <v>250.0</v>
      </c>
      <c r="H818" s="6">
        <v>250.0</v>
      </c>
      <c r="I818" s="6">
        <v>160.0</v>
      </c>
      <c r="J818" s="6" t="s">
        <v>54</v>
      </c>
      <c r="K818" s="6">
        <v>978.0</v>
      </c>
      <c r="L818" s="6" t="s">
        <v>4138</v>
      </c>
      <c r="M818" s="6" t="s">
        <v>2230</v>
      </c>
    </row>
    <row r="819" ht="22.5" customHeight="1">
      <c r="A819" s="14">
        <v>46107.14998636574</v>
      </c>
      <c r="B819" s="6" t="s">
        <v>2282</v>
      </c>
      <c r="C819" s="10" t="s">
        <v>802</v>
      </c>
      <c r="D819" s="13">
        <v>0.2</v>
      </c>
      <c r="E819" s="13">
        <v>53.33</v>
      </c>
      <c r="F819" s="13">
        <v>75.0</v>
      </c>
      <c r="G819" s="6">
        <v>75.0</v>
      </c>
      <c r="H819" s="6">
        <v>15.0</v>
      </c>
      <c r="I819" s="6">
        <v>4.33</v>
      </c>
      <c r="J819" s="10"/>
      <c r="K819" s="6">
        <v>972.0</v>
      </c>
      <c r="L819" s="6" t="s">
        <v>4140</v>
      </c>
      <c r="M819" s="6" t="s">
        <v>2230</v>
      </c>
    </row>
    <row r="820" ht="22.5" customHeight="1">
      <c r="A820" s="14">
        <v>46107.149358449074</v>
      </c>
      <c r="B820" s="6" t="s">
        <v>2282</v>
      </c>
      <c r="C820" s="10" t="s">
        <v>515</v>
      </c>
      <c r="D820" s="13">
        <v>2.0</v>
      </c>
      <c r="E820" s="13">
        <v>50.0</v>
      </c>
      <c r="F820" s="13">
        <v>60.0</v>
      </c>
      <c r="G820" s="6">
        <v>60.0</v>
      </c>
      <c r="H820" s="6">
        <v>120.0</v>
      </c>
      <c r="I820" s="6">
        <v>20.0</v>
      </c>
      <c r="J820" s="10"/>
      <c r="K820" s="6">
        <v>976.0</v>
      </c>
      <c r="L820" s="6" t="s">
        <v>4143</v>
      </c>
      <c r="M820" s="6" t="s">
        <v>2230</v>
      </c>
    </row>
    <row r="821" ht="22.5" customHeight="1">
      <c r="A821" s="14">
        <v>46107.14935790509</v>
      </c>
      <c r="B821" s="6" t="s">
        <v>2282</v>
      </c>
      <c r="C821" s="10" t="s">
        <v>699</v>
      </c>
      <c r="D821" s="13">
        <v>2.0</v>
      </c>
      <c r="E821" s="13">
        <v>20.0</v>
      </c>
      <c r="F821" s="13">
        <v>50.0</v>
      </c>
      <c r="G821" s="6">
        <v>50.0</v>
      </c>
      <c r="H821" s="6">
        <v>100.0</v>
      </c>
      <c r="I821" s="6">
        <v>60.0</v>
      </c>
      <c r="J821" s="6" t="s">
        <v>54</v>
      </c>
      <c r="K821" s="6">
        <v>943.0</v>
      </c>
      <c r="L821" s="6" t="s">
        <v>4147</v>
      </c>
      <c r="M821" s="6" t="s">
        <v>2230</v>
      </c>
    </row>
    <row r="822" ht="22.5" customHeight="1">
      <c r="A822" s="14">
        <v>46107.14525947916</v>
      </c>
      <c r="B822" s="6" t="s">
        <v>2282</v>
      </c>
      <c r="C822" s="10" t="s">
        <v>724</v>
      </c>
      <c r="D822" s="13">
        <v>2.0</v>
      </c>
      <c r="E822" s="13">
        <v>35.0</v>
      </c>
      <c r="F822" s="13">
        <v>50.0</v>
      </c>
      <c r="G822" s="6">
        <v>50.0</v>
      </c>
      <c r="H822" s="6">
        <v>100.0</v>
      </c>
      <c r="I822" s="6">
        <v>30.0</v>
      </c>
      <c r="J822" s="10" t="s">
        <v>1052</v>
      </c>
      <c r="K822" s="6">
        <v>975.0</v>
      </c>
      <c r="L822" s="6" t="s">
        <v>4150</v>
      </c>
      <c r="M822" s="6" t="s">
        <v>2230</v>
      </c>
    </row>
    <row r="823" ht="22.5" customHeight="1">
      <c r="A823" s="14">
        <v>46107.14525929398</v>
      </c>
      <c r="B823" s="6" t="s">
        <v>2282</v>
      </c>
      <c r="C823" s="10" t="s">
        <v>724</v>
      </c>
      <c r="D823" s="13">
        <v>2.0</v>
      </c>
      <c r="E823" s="13">
        <v>35.0</v>
      </c>
      <c r="F823" s="13">
        <v>50.0</v>
      </c>
      <c r="G823" s="6">
        <v>50.0</v>
      </c>
      <c r="H823" s="6">
        <v>100.0</v>
      </c>
      <c r="I823" s="6">
        <v>30.0</v>
      </c>
      <c r="J823" s="10" t="s">
        <v>1052</v>
      </c>
      <c r="K823" s="6">
        <v>966.0</v>
      </c>
      <c r="L823" s="6" t="s">
        <v>4152</v>
      </c>
      <c r="M823" s="6" t="s">
        <v>2230</v>
      </c>
    </row>
    <row r="824" ht="22.5" customHeight="1">
      <c r="A824" s="14">
        <v>46107.14400230324</v>
      </c>
      <c r="B824" s="6" t="s">
        <v>2282</v>
      </c>
      <c r="C824" s="10" t="s">
        <v>395</v>
      </c>
      <c r="D824" s="13">
        <v>0.5</v>
      </c>
      <c r="E824" s="13">
        <v>50.0</v>
      </c>
      <c r="F824" s="13">
        <v>100.0</v>
      </c>
      <c r="G824" s="6">
        <v>100.0</v>
      </c>
      <c r="H824" s="6">
        <v>50.0</v>
      </c>
      <c r="I824" s="6">
        <v>25.0</v>
      </c>
      <c r="J824" s="10" t="s">
        <v>154</v>
      </c>
      <c r="K824" s="6">
        <v>977.0</v>
      </c>
      <c r="L824" s="6" t="s">
        <v>4154</v>
      </c>
      <c r="M824" s="6" t="s">
        <v>2230</v>
      </c>
    </row>
    <row r="825" ht="22.5" customHeight="1">
      <c r="A825" s="14">
        <v>46107.1440019213</v>
      </c>
      <c r="B825" s="6" t="s">
        <v>2282</v>
      </c>
      <c r="C825" s="10" t="s">
        <v>1124</v>
      </c>
      <c r="D825" s="13">
        <v>1.0</v>
      </c>
      <c r="E825" s="13">
        <v>20.0</v>
      </c>
      <c r="F825" s="13">
        <v>50.0</v>
      </c>
      <c r="G825" s="6">
        <v>50.0</v>
      </c>
      <c r="H825" s="6">
        <v>50.0</v>
      </c>
      <c r="I825" s="6">
        <v>30.0</v>
      </c>
      <c r="J825" s="10"/>
      <c r="K825" s="6">
        <v>974.0</v>
      </c>
      <c r="L825" s="6" t="s">
        <v>4156</v>
      </c>
      <c r="M825" s="6" t="s">
        <v>2230</v>
      </c>
    </row>
    <row r="826" ht="22.5" customHeight="1">
      <c r="A826" s="14">
        <v>46107.14400163194</v>
      </c>
      <c r="B826" s="6" t="s">
        <v>2282</v>
      </c>
      <c r="C826" s="10" t="s">
        <v>363</v>
      </c>
      <c r="D826" s="13">
        <v>0.4444444444444444</v>
      </c>
      <c r="E826" s="13">
        <v>110.0</v>
      </c>
      <c r="F826" s="13">
        <v>170.0</v>
      </c>
      <c r="G826" s="6">
        <v>170.0</v>
      </c>
      <c r="H826" s="6">
        <v>75.56</v>
      </c>
      <c r="I826" s="6">
        <v>26.67</v>
      </c>
      <c r="J826" s="10" t="s">
        <v>51</v>
      </c>
      <c r="K826" s="6">
        <v>973.0</v>
      </c>
      <c r="L826" s="6" t="s">
        <v>4161</v>
      </c>
      <c r="M826" s="6" t="s">
        <v>2230</v>
      </c>
    </row>
    <row r="827" ht="22.5" customHeight="1">
      <c r="A827" s="14">
        <v>46107.144001203706</v>
      </c>
      <c r="B827" s="6" t="s">
        <v>2282</v>
      </c>
      <c r="C827" s="10" t="s">
        <v>549</v>
      </c>
      <c r="D827" s="13">
        <v>1.0</v>
      </c>
      <c r="E827" s="13">
        <v>17.5</v>
      </c>
      <c r="F827" s="13">
        <v>25.0</v>
      </c>
      <c r="G827" s="6">
        <v>25.0</v>
      </c>
      <c r="H827" s="6">
        <v>25.0</v>
      </c>
      <c r="I827" s="6">
        <v>7.5</v>
      </c>
      <c r="J827" s="10" t="s">
        <v>119</v>
      </c>
      <c r="K827" s="6">
        <v>971.0</v>
      </c>
      <c r="L827" s="6" t="s">
        <v>4163</v>
      </c>
      <c r="M827" s="6" t="s">
        <v>2230</v>
      </c>
    </row>
    <row r="828" ht="22.5" customHeight="1">
      <c r="A828" s="14">
        <v>46107.14400085648</v>
      </c>
      <c r="B828" s="6" t="s">
        <v>2282</v>
      </c>
      <c r="C828" s="10" t="s">
        <v>746</v>
      </c>
      <c r="D828" s="13">
        <v>1.0</v>
      </c>
      <c r="E828" s="13">
        <v>150.0</v>
      </c>
      <c r="F828" s="13">
        <v>175.0</v>
      </c>
      <c r="G828" s="6">
        <v>175.0</v>
      </c>
      <c r="H828" s="6">
        <v>175.0</v>
      </c>
      <c r="I828" s="6">
        <v>25.0</v>
      </c>
      <c r="J828" s="10" t="s">
        <v>119</v>
      </c>
      <c r="K828" s="6">
        <v>970.0</v>
      </c>
      <c r="L828" s="6" t="s">
        <v>4165</v>
      </c>
      <c r="M828" s="6" t="s">
        <v>2230</v>
      </c>
    </row>
    <row r="829" ht="22.5" customHeight="1">
      <c r="A829" s="14">
        <v>46107.144000555556</v>
      </c>
      <c r="B829" s="6" t="s">
        <v>2282</v>
      </c>
      <c r="C829" s="10" t="s">
        <v>309</v>
      </c>
      <c r="D829" s="13">
        <v>1.0</v>
      </c>
      <c r="E829" s="13">
        <v>20.0</v>
      </c>
      <c r="F829" s="13">
        <v>50.0</v>
      </c>
      <c r="G829" s="6">
        <v>50.0</v>
      </c>
      <c r="H829" s="6">
        <v>50.0</v>
      </c>
      <c r="I829" s="6">
        <v>30.0</v>
      </c>
      <c r="J829" s="10" t="s">
        <v>154</v>
      </c>
      <c r="K829" s="6">
        <v>969.0</v>
      </c>
      <c r="L829" s="6" t="s">
        <v>4167</v>
      </c>
      <c r="M829" s="6" t="s">
        <v>2230</v>
      </c>
    </row>
    <row r="830" ht="22.5" customHeight="1">
      <c r="A830" s="14">
        <v>46107.14400028935</v>
      </c>
      <c r="B830" s="6" t="s">
        <v>2282</v>
      </c>
      <c r="C830" s="10" t="s">
        <v>236</v>
      </c>
      <c r="D830" s="13">
        <v>1.0</v>
      </c>
      <c r="E830" s="13">
        <v>150.0</v>
      </c>
      <c r="F830" s="13">
        <v>250.0</v>
      </c>
      <c r="G830" s="6">
        <v>250.0</v>
      </c>
      <c r="H830" s="6">
        <v>250.0</v>
      </c>
      <c r="I830" s="6">
        <v>100.0</v>
      </c>
      <c r="J830" s="10" t="s">
        <v>154</v>
      </c>
      <c r="K830" s="6">
        <v>968.0</v>
      </c>
      <c r="L830" s="6" t="s">
        <v>4169</v>
      </c>
      <c r="M830" s="6" t="s">
        <v>2230</v>
      </c>
    </row>
    <row r="831" ht="22.5" customHeight="1">
      <c r="A831" s="14">
        <v>46107.14400001157</v>
      </c>
      <c r="B831" s="6" t="s">
        <v>2282</v>
      </c>
      <c r="C831" s="10" t="s">
        <v>802</v>
      </c>
      <c r="D831" s="13">
        <v>0.2</v>
      </c>
      <c r="E831" s="13">
        <v>53.33</v>
      </c>
      <c r="F831" s="13">
        <v>75.0</v>
      </c>
      <c r="G831" s="6">
        <v>75.0</v>
      </c>
      <c r="H831" s="6">
        <v>15.0</v>
      </c>
      <c r="I831" s="6">
        <v>4.33</v>
      </c>
      <c r="J831" s="10"/>
      <c r="K831" s="6">
        <v>967.0</v>
      </c>
      <c r="L831" s="6" t="s">
        <v>4171</v>
      </c>
      <c r="M831" s="6" t="s">
        <v>2230</v>
      </c>
    </row>
    <row r="832" ht="22.5" customHeight="1">
      <c r="A832" s="14">
        <v>46107.1439996875</v>
      </c>
      <c r="B832" s="6" t="s">
        <v>2282</v>
      </c>
      <c r="C832" s="10" t="s">
        <v>554</v>
      </c>
      <c r="D832" s="13">
        <v>2.0</v>
      </c>
      <c r="E832" s="13">
        <v>23.22222222222222</v>
      </c>
      <c r="F832" s="13">
        <v>40.0</v>
      </c>
      <c r="G832" s="6">
        <v>40.0</v>
      </c>
      <c r="H832" s="6">
        <v>80.0</v>
      </c>
      <c r="I832" s="6">
        <v>33.56</v>
      </c>
      <c r="J832" s="6" t="s">
        <v>54</v>
      </c>
      <c r="K832" s="6">
        <v>965.0</v>
      </c>
      <c r="L832" s="6" t="s">
        <v>4173</v>
      </c>
      <c r="M832" s="6" t="s">
        <v>2230</v>
      </c>
    </row>
    <row r="833" ht="22.5" customHeight="1">
      <c r="A833" s="14">
        <v>46107.14399943287</v>
      </c>
      <c r="B833" s="6" t="s">
        <v>2282</v>
      </c>
      <c r="C833" s="10" t="s">
        <v>187</v>
      </c>
      <c r="D833" s="13">
        <v>1.0</v>
      </c>
      <c r="E833" s="13">
        <v>350.0</v>
      </c>
      <c r="F833" s="13">
        <v>400.0</v>
      </c>
      <c r="G833" s="6">
        <v>400.0</v>
      </c>
      <c r="H833" s="6">
        <v>400.0</v>
      </c>
      <c r="I833" s="6">
        <v>50.0</v>
      </c>
      <c r="J833" s="10" t="s">
        <v>136</v>
      </c>
      <c r="K833" s="6">
        <v>964.0</v>
      </c>
      <c r="L833" s="6" t="s">
        <v>4175</v>
      </c>
      <c r="M833" s="6" t="s">
        <v>2230</v>
      </c>
    </row>
    <row r="834" ht="22.5" customHeight="1">
      <c r="A834" s="14">
        <v>46107.143999224536</v>
      </c>
      <c r="B834" s="6" t="s">
        <v>2282</v>
      </c>
      <c r="C834" s="10" t="s">
        <v>812</v>
      </c>
      <c r="D834" s="13">
        <v>4.0</v>
      </c>
      <c r="E834" s="13">
        <v>15.0</v>
      </c>
      <c r="F834" s="13">
        <v>20.0</v>
      </c>
      <c r="G834" s="6">
        <v>20.0</v>
      </c>
      <c r="H834" s="6">
        <v>80.0</v>
      </c>
      <c r="I834" s="6">
        <v>20.0</v>
      </c>
      <c r="J834" s="10" t="s">
        <v>154</v>
      </c>
      <c r="K834" s="6">
        <v>963.0</v>
      </c>
      <c r="L834" s="6" t="s">
        <v>4177</v>
      </c>
      <c r="M834" s="6" t="s">
        <v>2230</v>
      </c>
    </row>
    <row r="835" ht="22.5" customHeight="1">
      <c r="A835" s="14">
        <v>46107.1439990162</v>
      </c>
      <c r="B835" s="6" t="s">
        <v>2282</v>
      </c>
      <c r="C835" s="10" t="s">
        <v>168</v>
      </c>
      <c r="D835" s="13">
        <v>1.0</v>
      </c>
      <c r="E835" s="13">
        <v>135.0</v>
      </c>
      <c r="F835" s="13">
        <v>220.0</v>
      </c>
      <c r="G835" s="6">
        <v>220.0</v>
      </c>
      <c r="H835" s="6">
        <v>220.0</v>
      </c>
      <c r="I835" s="6">
        <v>85.0</v>
      </c>
      <c r="J835" s="10" t="s">
        <v>31</v>
      </c>
      <c r="K835" s="6">
        <v>962.0</v>
      </c>
      <c r="L835" s="6" t="s">
        <v>4180</v>
      </c>
      <c r="M835" s="6" t="s">
        <v>2230</v>
      </c>
    </row>
    <row r="836" ht="22.5" customHeight="1">
      <c r="A836" s="14">
        <v>46107.14399880787</v>
      </c>
      <c r="B836" s="6" t="s">
        <v>2282</v>
      </c>
      <c r="C836" s="10" t="s">
        <v>74</v>
      </c>
      <c r="D836" s="13">
        <v>1.0</v>
      </c>
      <c r="E836" s="13">
        <v>120.0</v>
      </c>
      <c r="F836" s="13">
        <v>150.0</v>
      </c>
      <c r="G836" s="6">
        <v>150.0</v>
      </c>
      <c r="H836" s="6">
        <v>150.0</v>
      </c>
      <c r="I836" s="6">
        <v>30.0</v>
      </c>
      <c r="J836" s="10" t="s">
        <v>31</v>
      </c>
      <c r="K836" s="6">
        <v>961.0</v>
      </c>
      <c r="L836" s="6" t="s">
        <v>4182</v>
      </c>
      <c r="M836" s="6" t="s">
        <v>2230</v>
      </c>
    </row>
    <row r="837" ht="22.5" customHeight="1">
      <c r="A837" s="14">
        <v>46107.14399855324</v>
      </c>
      <c r="B837" s="6" t="s">
        <v>2282</v>
      </c>
      <c r="C837" s="10" t="s">
        <v>648</v>
      </c>
      <c r="D837" s="13">
        <v>1.0</v>
      </c>
      <c r="E837" s="13">
        <v>150.0</v>
      </c>
      <c r="F837" s="13">
        <v>200.0</v>
      </c>
      <c r="G837" s="6">
        <v>200.0</v>
      </c>
      <c r="H837" s="6">
        <v>200.0</v>
      </c>
      <c r="I837" s="6">
        <v>50.0</v>
      </c>
      <c r="J837" s="10" t="s">
        <v>154</v>
      </c>
      <c r="K837" s="6">
        <v>960.0</v>
      </c>
      <c r="L837" s="6" t="s">
        <v>4184</v>
      </c>
      <c r="M837" s="6" t="s">
        <v>2230</v>
      </c>
    </row>
    <row r="838" ht="22.5" customHeight="1">
      <c r="A838" s="14">
        <v>46107.14399832176</v>
      </c>
      <c r="B838" s="6" t="s">
        <v>2282</v>
      </c>
      <c r="C838" s="10" t="s">
        <v>1049</v>
      </c>
      <c r="D838" s="13">
        <v>2.0</v>
      </c>
      <c r="E838" s="13">
        <v>95.0</v>
      </c>
      <c r="F838" s="13">
        <v>140.0</v>
      </c>
      <c r="G838" s="6">
        <v>140.0</v>
      </c>
      <c r="H838" s="6">
        <v>280.0</v>
      </c>
      <c r="I838" s="6">
        <v>90.0</v>
      </c>
      <c r="J838" s="10" t="s">
        <v>154</v>
      </c>
      <c r="K838" s="6">
        <v>959.0</v>
      </c>
      <c r="L838" s="6" t="s">
        <v>4186</v>
      </c>
      <c r="M838" s="6" t="s">
        <v>2230</v>
      </c>
    </row>
    <row r="839" ht="22.5" customHeight="1">
      <c r="A839" s="14">
        <v>46107.14399804398</v>
      </c>
      <c r="B839" s="6" t="s">
        <v>2282</v>
      </c>
      <c r="C839" s="10" t="s">
        <v>248</v>
      </c>
      <c r="D839" s="13">
        <v>1.0</v>
      </c>
      <c r="E839" s="13">
        <v>100.0</v>
      </c>
      <c r="F839" s="13">
        <v>200.0</v>
      </c>
      <c r="G839" s="6">
        <v>200.0</v>
      </c>
      <c r="H839" s="6">
        <v>200.0</v>
      </c>
      <c r="I839" s="6">
        <v>100.0</v>
      </c>
      <c r="J839" s="10" t="s">
        <v>154</v>
      </c>
      <c r="K839" s="6">
        <v>958.0</v>
      </c>
      <c r="L839" s="6" t="s">
        <v>4190</v>
      </c>
      <c r="M839" s="6" t="s">
        <v>2230</v>
      </c>
    </row>
    <row r="840" ht="22.5" customHeight="1">
      <c r="A840" s="14">
        <v>46107.14399776621</v>
      </c>
      <c r="B840" s="6" t="s">
        <v>2282</v>
      </c>
      <c r="C840" s="10" t="s">
        <v>232</v>
      </c>
      <c r="D840" s="13">
        <v>1.0</v>
      </c>
      <c r="E840" s="13">
        <v>325.0</v>
      </c>
      <c r="F840" s="13">
        <v>400.0</v>
      </c>
      <c r="G840" s="6">
        <v>400.0</v>
      </c>
      <c r="H840" s="6">
        <v>400.0</v>
      </c>
      <c r="I840" s="6">
        <v>75.0</v>
      </c>
      <c r="J840" s="10" t="s">
        <v>31</v>
      </c>
      <c r="K840" s="6">
        <v>957.0</v>
      </c>
      <c r="L840" s="6" t="s">
        <v>4193</v>
      </c>
      <c r="M840" s="6" t="s">
        <v>2230</v>
      </c>
    </row>
    <row r="841" ht="22.5" customHeight="1">
      <c r="A841" s="14">
        <v>46107.14399733796</v>
      </c>
      <c r="B841" s="6" t="s">
        <v>2282</v>
      </c>
      <c r="C841" s="10" t="s">
        <v>177</v>
      </c>
      <c r="D841" s="13">
        <v>1.0</v>
      </c>
      <c r="E841" s="13">
        <v>75.0</v>
      </c>
      <c r="F841" s="13">
        <v>100.0</v>
      </c>
      <c r="G841" s="6">
        <v>100.0</v>
      </c>
      <c r="H841" s="6">
        <v>100.0</v>
      </c>
      <c r="I841" s="6">
        <v>25.0</v>
      </c>
      <c r="J841" s="10" t="s">
        <v>154</v>
      </c>
      <c r="K841" s="6">
        <v>956.0</v>
      </c>
      <c r="L841" s="6" t="s">
        <v>4196</v>
      </c>
      <c r="M841" s="6" t="s">
        <v>2230</v>
      </c>
    </row>
    <row r="842" ht="22.5" customHeight="1">
      <c r="A842" s="14">
        <v>46107.14399696759</v>
      </c>
      <c r="B842" s="6" t="s">
        <v>2282</v>
      </c>
      <c r="C842" s="10" t="s">
        <v>662</v>
      </c>
      <c r="D842" s="13">
        <v>1.0</v>
      </c>
      <c r="E842" s="13">
        <v>50.0</v>
      </c>
      <c r="F842" s="13">
        <v>70.0</v>
      </c>
      <c r="G842" s="6">
        <v>70.0</v>
      </c>
      <c r="H842" s="6">
        <v>70.0</v>
      </c>
      <c r="I842" s="6">
        <v>20.0</v>
      </c>
      <c r="J842" s="10" t="s">
        <v>1052</v>
      </c>
      <c r="K842" s="6">
        <v>955.0</v>
      </c>
      <c r="L842" s="6" t="s">
        <v>4199</v>
      </c>
      <c r="M842" s="6" t="s">
        <v>2230</v>
      </c>
    </row>
    <row r="843" ht="22.5" customHeight="1">
      <c r="A843" s="14">
        <v>46107.14399660879</v>
      </c>
      <c r="B843" s="6" t="s">
        <v>2282</v>
      </c>
      <c r="C843" s="10" t="s">
        <v>172</v>
      </c>
      <c r="D843" s="13">
        <v>2.0</v>
      </c>
      <c r="E843" s="13">
        <v>28.2</v>
      </c>
      <c r="F843" s="13">
        <v>40.0</v>
      </c>
      <c r="G843" s="6">
        <v>40.0</v>
      </c>
      <c r="H843" s="6">
        <v>80.0</v>
      </c>
      <c r="I843" s="6">
        <v>23.6</v>
      </c>
      <c r="J843" s="10" t="s">
        <v>31</v>
      </c>
      <c r="K843" s="6">
        <v>954.0</v>
      </c>
      <c r="L843" s="6" t="s">
        <v>4202</v>
      </c>
      <c r="M843" s="6" t="s">
        <v>2230</v>
      </c>
    </row>
    <row r="844" ht="22.5" customHeight="1">
      <c r="A844" s="14">
        <v>46107.14399618056</v>
      </c>
      <c r="B844" s="6" t="s">
        <v>2282</v>
      </c>
      <c r="C844" s="10" t="s">
        <v>1079</v>
      </c>
      <c r="D844" s="13">
        <v>1.0</v>
      </c>
      <c r="E844" s="13">
        <v>90.0</v>
      </c>
      <c r="F844" s="13">
        <v>150.0</v>
      </c>
      <c r="G844" s="6">
        <v>150.0</v>
      </c>
      <c r="H844" s="6">
        <v>150.0</v>
      </c>
      <c r="I844" s="6">
        <v>60.0</v>
      </c>
      <c r="J844" s="10" t="s">
        <v>154</v>
      </c>
      <c r="K844" s="6">
        <v>953.0</v>
      </c>
      <c r="L844" s="6" t="s">
        <v>4204</v>
      </c>
      <c r="M844" s="6" t="s">
        <v>2230</v>
      </c>
    </row>
    <row r="845" ht="22.5" customHeight="1">
      <c r="A845" s="14">
        <v>46107.14399585648</v>
      </c>
      <c r="B845" s="6" t="s">
        <v>2282</v>
      </c>
      <c r="C845" s="10" t="s">
        <v>648</v>
      </c>
      <c r="D845" s="13">
        <v>2.0</v>
      </c>
      <c r="E845" s="13">
        <v>150.0</v>
      </c>
      <c r="F845" s="13">
        <v>200.0</v>
      </c>
      <c r="G845" s="6">
        <v>200.0</v>
      </c>
      <c r="H845" s="6">
        <v>400.0</v>
      </c>
      <c r="I845" s="6">
        <v>100.0</v>
      </c>
      <c r="J845" s="10" t="s">
        <v>154</v>
      </c>
      <c r="K845" s="6">
        <v>952.0</v>
      </c>
      <c r="L845" s="6" t="s">
        <v>4206</v>
      </c>
      <c r="M845" s="6" t="s">
        <v>2230</v>
      </c>
    </row>
    <row r="846" ht="22.5" customHeight="1">
      <c r="A846" s="14">
        <v>46107.14399552083</v>
      </c>
      <c r="B846" s="6" t="s">
        <v>2282</v>
      </c>
      <c r="C846" s="10" t="s">
        <v>309</v>
      </c>
      <c r="D846" s="13">
        <v>1.0</v>
      </c>
      <c r="E846" s="13">
        <v>20.0</v>
      </c>
      <c r="F846" s="13">
        <v>50.0</v>
      </c>
      <c r="G846" s="6">
        <v>50.0</v>
      </c>
      <c r="H846" s="6">
        <v>50.0</v>
      </c>
      <c r="I846" s="6">
        <v>30.0</v>
      </c>
      <c r="J846" s="10" t="s">
        <v>154</v>
      </c>
      <c r="K846" s="6">
        <v>951.0</v>
      </c>
      <c r="L846" s="6" t="s">
        <v>4210</v>
      </c>
      <c r="M846" s="6" t="s">
        <v>2230</v>
      </c>
    </row>
    <row r="847" ht="22.5" customHeight="1">
      <c r="A847" s="14">
        <v>46107.14399520833</v>
      </c>
      <c r="B847" s="6" t="s">
        <v>2282</v>
      </c>
      <c r="C847" s="10" t="s">
        <v>1114</v>
      </c>
      <c r="D847" s="13">
        <v>3.0</v>
      </c>
      <c r="E847" s="13">
        <v>88.0</v>
      </c>
      <c r="F847" s="13">
        <v>135.0</v>
      </c>
      <c r="G847" s="6">
        <v>135.0</v>
      </c>
      <c r="H847" s="6">
        <v>405.0</v>
      </c>
      <c r="I847" s="6">
        <v>141.0</v>
      </c>
      <c r="J847" s="10" t="s">
        <v>125</v>
      </c>
      <c r="K847" s="6">
        <v>950.0</v>
      </c>
      <c r="L847" s="6" t="s">
        <v>4215</v>
      </c>
      <c r="M847" s="6" t="s">
        <v>2230</v>
      </c>
    </row>
    <row r="848" ht="22.5" customHeight="1">
      <c r="A848" s="14">
        <v>46107.14399483796</v>
      </c>
      <c r="B848" s="6" t="s">
        <v>2282</v>
      </c>
      <c r="C848" s="10" t="s">
        <v>960</v>
      </c>
      <c r="D848" s="13">
        <v>1.0</v>
      </c>
      <c r="E848" s="13">
        <v>80.0</v>
      </c>
      <c r="F848" s="13">
        <v>140.0</v>
      </c>
      <c r="G848" s="6">
        <v>140.0</v>
      </c>
      <c r="H848" s="6">
        <v>140.0</v>
      </c>
      <c r="I848" s="6">
        <v>60.0</v>
      </c>
      <c r="J848" s="10" t="s">
        <v>51</v>
      </c>
      <c r="K848" s="6">
        <v>949.0</v>
      </c>
      <c r="L848" s="6" t="s">
        <v>4217</v>
      </c>
      <c r="M848" s="6" t="s">
        <v>2230</v>
      </c>
    </row>
    <row r="849" ht="22.5" customHeight="1">
      <c r="A849" s="14">
        <v>46107.14399459491</v>
      </c>
      <c r="B849" s="6" t="s">
        <v>2282</v>
      </c>
      <c r="C849" s="10" t="s">
        <v>898</v>
      </c>
      <c r="D849" s="13">
        <v>4.0</v>
      </c>
      <c r="E849" s="13">
        <v>15.0</v>
      </c>
      <c r="F849" s="13">
        <v>25.0</v>
      </c>
      <c r="G849" s="6">
        <v>25.0</v>
      </c>
      <c r="H849" s="6">
        <v>100.0</v>
      </c>
      <c r="I849" s="6">
        <v>40.0</v>
      </c>
      <c r="J849" s="10" t="s">
        <v>154</v>
      </c>
      <c r="K849" s="6">
        <v>948.0</v>
      </c>
      <c r="L849" s="6" t="s">
        <v>4219</v>
      </c>
      <c r="M849" s="6" t="s">
        <v>2230</v>
      </c>
    </row>
    <row r="850" ht="22.5" customHeight="1">
      <c r="A850" s="14">
        <v>46107.143994328704</v>
      </c>
      <c r="B850" s="6" t="s">
        <v>2282</v>
      </c>
      <c r="C850" s="10" t="s">
        <v>309</v>
      </c>
      <c r="D850" s="13">
        <v>1.0</v>
      </c>
      <c r="E850" s="13">
        <v>20.0</v>
      </c>
      <c r="F850" s="13">
        <v>50.0</v>
      </c>
      <c r="G850" s="6">
        <v>50.0</v>
      </c>
      <c r="H850" s="6">
        <v>50.0</v>
      </c>
      <c r="I850" s="6">
        <v>30.0</v>
      </c>
      <c r="J850" s="10" t="s">
        <v>154</v>
      </c>
      <c r="K850" s="6">
        <v>947.0</v>
      </c>
      <c r="L850" s="6" t="s">
        <v>4221</v>
      </c>
      <c r="M850" s="6" t="s">
        <v>2230</v>
      </c>
    </row>
    <row r="851" ht="22.5" customHeight="1">
      <c r="A851" s="14">
        <v>46107.143994074075</v>
      </c>
      <c r="B851" s="6" t="s">
        <v>2282</v>
      </c>
      <c r="C851" s="10" t="s">
        <v>245</v>
      </c>
      <c r="D851" s="13">
        <v>1.0</v>
      </c>
      <c r="E851" s="13">
        <v>150.0</v>
      </c>
      <c r="F851" s="13">
        <v>200.0</v>
      </c>
      <c r="G851" s="6">
        <v>200.0</v>
      </c>
      <c r="H851" s="6">
        <v>200.0</v>
      </c>
      <c r="I851" s="6">
        <v>50.0</v>
      </c>
      <c r="J851" s="10" t="s">
        <v>154</v>
      </c>
      <c r="K851" s="6">
        <v>946.0</v>
      </c>
      <c r="L851" s="6" t="s">
        <v>4223</v>
      </c>
      <c r="M851" s="6" t="s">
        <v>2230</v>
      </c>
    </row>
    <row r="852" ht="22.5" customHeight="1">
      <c r="A852" s="14">
        <v>46107.14399378472</v>
      </c>
      <c r="B852" s="6" t="s">
        <v>2282</v>
      </c>
      <c r="C852" s="10" t="s">
        <v>724</v>
      </c>
      <c r="D852" s="13">
        <v>1.0</v>
      </c>
      <c r="E852" s="13">
        <v>35.0</v>
      </c>
      <c r="F852" s="13">
        <v>50.0</v>
      </c>
      <c r="G852" s="6">
        <v>50.0</v>
      </c>
      <c r="H852" s="6">
        <v>50.0</v>
      </c>
      <c r="I852" s="6">
        <v>15.0</v>
      </c>
      <c r="J852" s="10" t="s">
        <v>1052</v>
      </c>
      <c r="K852" s="6">
        <v>945.0</v>
      </c>
      <c r="L852" s="6" t="s">
        <v>4225</v>
      </c>
      <c r="M852" s="6" t="s">
        <v>2230</v>
      </c>
    </row>
    <row r="853" ht="22.5" customHeight="1">
      <c r="A853" s="14">
        <v>46107.1439934838</v>
      </c>
      <c r="B853" s="6" t="s">
        <v>2282</v>
      </c>
      <c r="C853" s="10" t="s">
        <v>48</v>
      </c>
      <c r="D853" s="13">
        <v>1.0</v>
      </c>
      <c r="E853" s="13">
        <v>31.5</v>
      </c>
      <c r="F853" s="13">
        <v>50.0</v>
      </c>
      <c r="G853" s="6">
        <v>50.0</v>
      </c>
      <c r="H853" s="6">
        <v>50.0</v>
      </c>
      <c r="I853" s="6">
        <v>18.5</v>
      </c>
      <c r="J853" s="10" t="s">
        <v>31</v>
      </c>
      <c r="K853" s="6">
        <v>944.0</v>
      </c>
      <c r="L853" s="6" t="s">
        <v>4227</v>
      </c>
      <c r="M853" s="6" t="s">
        <v>2230</v>
      </c>
    </row>
    <row r="854" ht="22.5" customHeight="1">
      <c r="A854" s="14">
        <v>46107.14399315973</v>
      </c>
      <c r="B854" s="6" t="s">
        <v>2282</v>
      </c>
      <c r="C854" s="10" t="s">
        <v>851</v>
      </c>
      <c r="D854" s="13">
        <v>1.0</v>
      </c>
      <c r="E854" s="13">
        <v>137.0</v>
      </c>
      <c r="F854" s="13">
        <v>175.0</v>
      </c>
      <c r="G854" s="6">
        <v>175.0</v>
      </c>
      <c r="H854" s="6">
        <v>175.0</v>
      </c>
      <c r="I854" s="6">
        <v>38.0</v>
      </c>
      <c r="J854" s="10" t="s">
        <v>119</v>
      </c>
      <c r="K854" s="6">
        <v>942.0</v>
      </c>
      <c r="L854" s="6" t="s">
        <v>4229</v>
      </c>
      <c r="M854" s="6" t="s">
        <v>2230</v>
      </c>
    </row>
    <row r="855" ht="22.5" customHeight="1">
      <c r="A855" s="14">
        <v>46107.143992847225</v>
      </c>
      <c r="B855" s="6" t="s">
        <v>2282</v>
      </c>
      <c r="C855" s="10" t="s">
        <v>797</v>
      </c>
      <c r="D855" s="13">
        <v>1.0</v>
      </c>
      <c r="E855" s="13">
        <v>145.0</v>
      </c>
      <c r="F855" s="13">
        <v>180.0</v>
      </c>
      <c r="G855" s="6">
        <v>180.0</v>
      </c>
      <c r="H855" s="6">
        <v>180.0</v>
      </c>
      <c r="I855" s="6">
        <v>35.0</v>
      </c>
      <c r="J855" s="10" t="s">
        <v>119</v>
      </c>
      <c r="K855" s="6">
        <v>941.0</v>
      </c>
      <c r="L855" s="6" t="s">
        <v>4231</v>
      </c>
      <c r="M855" s="6" t="s">
        <v>2230</v>
      </c>
    </row>
    <row r="856" ht="22.5" customHeight="1">
      <c r="A856" s="14">
        <v>46107.14399256944</v>
      </c>
      <c r="B856" s="6" t="s">
        <v>2282</v>
      </c>
      <c r="C856" s="10" t="s">
        <v>454</v>
      </c>
      <c r="D856" s="13">
        <v>0.5</v>
      </c>
      <c r="E856" s="13">
        <v>210.0</v>
      </c>
      <c r="F856" s="13">
        <v>250.0</v>
      </c>
      <c r="G856" s="6">
        <v>250.0</v>
      </c>
      <c r="H856" s="6">
        <v>125.0</v>
      </c>
      <c r="I856" s="6">
        <v>20.0</v>
      </c>
      <c r="J856" s="10" t="s">
        <v>31</v>
      </c>
      <c r="K856" s="6">
        <v>940.0</v>
      </c>
      <c r="L856" s="6" t="s">
        <v>4233</v>
      </c>
      <c r="M856" s="6" t="s">
        <v>2230</v>
      </c>
    </row>
    <row r="857" ht="22.5" customHeight="1">
      <c r="A857" s="14">
        <v>46107.143992303245</v>
      </c>
      <c r="B857" s="6" t="s">
        <v>2282</v>
      </c>
      <c r="C857" s="10" t="s">
        <v>511</v>
      </c>
      <c r="D857" s="13">
        <v>1.0</v>
      </c>
      <c r="E857" s="13">
        <v>40.0</v>
      </c>
      <c r="F857" s="13">
        <v>65.0</v>
      </c>
      <c r="G857" s="6">
        <v>65.0</v>
      </c>
      <c r="H857" s="6">
        <v>65.0</v>
      </c>
      <c r="I857" s="6">
        <v>25.0</v>
      </c>
      <c r="J857" s="10" t="s">
        <v>31</v>
      </c>
      <c r="K857" s="6">
        <v>939.0</v>
      </c>
      <c r="L857" s="6" t="s">
        <v>4235</v>
      </c>
      <c r="M857" s="6" t="s">
        <v>2230</v>
      </c>
    </row>
    <row r="858" ht="22.5" customHeight="1">
      <c r="A858" s="14">
        <v>46107.14399203703</v>
      </c>
      <c r="B858" s="6" t="s">
        <v>2282</v>
      </c>
      <c r="C858" s="10" t="s">
        <v>352</v>
      </c>
      <c r="D858" s="13">
        <v>2.0</v>
      </c>
      <c r="E858" s="13">
        <v>32.0</v>
      </c>
      <c r="F858" s="13">
        <v>65.0</v>
      </c>
      <c r="G858" s="6">
        <v>65.0</v>
      </c>
      <c r="H858" s="6">
        <v>130.0</v>
      </c>
      <c r="I858" s="6">
        <v>66.0</v>
      </c>
      <c r="J858" s="10" t="s">
        <v>31</v>
      </c>
      <c r="K858" s="6">
        <v>938.0</v>
      </c>
      <c r="L858" s="6" t="s">
        <v>4239</v>
      </c>
      <c r="M858" s="6" t="s">
        <v>2230</v>
      </c>
    </row>
    <row r="859" ht="22.5" customHeight="1">
      <c r="A859" s="14">
        <v>46107.12954013889</v>
      </c>
      <c r="B859" s="6" t="s">
        <v>2282</v>
      </c>
      <c r="C859" s="10" t="s">
        <v>294</v>
      </c>
      <c r="D859" s="13">
        <v>2.0</v>
      </c>
      <c r="E859" s="13">
        <v>80.0</v>
      </c>
      <c r="F859" s="13">
        <v>120.0</v>
      </c>
      <c r="G859" s="6">
        <v>120.0</v>
      </c>
      <c r="H859" s="6">
        <v>240.0</v>
      </c>
      <c r="I859" s="6">
        <v>80.0</v>
      </c>
      <c r="J859" s="10"/>
      <c r="K859" s="6">
        <v>936.0</v>
      </c>
      <c r="L859" s="6" t="s">
        <v>4241</v>
      </c>
      <c r="M859" s="6" t="s">
        <v>2230</v>
      </c>
    </row>
    <row r="860" ht="22.5" customHeight="1">
      <c r="A860" s="14">
        <v>46107.12878128472</v>
      </c>
      <c r="B860" s="6" t="s">
        <v>2282</v>
      </c>
      <c r="C860" s="10" t="s">
        <v>643</v>
      </c>
      <c r="D860" s="13">
        <v>1.0</v>
      </c>
      <c r="E860" s="13">
        <v>166.0</v>
      </c>
      <c r="F860" s="13">
        <v>190.0</v>
      </c>
      <c r="G860" s="6">
        <v>190.0</v>
      </c>
      <c r="H860" s="6">
        <v>190.0</v>
      </c>
      <c r="I860" s="6">
        <v>24.0</v>
      </c>
      <c r="J860" s="10" t="s">
        <v>119</v>
      </c>
      <c r="K860" s="6">
        <v>923.0</v>
      </c>
      <c r="L860" s="6" t="s">
        <v>4246</v>
      </c>
      <c r="M860" s="6" t="s">
        <v>2230</v>
      </c>
    </row>
    <row r="861" ht="22.5" customHeight="1">
      <c r="A861" s="14">
        <v>46107.128068645834</v>
      </c>
      <c r="B861" s="6" t="s">
        <v>2282</v>
      </c>
      <c r="C861" s="10" t="s">
        <v>898</v>
      </c>
      <c r="D861" s="13">
        <v>2.0</v>
      </c>
      <c r="E861" s="13">
        <v>15.0</v>
      </c>
      <c r="F861" s="13">
        <v>20.0</v>
      </c>
      <c r="G861" s="6">
        <v>20.0</v>
      </c>
      <c r="H861" s="6">
        <v>40.0</v>
      </c>
      <c r="I861" s="6">
        <v>10.0</v>
      </c>
      <c r="J861" s="6"/>
      <c r="K861" s="6">
        <v>926.0</v>
      </c>
      <c r="L861" s="6" t="s">
        <v>4248</v>
      </c>
      <c r="M861" s="6" t="s">
        <v>2230</v>
      </c>
    </row>
    <row r="862" ht="22.5" customHeight="1">
      <c r="A862" s="14">
        <v>46107.12806833333</v>
      </c>
      <c r="B862" s="6" t="s">
        <v>2282</v>
      </c>
      <c r="C862" s="10" t="s">
        <v>898</v>
      </c>
      <c r="D862" s="13">
        <v>2.0</v>
      </c>
      <c r="E862" s="13">
        <v>15.0</v>
      </c>
      <c r="F862" s="13">
        <v>20.0</v>
      </c>
      <c r="G862" s="6">
        <v>20.0</v>
      </c>
      <c r="H862" s="6">
        <v>40.0</v>
      </c>
      <c r="I862" s="6">
        <v>10.0</v>
      </c>
      <c r="J862" s="10" t="s">
        <v>154</v>
      </c>
      <c r="K862" s="6">
        <v>873.0</v>
      </c>
      <c r="L862" s="6" t="s">
        <v>4250</v>
      </c>
      <c r="M862" s="6" t="s">
        <v>2230</v>
      </c>
    </row>
    <row r="863" ht="22.5" customHeight="1">
      <c r="A863" s="14">
        <v>46107.12715695602</v>
      </c>
      <c r="B863" s="6" t="s">
        <v>2282</v>
      </c>
      <c r="C863" s="10" t="s">
        <v>34</v>
      </c>
      <c r="D863" s="13">
        <v>1.0</v>
      </c>
      <c r="E863" s="13">
        <v>90.0</v>
      </c>
      <c r="F863" s="13">
        <v>300.0</v>
      </c>
      <c r="G863" s="6">
        <v>300.0</v>
      </c>
      <c r="H863" s="6">
        <v>300.0</v>
      </c>
      <c r="I863" s="6">
        <v>210.0</v>
      </c>
      <c r="J863" s="6" t="s">
        <v>54</v>
      </c>
      <c r="K863" s="6">
        <v>906.0</v>
      </c>
      <c r="L863" s="6" t="s">
        <v>4252</v>
      </c>
      <c r="M863" s="6" t="s">
        <v>2230</v>
      </c>
    </row>
    <row r="864" ht="22.5" customHeight="1">
      <c r="A864" s="14">
        <v>46107.12657608796</v>
      </c>
      <c r="B864" s="6" t="s">
        <v>2282</v>
      </c>
      <c r="C864" s="10" t="s">
        <v>77</v>
      </c>
      <c r="D864" s="13">
        <v>1.0</v>
      </c>
      <c r="E864" s="13">
        <v>206.11111111111111</v>
      </c>
      <c r="F864" s="13">
        <v>400.0</v>
      </c>
      <c r="G864" s="6">
        <v>400.0</v>
      </c>
      <c r="H864" s="6">
        <v>400.0</v>
      </c>
      <c r="I864" s="6">
        <v>193.89</v>
      </c>
      <c r="J864" s="6" t="s">
        <v>54</v>
      </c>
      <c r="K864" s="6">
        <v>889.0</v>
      </c>
      <c r="L864" s="6" t="s">
        <v>4254</v>
      </c>
      <c r="M864" s="6" t="s">
        <v>2230</v>
      </c>
    </row>
    <row r="865" ht="22.5" customHeight="1">
      <c r="A865" s="14">
        <v>46107.12657578704</v>
      </c>
      <c r="B865" s="6" t="s">
        <v>2282</v>
      </c>
      <c r="C865" s="10" t="s">
        <v>77</v>
      </c>
      <c r="D865" s="13">
        <v>1.0</v>
      </c>
      <c r="E865" s="13">
        <v>206.11111111111111</v>
      </c>
      <c r="F865" s="13">
        <v>400.0</v>
      </c>
      <c r="G865" s="6">
        <v>400.0</v>
      </c>
      <c r="H865" s="6">
        <v>400.0</v>
      </c>
      <c r="I865" s="6">
        <v>193.89</v>
      </c>
      <c r="J865" s="6" t="s">
        <v>54</v>
      </c>
      <c r="K865" s="6">
        <v>835.0</v>
      </c>
      <c r="L865" s="6" t="s">
        <v>4262</v>
      </c>
      <c r="M865" s="6" t="s">
        <v>2230</v>
      </c>
    </row>
    <row r="866" ht="22.5" customHeight="1">
      <c r="A866" s="14">
        <v>46107.12325416667</v>
      </c>
      <c r="B866" s="6" t="s">
        <v>2282</v>
      </c>
      <c r="C866" s="10" t="s">
        <v>309</v>
      </c>
      <c r="D866" s="13">
        <v>1.0</v>
      </c>
      <c r="E866" s="13">
        <v>20.0</v>
      </c>
      <c r="F866" s="13">
        <v>50.0</v>
      </c>
      <c r="G866" s="6">
        <v>50.0</v>
      </c>
      <c r="H866" s="6">
        <v>50.0</v>
      </c>
      <c r="I866" s="6">
        <v>30.0</v>
      </c>
      <c r="J866" s="10" t="s">
        <v>154</v>
      </c>
      <c r="K866" s="6">
        <v>930.0</v>
      </c>
      <c r="L866" s="6" t="s">
        <v>4266</v>
      </c>
      <c r="M866" s="6" t="s">
        <v>2230</v>
      </c>
    </row>
    <row r="867" ht="22.5" customHeight="1">
      <c r="A867" s="14">
        <v>46107.12325387732</v>
      </c>
      <c r="B867" s="6" t="s">
        <v>2282</v>
      </c>
      <c r="C867" s="10" t="s">
        <v>309</v>
      </c>
      <c r="D867" s="13">
        <v>1.0</v>
      </c>
      <c r="E867" s="13">
        <v>20.0</v>
      </c>
      <c r="F867" s="13">
        <v>50.0</v>
      </c>
      <c r="G867" s="6">
        <v>50.0</v>
      </c>
      <c r="H867" s="6">
        <v>50.0</v>
      </c>
      <c r="I867" s="6">
        <v>30.0</v>
      </c>
      <c r="J867" s="10" t="s">
        <v>154</v>
      </c>
      <c r="K867" s="6">
        <v>928.0</v>
      </c>
      <c r="L867" s="6" t="s">
        <v>4269</v>
      </c>
      <c r="M867" s="6" t="s">
        <v>2230</v>
      </c>
    </row>
    <row r="868" ht="22.5" customHeight="1">
      <c r="A868" s="14">
        <v>46107.12325344907</v>
      </c>
      <c r="B868" s="6" t="s">
        <v>2282</v>
      </c>
      <c r="C868" s="10" t="s">
        <v>309</v>
      </c>
      <c r="D868" s="13">
        <v>1.0</v>
      </c>
      <c r="E868" s="13">
        <v>20.0</v>
      </c>
      <c r="F868" s="13">
        <v>40.0</v>
      </c>
      <c r="G868" s="6">
        <v>40.0</v>
      </c>
      <c r="H868" s="6">
        <v>40.0</v>
      </c>
      <c r="I868" s="6">
        <v>20.0</v>
      </c>
      <c r="J868" s="10" t="s">
        <v>154</v>
      </c>
      <c r="K868" s="6">
        <v>924.0</v>
      </c>
      <c r="L868" s="6" t="s">
        <v>4272</v>
      </c>
      <c r="M868" s="6" t="s">
        <v>2230</v>
      </c>
    </row>
    <row r="869" ht="22.5" customHeight="1">
      <c r="A869" s="14">
        <v>46107.1232530787</v>
      </c>
      <c r="B869" s="6" t="s">
        <v>2282</v>
      </c>
      <c r="C869" s="10" t="s">
        <v>826</v>
      </c>
      <c r="D869" s="13">
        <v>1.0</v>
      </c>
      <c r="E869" s="13">
        <v>140.0</v>
      </c>
      <c r="F869" s="13">
        <v>175.0</v>
      </c>
      <c r="G869" s="6">
        <v>175.0</v>
      </c>
      <c r="H869" s="6">
        <v>175.0</v>
      </c>
      <c r="I869" s="6">
        <v>35.0</v>
      </c>
      <c r="J869" s="10" t="s">
        <v>119</v>
      </c>
      <c r="K869" s="6">
        <v>917.0</v>
      </c>
      <c r="L869" s="6" t="s">
        <v>4275</v>
      </c>
      <c r="M869" s="6" t="s">
        <v>2230</v>
      </c>
    </row>
    <row r="870" ht="22.5" hidden="1" customHeight="1">
      <c r="A870" s="37">
        <v>46085.95145309028</v>
      </c>
      <c r="B870" s="5" t="s">
        <v>2262</v>
      </c>
      <c r="C870" s="19" t="s">
        <v>385</v>
      </c>
      <c r="D870" s="17">
        <v>2.0</v>
      </c>
      <c r="E870" s="17">
        <v>229.5</v>
      </c>
      <c r="F870" s="5">
        <v>459.0</v>
      </c>
      <c r="G870" s="19" t="s">
        <v>119</v>
      </c>
      <c r="H870" s="5">
        <v>466.0</v>
      </c>
      <c r="I870" s="5" t="s">
        <v>1259</v>
      </c>
      <c r="J870" s="5" t="s">
        <v>4279</v>
      </c>
      <c r="K870" s="5" t="s">
        <v>2230</v>
      </c>
      <c r="L870" s="5"/>
      <c r="M870" s="5"/>
    </row>
    <row r="871" ht="22.5" hidden="1" customHeight="1">
      <c r="A871" s="37">
        <v>46085.95145302083</v>
      </c>
      <c r="B871" s="5" t="s">
        <v>2262</v>
      </c>
      <c r="C871" s="19" t="s">
        <v>383</v>
      </c>
      <c r="D871" s="17">
        <v>2.0</v>
      </c>
      <c r="E871" s="17">
        <v>229.5</v>
      </c>
      <c r="F871" s="5">
        <v>459.0</v>
      </c>
      <c r="G871" s="19" t="s">
        <v>119</v>
      </c>
      <c r="H871" s="5">
        <v>465.0</v>
      </c>
      <c r="I871" s="5" t="s">
        <v>1258</v>
      </c>
      <c r="J871" s="5" t="s">
        <v>4282</v>
      </c>
      <c r="K871" s="5" t="s">
        <v>2230</v>
      </c>
      <c r="L871" s="5"/>
      <c r="M871" s="5"/>
    </row>
    <row r="872" ht="22.5" hidden="1" customHeight="1">
      <c r="A872" s="37">
        <v>46085.95145296297</v>
      </c>
      <c r="B872" s="5" t="s">
        <v>2262</v>
      </c>
      <c r="C872" s="19" t="s">
        <v>689</v>
      </c>
      <c r="D872" s="17">
        <v>8.0</v>
      </c>
      <c r="E872" s="17">
        <v>130.0</v>
      </c>
      <c r="F872" s="5">
        <v>1040.0</v>
      </c>
      <c r="G872" s="19" t="s">
        <v>119</v>
      </c>
      <c r="H872" s="5">
        <v>464.0</v>
      </c>
      <c r="I872" s="5" t="s">
        <v>1255</v>
      </c>
      <c r="J872" s="5" t="s">
        <v>4284</v>
      </c>
      <c r="K872" s="5" t="s">
        <v>2230</v>
      </c>
      <c r="L872" s="5"/>
      <c r="M872" s="5"/>
    </row>
    <row r="873" ht="22.5" hidden="1" customHeight="1">
      <c r="A873" s="37">
        <v>46085.951452905094</v>
      </c>
      <c r="B873" s="5" t="s">
        <v>2262</v>
      </c>
      <c r="C873" s="19" t="s">
        <v>896</v>
      </c>
      <c r="D873" s="17">
        <v>6.0</v>
      </c>
      <c r="E873" s="17">
        <v>135.0</v>
      </c>
      <c r="F873" s="5">
        <v>810.0</v>
      </c>
      <c r="G873" s="19" t="s">
        <v>119</v>
      </c>
      <c r="H873" s="5">
        <v>463.0</v>
      </c>
      <c r="I873" s="5" t="s">
        <v>1254</v>
      </c>
      <c r="J873" s="5" t="s">
        <v>4288</v>
      </c>
      <c r="K873" s="5" t="s">
        <v>2230</v>
      </c>
      <c r="L873" s="5"/>
      <c r="M873" s="5"/>
    </row>
    <row r="874" ht="22.5" hidden="1" customHeight="1">
      <c r="A874" s="37">
        <v>46085.95145284722</v>
      </c>
      <c r="B874" s="5" t="s">
        <v>2262</v>
      </c>
      <c r="C874" s="19" t="s">
        <v>906</v>
      </c>
      <c r="D874" s="17">
        <v>24.0</v>
      </c>
      <c r="E874" s="17">
        <v>5.0</v>
      </c>
      <c r="F874" s="5">
        <v>120.0</v>
      </c>
      <c r="G874" s="19" t="s">
        <v>1052</v>
      </c>
      <c r="H874" s="5">
        <v>462.0</v>
      </c>
      <c r="I874" s="5" t="s">
        <v>1253</v>
      </c>
      <c r="J874" s="5" t="s">
        <v>4291</v>
      </c>
      <c r="K874" s="5" t="s">
        <v>2230</v>
      </c>
      <c r="L874" s="5"/>
      <c r="M874" s="5"/>
    </row>
    <row r="875" ht="22.5" hidden="1" customHeight="1">
      <c r="A875" s="37">
        <v>46085.95145277778</v>
      </c>
      <c r="B875" s="5" t="s">
        <v>2262</v>
      </c>
      <c r="C875" s="19" t="s">
        <v>1250</v>
      </c>
      <c r="D875" s="17">
        <v>24.0</v>
      </c>
      <c r="E875" s="17">
        <v>6.0</v>
      </c>
      <c r="F875" s="5">
        <v>144.0</v>
      </c>
      <c r="G875" s="19" t="s">
        <v>1052</v>
      </c>
      <c r="H875" s="5">
        <v>461.0</v>
      </c>
      <c r="I875" s="5" t="s">
        <v>1249</v>
      </c>
      <c r="J875" s="5" t="s">
        <v>4293</v>
      </c>
      <c r="K875" s="5" t="s">
        <v>2230</v>
      </c>
      <c r="L875" s="5"/>
      <c r="M875" s="5"/>
    </row>
    <row r="876" ht="22.5" hidden="1" customHeight="1">
      <c r="A876" s="37">
        <v>46085.951452685185</v>
      </c>
      <c r="B876" s="5" t="s">
        <v>2262</v>
      </c>
      <c r="C876" s="19" t="s">
        <v>1248</v>
      </c>
      <c r="D876" s="17">
        <v>15.0</v>
      </c>
      <c r="E876" s="17">
        <v>14.0</v>
      </c>
      <c r="F876" s="5">
        <v>210.0</v>
      </c>
      <c r="G876" s="19" t="s">
        <v>1052</v>
      </c>
      <c r="H876" s="5">
        <v>460.0</v>
      </c>
      <c r="I876" s="5" t="s">
        <v>1246</v>
      </c>
      <c r="J876" s="5" t="s">
        <v>4295</v>
      </c>
      <c r="K876" s="5" t="s">
        <v>2230</v>
      </c>
      <c r="L876" s="5"/>
      <c r="M876" s="5"/>
    </row>
    <row r="877" ht="22.5" hidden="1" customHeight="1">
      <c r="A877" s="37">
        <v>46085.95145262731</v>
      </c>
      <c r="B877" s="5" t="s">
        <v>2262</v>
      </c>
      <c r="C877" s="19" t="s">
        <v>1155</v>
      </c>
      <c r="D877" s="17">
        <v>19.0</v>
      </c>
      <c r="E877" s="17">
        <v>11.0</v>
      </c>
      <c r="F877" s="5">
        <v>209.0</v>
      </c>
      <c r="G877" s="19" t="s">
        <v>1052</v>
      </c>
      <c r="H877" s="5">
        <v>459.0</v>
      </c>
      <c r="I877" s="5" t="s">
        <v>1244</v>
      </c>
      <c r="J877" s="5" t="s">
        <v>4297</v>
      </c>
      <c r="K877" s="5" t="s">
        <v>2230</v>
      </c>
      <c r="L877" s="5"/>
      <c r="M877" s="5"/>
    </row>
    <row r="878" ht="22.5" hidden="1" customHeight="1">
      <c r="A878" s="37">
        <v>46085.95145255787</v>
      </c>
      <c r="B878" s="5" t="s">
        <v>2262</v>
      </c>
      <c r="C878" s="19" t="s">
        <v>933</v>
      </c>
      <c r="D878" s="17">
        <v>10.0</v>
      </c>
      <c r="E878" s="17">
        <v>8.0</v>
      </c>
      <c r="F878" s="5">
        <v>80.0</v>
      </c>
      <c r="G878" s="19" t="s">
        <v>1052</v>
      </c>
      <c r="H878" s="5">
        <v>458.0</v>
      </c>
      <c r="I878" s="5" t="s">
        <v>1243</v>
      </c>
      <c r="J878" s="5" t="s">
        <v>4299</v>
      </c>
      <c r="K878" s="5" t="s">
        <v>2230</v>
      </c>
      <c r="L878" s="5"/>
      <c r="M878" s="5"/>
    </row>
    <row r="879" ht="22.5" hidden="1" customHeight="1">
      <c r="A879" s="37">
        <v>46085.95145248843</v>
      </c>
      <c r="B879" s="5" t="s">
        <v>2262</v>
      </c>
      <c r="C879" s="19" t="s">
        <v>1000</v>
      </c>
      <c r="D879" s="17">
        <v>10.0</v>
      </c>
      <c r="E879" s="17">
        <v>10.0</v>
      </c>
      <c r="F879" s="5">
        <v>100.0</v>
      </c>
      <c r="G879" s="19" t="s">
        <v>1052</v>
      </c>
      <c r="H879" s="5">
        <v>457.0</v>
      </c>
      <c r="I879" s="5" t="s">
        <v>1241</v>
      </c>
      <c r="J879" s="5" t="s">
        <v>4301</v>
      </c>
      <c r="K879" s="5" t="s">
        <v>2230</v>
      </c>
      <c r="L879" s="5"/>
      <c r="M879" s="5"/>
    </row>
    <row r="880" ht="22.5" hidden="1" customHeight="1">
      <c r="A880" s="37">
        <v>46085.95145241898</v>
      </c>
      <c r="B880" s="5" t="s">
        <v>2262</v>
      </c>
      <c r="C880" s="19" t="s">
        <v>871</v>
      </c>
      <c r="D880" s="17">
        <v>4.0</v>
      </c>
      <c r="E880" s="17">
        <v>90.0</v>
      </c>
      <c r="F880" s="5">
        <v>360.0</v>
      </c>
      <c r="G880" s="19" t="s">
        <v>154</v>
      </c>
      <c r="H880" s="5">
        <v>456.0</v>
      </c>
      <c r="I880" s="5" t="s">
        <v>1240</v>
      </c>
      <c r="J880" s="5" t="s">
        <v>4303</v>
      </c>
      <c r="K880" s="5" t="s">
        <v>2230</v>
      </c>
      <c r="L880" s="5"/>
      <c r="M880" s="5"/>
    </row>
    <row r="881" ht="22.5" hidden="1" customHeight="1">
      <c r="A881" s="37">
        <v>46085.95145233796</v>
      </c>
      <c r="B881" s="5" t="s">
        <v>2262</v>
      </c>
      <c r="C881" s="19" t="s">
        <v>268</v>
      </c>
      <c r="D881" s="17">
        <v>2.0</v>
      </c>
      <c r="E881" s="17">
        <v>175.0</v>
      </c>
      <c r="F881" s="5">
        <v>350.0</v>
      </c>
      <c r="G881" s="19" t="s">
        <v>154</v>
      </c>
      <c r="H881" s="5">
        <v>455.0</v>
      </c>
      <c r="I881" s="5" t="s">
        <v>1238</v>
      </c>
      <c r="J881" s="5" t="s">
        <v>4305</v>
      </c>
      <c r="K881" s="5" t="s">
        <v>2230</v>
      </c>
      <c r="L881" s="5"/>
      <c r="M881" s="5"/>
    </row>
    <row r="882" ht="22.5" hidden="1" customHeight="1">
      <c r="A882" s="37">
        <v>46085.95145224537</v>
      </c>
      <c r="B882" s="5" t="s">
        <v>2262</v>
      </c>
      <c r="C882" s="19" t="s">
        <v>410</v>
      </c>
      <c r="D882" s="17">
        <v>2.0</v>
      </c>
      <c r="E882" s="17">
        <v>225.0</v>
      </c>
      <c r="F882" s="5">
        <v>450.0</v>
      </c>
      <c r="G882" s="19" t="s">
        <v>154</v>
      </c>
      <c r="H882" s="5">
        <v>454.0</v>
      </c>
      <c r="I882" s="5" t="s">
        <v>1236</v>
      </c>
      <c r="J882" s="5" t="s">
        <v>4308</v>
      </c>
      <c r="K882" s="5" t="s">
        <v>2230</v>
      </c>
      <c r="L882" s="5"/>
      <c r="M882" s="5"/>
    </row>
    <row r="883" ht="22.5" hidden="1" customHeight="1">
      <c r="A883" s="37">
        <v>46085.95145216435</v>
      </c>
      <c r="B883" s="5" t="s">
        <v>2262</v>
      </c>
      <c r="C883" s="19" t="s">
        <v>236</v>
      </c>
      <c r="D883" s="17">
        <v>4.0</v>
      </c>
      <c r="E883" s="17">
        <v>150.0</v>
      </c>
      <c r="F883" s="5">
        <v>600.0</v>
      </c>
      <c r="G883" s="19" t="s">
        <v>154</v>
      </c>
      <c r="H883" s="5">
        <v>453.0</v>
      </c>
      <c r="I883" s="5" t="s">
        <v>1235</v>
      </c>
      <c r="J883" s="5" t="s">
        <v>4311</v>
      </c>
      <c r="K883" s="5" t="s">
        <v>2230</v>
      </c>
      <c r="L883" s="5"/>
      <c r="M883" s="5"/>
    </row>
    <row r="884" ht="22.5" hidden="1" customHeight="1">
      <c r="A884" s="37">
        <v>46085.95145209491</v>
      </c>
      <c r="B884" s="5" t="s">
        <v>2262</v>
      </c>
      <c r="C884" s="19" t="s">
        <v>462</v>
      </c>
      <c r="D884" s="17">
        <v>2.0</v>
      </c>
      <c r="E884" s="17">
        <v>210.0</v>
      </c>
      <c r="F884" s="5">
        <v>420.0</v>
      </c>
      <c r="G884" s="19" t="s">
        <v>154</v>
      </c>
      <c r="H884" s="5">
        <v>452.0</v>
      </c>
      <c r="I884" s="5" t="s">
        <v>1234</v>
      </c>
      <c r="J884" s="5" t="s">
        <v>4313</v>
      </c>
      <c r="K884" s="5" t="s">
        <v>2230</v>
      </c>
      <c r="L884" s="5"/>
      <c r="M884" s="5"/>
    </row>
    <row r="885" ht="22.5" hidden="1" customHeight="1">
      <c r="A885" s="37">
        <v>46085.95145202546</v>
      </c>
      <c r="B885" s="5" t="s">
        <v>2262</v>
      </c>
      <c r="C885" s="19" t="s">
        <v>908</v>
      </c>
      <c r="D885" s="17">
        <v>12.0</v>
      </c>
      <c r="E885" s="17">
        <v>35.0</v>
      </c>
      <c r="F885" s="5">
        <v>420.0</v>
      </c>
      <c r="G885" s="19" t="s">
        <v>154</v>
      </c>
      <c r="H885" s="5">
        <v>451.0</v>
      </c>
      <c r="I885" s="5" t="s">
        <v>1233</v>
      </c>
      <c r="J885" s="5" t="s">
        <v>4315</v>
      </c>
      <c r="K885" s="5" t="s">
        <v>2230</v>
      </c>
      <c r="L885" s="5"/>
      <c r="M885" s="5"/>
    </row>
    <row r="886" ht="22.5" hidden="1" customHeight="1">
      <c r="A886" s="37">
        <v>46085.95145194445</v>
      </c>
      <c r="B886" s="5" t="s">
        <v>2262</v>
      </c>
      <c r="C886" s="19" t="s">
        <v>898</v>
      </c>
      <c r="D886" s="17">
        <v>20.0</v>
      </c>
      <c r="E886" s="17">
        <v>15.0</v>
      </c>
      <c r="F886" s="5">
        <v>300.0</v>
      </c>
      <c r="G886" s="19" t="s">
        <v>154</v>
      </c>
      <c r="H886" s="5">
        <v>450.0</v>
      </c>
      <c r="I886" s="5" t="s">
        <v>1232</v>
      </c>
      <c r="J886" s="5" t="s">
        <v>4317</v>
      </c>
      <c r="K886" s="5" t="s">
        <v>2230</v>
      </c>
      <c r="L886" s="5"/>
      <c r="M886" s="5"/>
    </row>
    <row r="887" ht="22.5" hidden="1" customHeight="1">
      <c r="A887" s="37">
        <v>46085.951451875</v>
      </c>
      <c r="B887" s="5" t="s">
        <v>2262</v>
      </c>
      <c r="C887" s="19" t="s">
        <v>159</v>
      </c>
      <c r="D887" s="17">
        <v>4.0</v>
      </c>
      <c r="E887" s="17">
        <v>225.0</v>
      </c>
      <c r="F887" s="5">
        <v>900.0</v>
      </c>
      <c r="G887" s="19" t="s">
        <v>154</v>
      </c>
      <c r="H887" s="5">
        <v>449.0</v>
      </c>
      <c r="I887" s="5" t="s">
        <v>1231</v>
      </c>
      <c r="J887" s="5" t="s">
        <v>4321</v>
      </c>
      <c r="K887" s="5" t="s">
        <v>2230</v>
      </c>
      <c r="L887" s="5"/>
      <c r="M887" s="5"/>
    </row>
    <row r="888" ht="22.5" hidden="1" customHeight="1">
      <c r="A888" s="37">
        <v>46085.95145180555</v>
      </c>
      <c r="B888" s="5" t="s">
        <v>2262</v>
      </c>
      <c r="C888" s="19" t="s">
        <v>168</v>
      </c>
      <c r="D888" s="17">
        <v>6.0</v>
      </c>
      <c r="E888" s="17">
        <v>110.0</v>
      </c>
      <c r="F888" s="5">
        <v>660.0</v>
      </c>
      <c r="G888" s="19" t="s">
        <v>154</v>
      </c>
      <c r="H888" s="5">
        <v>448.0</v>
      </c>
      <c r="I888" s="5"/>
      <c r="J888" s="5" t="s">
        <v>3208</v>
      </c>
      <c r="K888" s="5" t="s">
        <v>2230</v>
      </c>
      <c r="L888" s="5"/>
      <c r="M888" s="5"/>
    </row>
    <row r="889" ht="22.5" customHeight="1">
      <c r="A889" s="14">
        <v>46107.12325189815</v>
      </c>
      <c r="B889" s="6" t="s">
        <v>2282</v>
      </c>
      <c r="C889" s="10" t="s">
        <v>309</v>
      </c>
      <c r="D889" s="13">
        <v>1.0</v>
      </c>
      <c r="E889" s="13">
        <v>20.0</v>
      </c>
      <c r="F889" s="13">
        <v>40.0</v>
      </c>
      <c r="G889" s="6">
        <v>40.0</v>
      </c>
      <c r="H889" s="6">
        <v>40.0</v>
      </c>
      <c r="I889" s="6">
        <v>20.0</v>
      </c>
      <c r="J889" s="10" t="s">
        <v>154</v>
      </c>
      <c r="K889" s="6">
        <v>912.0</v>
      </c>
      <c r="L889" s="6" t="s">
        <v>4325</v>
      </c>
      <c r="M889" s="6" t="s">
        <v>2230</v>
      </c>
    </row>
    <row r="890" ht="22.5" customHeight="1">
      <c r="A890" s="14">
        <v>46107.12325074074</v>
      </c>
      <c r="B890" s="6" t="s">
        <v>2282</v>
      </c>
      <c r="C890" s="10" t="s">
        <v>309</v>
      </c>
      <c r="D890" s="13">
        <v>1.0</v>
      </c>
      <c r="E890" s="13">
        <v>20.0</v>
      </c>
      <c r="F890" s="13">
        <v>50.0</v>
      </c>
      <c r="G890" s="6">
        <v>50.0</v>
      </c>
      <c r="H890" s="6">
        <v>50.0</v>
      </c>
      <c r="I890" s="6">
        <v>30.0</v>
      </c>
      <c r="J890" s="10" t="s">
        <v>154</v>
      </c>
      <c r="K890" s="6">
        <v>909.0</v>
      </c>
      <c r="L890" s="6" t="s">
        <v>4327</v>
      </c>
      <c r="M890" s="6" t="s">
        <v>2230</v>
      </c>
    </row>
    <row r="891" ht="22.5" customHeight="1">
      <c r="A891" s="14">
        <v>46107.12325020833</v>
      </c>
      <c r="B891" s="6" t="s">
        <v>2282</v>
      </c>
      <c r="C891" s="10" t="s">
        <v>593</v>
      </c>
      <c r="D891" s="13">
        <v>2.0</v>
      </c>
      <c r="E891" s="13">
        <v>55.0</v>
      </c>
      <c r="F891" s="13">
        <v>80.0</v>
      </c>
      <c r="G891" s="6">
        <v>80.0</v>
      </c>
      <c r="H891" s="6">
        <v>160.0</v>
      </c>
      <c r="I891" s="6">
        <v>50.0</v>
      </c>
      <c r="J891" s="10" t="s">
        <v>51</v>
      </c>
      <c r="K891" s="6">
        <v>900.0</v>
      </c>
      <c r="L891" s="6" t="s">
        <v>4329</v>
      </c>
      <c r="M891" s="6" t="s">
        <v>2230</v>
      </c>
    </row>
    <row r="892" ht="22.5" customHeight="1">
      <c r="A892" s="14">
        <v>46107.12324956019</v>
      </c>
      <c r="B892" s="6" t="s">
        <v>2282</v>
      </c>
      <c r="C892" s="10" t="s">
        <v>309</v>
      </c>
      <c r="D892" s="13">
        <v>2.0</v>
      </c>
      <c r="E892" s="13">
        <v>20.0</v>
      </c>
      <c r="F892" s="13">
        <v>50.0</v>
      </c>
      <c r="G892" s="6">
        <v>50.0</v>
      </c>
      <c r="H892" s="6">
        <v>100.0</v>
      </c>
      <c r="I892" s="6">
        <v>60.0</v>
      </c>
      <c r="J892" s="10" t="s">
        <v>154</v>
      </c>
      <c r="K892" s="6">
        <v>895.0</v>
      </c>
      <c r="L892" s="6" t="s">
        <v>4331</v>
      </c>
      <c r="M892" s="6" t="s">
        <v>2230</v>
      </c>
    </row>
    <row r="893" ht="22.5" customHeight="1">
      <c r="A893" s="14">
        <v>46107.1232490625</v>
      </c>
      <c r="B893" s="6" t="s">
        <v>2282</v>
      </c>
      <c r="C893" s="10" t="s">
        <v>250</v>
      </c>
      <c r="D893" s="13">
        <v>1.0</v>
      </c>
      <c r="E893" s="13">
        <v>145.0</v>
      </c>
      <c r="F893" s="13">
        <v>220.0</v>
      </c>
      <c r="G893" s="6">
        <v>220.0</v>
      </c>
      <c r="H893" s="6">
        <v>220.0</v>
      </c>
      <c r="I893" s="6">
        <v>75.0</v>
      </c>
      <c r="J893" s="10" t="s">
        <v>31</v>
      </c>
      <c r="K893" s="6">
        <v>891.0</v>
      </c>
      <c r="L893" s="6" t="s">
        <v>4332</v>
      </c>
      <c r="M893" s="6" t="s">
        <v>2230</v>
      </c>
    </row>
    <row r="894" ht="22.5" customHeight="1">
      <c r="A894" s="14">
        <v>46107.12324836805</v>
      </c>
      <c r="B894" s="6" t="s">
        <v>2282</v>
      </c>
      <c r="C894" s="10" t="s">
        <v>593</v>
      </c>
      <c r="D894" s="13">
        <v>2.0</v>
      </c>
      <c r="E894" s="13">
        <v>55.0</v>
      </c>
      <c r="F894" s="13">
        <v>80.0</v>
      </c>
      <c r="G894" s="6">
        <v>80.0</v>
      </c>
      <c r="H894" s="6">
        <v>160.0</v>
      </c>
      <c r="I894" s="6">
        <v>50.0</v>
      </c>
      <c r="J894" s="10" t="s">
        <v>51</v>
      </c>
      <c r="K894" s="6">
        <v>847.0</v>
      </c>
      <c r="L894" s="6" t="s">
        <v>4333</v>
      </c>
      <c r="M894" s="6" t="s">
        <v>2230</v>
      </c>
    </row>
    <row r="895" ht="22.5" customHeight="1">
      <c r="A895" s="14">
        <v>46107.11706488426</v>
      </c>
      <c r="B895" s="6" t="s">
        <v>2282</v>
      </c>
      <c r="C895" s="10" t="s">
        <v>172</v>
      </c>
      <c r="D895" s="13">
        <v>1.0</v>
      </c>
      <c r="E895" s="13">
        <v>28.2</v>
      </c>
      <c r="F895" s="13">
        <v>40.0</v>
      </c>
      <c r="G895" s="6">
        <v>40.0</v>
      </c>
      <c r="H895" s="6">
        <v>40.0</v>
      </c>
      <c r="I895" s="6">
        <v>11.8</v>
      </c>
      <c r="J895" s="10" t="s">
        <v>31</v>
      </c>
      <c r="K895" s="6">
        <v>915.0</v>
      </c>
      <c r="L895" s="6" t="s">
        <v>4334</v>
      </c>
      <c r="M895" s="6" t="s">
        <v>2230</v>
      </c>
    </row>
    <row r="896" ht="22.5" customHeight="1">
      <c r="A896" s="14">
        <v>46107.11706445602</v>
      </c>
      <c r="B896" s="6" t="s">
        <v>2282</v>
      </c>
      <c r="C896" s="10" t="s">
        <v>172</v>
      </c>
      <c r="D896" s="13">
        <v>1.0</v>
      </c>
      <c r="E896" s="13">
        <v>28.2</v>
      </c>
      <c r="F896" s="13">
        <v>40.0</v>
      </c>
      <c r="G896" s="6">
        <v>40.0</v>
      </c>
      <c r="H896" s="6">
        <v>40.0</v>
      </c>
      <c r="I896" s="6">
        <v>11.8</v>
      </c>
      <c r="J896" s="10" t="s">
        <v>31</v>
      </c>
      <c r="K896" s="6">
        <v>884.0</v>
      </c>
      <c r="L896" s="6" t="s">
        <v>4335</v>
      </c>
      <c r="M896" s="6" t="s">
        <v>2230</v>
      </c>
    </row>
    <row r="897" ht="22.5" customHeight="1">
      <c r="A897" s="14">
        <v>46107.11706415509</v>
      </c>
      <c r="B897" s="6" t="s">
        <v>2282</v>
      </c>
      <c r="C897" s="10" t="s">
        <v>172</v>
      </c>
      <c r="D897" s="13">
        <v>1.0</v>
      </c>
      <c r="E897" s="13">
        <v>28.2</v>
      </c>
      <c r="F897" s="13">
        <v>35.0</v>
      </c>
      <c r="G897" s="6">
        <v>35.0</v>
      </c>
      <c r="H897" s="6">
        <v>35.0</v>
      </c>
      <c r="I897" s="6">
        <v>6.8</v>
      </c>
      <c r="J897" s="10" t="s">
        <v>31</v>
      </c>
      <c r="K897" s="6">
        <v>862.0</v>
      </c>
      <c r="L897" s="6" t="s">
        <v>4337</v>
      </c>
      <c r="M897" s="6" t="s">
        <v>2230</v>
      </c>
    </row>
    <row r="898" ht="22.5" customHeight="1">
      <c r="A898" s="14">
        <v>46107.11654215278</v>
      </c>
      <c r="B898" s="6" t="s">
        <v>2282</v>
      </c>
      <c r="C898" s="10" t="s">
        <v>1043</v>
      </c>
      <c r="D898" s="13">
        <v>1.0</v>
      </c>
      <c r="E898" s="13">
        <v>85.0</v>
      </c>
      <c r="F898" s="13">
        <v>140.0</v>
      </c>
      <c r="G898" s="6">
        <v>140.0</v>
      </c>
      <c r="H898" s="6">
        <v>140.0</v>
      </c>
      <c r="I898" s="6">
        <v>55.0</v>
      </c>
      <c r="J898" s="10" t="s">
        <v>51</v>
      </c>
      <c r="K898" s="6">
        <v>918.0</v>
      </c>
      <c r="L898" s="6" t="s">
        <v>4338</v>
      </c>
      <c r="M898" s="6" t="s">
        <v>2230</v>
      </c>
    </row>
    <row r="899" ht="22.5" customHeight="1">
      <c r="A899" s="14">
        <v>46107.11653890046</v>
      </c>
      <c r="B899" s="6" t="s">
        <v>2282</v>
      </c>
      <c r="C899" s="10" t="s">
        <v>1043</v>
      </c>
      <c r="D899" s="13">
        <v>2.0</v>
      </c>
      <c r="E899" s="13">
        <v>85.0</v>
      </c>
      <c r="F899" s="13">
        <v>125.0</v>
      </c>
      <c r="G899" s="6">
        <v>125.0</v>
      </c>
      <c r="H899" s="6">
        <v>250.0</v>
      </c>
      <c r="I899" s="6">
        <v>80.0</v>
      </c>
      <c r="J899" s="10" t="s">
        <v>51</v>
      </c>
      <c r="K899" s="6">
        <v>905.0</v>
      </c>
      <c r="L899" s="6" t="s">
        <v>4339</v>
      </c>
      <c r="M899" s="6" t="s">
        <v>2230</v>
      </c>
    </row>
    <row r="900" ht="22.5" customHeight="1">
      <c r="A900" s="14">
        <v>46107.11653650463</v>
      </c>
      <c r="B900" s="6" t="s">
        <v>2282</v>
      </c>
      <c r="C900" s="10" t="s">
        <v>1043</v>
      </c>
      <c r="D900" s="13">
        <v>1.0</v>
      </c>
      <c r="E900" s="13">
        <v>85.0</v>
      </c>
      <c r="F900" s="13">
        <v>140.0</v>
      </c>
      <c r="G900" s="6">
        <v>140.0</v>
      </c>
      <c r="H900" s="6">
        <v>140.0</v>
      </c>
      <c r="I900" s="6">
        <v>55.0</v>
      </c>
      <c r="J900" s="10" t="s">
        <v>51</v>
      </c>
      <c r="K900" s="6">
        <v>894.0</v>
      </c>
      <c r="L900" s="6" t="s">
        <v>4340</v>
      </c>
      <c r="M900" s="6" t="s">
        <v>2230</v>
      </c>
    </row>
    <row r="901" ht="22.5" customHeight="1">
      <c r="A901" s="14">
        <v>46107.11653378472</v>
      </c>
      <c r="B901" s="6" t="s">
        <v>2282</v>
      </c>
      <c r="C901" s="10" t="s">
        <v>177</v>
      </c>
      <c r="D901" s="13">
        <v>3.0</v>
      </c>
      <c r="E901" s="13">
        <v>75.0</v>
      </c>
      <c r="F901" s="13">
        <v>100.0</v>
      </c>
      <c r="G901" s="6">
        <v>100.0</v>
      </c>
      <c r="H901" s="6">
        <v>300.0</v>
      </c>
      <c r="I901" s="6">
        <v>75.0</v>
      </c>
      <c r="J901" s="10" t="s">
        <v>154</v>
      </c>
      <c r="K901" s="6">
        <v>880.0</v>
      </c>
      <c r="L901" s="6" t="s">
        <v>4341</v>
      </c>
      <c r="M901" s="6" t="s">
        <v>2230</v>
      </c>
    </row>
    <row r="902" ht="22.5" customHeight="1">
      <c r="A902" s="14">
        <v>46107.11441274306</v>
      </c>
      <c r="B902" s="6" t="s">
        <v>2282</v>
      </c>
      <c r="C902" s="10" t="s">
        <v>352</v>
      </c>
      <c r="D902" s="13">
        <v>2.0</v>
      </c>
      <c r="E902" s="13">
        <v>32.0</v>
      </c>
      <c r="F902" s="13">
        <v>65.0</v>
      </c>
      <c r="G902" s="6">
        <v>65.0</v>
      </c>
      <c r="H902" s="6">
        <v>130.0</v>
      </c>
      <c r="I902" s="6">
        <v>66.0</v>
      </c>
      <c r="J902" s="10" t="s">
        <v>31</v>
      </c>
      <c r="K902" s="6">
        <v>937.0</v>
      </c>
      <c r="L902" s="6" t="s">
        <v>4342</v>
      </c>
      <c r="M902" s="6" t="s">
        <v>2230</v>
      </c>
    </row>
    <row r="903" ht="22.5" customHeight="1">
      <c r="A903" s="14">
        <v>46107.11441246528</v>
      </c>
      <c r="B903" s="6" t="s">
        <v>2282</v>
      </c>
      <c r="C903" s="10" t="s">
        <v>554</v>
      </c>
      <c r="D903" s="13">
        <v>1.0</v>
      </c>
      <c r="E903" s="13">
        <v>23.22222222222222</v>
      </c>
      <c r="F903" s="13">
        <v>40.0</v>
      </c>
      <c r="G903" s="6">
        <v>40.0</v>
      </c>
      <c r="H903" s="6">
        <v>40.0</v>
      </c>
      <c r="I903" s="6">
        <v>16.78</v>
      </c>
      <c r="J903" s="6" t="s">
        <v>54</v>
      </c>
      <c r="K903" s="6">
        <v>935.0</v>
      </c>
      <c r="L903" s="6" t="s">
        <v>4343</v>
      </c>
      <c r="M903" s="6" t="s">
        <v>2230</v>
      </c>
    </row>
    <row r="904" ht="22.5" customHeight="1">
      <c r="A904" s="14">
        <v>46107.11441217593</v>
      </c>
      <c r="B904" s="6" t="s">
        <v>2282</v>
      </c>
      <c r="C904" s="10" t="s">
        <v>1035</v>
      </c>
      <c r="D904" s="13">
        <v>2.0</v>
      </c>
      <c r="E904" s="13">
        <v>89.75</v>
      </c>
      <c r="F904" s="13">
        <v>100.0</v>
      </c>
      <c r="G904" s="6">
        <v>100.0</v>
      </c>
      <c r="H904" s="6">
        <v>200.0</v>
      </c>
      <c r="I904" s="6">
        <v>20.5</v>
      </c>
      <c r="J904" s="10" t="s">
        <v>119</v>
      </c>
      <c r="K904" s="6">
        <v>934.0</v>
      </c>
      <c r="L904" s="6" t="s">
        <v>4344</v>
      </c>
      <c r="M904" s="6" t="s">
        <v>2230</v>
      </c>
    </row>
    <row r="905" ht="22.5" customHeight="1">
      <c r="A905" s="14">
        <v>46107.114411863426</v>
      </c>
      <c r="B905" s="6" t="s">
        <v>2282</v>
      </c>
      <c r="C905" s="10" t="s">
        <v>500</v>
      </c>
      <c r="D905" s="13">
        <v>1.0</v>
      </c>
      <c r="E905" s="13">
        <v>125.0</v>
      </c>
      <c r="F905" s="13">
        <v>150.0</v>
      </c>
      <c r="G905" s="6">
        <v>150.0</v>
      </c>
      <c r="H905" s="6">
        <v>150.0</v>
      </c>
      <c r="I905" s="6">
        <v>25.0</v>
      </c>
      <c r="J905" s="10" t="s">
        <v>51</v>
      </c>
      <c r="K905" s="6">
        <v>933.0</v>
      </c>
      <c r="L905" s="6" t="s">
        <v>4345</v>
      </c>
      <c r="M905" s="6" t="s">
        <v>2230</v>
      </c>
    </row>
    <row r="906" ht="22.5" customHeight="1">
      <c r="A906" s="14">
        <v>46107.114411585644</v>
      </c>
      <c r="B906" s="6" t="s">
        <v>2282</v>
      </c>
      <c r="C906" s="10" t="s">
        <v>962</v>
      </c>
      <c r="D906" s="13">
        <v>1.0</v>
      </c>
      <c r="E906" s="13">
        <v>125.0</v>
      </c>
      <c r="F906" s="13">
        <v>150.0</v>
      </c>
      <c r="G906" s="6">
        <v>150.0</v>
      </c>
      <c r="H906" s="6">
        <v>150.0</v>
      </c>
      <c r="I906" s="6">
        <v>25.0</v>
      </c>
      <c r="J906" s="10" t="s">
        <v>51</v>
      </c>
      <c r="K906" s="6">
        <v>932.0</v>
      </c>
      <c r="L906" s="6" t="s">
        <v>4346</v>
      </c>
      <c r="M906" s="6" t="s">
        <v>2230</v>
      </c>
    </row>
    <row r="907" ht="22.5" customHeight="1">
      <c r="A907" s="14">
        <v>46107.114411284725</v>
      </c>
      <c r="B907" s="6" t="s">
        <v>2282</v>
      </c>
      <c r="C907" s="10" t="s">
        <v>841</v>
      </c>
      <c r="D907" s="13">
        <v>1.0</v>
      </c>
      <c r="E907" s="13">
        <v>15.0</v>
      </c>
      <c r="F907" s="13">
        <v>40.0</v>
      </c>
      <c r="G907" s="6">
        <v>40.0</v>
      </c>
      <c r="H907" s="6">
        <v>40.0</v>
      </c>
      <c r="I907" s="6">
        <v>25.0</v>
      </c>
      <c r="J907" s="10"/>
      <c r="K907" s="6">
        <v>931.0</v>
      </c>
      <c r="L907" s="6" t="s">
        <v>4347</v>
      </c>
      <c r="M907" s="6" t="s">
        <v>2230</v>
      </c>
    </row>
    <row r="908" ht="22.5" customHeight="1">
      <c r="A908" s="14">
        <v>46107.11441090278</v>
      </c>
      <c r="B908" s="6" t="s">
        <v>2282</v>
      </c>
      <c r="C908" s="10" t="s">
        <v>1097</v>
      </c>
      <c r="D908" s="13">
        <v>1.0</v>
      </c>
      <c r="E908" s="13">
        <v>30.0</v>
      </c>
      <c r="F908" s="13">
        <v>50.0</v>
      </c>
      <c r="G908" s="6">
        <v>50.0</v>
      </c>
      <c r="H908" s="6">
        <v>50.0</v>
      </c>
      <c r="I908" s="6">
        <v>20.0</v>
      </c>
      <c r="J908" s="10" t="s">
        <v>154</v>
      </c>
      <c r="K908" s="6">
        <v>929.0</v>
      </c>
      <c r="L908" s="6" t="s">
        <v>4348</v>
      </c>
      <c r="M908" s="6" t="s">
        <v>2230</v>
      </c>
    </row>
    <row r="909" ht="22.5" customHeight="1">
      <c r="A909" s="14">
        <v>46107.11441056713</v>
      </c>
      <c r="B909" s="6" t="s">
        <v>2282</v>
      </c>
      <c r="C909" s="10" t="s">
        <v>861</v>
      </c>
      <c r="D909" s="13">
        <v>2.0</v>
      </c>
      <c r="E909" s="13">
        <v>23.33</v>
      </c>
      <c r="F909" s="13">
        <v>35.0</v>
      </c>
      <c r="G909" s="6">
        <v>35.0</v>
      </c>
      <c r="H909" s="6">
        <v>70.0</v>
      </c>
      <c r="I909" s="6">
        <v>23.34</v>
      </c>
      <c r="J909" s="10"/>
      <c r="K909" s="6">
        <v>927.0</v>
      </c>
      <c r="L909" s="6" t="s">
        <v>4354</v>
      </c>
      <c r="M909" s="6" t="s">
        <v>2230</v>
      </c>
    </row>
    <row r="910" ht="22.5" customHeight="1">
      <c r="A910" s="14">
        <v>46107.11441017361</v>
      </c>
      <c r="B910" s="6" t="s">
        <v>2282</v>
      </c>
      <c r="C910" s="10" t="s">
        <v>1097</v>
      </c>
      <c r="D910" s="13">
        <v>1.0</v>
      </c>
      <c r="E910" s="13">
        <v>30.0</v>
      </c>
      <c r="F910" s="13">
        <v>30.0</v>
      </c>
      <c r="G910" s="6">
        <v>30.0</v>
      </c>
      <c r="H910" s="6">
        <v>30.0</v>
      </c>
      <c r="I910" s="6">
        <v>0.0</v>
      </c>
      <c r="J910" s="10" t="s">
        <v>154</v>
      </c>
      <c r="K910" s="6">
        <v>925.0</v>
      </c>
      <c r="L910" s="6" t="s">
        <v>4356</v>
      </c>
      <c r="M910" s="6" t="s">
        <v>2230</v>
      </c>
    </row>
    <row r="911" ht="22.5" customHeight="1">
      <c r="A911" s="14">
        <v>46107.1144097338</v>
      </c>
      <c r="B911" s="6" t="s">
        <v>2282</v>
      </c>
      <c r="C911" s="10" t="s">
        <v>923</v>
      </c>
      <c r="D911" s="13">
        <v>1.0</v>
      </c>
      <c r="E911" s="13">
        <v>129.0</v>
      </c>
      <c r="F911" s="13">
        <v>150.0</v>
      </c>
      <c r="G911" s="6">
        <v>150.0</v>
      </c>
      <c r="H911" s="6">
        <v>150.0</v>
      </c>
      <c r="I911" s="6">
        <v>21.0</v>
      </c>
      <c r="J911" s="10" t="s">
        <v>125</v>
      </c>
      <c r="K911" s="6">
        <v>922.0</v>
      </c>
      <c r="L911" s="6" t="s">
        <v>4357</v>
      </c>
      <c r="M911" s="6" t="s">
        <v>2230</v>
      </c>
    </row>
    <row r="912" ht="22.5" customHeight="1">
      <c r="A912" s="14">
        <v>46107.114409421294</v>
      </c>
      <c r="B912" s="6" t="s">
        <v>2282</v>
      </c>
      <c r="C912" s="10" t="s">
        <v>812</v>
      </c>
      <c r="D912" s="13">
        <v>2.0</v>
      </c>
      <c r="E912" s="13">
        <v>15.0</v>
      </c>
      <c r="F912" s="13">
        <v>20.0</v>
      </c>
      <c r="G912" s="6">
        <v>20.0</v>
      </c>
      <c r="H912" s="6">
        <v>40.0</v>
      </c>
      <c r="I912" s="6">
        <v>10.0</v>
      </c>
      <c r="J912" s="10" t="s">
        <v>154</v>
      </c>
      <c r="K912" s="6">
        <v>921.0</v>
      </c>
      <c r="L912" s="6" t="s">
        <v>4358</v>
      </c>
      <c r="M912" s="6" t="s">
        <v>2230</v>
      </c>
    </row>
    <row r="913" ht="22.5" customHeight="1">
      <c r="A913" s="14">
        <v>46107.11440918982</v>
      </c>
      <c r="B913" s="6" t="s">
        <v>2282</v>
      </c>
      <c r="C913" s="10" t="s">
        <v>1004</v>
      </c>
      <c r="D913" s="13">
        <v>1.0</v>
      </c>
      <c r="E913" s="13">
        <v>65.0</v>
      </c>
      <c r="F913" s="13">
        <v>100.0</v>
      </c>
      <c r="G913" s="6">
        <v>100.0</v>
      </c>
      <c r="H913" s="6">
        <v>100.0</v>
      </c>
      <c r="I913" s="6">
        <v>35.0</v>
      </c>
      <c r="J913" s="10" t="s">
        <v>154</v>
      </c>
      <c r="K913" s="6">
        <v>920.0</v>
      </c>
      <c r="L913" s="6" t="s">
        <v>4360</v>
      </c>
      <c r="M913" s="6" t="s">
        <v>2230</v>
      </c>
    </row>
    <row r="914" ht="22.5" customHeight="1">
      <c r="A914" s="14">
        <v>46107.114408912035</v>
      </c>
      <c r="B914" s="6" t="s">
        <v>2282</v>
      </c>
      <c r="C914" s="10" t="s">
        <v>839</v>
      </c>
      <c r="D914" s="13">
        <v>1.0</v>
      </c>
      <c r="E914" s="13">
        <v>139.0</v>
      </c>
      <c r="F914" s="13">
        <v>170.0</v>
      </c>
      <c r="G914" s="6">
        <v>170.0</v>
      </c>
      <c r="H914" s="6">
        <v>170.0</v>
      </c>
      <c r="I914" s="6">
        <v>31.0</v>
      </c>
      <c r="J914" s="10" t="s">
        <v>119</v>
      </c>
      <c r="K914" s="6">
        <v>919.0</v>
      </c>
      <c r="L914" s="6" t="s">
        <v>4362</v>
      </c>
      <c r="M914" s="6" t="s">
        <v>2230</v>
      </c>
    </row>
    <row r="915" ht="22.5" customHeight="1">
      <c r="A915" s="14">
        <v>46107.11440850694</v>
      </c>
      <c r="B915" s="6" t="s">
        <v>2282</v>
      </c>
      <c r="C915" s="10" t="s">
        <v>871</v>
      </c>
      <c r="D915" s="13">
        <v>1.0</v>
      </c>
      <c r="E915" s="13">
        <v>93.0</v>
      </c>
      <c r="F915" s="13">
        <v>115.0</v>
      </c>
      <c r="G915" s="6">
        <v>115.0</v>
      </c>
      <c r="H915" s="6">
        <v>115.0</v>
      </c>
      <c r="I915" s="6">
        <v>22.0</v>
      </c>
      <c r="J915" s="10" t="s">
        <v>154</v>
      </c>
      <c r="K915" s="6">
        <v>916.0</v>
      </c>
      <c r="L915" s="6" t="s">
        <v>4363</v>
      </c>
      <c r="M915" s="6" t="s">
        <v>2230</v>
      </c>
    </row>
    <row r="916" ht="22.5" customHeight="1">
      <c r="A916" s="14">
        <v>46107.11440821759</v>
      </c>
      <c r="B916" s="6" t="s">
        <v>2282</v>
      </c>
      <c r="C916" s="10" t="s">
        <v>559</v>
      </c>
      <c r="D916" s="13">
        <v>2.0</v>
      </c>
      <c r="E916" s="13">
        <v>32.333333333333336</v>
      </c>
      <c r="F916" s="13">
        <v>40.0</v>
      </c>
      <c r="G916" s="6">
        <v>40.0</v>
      </c>
      <c r="H916" s="6">
        <v>80.0</v>
      </c>
      <c r="I916" s="6">
        <v>15.33</v>
      </c>
      <c r="J916" s="6" t="s">
        <v>54</v>
      </c>
      <c r="K916" s="6">
        <v>914.0</v>
      </c>
      <c r="L916" s="6" t="s">
        <v>4364</v>
      </c>
      <c r="M916" s="6" t="s">
        <v>2230</v>
      </c>
    </row>
    <row r="917" ht="22.5" customHeight="1">
      <c r="A917" s="14">
        <v>46107.11440795139</v>
      </c>
      <c r="B917" s="6" t="s">
        <v>2282</v>
      </c>
      <c r="C917" s="10" t="s">
        <v>812</v>
      </c>
      <c r="D917" s="13">
        <v>3.0</v>
      </c>
      <c r="E917" s="13">
        <v>15.0</v>
      </c>
      <c r="F917" s="13">
        <v>20.0</v>
      </c>
      <c r="G917" s="6">
        <v>20.0</v>
      </c>
      <c r="H917" s="6">
        <v>60.0</v>
      </c>
      <c r="I917" s="6">
        <v>15.0</v>
      </c>
      <c r="J917" s="10" t="s">
        <v>154</v>
      </c>
      <c r="K917" s="6">
        <v>913.0</v>
      </c>
      <c r="L917" s="6" t="s">
        <v>4365</v>
      </c>
      <c r="M917" s="6" t="s">
        <v>2230</v>
      </c>
    </row>
    <row r="918" ht="22.5" customHeight="1">
      <c r="A918" s="14">
        <v>46107.114407615736</v>
      </c>
      <c r="B918" s="6" t="s">
        <v>2282</v>
      </c>
      <c r="C918" s="10" t="s">
        <v>885</v>
      </c>
      <c r="D918" s="13">
        <v>1.0</v>
      </c>
      <c r="E918" s="13">
        <v>135.0</v>
      </c>
      <c r="F918" s="13">
        <v>150.0</v>
      </c>
      <c r="G918" s="6">
        <v>150.0</v>
      </c>
      <c r="H918" s="6">
        <v>150.0</v>
      </c>
      <c r="I918" s="6">
        <v>15.0</v>
      </c>
      <c r="J918" s="10" t="s">
        <v>154</v>
      </c>
      <c r="K918" s="6">
        <v>911.0</v>
      </c>
      <c r="L918" s="6" t="s">
        <v>4367</v>
      </c>
      <c r="M918" s="6" t="s">
        <v>2230</v>
      </c>
    </row>
    <row r="919" ht="22.5" customHeight="1">
      <c r="A919" s="14">
        <v>46107.114407291665</v>
      </c>
      <c r="B919" s="6" t="s">
        <v>2282</v>
      </c>
      <c r="C919" s="10" t="s">
        <v>946</v>
      </c>
      <c r="D919" s="13">
        <v>1.0</v>
      </c>
      <c r="E919" s="13">
        <v>75.0</v>
      </c>
      <c r="F919" s="13">
        <v>100.0</v>
      </c>
      <c r="G919" s="6">
        <v>100.0</v>
      </c>
      <c r="H919" s="6">
        <v>100.0</v>
      </c>
      <c r="I919" s="6">
        <v>25.0</v>
      </c>
      <c r="J919" s="10" t="s">
        <v>51</v>
      </c>
      <c r="K919" s="6">
        <v>910.0</v>
      </c>
      <c r="L919" s="6" t="s">
        <v>4368</v>
      </c>
      <c r="M919" s="6" t="s">
        <v>2230</v>
      </c>
    </row>
    <row r="920" ht="22.5" customHeight="1">
      <c r="A920" s="14">
        <v>46107.114406967594</v>
      </c>
      <c r="B920" s="6" t="s">
        <v>2282</v>
      </c>
      <c r="C920" s="10" t="s">
        <v>220</v>
      </c>
      <c r="D920" s="13">
        <v>1.0</v>
      </c>
      <c r="E920" s="13">
        <v>85.0</v>
      </c>
      <c r="F920" s="13">
        <v>150.0</v>
      </c>
      <c r="G920" s="6">
        <v>150.0</v>
      </c>
      <c r="H920" s="6">
        <v>150.0</v>
      </c>
      <c r="I920" s="6">
        <v>65.0</v>
      </c>
      <c r="J920" s="10" t="s">
        <v>51</v>
      </c>
      <c r="K920" s="6">
        <v>908.0</v>
      </c>
      <c r="L920" s="6" t="s">
        <v>4371</v>
      </c>
      <c r="M920" s="6" t="s">
        <v>2230</v>
      </c>
    </row>
    <row r="921" ht="22.5" customHeight="1">
      <c r="A921" s="14">
        <v>46107.11440667824</v>
      </c>
      <c r="B921" s="6" t="s">
        <v>2282</v>
      </c>
      <c r="C921" s="10" t="s">
        <v>559</v>
      </c>
      <c r="D921" s="13">
        <v>2.0</v>
      </c>
      <c r="E921" s="13">
        <v>32.333333333333336</v>
      </c>
      <c r="F921" s="13">
        <v>50.0</v>
      </c>
      <c r="G921" s="6">
        <v>50.0</v>
      </c>
      <c r="H921" s="6">
        <v>100.0</v>
      </c>
      <c r="I921" s="6">
        <v>35.33</v>
      </c>
      <c r="J921" s="6" t="s">
        <v>54</v>
      </c>
      <c r="K921" s="6">
        <v>907.0</v>
      </c>
      <c r="L921" s="6" t="s">
        <v>4373</v>
      </c>
      <c r="M921" s="6" t="s">
        <v>2230</v>
      </c>
    </row>
    <row r="922" ht="22.5" customHeight="1">
      <c r="A922" s="14">
        <v>46107.11440614583</v>
      </c>
      <c r="B922" s="6" t="s">
        <v>2282</v>
      </c>
      <c r="C922" s="10" t="s">
        <v>34</v>
      </c>
      <c r="D922" s="13">
        <v>1.0</v>
      </c>
      <c r="E922" s="13">
        <v>134.23749999999998</v>
      </c>
      <c r="F922" s="13">
        <v>300.0</v>
      </c>
      <c r="G922" s="6">
        <v>300.0</v>
      </c>
      <c r="H922" s="6">
        <v>300.0</v>
      </c>
      <c r="I922" s="6">
        <v>165.76</v>
      </c>
      <c r="J922" s="6" t="s">
        <v>54</v>
      </c>
      <c r="K922" s="6">
        <v>904.0</v>
      </c>
      <c r="L922" s="6" t="s">
        <v>4374</v>
      </c>
      <c r="M922" s="6" t="s">
        <v>2230</v>
      </c>
    </row>
    <row r="923" ht="22.5" customHeight="1">
      <c r="A923" s="14">
        <v>46107.11440572917</v>
      </c>
      <c r="B923" s="6" t="s">
        <v>2282</v>
      </c>
      <c r="C923" s="10" t="s">
        <v>788</v>
      </c>
      <c r="D923" s="13">
        <v>1.0</v>
      </c>
      <c r="E923" s="13">
        <v>88.75</v>
      </c>
      <c r="F923" s="13">
        <v>130.0</v>
      </c>
      <c r="G923" s="6">
        <v>130.0</v>
      </c>
      <c r="H923" s="6">
        <v>130.0</v>
      </c>
      <c r="I923" s="6">
        <v>41.25</v>
      </c>
      <c r="J923" s="10" t="s">
        <v>154</v>
      </c>
      <c r="K923" s="6">
        <v>903.0</v>
      </c>
      <c r="L923" s="6" t="s">
        <v>4375</v>
      </c>
      <c r="M923" s="6" t="s">
        <v>2230</v>
      </c>
    </row>
    <row r="924" ht="22.5" customHeight="1">
      <c r="A924" s="14">
        <v>46107.11440491898</v>
      </c>
      <c r="B924" s="6" t="s">
        <v>2282</v>
      </c>
      <c r="C924" s="10" t="s">
        <v>306</v>
      </c>
      <c r="D924" s="13">
        <v>4.0</v>
      </c>
      <c r="E924" s="13">
        <v>12.0</v>
      </c>
      <c r="F924" s="13">
        <v>25.0</v>
      </c>
      <c r="G924" s="6">
        <v>25.0</v>
      </c>
      <c r="H924" s="6">
        <v>100.0</v>
      </c>
      <c r="I924" s="6">
        <v>52.0</v>
      </c>
      <c r="J924" s="10" t="s">
        <v>31</v>
      </c>
      <c r="K924" s="6">
        <v>902.0</v>
      </c>
      <c r="L924" s="6" t="s">
        <v>4376</v>
      </c>
      <c r="M924" s="6" t="s">
        <v>2230</v>
      </c>
    </row>
    <row r="925" ht="22.5" customHeight="1">
      <c r="A925" s="14">
        <v>46107.11440431713</v>
      </c>
      <c r="B925" s="6" t="s">
        <v>2282</v>
      </c>
      <c r="C925" s="10" t="s">
        <v>554</v>
      </c>
      <c r="D925" s="13">
        <v>1.0</v>
      </c>
      <c r="E925" s="13">
        <v>23.22222222222222</v>
      </c>
      <c r="F925" s="13">
        <v>40.0</v>
      </c>
      <c r="G925" s="6">
        <v>40.0</v>
      </c>
      <c r="H925" s="6">
        <v>40.0</v>
      </c>
      <c r="I925" s="6">
        <v>16.78</v>
      </c>
      <c r="J925" s="6" t="s">
        <v>54</v>
      </c>
      <c r="K925" s="6">
        <v>901.0</v>
      </c>
      <c r="L925" s="6" t="s">
        <v>4377</v>
      </c>
      <c r="M925" s="6" t="s">
        <v>2230</v>
      </c>
    </row>
    <row r="926" ht="22.5" customHeight="1">
      <c r="A926" s="14">
        <v>46107.114403761574</v>
      </c>
      <c r="B926" s="6" t="s">
        <v>2282</v>
      </c>
      <c r="C926" s="10" t="s">
        <v>788</v>
      </c>
      <c r="D926" s="13">
        <v>1.0</v>
      </c>
      <c r="E926" s="13">
        <v>88.75</v>
      </c>
      <c r="F926" s="13">
        <v>130.0</v>
      </c>
      <c r="G926" s="6">
        <v>130.0</v>
      </c>
      <c r="H926" s="6">
        <v>130.0</v>
      </c>
      <c r="I926" s="6">
        <v>41.25</v>
      </c>
      <c r="J926" s="10" t="s">
        <v>154</v>
      </c>
      <c r="K926" s="6">
        <v>899.0</v>
      </c>
      <c r="L926" s="6" t="s">
        <v>4378</v>
      </c>
      <c r="M926" s="6" t="s">
        <v>2230</v>
      </c>
    </row>
    <row r="927" ht="22.5" customHeight="1">
      <c r="A927" s="14">
        <v>46107.11440319444</v>
      </c>
      <c r="B927" s="6" t="s">
        <v>2282</v>
      </c>
      <c r="C927" s="10" t="s">
        <v>559</v>
      </c>
      <c r="D927" s="13">
        <v>1.0</v>
      </c>
      <c r="E927" s="13">
        <v>32.333333333333336</v>
      </c>
      <c r="F927" s="13">
        <v>50.0</v>
      </c>
      <c r="G927" s="6">
        <v>50.0</v>
      </c>
      <c r="H927" s="6">
        <v>50.0</v>
      </c>
      <c r="I927" s="6">
        <v>17.67</v>
      </c>
      <c r="J927" s="6" t="s">
        <v>54</v>
      </c>
      <c r="K927" s="6">
        <v>898.0</v>
      </c>
      <c r="L927" s="6" t="s">
        <v>4379</v>
      </c>
      <c r="M927" s="6" t="s">
        <v>2230</v>
      </c>
    </row>
    <row r="928" ht="22.5" customHeight="1">
      <c r="A928" s="14">
        <v>46107.114402638894</v>
      </c>
      <c r="B928" s="6" t="s">
        <v>2282</v>
      </c>
      <c r="C928" s="10" t="s">
        <v>46</v>
      </c>
      <c r="D928" s="13">
        <v>1.0</v>
      </c>
      <c r="E928" s="13">
        <v>92.5</v>
      </c>
      <c r="F928" s="13">
        <v>270.0</v>
      </c>
      <c r="G928" s="6">
        <v>270.0</v>
      </c>
      <c r="H928" s="6">
        <v>270.0</v>
      </c>
      <c r="I928" s="6">
        <v>177.5</v>
      </c>
      <c r="J928" s="6" t="s">
        <v>54</v>
      </c>
      <c r="K928" s="6">
        <v>897.0</v>
      </c>
      <c r="L928" s="6" t="s">
        <v>4380</v>
      </c>
      <c r="M928" s="6" t="s">
        <v>2230</v>
      </c>
    </row>
    <row r="929" ht="22.5" customHeight="1">
      <c r="A929" s="14">
        <v>46107.114402129635</v>
      </c>
      <c r="B929" s="6" t="s">
        <v>2282</v>
      </c>
      <c r="C929" s="10" t="s">
        <v>756</v>
      </c>
      <c r="D929" s="13">
        <v>2.0</v>
      </c>
      <c r="E929" s="13">
        <v>30.0</v>
      </c>
      <c r="F929" s="13">
        <v>70.0</v>
      </c>
      <c r="G929" s="6">
        <v>70.0</v>
      </c>
      <c r="H929" s="6">
        <v>140.0</v>
      </c>
      <c r="I929" s="6">
        <v>80.0</v>
      </c>
      <c r="J929" s="10" t="s">
        <v>154</v>
      </c>
      <c r="K929" s="6">
        <v>896.0</v>
      </c>
      <c r="L929" s="6" t="s">
        <v>4381</v>
      </c>
      <c r="M929" s="6" t="s">
        <v>2230</v>
      </c>
    </row>
    <row r="930" ht="22.5" customHeight="1">
      <c r="A930" s="14">
        <v>46107.11440144676</v>
      </c>
      <c r="B930" s="6" t="s">
        <v>2282</v>
      </c>
      <c r="C930" s="10" t="s">
        <v>206</v>
      </c>
      <c r="D930" s="13">
        <v>1.0</v>
      </c>
      <c r="E930" s="13">
        <v>155.0</v>
      </c>
      <c r="F930" s="13">
        <v>200.0</v>
      </c>
      <c r="G930" s="6">
        <v>200.0</v>
      </c>
      <c r="H930" s="6">
        <v>200.0</v>
      </c>
      <c r="I930" s="6">
        <v>45.0</v>
      </c>
      <c r="J930" s="10" t="s">
        <v>31</v>
      </c>
      <c r="K930" s="6">
        <v>893.0</v>
      </c>
      <c r="L930" s="6" t="s">
        <v>4382</v>
      </c>
      <c r="M930" s="6" t="s">
        <v>2230</v>
      </c>
    </row>
    <row r="931" ht="22.5" customHeight="1">
      <c r="A931" s="14">
        <v>46107.11440091435</v>
      </c>
      <c r="B931" s="6" t="s">
        <v>2282</v>
      </c>
      <c r="C931" s="10" t="s">
        <v>165</v>
      </c>
      <c r="D931" s="13">
        <v>1.0</v>
      </c>
      <c r="E931" s="13">
        <v>89.07</v>
      </c>
      <c r="F931" s="13">
        <v>100.0</v>
      </c>
      <c r="G931" s="6">
        <v>100.0</v>
      </c>
      <c r="H931" s="6">
        <v>100.0</v>
      </c>
      <c r="I931" s="6">
        <v>10.93</v>
      </c>
      <c r="J931" s="10" t="s">
        <v>31</v>
      </c>
      <c r="K931" s="6">
        <v>892.0</v>
      </c>
      <c r="L931" s="6" t="s">
        <v>4383</v>
      </c>
      <c r="M931" s="6" t="s">
        <v>2230</v>
      </c>
    </row>
    <row r="932" ht="22.5" customHeight="1">
      <c r="A932" s="14">
        <v>46107.1144003588</v>
      </c>
      <c r="B932" s="6" t="s">
        <v>2282</v>
      </c>
      <c r="C932" s="10" t="s">
        <v>1043</v>
      </c>
      <c r="D932" s="13">
        <v>2.0</v>
      </c>
      <c r="E932" s="13">
        <v>80.0</v>
      </c>
      <c r="F932" s="13">
        <v>140.0</v>
      </c>
      <c r="G932" s="6">
        <v>140.0</v>
      </c>
      <c r="H932" s="6">
        <v>280.0</v>
      </c>
      <c r="I932" s="6">
        <v>120.0</v>
      </c>
      <c r="J932" s="10" t="s">
        <v>51</v>
      </c>
      <c r="K932" s="6">
        <v>890.0</v>
      </c>
      <c r="L932" s="6" t="s">
        <v>4384</v>
      </c>
      <c r="M932" s="6" t="s">
        <v>2230</v>
      </c>
    </row>
    <row r="933" ht="22.5" customHeight="1">
      <c r="A933" s="14">
        <v>46107.1143997801</v>
      </c>
      <c r="B933" s="6" t="s">
        <v>2282</v>
      </c>
      <c r="C933" s="10" t="s">
        <v>812</v>
      </c>
      <c r="D933" s="13">
        <v>1.0</v>
      </c>
      <c r="E933" s="13">
        <v>15.0</v>
      </c>
      <c r="F933" s="13">
        <v>20.0</v>
      </c>
      <c r="G933" s="6">
        <v>20.0</v>
      </c>
      <c r="H933" s="6">
        <v>20.0</v>
      </c>
      <c r="I933" s="6">
        <v>5.0</v>
      </c>
      <c r="J933" s="10" t="s">
        <v>154</v>
      </c>
      <c r="K933" s="6">
        <v>888.0</v>
      </c>
      <c r="L933" s="6" t="s">
        <v>4385</v>
      </c>
      <c r="M933" s="6" t="s">
        <v>2230</v>
      </c>
    </row>
    <row r="934" ht="22.5" customHeight="1">
      <c r="A934" s="14">
        <v>46107.114399375</v>
      </c>
      <c r="B934" s="6" t="s">
        <v>2282</v>
      </c>
      <c r="C934" s="10" t="s">
        <v>768</v>
      </c>
      <c r="D934" s="13">
        <v>1.0</v>
      </c>
      <c r="E934" s="13">
        <v>30.0</v>
      </c>
      <c r="F934" s="13">
        <v>80.0</v>
      </c>
      <c r="G934" s="6">
        <v>80.0</v>
      </c>
      <c r="H934" s="6">
        <v>80.0</v>
      </c>
      <c r="I934" s="6">
        <v>50.0</v>
      </c>
      <c r="J934" s="10" t="s">
        <v>31</v>
      </c>
      <c r="K934" s="6">
        <v>887.0</v>
      </c>
      <c r="L934" s="6" t="s">
        <v>4386</v>
      </c>
      <c r="M934" s="6" t="s">
        <v>2230</v>
      </c>
    </row>
    <row r="935" ht="22.5" customHeight="1">
      <c r="A935" s="14">
        <v>46107.11439905093</v>
      </c>
      <c r="B935" s="6" t="s">
        <v>2282</v>
      </c>
      <c r="C935" s="10" t="s">
        <v>902</v>
      </c>
      <c r="D935" s="13">
        <v>1.0</v>
      </c>
      <c r="E935" s="13">
        <v>81.67</v>
      </c>
      <c r="F935" s="13">
        <v>100.0</v>
      </c>
      <c r="G935" s="6">
        <v>100.0</v>
      </c>
      <c r="H935" s="6">
        <v>100.0</v>
      </c>
      <c r="I935" s="6">
        <v>18.33</v>
      </c>
      <c r="J935" s="10" t="s">
        <v>154</v>
      </c>
      <c r="K935" s="6">
        <v>886.0</v>
      </c>
      <c r="L935" s="6" t="s">
        <v>4387</v>
      </c>
      <c r="M935" s="6" t="s">
        <v>2230</v>
      </c>
    </row>
    <row r="936" ht="22.5" customHeight="1">
      <c r="A936" s="14">
        <v>46107.11439876157</v>
      </c>
      <c r="B936" s="6" t="s">
        <v>2282</v>
      </c>
      <c r="C936" s="10" t="s">
        <v>645</v>
      </c>
      <c r="D936" s="13">
        <v>2.0</v>
      </c>
      <c r="E936" s="13">
        <v>17.0</v>
      </c>
      <c r="F936" s="13">
        <v>25.0</v>
      </c>
      <c r="G936" s="6">
        <v>25.0</v>
      </c>
      <c r="H936" s="6">
        <v>50.0</v>
      </c>
      <c r="I936" s="6">
        <v>16.0</v>
      </c>
      <c r="J936" s="10"/>
      <c r="K936" s="6">
        <v>885.0</v>
      </c>
      <c r="L936" s="6" t="s">
        <v>4388</v>
      </c>
      <c r="M936" s="6" t="s">
        <v>2230</v>
      </c>
    </row>
    <row r="937" ht="22.5" customHeight="1">
      <c r="A937" s="14">
        <v>46107.11439835648</v>
      </c>
      <c r="B937" s="6" t="s">
        <v>2282</v>
      </c>
      <c r="C937" s="10" t="s">
        <v>48</v>
      </c>
      <c r="D937" s="13">
        <v>1.0</v>
      </c>
      <c r="E937" s="13">
        <v>31.5</v>
      </c>
      <c r="F937" s="13">
        <v>50.0</v>
      </c>
      <c r="G937" s="6">
        <v>50.0</v>
      </c>
      <c r="H937" s="6">
        <v>50.0</v>
      </c>
      <c r="I937" s="6">
        <v>18.5</v>
      </c>
      <c r="J937" s="10" t="s">
        <v>31</v>
      </c>
      <c r="K937" s="6">
        <v>883.0</v>
      </c>
      <c r="L937" s="6" t="s">
        <v>4389</v>
      </c>
      <c r="M937" s="6" t="s">
        <v>2230</v>
      </c>
    </row>
    <row r="938" ht="22.5" customHeight="1">
      <c r="A938" s="14">
        <v>46107.1143980787</v>
      </c>
      <c r="B938" s="6" t="s">
        <v>2282</v>
      </c>
      <c r="C938" s="10" t="s">
        <v>963</v>
      </c>
      <c r="D938" s="13">
        <v>1.0</v>
      </c>
      <c r="E938" s="13">
        <v>18.75</v>
      </c>
      <c r="F938" s="13">
        <v>40.0</v>
      </c>
      <c r="G938" s="6">
        <v>40.0</v>
      </c>
      <c r="H938" s="6">
        <v>40.0</v>
      </c>
      <c r="I938" s="6">
        <v>21.25</v>
      </c>
      <c r="J938" s="6" t="s">
        <v>54</v>
      </c>
      <c r="K938" s="6">
        <v>882.0</v>
      </c>
      <c r="L938" s="6" t="s">
        <v>4390</v>
      </c>
      <c r="M938" s="6" t="s">
        <v>2230</v>
      </c>
    </row>
    <row r="939" ht="22.5" customHeight="1">
      <c r="A939" s="14">
        <v>46107.11439768519</v>
      </c>
      <c r="B939" s="6" t="s">
        <v>2282</v>
      </c>
      <c r="C939" s="10" t="s">
        <v>34</v>
      </c>
      <c r="D939" s="13">
        <v>1.0</v>
      </c>
      <c r="E939" s="13">
        <v>134.23749999999998</v>
      </c>
      <c r="F939" s="13">
        <v>300.0</v>
      </c>
      <c r="G939" s="6">
        <v>300.0</v>
      </c>
      <c r="H939" s="6">
        <v>300.0</v>
      </c>
      <c r="I939" s="6">
        <v>165.76</v>
      </c>
      <c r="J939" s="6" t="s">
        <v>54</v>
      </c>
      <c r="K939" s="6">
        <v>879.0</v>
      </c>
      <c r="L939" s="6" t="s">
        <v>4391</v>
      </c>
      <c r="M939" s="6" t="s">
        <v>2230</v>
      </c>
    </row>
    <row r="940" ht="22.5" customHeight="1">
      <c r="A940" s="14">
        <v>46107.114397384255</v>
      </c>
      <c r="B940" s="6" t="s">
        <v>2282</v>
      </c>
      <c r="C940" s="10" t="s">
        <v>662</v>
      </c>
      <c r="D940" s="13">
        <v>1.0</v>
      </c>
      <c r="E940" s="13">
        <v>50.0</v>
      </c>
      <c r="F940" s="13">
        <v>75.0</v>
      </c>
      <c r="G940" s="6">
        <v>75.0</v>
      </c>
      <c r="H940" s="6">
        <v>75.0</v>
      </c>
      <c r="I940" s="6">
        <v>25.0</v>
      </c>
      <c r="J940" s="10" t="s">
        <v>1052</v>
      </c>
      <c r="K940" s="6">
        <v>878.0</v>
      </c>
      <c r="L940" s="6" t="s">
        <v>4392</v>
      </c>
      <c r="M940" s="6" t="s">
        <v>2230</v>
      </c>
    </row>
    <row r="941" ht="22.5" customHeight="1">
      <c r="A941" s="14">
        <v>46107.114397060184</v>
      </c>
      <c r="B941" s="6" t="s">
        <v>2282</v>
      </c>
      <c r="C941" s="10" t="s">
        <v>255</v>
      </c>
      <c r="D941" s="13">
        <v>1.0</v>
      </c>
      <c r="E941" s="13">
        <v>35.0</v>
      </c>
      <c r="F941" s="13">
        <v>50.0</v>
      </c>
      <c r="G941" s="6">
        <v>50.0</v>
      </c>
      <c r="H941" s="6">
        <v>50.0</v>
      </c>
      <c r="I941" s="6">
        <v>15.0</v>
      </c>
      <c r="J941" s="10" t="s">
        <v>31</v>
      </c>
      <c r="K941" s="6">
        <v>877.0</v>
      </c>
      <c r="L941" s="6" t="s">
        <v>4393</v>
      </c>
      <c r="M941" s="6" t="s">
        <v>2230</v>
      </c>
    </row>
    <row r="942" ht="22.5" customHeight="1">
      <c r="A942" s="14">
        <v>46107.114396689816</v>
      </c>
      <c r="B942" s="6" t="s">
        <v>2282</v>
      </c>
      <c r="C942" s="10" t="s">
        <v>756</v>
      </c>
      <c r="D942" s="13">
        <v>1.0</v>
      </c>
      <c r="E942" s="13">
        <v>30.0</v>
      </c>
      <c r="F942" s="13">
        <v>50.0</v>
      </c>
      <c r="G942" s="6">
        <v>50.0</v>
      </c>
      <c r="H942" s="6">
        <v>50.0</v>
      </c>
      <c r="I942" s="6">
        <v>20.0</v>
      </c>
      <c r="J942" s="10" t="s">
        <v>154</v>
      </c>
      <c r="K942" s="6">
        <v>876.0</v>
      </c>
      <c r="L942" s="6" t="s">
        <v>4394</v>
      </c>
      <c r="M942" s="6" t="s">
        <v>2230</v>
      </c>
    </row>
    <row r="943" ht="22.5" customHeight="1">
      <c r="A943" s="14">
        <v>46107.11439630787</v>
      </c>
      <c r="B943" s="6" t="s">
        <v>2282</v>
      </c>
      <c r="C943" s="10" t="s">
        <v>255</v>
      </c>
      <c r="D943" s="13">
        <v>1.0</v>
      </c>
      <c r="E943" s="13">
        <v>35.0</v>
      </c>
      <c r="F943" s="13">
        <v>50.0</v>
      </c>
      <c r="G943" s="6">
        <v>50.0</v>
      </c>
      <c r="H943" s="6">
        <v>50.0</v>
      </c>
      <c r="I943" s="6">
        <v>15.0</v>
      </c>
      <c r="J943" s="10" t="s">
        <v>31</v>
      </c>
      <c r="K943" s="6">
        <v>875.0</v>
      </c>
      <c r="L943" s="6" t="s">
        <v>4395</v>
      </c>
      <c r="M943" s="6" t="s">
        <v>2230</v>
      </c>
    </row>
    <row r="944" ht="22.5" customHeight="1">
      <c r="A944" s="14">
        <v>46107.11439594907</v>
      </c>
      <c r="B944" s="6" t="s">
        <v>2282</v>
      </c>
      <c r="C944" s="10" t="s">
        <v>861</v>
      </c>
      <c r="D944" s="13">
        <v>2.0</v>
      </c>
      <c r="E944" s="13">
        <v>23.33</v>
      </c>
      <c r="F944" s="13">
        <v>35.0</v>
      </c>
      <c r="G944" s="6">
        <v>35.0</v>
      </c>
      <c r="H944" s="6">
        <v>70.0</v>
      </c>
      <c r="I944" s="6">
        <v>23.34</v>
      </c>
      <c r="J944" s="10"/>
      <c r="K944" s="6">
        <v>874.0</v>
      </c>
      <c r="L944" s="6" t="s">
        <v>4396</v>
      </c>
      <c r="M944" s="6" t="s">
        <v>2230</v>
      </c>
    </row>
    <row r="945" ht="22.5" customHeight="1">
      <c r="A945" s="14">
        <v>46107.11439553241</v>
      </c>
      <c r="B945" s="6" t="s">
        <v>2282</v>
      </c>
      <c r="C945" s="10" t="s">
        <v>756</v>
      </c>
      <c r="D945" s="13">
        <v>1.0</v>
      </c>
      <c r="E945" s="13">
        <v>30.0</v>
      </c>
      <c r="F945" s="13">
        <v>30.0</v>
      </c>
      <c r="G945" s="6">
        <v>30.0</v>
      </c>
      <c r="H945" s="6">
        <v>30.0</v>
      </c>
      <c r="I945" s="6">
        <v>0.0</v>
      </c>
      <c r="J945" s="10" t="s">
        <v>154</v>
      </c>
      <c r="K945" s="6">
        <v>872.0</v>
      </c>
      <c r="L945" s="6" t="s">
        <v>4397</v>
      </c>
      <c r="M945" s="6" t="s">
        <v>2230</v>
      </c>
    </row>
    <row r="946" ht="22.5" customHeight="1">
      <c r="A946" s="14">
        <v>46107.11439519676</v>
      </c>
      <c r="B946" s="6" t="s">
        <v>2282</v>
      </c>
      <c r="C946" s="10" t="s">
        <v>255</v>
      </c>
      <c r="D946" s="13">
        <v>1.0</v>
      </c>
      <c r="E946" s="13">
        <v>35.0</v>
      </c>
      <c r="F946" s="13">
        <v>35.0</v>
      </c>
      <c r="G946" s="6">
        <v>35.0</v>
      </c>
      <c r="H946" s="6">
        <v>35.0</v>
      </c>
      <c r="I946" s="6">
        <v>0.0</v>
      </c>
      <c r="J946" s="10" t="s">
        <v>31</v>
      </c>
      <c r="K946" s="6">
        <v>871.0</v>
      </c>
      <c r="L946" s="6" t="s">
        <v>4399</v>
      </c>
      <c r="M946" s="6" t="s">
        <v>2230</v>
      </c>
    </row>
    <row r="947" ht="22.5" customHeight="1">
      <c r="A947" s="14">
        <v>46107.11439478009</v>
      </c>
      <c r="B947" s="6" t="s">
        <v>2282</v>
      </c>
      <c r="C947" s="10" t="s">
        <v>646</v>
      </c>
      <c r="D947" s="13">
        <v>1.0</v>
      </c>
      <c r="E947" s="13">
        <v>166.0</v>
      </c>
      <c r="F947" s="13">
        <v>190.0</v>
      </c>
      <c r="G947" s="6">
        <v>190.0</v>
      </c>
      <c r="H947" s="6">
        <v>190.0</v>
      </c>
      <c r="I947" s="6">
        <v>24.0</v>
      </c>
      <c r="J947" s="10" t="s">
        <v>119</v>
      </c>
      <c r="K947" s="6">
        <v>870.0</v>
      </c>
      <c r="L947" s="6" t="s">
        <v>4400</v>
      </c>
      <c r="M947" s="6" t="s">
        <v>2230</v>
      </c>
    </row>
    <row r="948" ht="22.5" customHeight="1">
      <c r="A948" s="14">
        <v>46107.11439418982</v>
      </c>
      <c r="B948" s="6" t="s">
        <v>2282</v>
      </c>
      <c r="C948" s="10" t="s">
        <v>888</v>
      </c>
      <c r="D948" s="13">
        <v>1.0</v>
      </c>
      <c r="E948" s="13">
        <v>129.0</v>
      </c>
      <c r="F948" s="13">
        <v>175.0</v>
      </c>
      <c r="G948" s="6">
        <v>175.0</v>
      </c>
      <c r="H948" s="6">
        <v>175.0</v>
      </c>
      <c r="I948" s="6">
        <v>46.0</v>
      </c>
      <c r="J948" s="10" t="s">
        <v>119</v>
      </c>
      <c r="K948" s="6">
        <v>869.0</v>
      </c>
      <c r="L948" s="6" t="s">
        <v>4401</v>
      </c>
      <c r="M948" s="6" t="s">
        <v>2230</v>
      </c>
    </row>
    <row r="949" ht="22.5" customHeight="1">
      <c r="A949" s="14">
        <v>46107.11439383102</v>
      </c>
      <c r="B949" s="6" t="s">
        <v>2282</v>
      </c>
      <c r="C949" s="10" t="s">
        <v>812</v>
      </c>
      <c r="D949" s="13">
        <v>2.0</v>
      </c>
      <c r="E949" s="13">
        <v>15.0</v>
      </c>
      <c r="F949" s="13">
        <v>20.0</v>
      </c>
      <c r="G949" s="6">
        <v>20.0</v>
      </c>
      <c r="H949" s="6">
        <v>40.0</v>
      </c>
      <c r="I949" s="6">
        <v>10.0</v>
      </c>
      <c r="J949" s="10" t="s">
        <v>154</v>
      </c>
      <c r="K949" s="6">
        <v>868.0</v>
      </c>
      <c r="L949" s="6" t="s">
        <v>4402</v>
      </c>
      <c r="M949" s="6" t="s">
        <v>2230</v>
      </c>
    </row>
    <row r="950" ht="22.5" customHeight="1">
      <c r="A950" s="14">
        <v>46107.11439353009</v>
      </c>
      <c r="B950" s="6" t="s">
        <v>2282</v>
      </c>
      <c r="C950" s="10" t="s">
        <v>839</v>
      </c>
      <c r="D950" s="13">
        <v>1.0</v>
      </c>
      <c r="E950" s="13">
        <v>139.0</v>
      </c>
      <c r="F950" s="13">
        <v>160.0</v>
      </c>
      <c r="G950" s="6">
        <v>160.0</v>
      </c>
      <c r="H950" s="6">
        <v>160.0</v>
      </c>
      <c r="I950" s="6">
        <v>21.0</v>
      </c>
      <c r="J950" s="10" t="s">
        <v>119</v>
      </c>
      <c r="K950" s="6">
        <v>867.0</v>
      </c>
      <c r="L950" s="6" t="s">
        <v>4403</v>
      </c>
      <c r="M950" s="6" t="s">
        <v>2230</v>
      </c>
    </row>
    <row r="951" ht="22.5" customHeight="1">
      <c r="A951" s="14">
        <v>46107.11439325231</v>
      </c>
      <c r="B951" s="6" t="s">
        <v>2282</v>
      </c>
      <c r="C951" s="10" t="s">
        <v>1004</v>
      </c>
      <c r="D951" s="13">
        <v>1.0</v>
      </c>
      <c r="E951" s="13">
        <v>65.0</v>
      </c>
      <c r="F951" s="13">
        <v>90.0</v>
      </c>
      <c r="G951" s="6">
        <v>90.0</v>
      </c>
      <c r="H951" s="6">
        <v>90.0</v>
      </c>
      <c r="I951" s="6">
        <v>25.0</v>
      </c>
      <c r="J951" s="10" t="s">
        <v>154</v>
      </c>
      <c r="K951" s="6">
        <v>866.0</v>
      </c>
      <c r="L951" s="6" t="s">
        <v>4404</v>
      </c>
      <c r="M951" s="6" t="s">
        <v>2230</v>
      </c>
    </row>
    <row r="952" ht="22.5" customHeight="1">
      <c r="A952" s="14">
        <v>46107.1143930324</v>
      </c>
      <c r="B952" s="6" t="s">
        <v>2282</v>
      </c>
      <c r="C952" s="10" t="s">
        <v>1043</v>
      </c>
      <c r="D952" s="13">
        <v>1.0</v>
      </c>
      <c r="E952" s="13">
        <v>80.0</v>
      </c>
      <c r="F952" s="13">
        <v>120.0</v>
      </c>
      <c r="G952" s="6">
        <v>120.0</v>
      </c>
      <c r="H952" s="6">
        <v>120.0</v>
      </c>
      <c r="I952" s="6">
        <v>40.0</v>
      </c>
      <c r="J952" s="10" t="s">
        <v>51</v>
      </c>
      <c r="K952" s="6">
        <v>865.0</v>
      </c>
      <c r="L952" s="6" t="s">
        <v>4405</v>
      </c>
      <c r="M952" s="6" t="s">
        <v>2230</v>
      </c>
    </row>
    <row r="953" ht="22.5" customHeight="1">
      <c r="A953" s="14">
        <v>46107.11439270833</v>
      </c>
      <c r="B953" s="6" t="s">
        <v>2282</v>
      </c>
      <c r="C953" s="10" t="s">
        <v>826</v>
      </c>
      <c r="D953" s="13">
        <v>1.0</v>
      </c>
      <c r="E953" s="13">
        <v>140.0</v>
      </c>
      <c r="F953" s="13">
        <v>175.0</v>
      </c>
      <c r="G953" s="6">
        <v>175.0</v>
      </c>
      <c r="H953" s="6">
        <v>175.0</v>
      </c>
      <c r="I953" s="6">
        <v>35.0</v>
      </c>
      <c r="J953" s="10" t="s">
        <v>119</v>
      </c>
      <c r="K953" s="6">
        <v>864.0</v>
      </c>
      <c r="L953" s="6" t="s">
        <v>4406</v>
      </c>
      <c r="M953" s="6" t="s">
        <v>2230</v>
      </c>
    </row>
    <row r="954" ht="22.5" customHeight="1">
      <c r="A954" s="14">
        <v>46107.1143924537</v>
      </c>
      <c r="B954" s="6" t="s">
        <v>2282</v>
      </c>
      <c r="C954" s="10" t="s">
        <v>871</v>
      </c>
      <c r="D954" s="13">
        <v>1.0</v>
      </c>
      <c r="E954" s="13">
        <v>93.0</v>
      </c>
      <c r="F954" s="13">
        <v>120.0</v>
      </c>
      <c r="G954" s="6">
        <v>120.0</v>
      </c>
      <c r="H954" s="6">
        <v>120.0</v>
      </c>
      <c r="I954" s="6">
        <v>27.0</v>
      </c>
      <c r="J954" s="10" t="s">
        <v>154</v>
      </c>
      <c r="K954" s="6">
        <v>863.0</v>
      </c>
      <c r="L954" s="6" t="s">
        <v>4407</v>
      </c>
      <c r="M954" s="6" t="s">
        <v>2230</v>
      </c>
    </row>
    <row r="955" ht="22.5" customHeight="1">
      <c r="A955" s="14">
        <v>46107.1143921412</v>
      </c>
      <c r="B955" s="6" t="s">
        <v>2282</v>
      </c>
      <c r="C955" s="10" t="s">
        <v>559</v>
      </c>
      <c r="D955" s="13">
        <v>2.0</v>
      </c>
      <c r="E955" s="13">
        <v>32.333333333333336</v>
      </c>
      <c r="F955" s="13">
        <v>50.0</v>
      </c>
      <c r="G955" s="6">
        <v>50.0</v>
      </c>
      <c r="H955" s="6">
        <v>100.0</v>
      </c>
      <c r="I955" s="6">
        <v>35.33</v>
      </c>
      <c r="J955" s="6" t="s">
        <v>54</v>
      </c>
      <c r="K955" s="6">
        <v>861.0</v>
      </c>
      <c r="L955" s="6" t="s">
        <v>4408</v>
      </c>
      <c r="M955" s="6" t="s">
        <v>2230</v>
      </c>
    </row>
    <row r="956" ht="22.5" customHeight="1">
      <c r="A956" s="14">
        <v>46107.11439185185</v>
      </c>
      <c r="B956" s="6" t="s">
        <v>2282</v>
      </c>
      <c r="C956" s="10" t="s">
        <v>812</v>
      </c>
      <c r="D956" s="13">
        <v>2.0</v>
      </c>
      <c r="E956" s="13">
        <v>15.0</v>
      </c>
      <c r="F956" s="13">
        <v>20.0</v>
      </c>
      <c r="G956" s="6">
        <v>20.0</v>
      </c>
      <c r="H956" s="6">
        <v>40.0</v>
      </c>
      <c r="I956" s="6">
        <v>10.0</v>
      </c>
      <c r="J956" s="10" t="s">
        <v>154</v>
      </c>
      <c r="K956" s="6">
        <v>860.0</v>
      </c>
      <c r="L956" s="6" t="s">
        <v>4409</v>
      </c>
      <c r="M956" s="6" t="s">
        <v>2230</v>
      </c>
    </row>
    <row r="957" ht="22.5" customHeight="1">
      <c r="A957" s="14">
        <v>46107.1143915625</v>
      </c>
      <c r="B957" s="6" t="s">
        <v>2282</v>
      </c>
      <c r="C957" s="10" t="s">
        <v>255</v>
      </c>
      <c r="D957" s="13">
        <v>1.0</v>
      </c>
      <c r="E957" s="13">
        <v>35.0</v>
      </c>
      <c r="F957" s="13">
        <v>50.0</v>
      </c>
      <c r="G957" s="6">
        <v>50.0</v>
      </c>
      <c r="H957" s="6">
        <v>50.0</v>
      </c>
      <c r="I957" s="6">
        <v>15.0</v>
      </c>
      <c r="J957" s="10" t="s">
        <v>31</v>
      </c>
      <c r="K957" s="6">
        <v>859.0</v>
      </c>
      <c r="L957" s="6" t="s">
        <v>4410</v>
      </c>
      <c r="M957" s="6" t="s">
        <v>2230</v>
      </c>
    </row>
    <row r="958" ht="22.5" customHeight="1">
      <c r="A958" s="14">
        <v>46107.11439121528</v>
      </c>
      <c r="B958" s="6" t="s">
        <v>2282</v>
      </c>
      <c r="C958" s="10" t="s">
        <v>885</v>
      </c>
      <c r="D958" s="13">
        <v>1.0</v>
      </c>
      <c r="E958" s="13">
        <v>135.0</v>
      </c>
      <c r="F958" s="13">
        <v>160.0</v>
      </c>
      <c r="G958" s="6">
        <v>160.0</v>
      </c>
      <c r="H958" s="6">
        <v>160.0</v>
      </c>
      <c r="I958" s="6">
        <v>25.0</v>
      </c>
      <c r="J958" s="10" t="s">
        <v>154</v>
      </c>
      <c r="K958" s="6">
        <v>858.0</v>
      </c>
      <c r="L958" s="6" t="s">
        <v>4411</v>
      </c>
      <c r="M958" s="6" t="s">
        <v>2230</v>
      </c>
    </row>
    <row r="959" ht="22.5" customHeight="1">
      <c r="A959" s="14">
        <v>46107.11439091435</v>
      </c>
      <c r="B959" s="6" t="s">
        <v>2282</v>
      </c>
      <c r="C959" s="10" t="s">
        <v>946</v>
      </c>
      <c r="D959" s="13">
        <v>1.0</v>
      </c>
      <c r="E959" s="13">
        <v>75.0</v>
      </c>
      <c r="F959" s="13">
        <v>100.0</v>
      </c>
      <c r="G959" s="6">
        <v>100.0</v>
      </c>
      <c r="H959" s="6">
        <v>100.0</v>
      </c>
      <c r="I959" s="6">
        <v>25.0</v>
      </c>
      <c r="J959" s="10" t="s">
        <v>51</v>
      </c>
      <c r="K959" s="6">
        <v>857.0</v>
      </c>
      <c r="L959" s="6" t="s">
        <v>4412</v>
      </c>
      <c r="M959" s="6" t="s">
        <v>2230</v>
      </c>
    </row>
    <row r="960" ht="22.5" customHeight="1">
      <c r="A960" s="14">
        <v>46107.114390648145</v>
      </c>
      <c r="B960" s="6" t="s">
        <v>2282</v>
      </c>
      <c r="C960" s="10" t="s">
        <v>255</v>
      </c>
      <c r="D960" s="13">
        <v>1.0</v>
      </c>
      <c r="E960" s="13">
        <v>35.0</v>
      </c>
      <c r="F960" s="13">
        <v>50.0</v>
      </c>
      <c r="G960" s="6">
        <v>50.0</v>
      </c>
      <c r="H960" s="6">
        <v>50.0</v>
      </c>
      <c r="I960" s="6">
        <v>15.0</v>
      </c>
      <c r="J960" s="10" t="s">
        <v>31</v>
      </c>
      <c r="K960" s="6">
        <v>856.0</v>
      </c>
      <c r="L960" s="6" t="s">
        <v>4413</v>
      </c>
      <c r="M960" s="6" t="s">
        <v>2230</v>
      </c>
    </row>
    <row r="961" ht="22.5" customHeight="1">
      <c r="A961" s="14">
        <v>46107.114390393515</v>
      </c>
      <c r="B961" s="6" t="s">
        <v>2282</v>
      </c>
      <c r="C961" s="10" t="s">
        <v>220</v>
      </c>
      <c r="D961" s="13">
        <v>1.0</v>
      </c>
      <c r="E961" s="13">
        <v>85.0</v>
      </c>
      <c r="F961" s="13">
        <v>150.0</v>
      </c>
      <c r="G961" s="6">
        <v>150.0</v>
      </c>
      <c r="H961" s="6">
        <v>150.0</v>
      </c>
      <c r="I961" s="6">
        <v>65.0</v>
      </c>
      <c r="J961" s="10" t="s">
        <v>51</v>
      </c>
      <c r="K961" s="6">
        <v>855.0</v>
      </c>
      <c r="L961" s="6" t="s">
        <v>4414</v>
      </c>
      <c r="M961" s="6" t="s">
        <v>2230</v>
      </c>
    </row>
    <row r="962" ht="22.5" customHeight="1">
      <c r="A962" s="14">
        <v>46107.11439012732</v>
      </c>
      <c r="B962" s="6" t="s">
        <v>2282</v>
      </c>
      <c r="C962" s="10" t="s">
        <v>559</v>
      </c>
      <c r="D962" s="13">
        <v>2.0</v>
      </c>
      <c r="E962" s="13">
        <v>32.333333333333336</v>
      </c>
      <c r="F962" s="13">
        <v>50.0</v>
      </c>
      <c r="G962" s="6">
        <v>50.0</v>
      </c>
      <c r="H962" s="6">
        <v>100.0</v>
      </c>
      <c r="I962" s="6">
        <v>35.33</v>
      </c>
      <c r="J962" s="6" t="s">
        <v>54</v>
      </c>
      <c r="K962" s="6">
        <v>854.0</v>
      </c>
      <c r="L962" s="6" t="s">
        <v>4415</v>
      </c>
      <c r="M962" s="6" t="s">
        <v>2230</v>
      </c>
    </row>
    <row r="963" ht="22.5" customHeight="1">
      <c r="A963" s="14">
        <v>46107.11438987269</v>
      </c>
      <c r="B963" s="6" t="s">
        <v>2282</v>
      </c>
      <c r="C963" s="10" t="s">
        <v>34</v>
      </c>
      <c r="D963" s="13">
        <v>1.0</v>
      </c>
      <c r="E963" s="13">
        <v>134.23749999999998</v>
      </c>
      <c r="F963" s="13">
        <v>300.0</v>
      </c>
      <c r="G963" s="6">
        <v>300.0</v>
      </c>
      <c r="H963" s="6">
        <v>300.0</v>
      </c>
      <c r="I963" s="6">
        <v>165.76</v>
      </c>
      <c r="J963" s="6" t="s">
        <v>54</v>
      </c>
      <c r="K963" s="6">
        <v>853.0</v>
      </c>
      <c r="L963" s="6" t="s">
        <v>4416</v>
      </c>
      <c r="M963" s="6" t="s">
        <v>2230</v>
      </c>
    </row>
    <row r="964" ht="22.5" customHeight="1">
      <c r="A964" s="14">
        <v>46107.11438954861</v>
      </c>
      <c r="B964" s="6" t="s">
        <v>2282</v>
      </c>
      <c r="C964" s="10" t="s">
        <v>960</v>
      </c>
      <c r="D964" s="13">
        <v>2.0</v>
      </c>
      <c r="E964" s="13">
        <v>80.0</v>
      </c>
      <c r="F964" s="13">
        <v>125.0</v>
      </c>
      <c r="G964" s="6">
        <v>125.0</v>
      </c>
      <c r="H964" s="6">
        <v>250.0</v>
      </c>
      <c r="I964" s="6">
        <v>90.0</v>
      </c>
      <c r="J964" s="10" t="s">
        <v>51</v>
      </c>
      <c r="K964" s="6">
        <v>852.0</v>
      </c>
      <c r="L964" s="6" t="s">
        <v>4417</v>
      </c>
      <c r="M964" s="6" t="s">
        <v>2230</v>
      </c>
    </row>
    <row r="965" ht="22.5" customHeight="1">
      <c r="A965" s="14">
        <v>46107.11438929398</v>
      </c>
      <c r="B965" s="6" t="s">
        <v>2282</v>
      </c>
      <c r="C965" s="10" t="s">
        <v>34</v>
      </c>
      <c r="D965" s="13">
        <v>1.0</v>
      </c>
      <c r="E965" s="13">
        <v>134.23749999999998</v>
      </c>
      <c r="F965" s="13">
        <v>300.0</v>
      </c>
      <c r="G965" s="6">
        <v>300.0</v>
      </c>
      <c r="H965" s="6">
        <v>300.0</v>
      </c>
      <c r="I965" s="6">
        <v>165.76</v>
      </c>
      <c r="J965" s="6" t="s">
        <v>54</v>
      </c>
      <c r="K965" s="6">
        <v>851.0</v>
      </c>
      <c r="L965" s="6" t="s">
        <v>4418</v>
      </c>
      <c r="M965" s="6" t="s">
        <v>2230</v>
      </c>
    </row>
    <row r="966" ht="22.5" customHeight="1">
      <c r="A966" s="14">
        <v>46107.114389062495</v>
      </c>
      <c r="B966" s="6" t="s">
        <v>2282</v>
      </c>
      <c r="C966" s="10" t="s">
        <v>788</v>
      </c>
      <c r="D966" s="13">
        <v>1.0</v>
      </c>
      <c r="E966" s="13">
        <v>88.75</v>
      </c>
      <c r="F966" s="13">
        <v>130.0</v>
      </c>
      <c r="G966" s="6">
        <v>130.0</v>
      </c>
      <c r="H966" s="6">
        <v>130.0</v>
      </c>
      <c r="I966" s="6">
        <v>41.25</v>
      </c>
      <c r="J966" s="10" t="s">
        <v>154</v>
      </c>
      <c r="K966" s="6">
        <v>850.0</v>
      </c>
      <c r="L966" s="6" t="s">
        <v>4419</v>
      </c>
      <c r="M966" s="6" t="s">
        <v>2230</v>
      </c>
    </row>
    <row r="967" ht="22.5" customHeight="1">
      <c r="A967" s="14">
        <v>46107.11438878472</v>
      </c>
      <c r="B967" s="6" t="s">
        <v>2282</v>
      </c>
      <c r="C967" s="10" t="s">
        <v>306</v>
      </c>
      <c r="D967" s="13">
        <v>4.0</v>
      </c>
      <c r="E967" s="13">
        <v>12.0</v>
      </c>
      <c r="F967" s="13">
        <v>25.0</v>
      </c>
      <c r="G967" s="6">
        <v>25.0</v>
      </c>
      <c r="H967" s="6">
        <v>100.0</v>
      </c>
      <c r="I967" s="6">
        <v>52.0</v>
      </c>
      <c r="J967" s="10" t="s">
        <v>31</v>
      </c>
      <c r="K967" s="6">
        <v>849.0</v>
      </c>
      <c r="L967" s="6" t="s">
        <v>4420</v>
      </c>
      <c r="M967" s="6" t="s">
        <v>2230</v>
      </c>
    </row>
    <row r="968" ht="22.5" customHeight="1">
      <c r="A968" s="14">
        <v>46107.11438850695</v>
      </c>
      <c r="B968" s="6" t="s">
        <v>2282</v>
      </c>
      <c r="C968" s="10" t="s">
        <v>554</v>
      </c>
      <c r="D968" s="13">
        <v>1.0</v>
      </c>
      <c r="E968" s="13">
        <v>23.22222222222222</v>
      </c>
      <c r="F968" s="13">
        <v>40.0</v>
      </c>
      <c r="G968" s="6">
        <v>40.0</v>
      </c>
      <c r="H968" s="6">
        <v>40.0</v>
      </c>
      <c r="I968" s="6">
        <v>16.78</v>
      </c>
      <c r="J968" s="6" t="s">
        <v>54</v>
      </c>
      <c r="K968" s="6">
        <v>848.0</v>
      </c>
      <c r="L968" s="6" t="s">
        <v>4421</v>
      </c>
      <c r="M968" s="6" t="s">
        <v>2230</v>
      </c>
    </row>
    <row r="969" ht="22.5" customHeight="1">
      <c r="A969" s="14">
        <v>46107.11438824074</v>
      </c>
      <c r="B969" s="6" t="s">
        <v>2282</v>
      </c>
      <c r="C969" s="10" t="s">
        <v>48</v>
      </c>
      <c r="D969" s="13">
        <v>1.0</v>
      </c>
      <c r="E969" s="13">
        <v>31.5</v>
      </c>
      <c r="F969" s="13">
        <v>50.0</v>
      </c>
      <c r="G969" s="6">
        <v>50.0</v>
      </c>
      <c r="H969" s="6">
        <v>50.0</v>
      </c>
      <c r="I969" s="6">
        <v>18.5</v>
      </c>
      <c r="J969" s="10" t="s">
        <v>31</v>
      </c>
      <c r="K969" s="6">
        <v>846.0</v>
      </c>
      <c r="L969" s="6" t="s">
        <v>4422</v>
      </c>
      <c r="M969" s="6" t="s">
        <v>2230</v>
      </c>
    </row>
    <row r="970" ht="22.5" customHeight="1">
      <c r="A970" s="14">
        <v>46107.11438798611</v>
      </c>
      <c r="B970" s="6" t="s">
        <v>2282</v>
      </c>
      <c r="C970" s="10" t="s">
        <v>788</v>
      </c>
      <c r="D970" s="13">
        <v>1.0</v>
      </c>
      <c r="E970" s="13">
        <v>88.75</v>
      </c>
      <c r="F970" s="13">
        <v>130.0</v>
      </c>
      <c r="G970" s="6">
        <v>130.0</v>
      </c>
      <c r="H970" s="6">
        <v>130.0</v>
      </c>
      <c r="I970" s="6">
        <v>41.25</v>
      </c>
      <c r="J970" s="10" t="s">
        <v>154</v>
      </c>
      <c r="K970" s="6">
        <v>845.0</v>
      </c>
      <c r="L970" s="6" t="s">
        <v>4423</v>
      </c>
      <c r="M970" s="6" t="s">
        <v>2230</v>
      </c>
    </row>
    <row r="971" ht="22.5" customHeight="1">
      <c r="A971" s="14">
        <v>46107.11438771991</v>
      </c>
      <c r="B971" s="6" t="s">
        <v>2282</v>
      </c>
      <c r="C971" s="10" t="s">
        <v>559</v>
      </c>
      <c r="D971" s="13">
        <v>1.0</v>
      </c>
      <c r="E971" s="13">
        <v>32.333333333333336</v>
      </c>
      <c r="F971" s="13">
        <v>40.0</v>
      </c>
      <c r="G971" s="6">
        <v>40.0</v>
      </c>
      <c r="H971" s="6">
        <v>40.0</v>
      </c>
      <c r="I971" s="6">
        <v>7.67</v>
      </c>
      <c r="J971" s="6" t="s">
        <v>54</v>
      </c>
      <c r="K971" s="6">
        <v>844.0</v>
      </c>
      <c r="L971" s="6" t="s">
        <v>4425</v>
      </c>
      <c r="M971" s="6" t="s">
        <v>2230</v>
      </c>
    </row>
    <row r="972" ht="22.5" customHeight="1">
      <c r="A972" s="14">
        <v>46107.11438746528</v>
      </c>
      <c r="B972" s="6" t="s">
        <v>2282</v>
      </c>
      <c r="C972" s="10" t="s">
        <v>46</v>
      </c>
      <c r="D972" s="13">
        <v>1.0</v>
      </c>
      <c r="E972" s="13">
        <v>92.5</v>
      </c>
      <c r="F972" s="13">
        <v>270.0</v>
      </c>
      <c r="G972" s="6">
        <v>270.0</v>
      </c>
      <c r="H972" s="6">
        <v>270.0</v>
      </c>
      <c r="I972" s="6">
        <v>177.5</v>
      </c>
      <c r="J972" s="6" t="s">
        <v>54</v>
      </c>
      <c r="K972" s="6">
        <v>843.0</v>
      </c>
      <c r="L972" s="6" t="s">
        <v>4426</v>
      </c>
      <c r="M972" s="6" t="s">
        <v>2230</v>
      </c>
    </row>
    <row r="973" ht="22.5" customHeight="1">
      <c r="A973" s="14">
        <v>46107.11438717593</v>
      </c>
      <c r="B973" s="6" t="s">
        <v>2282</v>
      </c>
      <c r="C973" s="10" t="s">
        <v>756</v>
      </c>
      <c r="D973" s="13">
        <v>2.0</v>
      </c>
      <c r="E973" s="13">
        <v>30.0</v>
      </c>
      <c r="F973" s="13">
        <v>70.0</v>
      </c>
      <c r="G973" s="6">
        <v>70.0</v>
      </c>
      <c r="H973" s="6">
        <v>140.0</v>
      </c>
      <c r="I973" s="6">
        <v>80.0</v>
      </c>
      <c r="J973" s="10" t="s">
        <v>154</v>
      </c>
      <c r="K973" s="6">
        <v>842.0</v>
      </c>
      <c r="L973" s="6" t="s">
        <v>4427</v>
      </c>
      <c r="M973" s="6" t="s">
        <v>2230</v>
      </c>
    </row>
    <row r="974" ht="22.5" customHeight="1">
      <c r="A974" s="14">
        <v>46107.114386875</v>
      </c>
      <c r="B974" s="6" t="s">
        <v>2282</v>
      </c>
      <c r="C974" s="10" t="s">
        <v>255</v>
      </c>
      <c r="D974" s="13">
        <v>2.0</v>
      </c>
      <c r="E974" s="13">
        <v>35.0</v>
      </c>
      <c r="F974" s="13">
        <v>50.0</v>
      </c>
      <c r="G974" s="6">
        <v>50.0</v>
      </c>
      <c r="H974" s="6">
        <v>100.0</v>
      </c>
      <c r="I974" s="6">
        <v>30.0</v>
      </c>
      <c r="J974" s="10" t="s">
        <v>31</v>
      </c>
      <c r="K974" s="6">
        <v>841.0</v>
      </c>
      <c r="L974" s="6" t="s">
        <v>4428</v>
      </c>
      <c r="M974" s="6" t="s">
        <v>2230</v>
      </c>
    </row>
    <row r="975" ht="22.5" customHeight="1">
      <c r="A975" s="14">
        <v>46107.114386574074</v>
      </c>
      <c r="B975" s="6" t="s">
        <v>2282</v>
      </c>
      <c r="C975" s="10" t="s">
        <v>1043</v>
      </c>
      <c r="D975" s="13">
        <v>1.0</v>
      </c>
      <c r="E975" s="13">
        <v>80.0</v>
      </c>
      <c r="F975" s="13">
        <v>140.0</v>
      </c>
      <c r="G975" s="6">
        <v>140.0</v>
      </c>
      <c r="H975" s="6">
        <v>140.0</v>
      </c>
      <c r="I975" s="6">
        <v>60.0</v>
      </c>
      <c r="J975" s="10" t="s">
        <v>51</v>
      </c>
      <c r="K975" s="6">
        <v>840.0</v>
      </c>
      <c r="L975" s="6" t="s">
        <v>4429</v>
      </c>
      <c r="M975" s="6" t="s">
        <v>2230</v>
      </c>
    </row>
    <row r="976" ht="22.5" customHeight="1">
      <c r="A976" s="14">
        <v>46107.11438627315</v>
      </c>
      <c r="B976" s="6" t="s">
        <v>2282</v>
      </c>
      <c r="C976" s="10" t="s">
        <v>206</v>
      </c>
      <c r="D976" s="13">
        <v>1.0</v>
      </c>
      <c r="E976" s="13">
        <v>155.0</v>
      </c>
      <c r="F976" s="13">
        <v>200.0</v>
      </c>
      <c r="G976" s="6">
        <v>200.0</v>
      </c>
      <c r="H976" s="6">
        <v>200.0</v>
      </c>
      <c r="I976" s="6">
        <v>45.0</v>
      </c>
      <c r="J976" s="10" t="s">
        <v>31</v>
      </c>
      <c r="K976" s="6">
        <v>839.0</v>
      </c>
      <c r="L976" s="6" t="s">
        <v>4430</v>
      </c>
      <c r="M976" s="6" t="s">
        <v>2230</v>
      </c>
    </row>
    <row r="977" ht="22.5" customHeight="1">
      <c r="A977" s="14">
        <v>46107.11438583334</v>
      </c>
      <c r="B977" s="6" t="s">
        <v>2282</v>
      </c>
      <c r="C977" s="10" t="s">
        <v>165</v>
      </c>
      <c r="D977" s="13">
        <v>1.0</v>
      </c>
      <c r="E977" s="13">
        <v>89.07</v>
      </c>
      <c r="F977" s="13">
        <v>100.0</v>
      </c>
      <c r="G977" s="6">
        <v>100.0</v>
      </c>
      <c r="H977" s="6">
        <v>100.0</v>
      </c>
      <c r="I977" s="6">
        <v>10.93</v>
      </c>
      <c r="J977" s="10" t="s">
        <v>31</v>
      </c>
      <c r="K977" s="6">
        <v>838.0</v>
      </c>
      <c r="L977" s="6" t="s">
        <v>4431</v>
      </c>
      <c r="M977" s="6" t="s">
        <v>2230</v>
      </c>
    </row>
    <row r="978" ht="22.5" customHeight="1">
      <c r="A978" s="14">
        <v>46107.114385486115</v>
      </c>
      <c r="B978" s="6" t="s">
        <v>2282</v>
      </c>
      <c r="C978" s="10" t="s">
        <v>462</v>
      </c>
      <c r="D978" s="13">
        <v>1.0</v>
      </c>
      <c r="E978" s="13">
        <v>210.0</v>
      </c>
      <c r="F978" s="13">
        <v>220.0</v>
      </c>
      <c r="G978" s="6">
        <v>220.0</v>
      </c>
      <c r="H978" s="6">
        <v>220.0</v>
      </c>
      <c r="I978" s="6">
        <v>10.0</v>
      </c>
      <c r="J978" s="10" t="s">
        <v>154</v>
      </c>
      <c r="K978" s="6">
        <v>837.0</v>
      </c>
      <c r="L978" s="6" t="s">
        <v>4434</v>
      </c>
      <c r="M978" s="6" t="s">
        <v>2230</v>
      </c>
    </row>
    <row r="979" ht="22.5" customHeight="1">
      <c r="A979" s="14">
        <v>46107.114385127315</v>
      </c>
      <c r="B979" s="6" t="s">
        <v>2282</v>
      </c>
      <c r="C979" s="10" t="s">
        <v>1043</v>
      </c>
      <c r="D979" s="13">
        <v>2.0</v>
      </c>
      <c r="E979" s="13">
        <v>80.0</v>
      </c>
      <c r="F979" s="13">
        <v>140.0</v>
      </c>
      <c r="G979" s="6">
        <v>140.0</v>
      </c>
      <c r="H979" s="6">
        <v>280.0</v>
      </c>
      <c r="I979" s="6">
        <v>120.0</v>
      </c>
      <c r="J979" s="10" t="s">
        <v>51</v>
      </c>
      <c r="K979" s="6">
        <v>836.0</v>
      </c>
      <c r="L979" s="6" t="s">
        <v>4435</v>
      </c>
      <c r="M979" s="6" t="s">
        <v>2230</v>
      </c>
    </row>
    <row r="980" ht="22.5" customHeight="1">
      <c r="A980" s="14">
        <v>46107.114384733795</v>
      </c>
      <c r="B980" s="6" t="s">
        <v>2282</v>
      </c>
      <c r="C980" s="10" t="s">
        <v>898</v>
      </c>
      <c r="D980" s="13">
        <v>1.0</v>
      </c>
      <c r="E980" s="13">
        <v>15.0</v>
      </c>
      <c r="F980" s="13">
        <v>20.0</v>
      </c>
      <c r="G980" s="6">
        <v>20.0</v>
      </c>
      <c r="H980" s="6">
        <v>20.0</v>
      </c>
      <c r="I980" s="6">
        <v>5.0</v>
      </c>
      <c r="J980" s="10" t="s">
        <v>154</v>
      </c>
      <c r="K980" s="6">
        <v>834.0</v>
      </c>
      <c r="L980" s="6" t="s">
        <v>4436</v>
      </c>
      <c r="M980" s="6" t="s">
        <v>2230</v>
      </c>
    </row>
    <row r="981" ht="22.5" customHeight="1">
      <c r="A981" s="14">
        <v>46107.11438442129</v>
      </c>
      <c r="B981" s="6" t="s">
        <v>2282</v>
      </c>
      <c r="C981" s="10" t="s">
        <v>511</v>
      </c>
      <c r="D981" s="13">
        <v>1.0</v>
      </c>
      <c r="E981" s="13">
        <v>40.0</v>
      </c>
      <c r="F981" s="13">
        <v>80.0</v>
      </c>
      <c r="G981" s="6">
        <v>80.0</v>
      </c>
      <c r="H981" s="6">
        <v>80.0</v>
      </c>
      <c r="I981" s="6">
        <v>40.0</v>
      </c>
      <c r="J981" s="10" t="s">
        <v>31</v>
      </c>
      <c r="K981" s="6">
        <v>833.0</v>
      </c>
      <c r="L981" s="6" t="s">
        <v>4438</v>
      </c>
      <c r="M981" s="6" t="s">
        <v>2230</v>
      </c>
    </row>
    <row r="982" ht="22.5" customHeight="1">
      <c r="A982" s="14">
        <v>46107.11438409722</v>
      </c>
      <c r="B982" s="6" t="s">
        <v>2282</v>
      </c>
      <c r="C982" s="10" t="s">
        <v>902</v>
      </c>
      <c r="D982" s="13">
        <v>1.0</v>
      </c>
      <c r="E982" s="13">
        <v>81.67</v>
      </c>
      <c r="F982" s="13">
        <v>100.0</v>
      </c>
      <c r="G982" s="6">
        <v>100.0</v>
      </c>
      <c r="H982" s="6">
        <v>100.0</v>
      </c>
      <c r="I982" s="6">
        <v>18.33</v>
      </c>
      <c r="J982" s="10" t="s">
        <v>154</v>
      </c>
      <c r="K982" s="6">
        <v>832.0</v>
      </c>
      <c r="L982" s="6" t="s">
        <v>4439</v>
      </c>
      <c r="M982" s="6" t="s">
        <v>2230</v>
      </c>
    </row>
    <row r="983" ht="22.5" customHeight="1">
      <c r="A983" s="14">
        <v>46107.11438378472</v>
      </c>
      <c r="B983" s="6" t="s">
        <v>2282</v>
      </c>
      <c r="C983" s="10" t="s">
        <v>645</v>
      </c>
      <c r="D983" s="13">
        <v>2.0</v>
      </c>
      <c r="E983" s="13">
        <v>17.0</v>
      </c>
      <c r="F983" s="13">
        <v>25.0</v>
      </c>
      <c r="G983" s="6">
        <v>25.0</v>
      </c>
      <c r="H983" s="6">
        <v>50.0</v>
      </c>
      <c r="I983" s="6">
        <v>16.0</v>
      </c>
      <c r="J983" s="10" t="s">
        <v>1052</v>
      </c>
      <c r="K983" s="6">
        <v>831.0</v>
      </c>
      <c r="L983" s="6" t="s">
        <v>4441</v>
      </c>
      <c r="M983" s="6" t="s">
        <v>2230</v>
      </c>
    </row>
    <row r="984" ht="22.5" customHeight="1">
      <c r="A984" s="14">
        <v>46107.11438353009</v>
      </c>
      <c r="B984" s="6" t="s">
        <v>2282</v>
      </c>
      <c r="C984" s="10" t="s">
        <v>172</v>
      </c>
      <c r="D984" s="13">
        <v>1.0</v>
      </c>
      <c r="E984" s="13">
        <v>28.2</v>
      </c>
      <c r="F984" s="13">
        <v>30.0</v>
      </c>
      <c r="G984" s="6">
        <v>30.0</v>
      </c>
      <c r="H984" s="6">
        <v>30.0</v>
      </c>
      <c r="I984" s="6">
        <v>1.8</v>
      </c>
      <c r="J984" s="10" t="s">
        <v>31</v>
      </c>
      <c r="K984" s="6">
        <v>830.0</v>
      </c>
      <c r="L984" s="6" t="s">
        <v>4444</v>
      </c>
      <c r="M984" s="6" t="s">
        <v>2230</v>
      </c>
    </row>
    <row r="985" ht="22.5" customHeight="1">
      <c r="A985" s="14">
        <v>46107.11438327546</v>
      </c>
      <c r="B985" s="6" t="s">
        <v>2282</v>
      </c>
      <c r="C985" s="10" t="s">
        <v>48</v>
      </c>
      <c r="D985" s="13">
        <v>1.0</v>
      </c>
      <c r="E985" s="13">
        <v>31.5</v>
      </c>
      <c r="F985" s="13">
        <v>50.0</v>
      </c>
      <c r="G985" s="6">
        <v>50.0</v>
      </c>
      <c r="H985" s="6">
        <v>50.0</v>
      </c>
      <c r="I985" s="6">
        <v>18.5</v>
      </c>
      <c r="J985" s="10" t="s">
        <v>31</v>
      </c>
      <c r="K985" s="6">
        <v>829.0</v>
      </c>
      <c r="L985" s="6" t="s">
        <v>4447</v>
      </c>
      <c r="M985" s="6" t="s">
        <v>2230</v>
      </c>
    </row>
    <row r="986" ht="22.5" customHeight="1">
      <c r="A986" s="14">
        <v>46107.11438297454</v>
      </c>
      <c r="B986" s="6" t="s">
        <v>2282</v>
      </c>
      <c r="C986" s="10" t="s">
        <v>963</v>
      </c>
      <c r="D986" s="13">
        <v>1.0</v>
      </c>
      <c r="E986" s="13">
        <v>18.75</v>
      </c>
      <c r="F986" s="13">
        <v>20.0</v>
      </c>
      <c r="G986" s="6">
        <v>20.0</v>
      </c>
      <c r="H986" s="6">
        <v>20.0</v>
      </c>
      <c r="I986" s="6">
        <v>1.25</v>
      </c>
      <c r="J986" s="6" t="s">
        <v>54</v>
      </c>
      <c r="K986" s="6">
        <v>828.0</v>
      </c>
      <c r="L986" s="6" t="s">
        <v>4448</v>
      </c>
      <c r="M986" s="6" t="s">
        <v>2230</v>
      </c>
    </row>
    <row r="987" ht="22.5" customHeight="1">
      <c r="A987" s="14">
        <v>46107.11438267361</v>
      </c>
      <c r="B987" s="6" t="s">
        <v>2282</v>
      </c>
      <c r="C987" s="10" t="s">
        <v>177</v>
      </c>
      <c r="D987" s="13">
        <v>3.0</v>
      </c>
      <c r="E987" s="13">
        <v>75.0</v>
      </c>
      <c r="F987" s="13">
        <v>100.0</v>
      </c>
      <c r="G987" s="6">
        <v>100.0</v>
      </c>
      <c r="H987" s="6">
        <v>300.0</v>
      </c>
      <c r="I987" s="6">
        <v>75.0</v>
      </c>
      <c r="J987" s="10" t="s">
        <v>1052</v>
      </c>
      <c r="K987" s="6">
        <v>827.0</v>
      </c>
      <c r="L987" s="6" t="s">
        <v>4449</v>
      </c>
      <c r="M987" s="6" t="s">
        <v>2230</v>
      </c>
    </row>
    <row r="988" ht="22.5" customHeight="1">
      <c r="A988" s="14">
        <v>46107.11438241898</v>
      </c>
      <c r="B988" s="6" t="s">
        <v>2282</v>
      </c>
      <c r="C988" s="10" t="s">
        <v>34</v>
      </c>
      <c r="D988" s="13">
        <v>1.0</v>
      </c>
      <c r="E988" s="13">
        <v>134.23749999999998</v>
      </c>
      <c r="F988" s="13">
        <v>300.0</v>
      </c>
      <c r="G988" s="6">
        <v>300.0</v>
      </c>
      <c r="H988" s="6">
        <v>300.0</v>
      </c>
      <c r="I988" s="6">
        <v>165.76</v>
      </c>
      <c r="J988" s="6" t="s">
        <v>54</v>
      </c>
      <c r="K988" s="6">
        <v>826.0</v>
      </c>
      <c r="L988" s="6" t="s">
        <v>4450</v>
      </c>
      <c r="M988" s="6" t="s">
        <v>2230</v>
      </c>
    </row>
    <row r="989" ht="22.5" customHeight="1">
      <c r="A989" s="14">
        <v>46107.114382141204</v>
      </c>
      <c r="B989" s="6" t="s">
        <v>2282</v>
      </c>
      <c r="C989" s="10" t="s">
        <v>662</v>
      </c>
      <c r="D989" s="13">
        <v>1.0</v>
      </c>
      <c r="E989" s="13">
        <v>50.0</v>
      </c>
      <c r="F989" s="13">
        <v>75.0</v>
      </c>
      <c r="G989" s="6">
        <v>75.0</v>
      </c>
      <c r="H989" s="6">
        <v>75.0</v>
      </c>
      <c r="I989" s="6">
        <v>25.0</v>
      </c>
      <c r="J989" s="10" t="s">
        <v>1052</v>
      </c>
      <c r="K989" s="6">
        <v>825.0</v>
      </c>
      <c r="L989" s="6" t="s">
        <v>4451</v>
      </c>
      <c r="M989" s="6" t="s">
        <v>2230</v>
      </c>
    </row>
    <row r="990" ht="22.5" customHeight="1">
      <c r="A990" s="14">
        <v>46107.114381875</v>
      </c>
      <c r="B990" s="6" t="s">
        <v>2282</v>
      </c>
      <c r="C990" s="10" t="s">
        <v>645</v>
      </c>
      <c r="D990" s="13">
        <v>3.0</v>
      </c>
      <c r="E990" s="13">
        <v>17.0</v>
      </c>
      <c r="F990" s="13">
        <v>25.0</v>
      </c>
      <c r="G990" s="6">
        <v>25.0</v>
      </c>
      <c r="H990" s="6">
        <v>75.0</v>
      </c>
      <c r="I990" s="6">
        <v>24.0</v>
      </c>
      <c r="J990" s="10" t="s">
        <v>1052</v>
      </c>
      <c r="K990" s="6">
        <v>824.0</v>
      </c>
      <c r="L990" s="6" t="s">
        <v>4452</v>
      </c>
      <c r="M990" s="6" t="s">
        <v>2230</v>
      </c>
    </row>
    <row r="991" ht="22.5" customHeight="1">
      <c r="A991" s="14">
        <v>46107.11438157407</v>
      </c>
      <c r="B991" s="6" t="s">
        <v>2282</v>
      </c>
      <c r="C991" s="10" t="s">
        <v>294</v>
      </c>
      <c r="D991" s="13">
        <v>2.0</v>
      </c>
      <c r="E991" s="13">
        <v>80.0</v>
      </c>
      <c r="F991" s="13">
        <v>120.0</v>
      </c>
      <c r="G991" s="6">
        <v>120.0</v>
      </c>
      <c r="H991" s="6">
        <v>240.0</v>
      </c>
      <c r="I991" s="6">
        <v>80.0</v>
      </c>
      <c r="J991" s="10" t="s">
        <v>31</v>
      </c>
      <c r="K991" s="6">
        <v>823.0</v>
      </c>
      <c r="L991" s="6" t="s">
        <v>4453</v>
      </c>
      <c r="M991" s="6" t="s">
        <v>2230</v>
      </c>
    </row>
    <row r="992" ht="22.5" customHeight="1">
      <c r="A992" s="14">
        <v>46107.11438131944</v>
      </c>
      <c r="B992" s="6" t="s">
        <v>2282</v>
      </c>
      <c r="C992" s="10" t="s">
        <v>645</v>
      </c>
      <c r="D992" s="13">
        <v>3.0</v>
      </c>
      <c r="E992" s="13">
        <v>17.0</v>
      </c>
      <c r="F992" s="13">
        <v>25.0</v>
      </c>
      <c r="G992" s="6">
        <v>25.0</v>
      </c>
      <c r="H992" s="6">
        <v>75.0</v>
      </c>
      <c r="I992" s="6">
        <v>24.0</v>
      </c>
      <c r="J992" s="10" t="s">
        <v>1052</v>
      </c>
      <c r="K992" s="6">
        <v>822.0</v>
      </c>
      <c r="L992" s="6" t="s">
        <v>4454</v>
      </c>
      <c r="M992" s="6" t="s">
        <v>2230</v>
      </c>
    </row>
    <row r="993" ht="22.5" customHeight="1">
      <c r="A993" s="14">
        <v>46107.11438101852</v>
      </c>
      <c r="B993" s="6" t="s">
        <v>2282</v>
      </c>
      <c r="C993" s="10" t="s">
        <v>294</v>
      </c>
      <c r="D993" s="13">
        <v>2.0</v>
      </c>
      <c r="E993" s="13">
        <v>80.0</v>
      </c>
      <c r="F993" s="13">
        <v>120.0</v>
      </c>
      <c r="G993" s="6">
        <v>120.0</v>
      </c>
      <c r="H993" s="6">
        <v>240.0</v>
      </c>
      <c r="I993" s="6">
        <v>80.0</v>
      </c>
      <c r="J993" s="10" t="s">
        <v>31</v>
      </c>
      <c r="K993" s="6">
        <v>821.0</v>
      </c>
      <c r="L993" s="6" t="s">
        <v>4455</v>
      </c>
      <c r="M993" s="6" t="s">
        <v>2230</v>
      </c>
    </row>
    <row r="994" ht="22.5" customHeight="1">
      <c r="A994" s="14">
        <v>46107.00407488426</v>
      </c>
      <c r="B994" s="6" t="s">
        <v>2282</v>
      </c>
      <c r="C994" s="10" t="s">
        <v>685</v>
      </c>
      <c r="D994" s="13">
        <v>1.0</v>
      </c>
      <c r="E994" s="13">
        <v>160.0</v>
      </c>
      <c r="F994" s="13">
        <v>165.0</v>
      </c>
      <c r="G994" s="6">
        <v>165.0</v>
      </c>
      <c r="H994" s="6">
        <v>165.0</v>
      </c>
      <c r="I994" s="6">
        <v>5.0</v>
      </c>
      <c r="J994" s="10" t="s">
        <v>119</v>
      </c>
      <c r="K994" s="6">
        <v>812.0</v>
      </c>
      <c r="L994" s="6" t="s">
        <v>4457</v>
      </c>
      <c r="M994" s="6" t="s">
        <v>2230</v>
      </c>
    </row>
    <row r="995" ht="22.5" customHeight="1">
      <c r="A995" s="14">
        <v>46107.001016678245</v>
      </c>
      <c r="B995" s="6" t="s">
        <v>2282</v>
      </c>
      <c r="C995" s="10" t="s">
        <v>946</v>
      </c>
      <c r="D995" s="13">
        <v>2.0</v>
      </c>
      <c r="E995" s="13">
        <v>75.0</v>
      </c>
      <c r="F995" s="13">
        <v>100.0</v>
      </c>
      <c r="G995" s="6">
        <v>100.0</v>
      </c>
      <c r="H995" s="6">
        <v>200.0</v>
      </c>
      <c r="I995" s="6">
        <v>50.0</v>
      </c>
      <c r="J995" s="10" t="s">
        <v>51</v>
      </c>
      <c r="K995" s="6">
        <v>820.0</v>
      </c>
      <c r="L995" s="6" t="s">
        <v>4458</v>
      </c>
      <c r="M995" s="6" t="s">
        <v>2230</v>
      </c>
    </row>
    <row r="996" ht="22.5" customHeight="1">
      <c r="A996" s="14">
        <v>46107.001008391206</v>
      </c>
      <c r="B996" s="6" t="s">
        <v>2282</v>
      </c>
      <c r="C996" s="10" t="s">
        <v>248</v>
      </c>
      <c r="D996" s="13">
        <v>1.0</v>
      </c>
      <c r="E996" s="13">
        <v>100.0</v>
      </c>
      <c r="F996" s="13">
        <v>185.0</v>
      </c>
      <c r="G996" s="6">
        <v>185.0</v>
      </c>
      <c r="H996" s="6">
        <v>185.0</v>
      </c>
      <c r="I996" s="6">
        <v>85.0</v>
      </c>
      <c r="J996" s="10" t="s">
        <v>154</v>
      </c>
      <c r="K996" s="6">
        <v>819.0</v>
      </c>
      <c r="L996" s="6" t="s">
        <v>4459</v>
      </c>
      <c r="M996" s="6" t="s">
        <v>2230</v>
      </c>
    </row>
    <row r="997" ht="22.5" hidden="1" customHeight="1">
      <c r="A997" s="37">
        <v>46091.87080416667</v>
      </c>
      <c r="B997" s="5" t="s">
        <v>2234</v>
      </c>
      <c r="C997" s="19" t="s">
        <v>906</v>
      </c>
      <c r="D997" s="17">
        <v>5.0</v>
      </c>
      <c r="E997" s="17">
        <v>5.0</v>
      </c>
      <c r="F997" s="5"/>
      <c r="G997" s="5"/>
      <c r="H997" s="5">
        <v>25.0</v>
      </c>
      <c r="I997" s="5"/>
      <c r="J997" s="19" t="s">
        <v>1052</v>
      </c>
      <c r="K997" s="19" t="s">
        <v>4461</v>
      </c>
      <c r="L997" s="5" t="s">
        <v>2237</v>
      </c>
      <c r="M997" s="5" t="s">
        <v>2230</v>
      </c>
    </row>
    <row r="998" ht="22.5" hidden="1" customHeight="1">
      <c r="A998" s="37">
        <v>46091.87080423611</v>
      </c>
      <c r="B998" s="5" t="s">
        <v>2234</v>
      </c>
      <c r="C998" s="19" t="s">
        <v>908</v>
      </c>
      <c r="D998" s="17">
        <v>0.5714285714285714</v>
      </c>
      <c r="E998" s="17">
        <v>35.0</v>
      </c>
      <c r="F998" s="5"/>
      <c r="G998" s="5"/>
      <c r="H998" s="5">
        <v>20.0</v>
      </c>
      <c r="I998" s="5"/>
      <c r="J998" s="19" t="s">
        <v>154</v>
      </c>
      <c r="K998" s="19" t="s">
        <v>4461</v>
      </c>
      <c r="L998" s="5" t="s">
        <v>2237</v>
      </c>
      <c r="M998" s="5" t="s">
        <v>2230</v>
      </c>
    </row>
    <row r="999" ht="22.5" hidden="1" customHeight="1">
      <c r="A999" s="37">
        <v>46091.87080770833</v>
      </c>
      <c r="B999" s="5" t="s">
        <v>2225</v>
      </c>
      <c r="C999" s="19" t="s">
        <v>941</v>
      </c>
      <c r="D999" s="17">
        <v>4.0</v>
      </c>
      <c r="E999" s="17">
        <v>11.25</v>
      </c>
      <c r="F999" s="5"/>
      <c r="G999" s="5"/>
      <c r="H999" s="5">
        <v>45.0</v>
      </c>
      <c r="I999" s="5"/>
      <c r="J999" s="5" t="s">
        <v>54</v>
      </c>
      <c r="K999" s="19" t="s">
        <v>4461</v>
      </c>
      <c r="L999" s="5" t="s">
        <v>2228</v>
      </c>
      <c r="M999" s="5" t="s">
        <v>2230</v>
      </c>
    </row>
    <row r="1000" ht="22.5" customHeight="1">
      <c r="A1000" s="14">
        <v>46107.00100261574</v>
      </c>
      <c r="B1000" s="6" t="s">
        <v>2282</v>
      </c>
      <c r="C1000" s="10" t="s">
        <v>38</v>
      </c>
      <c r="D1000" s="13">
        <v>1.0</v>
      </c>
      <c r="E1000" s="13">
        <v>174.29999999999998</v>
      </c>
      <c r="F1000" s="13">
        <v>300.0</v>
      </c>
      <c r="G1000" s="6">
        <v>300.0</v>
      </c>
      <c r="H1000" s="6">
        <v>300.0</v>
      </c>
      <c r="I1000" s="6">
        <v>125.7</v>
      </c>
      <c r="J1000" s="6" t="s">
        <v>54</v>
      </c>
      <c r="K1000" s="6">
        <v>818.0</v>
      </c>
      <c r="L1000" s="6" t="s">
        <v>4463</v>
      </c>
      <c r="M1000" s="6" t="s">
        <v>2230</v>
      </c>
    </row>
    <row r="1001" ht="22.5" customHeight="1">
      <c r="A1001" s="14">
        <v>46107.000994490736</v>
      </c>
      <c r="B1001" s="6" t="s">
        <v>2282</v>
      </c>
      <c r="C1001" s="10" t="s">
        <v>210</v>
      </c>
      <c r="D1001" s="13">
        <v>1.0</v>
      </c>
      <c r="E1001" s="13">
        <v>130.0</v>
      </c>
      <c r="F1001" s="13">
        <v>150.0</v>
      </c>
      <c r="G1001" s="6">
        <v>150.0</v>
      </c>
      <c r="H1001" s="6">
        <v>150.0</v>
      </c>
      <c r="I1001" s="6">
        <v>20.0</v>
      </c>
      <c r="J1001" s="10" t="s">
        <v>31</v>
      </c>
      <c r="K1001" s="6">
        <v>817.0</v>
      </c>
      <c r="L1001" s="6" t="s">
        <v>4464</v>
      </c>
      <c r="M1001" s="6" t="s">
        <v>2230</v>
      </c>
    </row>
    <row r="1002" ht="22.5" customHeight="1">
      <c r="A1002" s="14">
        <v>46107.00098633102</v>
      </c>
      <c r="B1002" s="6" t="s">
        <v>2282</v>
      </c>
      <c r="C1002" s="10" t="s">
        <v>1079</v>
      </c>
      <c r="D1002" s="13">
        <v>1.0</v>
      </c>
      <c r="E1002" s="13">
        <v>90.0</v>
      </c>
      <c r="F1002" s="13">
        <v>150.0</v>
      </c>
      <c r="G1002" s="6">
        <v>150.0</v>
      </c>
      <c r="H1002" s="6">
        <v>150.0</v>
      </c>
      <c r="I1002" s="6">
        <v>60.0</v>
      </c>
      <c r="J1002" s="10" t="s">
        <v>154</v>
      </c>
      <c r="K1002" s="6">
        <v>816.0</v>
      </c>
      <c r="L1002" s="6" t="s">
        <v>4465</v>
      </c>
      <c r="M1002" s="6" t="s">
        <v>2230</v>
      </c>
    </row>
    <row r="1003" ht="22.5" customHeight="1">
      <c r="A1003" s="14">
        <v>46107.00097483797</v>
      </c>
      <c r="B1003" s="6" t="s">
        <v>2282</v>
      </c>
      <c r="C1003" s="10" t="s">
        <v>611</v>
      </c>
      <c r="D1003" s="13">
        <v>1.0</v>
      </c>
      <c r="E1003" s="13">
        <v>29.0</v>
      </c>
      <c r="F1003" s="13">
        <v>50.0</v>
      </c>
      <c r="G1003" s="6">
        <v>50.0</v>
      </c>
      <c r="H1003" s="6">
        <v>50.0</v>
      </c>
      <c r="I1003" s="6">
        <v>21.0</v>
      </c>
      <c r="J1003" s="10" t="s">
        <v>119</v>
      </c>
      <c r="K1003" s="6">
        <v>815.0</v>
      </c>
      <c r="L1003" s="6" t="s">
        <v>4466</v>
      </c>
      <c r="M1003" s="6" t="s">
        <v>2230</v>
      </c>
    </row>
    <row r="1004" ht="22.5" customHeight="1">
      <c r="A1004" s="14">
        <v>46107.00096430555</v>
      </c>
      <c r="B1004" s="6" t="s">
        <v>2282</v>
      </c>
      <c r="C1004" s="10" t="s">
        <v>953</v>
      </c>
      <c r="D1004" s="13">
        <v>2.0</v>
      </c>
      <c r="E1004" s="13">
        <v>94.0</v>
      </c>
      <c r="F1004" s="13">
        <v>130.0</v>
      </c>
      <c r="G1004" s="6">
        <v>130.0</v>
      </c>
      <c r="H1004" s="6">
        <v>260.0</v>
      </c>
      <c r="I1004" s="6">
        <v>72.0</v>
      </c>
      <c r="J1004" s="10" t="s">
        <v>119</v>
      </c>
      <c r="K1004" s="6">
        <v>814.0</v>
      </c>
      <c r="L1004" s="6" t="s">
        <v>4467</v>
      </c>
      <c r="M1004" s="6" t="s">
        <v>2230</v>
      </c>
    </row>
    <row r="1005" ht="22.5" customHeight="1">
      <c r="A1005" s="14">
        <v>46107.00095511574</v>
      </c>
      <c r="B1005" s="6" t="s">
        <v>2282</v>
      </c>
      <c r="C1005" s="10" t="s">
        <v>549</v>
      </c>
      <c r="D1005" s="13">
        <v>2.0</v>
      </c>
      <c r="E1005" s="13">
        <v>17.5</v>
      </c>
      <c r="F1005" s="13">
        <v>25.0</v>
      </c>
      <c r="G1005" s="6">
        <v>25.0</v>
      </c>
      <c r="H1005" s="6">
        <v>50.0</v>
      </c>
      <c r="I1005" s="6">
        <v>15.0</v>
      </c>
      <c r="J1005" s="10" t="s">
        <v>119</v>
      </c>
      <c r="K1005" s="6">
        <v>813.0</v>
      </c>
      <c r="L1005" s="6" t="s">
        <v>4468</v>
      </c>
      <c r="M1005" s="6" t="s">
        <v>2230</v>
      </c>
    </row>
    <row r="1006" ht="22.5" customHeight="1">
      <c r="A1006" s="14">
        <v>46107.00094239583</v>
      </c>
      <c r="B1006" s="6" t="s">
        <v>2282</v>
      </c>
      <c r="C1006" s="10" t="s">
        <v>190</v>
      </c>
      <c r="D1006" s="13">
        <v>2.0</v>
      </c>
      <c r="E1006" s="13">
        <v>350.0</v>
      </c>
      <c r="F1006" s="13">
        <v>400.0</v>
      </c>
      <c r="G1006" s="6">
        <v>400.0</v>
      </c>
      <c r="H1006" s="6">
        <v>800.0</v>
      </c>
      <c r="I1006" s="6">
        <v>100.0</v>
      </c>
      <c r="J1006" s="10" t="s">
        <v>51</v>
      </c>
      <c r="K1006" s="6">
        <v>811.0</v>
      </c>
      <c r="L1006" s="6" t="s">
        <v>4470</v>
      </c>
      <c r="M1006" s="6" t="s">
        <v>2230</v>
      </c>
    </row>
    <row r="1007" ht="22.5" customHeight="1">
      <c r="A1007" s="14">
        <v>46107.0009352662</v>
      </c>
      <c r="B1007" s="6" t="s">
        <v>2282</v>
      </c>
      <c r="C1007" s="10" t="s">
        <v>123</v>
      </c>
      <c r="D1007" s="13">
        <v>1.0</v>
      </c>
      <c r="E1007" s="13">
        <v>490.0</v>
      </c>
      <c r="F1007" s="13">
        <v>600.0</v>
      </c>
      <c r="G1007" s="6">
        <v>600.0</v>
      </c>
      <c r="H1007" s="6">
        <v>600.0</v>
      </c>
      <c r="I1007" s="6">
        <v>110.0</v>
      </c>
      <c r="J1007" s="10" t="s">
        <v>125</v>
      </c>
      <c r="K1007" s="6">
        <v>810.0</v>
      </c>
      <c r="L1007" s="6" t="s">
        <v>4471</v>
      </c>
      <c r="M1007" s="6" t="s">
        <v>2230</v>
      </c>
    </row>
    <row r="1008" ht="22.5" customHeight="1">
      <c r="A1008" s="14">
        <v>46107.000926319444</v>
      </c>
      <c r="B1008" s="6" t="s">
        <v>2282</v>
      </c>
      <c r="C1008" s="10" t="s">
        <v>100</v>
      </c>
      <c r="D1008" s="13">
        <v>2.0</v>
      </c>
      <c r="E1008" s="13">
        <v>400.0</v>
      </c>
      <c r="F1008" s="13">
        <v>500.0</v>
      </c>
      <c r="G1008" s="6">
        <v>500.0</v>
      </c>
      <c r="H1008" s="6">
        <v>1000.0</v>
      </c>
      <c r="I1008" s="6">
        <v>200.0</v>
      </c>
      <c r="J1008" s="10" t="s">
        <v>154</v>
      </c>
      <c r="K1008" s="6">
        <v>809.0</v>
      </c>
      <c r="L1008" s="6" t="s">
        <v>4472</v>
      </c>
      <c r="M1008" s="6" t="s">
        <v>2230</v>
      </c>
    </row>
    <row r="1009" ht="22.5" customHeight="1">
      <c r="A1009" s="14">
        <v>46107.000916805555</v>
      </c>
      <c r="B1009" s="6" t="s">
        <v>2282</v>
      </c>
      <c r="C1009" s="10" t="s">
        <v>1049</v>
      </c>
      <c r="D1009" s="13">
        <v>1.0</v>
      </c>
      <c r="E1009" s="13">
        <v>95.0</v>
      </c>
      <c r="F1009" s="13">
        <v>140.0</v>
      </c>
      <c r="G1009" s="6">
        <v>140.0</v>
      </c>
      <c r="H1009" s="6">
        <v>140.0</v>
      </c>
      <c r="I1009" s="6">
        <v>45.0</v>
      </c>
      <c r="J1009" s="10" t="s">
        <v>154</v>
      </c>
      <c r="K1009" s="6">
        <v>808.0</v>
      </c>
      <c r="L1009" s="6" t="s">
        <v>4473</v>
      </c>
      <c r="M1009" s="6" t="s">
        <v>2230</v>
      </c>
    </row>
    <row r="1010" ht="22.5" customHeight="1">
      <c r="A1010" s="14">
        <v>46107.00090407407</v>
      </c>
      <c r="B1010" s="6" t="s">
        <v>2282</v>
      </c>
      <c r="C1010" s="10" t="s">
        <v>177</v>
      </c>
      <c r="D1010" s="13">
        <v>1.0</v>
      </c>
      <c r="E1010" s="13">
        <v>75.0</v>
      </c>
      <c r="F1010" s="13">
        <v>100.0</v>
      </c>
      <c r="G1010" s="6">
        <v>100.0</v>
      </c>
      <c r="H1010" s="6">
        <v>100.0</v>
      </c>
      <c r="I1010" s="6">
        <v>25.0</v>
      </c>
      <c r="J1010" s="10" t="s">
        <v>1052</v>
      </c>
      <c r="K1010" s="6">
        <v>807.0</v>
      </c>
      <c r="L1010" s="6" t="s">
        <v>4474</v>
      </c>
      <c r="M1010" s="6" t="s">
        <v>2230</v>
      </c>
    </row>
    <row r="1011" ht="22.5" customHeight="1">
      <c r="A1011" s="14">
        <v>46107.000896087964</v>
      </c>
      <c r="B1011" s="6" t="s">
        <v>2282</v>
      </c>
      <c r="C1011" s="10" t="s">
        <v>1021</v>
      </c>
      <c r="D1011" s="13">
        <v>1.0</v>
      </c>
      <c r="E1011" s="13">
        <v>115.0</v>
      </c>
      <c r="F1011" s="13">
        <v>170.0</v>
      </c>
      <c r="G1011" s="6">
        <v>170.0</v>
      </c>
      <c r="H1011" s="6">
        <v>170.0</v>
      </c>
      <c r="I1011" s="6">
        <v>55.0</v>
      </c>
      <c r="J1011" s="10" t="s">
        <v>125</v>
      </c>
      <c r="K1011" s="6">
        <v>806.0</v>
      </c>
      <c r="L1011" s="6" t="s">
        <v>4475</v>
      </c>
      <c r="M1011" s="6" t="s">
        <v>2230</v>
      </c>
    </row>
    <row r="1012" ht="22.5" customHeight="1">
      <c r="A1012" s="14">
        <v>46107.000886932874</v>
      </c>
      <c r="B1012" s="6" t="s">
        <v>2282</v>
      </c>
      <c r="C1012" s="10" t="s">
        <v>144</v>
      </c>
      <c r="D1012" s="13">
        <v>1.0</v>
      </c>
      <c r="E1012" s="13">
        <v>140.0</v>
      </c>
      <c r="F1012" s="13">
        <v>170.0</v>
      </c>
      <c r="G1012" s="6">
        <v>170.0</v>
      </c>
      <c r="H1012" s="6">
        <v>170.0</v>
      </c>
      <c r="I1012" s="6">
        <v>30.0</v>
      </c>
      <c r="J1012" s="10" t="s">
        <v>620</v>
      </c>
      <c r="K1012" s="6">
        <v>805.0</v>
      </c>
      <c r="L1012" s="6" t="s">
        <v>4476</v>
      </c>
      <c r="M1012" s="6" t="s">
        <v>2230</v>
      </c>
    </row>
    <row r="1013" ht="22.5" customHeight="1">
      <c r="A1013" s="14">
        <v>46107.000878645835</v>
      </c>
      <c r="B1013" s="6" t="s">
        <v>2282</v>
      </c>
      <c r="C1013" s="10" t="s">
        <v>91</v>
      </c>
      <c r="D1013" s="13">
        <v>2.0</v>
      </c>
      <c r="E1013" s="13">
        <v>35.0</v>
      </c>
      <c r="F1013" s="13">
        <v>50.0</v>
      </c>
      <c r="G1013" s="6">
        <v>50.0</v>
      </c>
      <c r="H1013" s="6">
        <v>100.0</v>
      </c>
      <c r="I1013" s="6">
        <v>30.0</v>
      </c>
      <c r="J1013" s="10" t="s">
        <v>436</v>
      </c>
      <c r="K1013" s="6">
        <v>804.0</v>
      </c>
      <c r="L1013" s="6" t="s">
        <v>4477</v>
      </c>
      <c r="M1013" s="6" t="s">
        <v>2230</v>
      </c>
    </row>
    <row r="1014" ht="22.5" customHeight="1">
      <c r="A1014" s="14">
        <v>46107.00086836806</v>
      </c>
      <c r="B1014" s="6" t="s">
        <v>2282</v>
      </c>
      <c r="C1014" s="10" t="s">
        <v>255</v>
      </c>
      <c r="D1014" s="13">
        <v>1.0</v>
      </c>
      <c r="E1014" s="13">
        <v>35.0</v>
      </c>
      <c r="F1014" s="13">
        <v>50.0</v>
      </c>
      <c r="G1014" s="6">
        <v>50.0</v>
      </c>
      <c r="H1014" s="6">
        <v>50.0</v>
      </c>
      <c r="I1014" s="6">
        <v>15.0</v>
      </c>
      <c r="J1014" s="10" t="s">
        <v>31</v>
      </c>
      <c r="K1014" s="6">
        <v>803.0</v>
      </c>
      <c r="L1014" s="6" t="s">
        <v>4478</v>
      </c>
      <c r="M1014" s="6" t="s">
        <v>2230</v>
      </c>
    </row>
    <row r="1015" ht="22.5" customHeight="1">
      <c r="A1015" s="14">
        <v>46107.00086021991</v>
      </c>
      <c r="B1015" s="6" t="s">
        <v>2282</v>
      </c>
      <c r="C1015" s="10" t="s">
        <v>812</v>
      </c>
      <c r="D1015" s="13">
        <v>2.0</v>
      </c>
      <c r="E1015" s="13">
        <v>15.0</v>
      </c>
      <c r="F1015" s="13">
        <v>20.0</v>
      </c>
      <c r="G1015" s="6">
        <v>20.0</v>
      </c>
      <c r="H1015" s="6">
        <v>40.0</v>
      </c>
      <c r="I1015" s="6">
        <v>10.0</v>
      </c>
      <c r="J1015" s="10" t="s">
        <v>154</v>
      </c>
      <c r="K1015" s="6">
        <v>802.0</v>
      </c>
      <c r="L1015" s="6" t="s">
        <v>4479</v>
      </c>
      <c r="M1015" s="6" t="s">
        <v>2230</v>
      </c>
    </row>
    <row r="1016" ht="22.5" customHeight="1">
      <c r="A1016" s="14">
        <v>46107.00085082176</v>
      </c>
      <c r="B1016" s="6" t="s">
        <v>2282</v>
      </c>
      <c r="C1016" s="10" t="s">
        <v>416</v>
      </c>
      <c r="D1016" s="13">
        <v>1.0</v>
      </c>
      <c r="E1016" s="13">
        <v>30.0</v>
      </c>
      <c r="F1016" s="13">
        <v>60.0</v>
      </c>
      <c r="G1016" s="6">
        <v>60.0</v>
      </c>
      <c r="H1016" s="6">
        <v>60.0</v>
      </c>
      <c r="I1016" s="6">
        <v>30.0</v>
      </c>
      <c r="J1016" s="10" t="s">
        <v>31</v>
      </c>
      <c r="K1016" s="6">
        <v>801.0</v>
      </c>
      <c r="L1016" s="6" t="s">
        <v>4480</v>
      </c>
      <c r="M1016" s="6" t="s">
        <v>2230</v>
      </c>
    </row>
    <row r="1017" ht="22.5" customHeight="1">
      <c r="A1017" s="14">
        <v>46107.00083917824</v>
      </c>
      <c r="B1017" s="6" t="s">
        <v>2282</v>
      </c>
      <c r="C1017" s="10" t="s">
        <v>554</v>
      </c>
      <c r="D1017" s="13">
        <v>2.0</v>
      </c>
      <c r="E1017" s="13">
        <v>23.22222222222222</v>
      </c>
      <c r="F1017" s="13">
        <v>40.0</v>
      </c>
      <c r="G1017" s="6">
        <v>40.0</v>
      </c>
      <c r="H1017" s="6">
        <v>80.0</v>
      </c>
      <c r="I1017" s="6">
        <v>33.56</v>
      </c>
      <c r="J1017" s="6" t="s">
        <v>54</v>
      </c>
      <c r="K1017" s="6">
        <v>800.0</v>
      </c>
      <c r="L1017" s="6" t="s">
        <v>4481</v>
      </c>
      <c r="M1017" s="6" t="s">
        <v>2230</v>
      </c>
    </row>
    <row r="1018" ht="22.5" customHeight="1">
      <c r="A1018" s="14">
        <v>46107.00083138889</v>
      </c>
      <c r="B1018" s="6" t="s">
        <v>2282</v>
      </c>
      <c r="C1018" s="10" t="s">
        <v>946</v>
      </c>
      <c r="D1018" s="13">
        <v>1.0</v>
      </c>
      <c r="E1018" s="13">
        <v>75.0</v>
      </c>
      <c r="F1018" s="13">
        <v>100.0</v>
      </c>
      <c r="G1018" s="6">
        <v>100.0</v>
      </c>
      <c r="H1018" s="6">
        <v>100.0</v>
      </c>
      <c r="I1018" s="6">
        <v>25.0</v>
      </c>
      <c r="J1018" s="10" t="s">
        <v>51</v>
      </c>
      <c r="K1018" s="6">
        <v>799.0</v>
      </c>
      <c r="L1018" s="6" t="s">
        <v>4482</v>
      </c>
      <c r="M1018" s="6" t="s">
        <v>2230</v>
      </c>
    </row>
    <row r="1019" ht="22.5" customHeight="1">
      <c r="A1019" s="14">
        <v>46106.9622546875</v>
      </c>
      <c r="B1019" s="6" t="s">
        <v>2282</v>
      </c>
      <c r="C1019" s="10" t="s">
        <v>702</v>
      </c>
      <c r="D1019" s="13">
        <v>2.0</v>
      </c>
      <c r="E1019" s="13">
        <v>32.707142857142856</v>
      </c>
      <c r="F1019" s="13">
        <v>70.0</v>
      </c>
      <c r="G1019" s="6">
        <v>70.0</v>
      </c>
      <c r="H1019" s="6">
        <v>140.0</v>
      </c>
      <c r="I1019" s="6">
        <v>74.59</v>
      </c>
      <c r="J1019" s="6" t="s">
        <v>54</v>
      </c>
      <c r="K1019" s="6">
        <v>780.0</v>
      </c>
      <c r="L1019" s="6" t="s">
        <v>4483</v>
      </c>
      <c r="M1019" s="6" t="s">
        <v>2230</v>
      </c>
    </row>
    <row r="1020" ht="22.5" customHeight="1">
      <c r="A1020" s="14">
        <v>46106.96038053241</v>
      </c>
      <c r="B1020" s="6" t="s">
        <v>2282</v>
      </c>
      <c r="C1020" s="10" t="s">
        <v>540</v>
      </c>
      <c r="D1020" s="13">
        <v>2.0</v>
      </c>
      <c r="E1020" s="13">
        <v>11.13</v>
      </c>
      <c r="F1020" s="13">
        <v>20.0</v>
      </c>
      <c r="G1020" s="6">
        <v>20.0</v>
      </c>
      <c r="H1020" s="6">
        <v>40.0</v>
      </c>
      <c r="I1020" s="6">
        <v>17.74</v>
      </c>
      <c r="J1020" s="10" t="s">
        <v>119</v>
      </c>
      <c r="K1020" s="6">
        <v>798.0</v>
      </c>
      <c r="L1020" s="6" t="s">
        <v>4484</v>
      </c>
      <c r="M1020" s="6" t="s">
        <v>2230</v>
      </c>
    </row>
    <row r="1021" ht="22.5" customHeight="1">
      <c r="A1021" s="14">
        <v>46106.960380185184</v>
      </c>
      <c r="B1021" s="6" t="s">
        <v>2282</v>
      </c>
      <c r="C1021" s="10" t="s">
        <v>567</v>
      </c>
      <c r="D1021" s="13">
        <v>1.0</v>
      </c>
      <c r="E1021" s="13">
        <v>51.0</v>
      </c>
      <c r="F1021" s="13">
        <v>75.0</v>
      </c>
      <c r="G1021" s="6">
        <v>75.0</v>
      </c>
      <c r="H1021" s="6">
        <v>75.0</v>
      </c>
      <c r="I1021" s="6">
        <v>24.0</v>
      </c>
      <c r="J1021" s="10" t="s">
        <v>119</v>
      </c>
      <c r="K1021" s="6">
        <v>797.0</v>
      </c>
      <c r="L1021" s="6" t="s">
        <v>4487</v>
      </c>
      <c r="M1021" s="6" t="s">
        <v>2230</v>
      </c>
    </row>
    <row r="1022" ht="22.5" customHeight="1">
      <c r="A1022" s="14">
        <v>46106.96037976852</v>
      </c>
      <c r="B1022" s="6" t="s">
        <v>2282</v>
      </c>
      <c r="C1022" s="10" t="s">
        <v>559</v>
      </c>
      <c r="D1022" s="13">
        <v>2.0</v>
      </c>
      <c r="E1022" s="13">
        <v>32.333333333333336</v>
      </c>
      <c r="F1022" s="13">
        <v>50.0</v>
      </c>
      <c r="G1022" s="6">
        <v>50.0</v>
      </c>
      <c r="H1022" s="6">
        <v>100.0</v>
      </c>
      <c r="I1022" s="6">
        <v>35.33</v>
      </c>
      <c r="J1022" s="6" t="s">
        <v>54</v>
      </c>
      <c r="K1022" s="6">
        <v>796.0</v>
      </c>
      <c r="L1022" s="6" t="s">
        <v>4488</v>
      </c>
      <c r="M1022" s="6" t="s">
        <v>2230</v>
      </c>
    </row>
    <row r="1023" ht="22.5" customHeight="1">
      <c r="A1023" s="14">
        <v>46106.96037939815</v>
      </c>
      <c r="B1023" s="6" t="s">
        <v>2282</v>
      </c>
      <c r="C1023" s="10" t="s">
        <v>693</v>
      </c>
      <c r="D1023" s="13">
        <v>1.0</v>
      </c>
      <c r="E1023" s="13">
        <v>160.0</v>
      </c>
      <c r="F1023" s="13">
        <v>195.0</v>
      </c>
      <c r="G1023" s="6">
        <v>195.0</v>
      </c>
      <c r="H1023" s="6">
        <v>195.0</v>
      </c>
      <c r="I1023" s="6">
        <v>35.0</v>
      </c>
      <c r="J1023" s="10" t="s">
        <v>119</v>
      </c>
      <c r="K1023" s="6">
        <v>795.0</v>
      </c>
      <c r="L1023" s="6" t="s">
        <v>4489</v>
      </c>
      <c r="M1023" s="6" t="s">
        <v>2230</v>
      </c>
    </row>
    <row r="1024" ht="22.5" customHeight="1">
      <c r="A1024" s="14">
        <v>46106.96037905093</v>
      </c>
      <c r="B1024" s="6" t="s">
        <v>2282</v>
      </c>
      <c r="C1024" s="10" t="s">
        <v>48</v>
      </c>
      <c r="D1024" s="13">
        <v>2.0</v>
      </c>
      <c r="E1024" s="13">
        <v>31.5</v>
      </c>
      <c r="F1024" s="13">
        <v>50.0</v>
      </c>
      <c r="G1024" s="6">
        <v>50.0</v>
      </c>
      <c r="H1024" s="6">
        <v>100.0</v>
      </c>
      <c r="I1024" s="6">
        <v>37.0</v>
      </c>
      <c r="J1024" s="10" t="s">
        <v>31</v>
      </c>
      <c r="K1024" s="6">
        <v>794.0</v>
      </c>
      <c r="L1024" s="6" t="s">
        <v>4490</v>
      </c>
      <c r="M1024" s="6" t="s">
        <v>2230</v>
      </c>
    </row>
    <row r="1025" ht="22.5" customHeight="1">
      <c r="A1025" s="14">
        <v>46106.96037863426</v>
      </c>
      <c r="B1025" s="6" t="s">
        <v>2282</v>
      </c>
      <c r="C1025" s="10" t="s">
        <v>933</v>
      </c>
      <c r="D1025" s="13">
        <v>1.0</v>
      </c>
      <c r="E1025" s="13">
        <v>10.0</v>
      </c>
      <c r="F1025" s="13">
        <v>10.0</v>
      </c>
      <c r="G1025" s="6">
        <v>10.0</v>
      </c>
      <c r="H1025" s="6">
        <v>10.0</v>
      </c>
      <c r="I1025" s="6">
        <v>0.0</v>
      </c>
      <c r="J1025" s="10" t="s">
        <v>436</v>
      </c>
      <c r="K1025" s="6">
        <v>793.0</v>
      </c>
      <c r="L1025" s="6" t="s">
        <v>4491</v>
      </c>
      <c r="M1025" s="6" t="s">
        <v>2230</v>
      </c>
    </row>
    <row r="1026" ht="22.5" customHeight="1">
      <c r="A1026" s="14">
        <v>46106.96037833333</v>
      </c>
      <c r="B1026" s="6" t="s">
        <v>2282</v>
      </c>
      <c r="C1026" s="10" t="s">
        <v>91</v>
      </c>
      <c r="D1026" s="13">
        <v>1.0</v>
      </c>
      <c r="E1026" s="13">
        <v>35.0</v>
      </c>
      <c r="F1026" s="13">
        <v>40.0</v>
      </c>
      <c r="G1026" s="6">
        <v>40.0</v>
      </c>
      <c r="H1026" s="6">
        <v>40.0</v>
      </c>
      <c r="I1026" s="6">
        <v>5.0</v>
      </c>
      <c r="J1026" s="10" t="s">
        <v>436</v>
      </c>
      <c r="K1026" s="6">
        <v>792.0</v>
      </c>
      <c r="L1026" s="6" t="s">
        <v>4492</v>
      </c>
      <c r="M1026" s="6" t="s">
        <v>2230</v>
      </c>
    </row>
    <row r="1027" ht="22.5" customHeight="1">
      <c r="A1027" s="14">
        <v>46106.9603780787</v>
      </c>
      <c r="B1027" s="6" t="s">
        <v>2282</v>
      </c>
      <c r="C1027" s="10" t="s">
        <v>462</v>
      </c>
      <c r="D1027" s="13">
        <v>1.0</v>
      </c>
      <c r="E1027" s="13">
        <v>210.0</v>
      </c>
      <c r="F1027" s="13">
        <v>250.0</v>
      </c>
      <c r="G1027" s="6">
        <v>250.0</v>
      </c>
      <c r="H1027" s="6">
        <v>250.0</v>
      </c>
      <c r="I1027" s="6">
        <v>40.0</v>
      </c>
      <c r="J1027" s="10" t="s">
        <v>154</v>
      </c>
      <c r="K1027" s="6">
        <v>791.0</v>
      </c>
      <c r="L1027" s="6" t="s">
        <v>4493</v>
      </c>
      <c r="M1027" s="6" t="s">
        <v>2230</v>
      </c>
    </row>
    <row r="1028" ht="22.5" customHeight="1">
      <c r="A1028" s="14">
        <v>46106.96037760416</v>
      </c>
      <c r="B1028" s="6" t="s">
        <v>2282</v>
      </c>
      <c r="C1028" s="10" t="s">
        <v>268</v>
      </c>
      <c r="D1028" s="13">
        <v>1.0</v>
      </c>
      <c r="E1028" s="13">
        <v>170.0</v>
      </c>
      <c r="F1028" s="13">
        <v>250.0</v>
      </c>
      <c r="G1028" s="6">
        <v>250.0</v>
      </c>
      <c r="H1028" s="6">
        <v>250.0</v>
      </c>
      <c r="I1028" s="6">
        <v>80.0</v>
      </c>
      <c r="J1028" s="10" t="s">
        <v>581</v>
      </c>
      <c r="K1028" s="6">
        <v>790.0</v>
      </c>
      <c r="L1028" s="6" t="s">
        <v>4494</v>
      </c>
      <c r="M1028" s="6" t="s">
        <v>2230</v>
      </c>
    </row>
    <row r="1029" ht="22.5" customHeight="1">
      <c r="A1029" s="14">
        <v>46106.9603772338</v>
      </c>
      <c r="B1029" s="6" t="s">
        <v>2282</v>
      </c>
      <c r="C1029" s="10" t="s">
        <v>289</v>
      </c>
      <c r="D1029" s="13">
        <v>1.0</v>
      </c>
      <c r="E1029" s="13">
        <v>90.23809523809524</v>
      </c>
      <c r="F1029" s="13">
        <v>200.0</v>
      </c>
      <c r="G1029" s="6">
        <v>200.0</v>
      </c>
      <c r="H1029" s="6">
        <v>200.0</v>
      </c>
      <c r="I1029" s="6">
        <v>109.76</v>
      </c>
      <c r="J1029" s="6" t="s">
        <v>54</v>
      </c>
      <c r="K1029" s="6">
        <v>789.0</v>
      </c>
      <c r="L1029" s="6" t="s">
        <v>4495</v>
      </c>
      <c r="M1029" s="6" t="s">
        <v>2230</v>
      </c>
    </row>
    <row r="1030" ht="22.5" customHeight="1">
      <c r="A1030" s="14">
        <v>46106.96037675926</v>
      </c>
      <c r="B1030" s="6" t="s">
        <v>2282</v>
      </c>
      <c r="C1030" s="10" t="s">
        <v>144</v>
      </c>
      <c r="D1030" s="13">
        <v>1.0</v>
      </c>
      <c r="E1030" s="13">
        <v>140.0</v>
      </c>
      <c r="F1030" s="13">
        <v>165.0</v>
      </c>
      <c r="G1030" s="6">
        <v>165.0</v>
      </c>
      <c r="H1030" s="6">
        <v>165.0</v>
      </c>
      <c r="I1030" s="6">
        <v>25.0</v>
      </c>
      <c r="J1030" s="10" t="s">
        <v>620</v>
      </c>
      <c r="K1030" s="6">
        <v>788.0</v>
      </c>
      <c r="L1030" s="6" t="s">
        <v>4496</v>
      </c>
      <c r="M1030" s="6" t="s">
        <v>2230</v>
      </c>
    </row>
    <row r="1031" ht="22.5" customHeight="1">
      <c r="A1031" s="14">
        <v>46106.9603762037</v>
      </c>
      <c r="B1031" s="6" t="s">
        <v>2282</v>
      </c>
      <c r="C1031" s="10" t="s">
        <v>868</v>
      </c>
      <c r="D1031" s="13">
        <v>1.0</v>
      </c>
      <c r="E1031" s="13">
        <v>125.0</v>
      </c>
      <c r="F1031" s="13">
        <v>165.0</v>
      </c>
      <c r="G1031" s="6">
        <v>165.0</v>
      </c>
      <c r="H1031" s="6">
        <v>165.0</v>
      </c>
      <c r="I1031" s="6">
        <v>40.0</v>
      </c>
      <c r="J1031" s="10" t="s">
        <v>119</v>
      </c>
      <c r="K1031" s="6">
        <v>787.0</v>
      </c>
      <c r="L1031" s="6" t="s">
        <v>4497</v>
      </c>
      <c r="M1031" s="6" t="s">
        <v>2230</v>
      </c>
    </row>
    <row r="1032" ht="22.5" customHeight="1">
      <c r="A1032" s="14">
        <v>46106.96037523148</v>
      </c>
      <c r="B1032" s="6" t="s">
        <v>2282</v>
      </c>
      <c r="C1032" s="10" t="s">
        <v>79</v>
      </c>
      <c r="D1032" s="13">
        <v>1.0</v>
      </c>
      <c r="E1032" s="13">
        <v>60.0</v>
      </c>
      <c r="F1032" s="13">
        <v>85.0</v>
      </c>
      <c r="G1032" s="6">
        <v>85.0</v>
      </c>
      <c r="H1032" s="6">
        <v>85.0</v>
      </c>
      <c r="I1032" s="6">
        <v>25.0</v>
      </c>
      <c r="J1032" s="10" t="s">
        <v>31</v>
      </c>
      <c r="K1032" s="6">
        <v>786.0</v>
      </c>
      <c r="L1032" s="6" t="s">
        <v>4498</v>
      </c>
      <c r="M1032" s="6" t="s">
        <v>2230</v>
      </c>
    </row>
    <row r="1033" ht="22.5" customHeight="1">
      <c r="A1033" s="14">
        <v>46106.960374710645</v>
      </c>
      <c r="B1033" s="6" t="s">
        <v>2282</v>
      </c>
      <c r="C1033" s="10" t="s">
        <v>144</v>
      </c>
      <c r="D1033" s="13">
        <v>2.0</v>
      </c>
      <c r="E1033" s="13">
        <v>140.0</v>
      </c>
      <c r="F1033" s="13">
        <v>165.0</v>
      </c>
      <c r="G1033" s="6">
        <v>165.0</v>
      </c>
      <c r="H1033" s="6">
        <v>330.0</v>
      </c>
      <c r="I1033" s="6">
        <v>50.0</v>
      </c>
      <c r="J1033" s="10" t="s">
        <v>620</v>
      </c>
      <c r="K1033" s="6">
        <v>785.0</v>
      </c>
      <c r="L1033" s="6" t="s">
        <v>4499</v>
      </c>
      <c r="M1033" s="6" t="s">
        <v>2230</v>
      </c>
    </row>
    <row r="1034" ht="22.5" customHeight="1">
      <c r="A1034" s="14">
        <v>46106.96037417824</v>
      </c>
      <c r="B1034" s="6" t="s">
        <v>2282</v>
      </c>
      <c r="C1034" s="10" t="s">
        <v>572</v>
      </c>
      <c r="D1034" s="13">
        <v>1.0</v>
      </c>
      <c r="E1034" s="13">
        <v>4.38</v>
      </c>
      <c r="F1034" s="13">
        <v>10.0</v>
      </c>
      <c r="G1034" s="6">
        <v>10.0</v>
      </c>
      <c r="H1034" s="6">
        <v>10.0</v>
      </c>
      <c r="I1034" s="6">
        <v>5.62</v>
      </c>
      <c r="J1034" s="10" t="s">
        <v>119</v>
      </c>
      <c r="K1034" s="6">
        <v>784.0</v>
      </c>
      <c r="L1034" s="6" t="s">
        <v>4500</v>
      </c>
      <c r="M1034" s="6" t="s">
        <v>2230</v>
      </c>
    </row>
    <row r="1035" ht="22.5" customHeight="1">
      <c r="A1035" s="14">
        <v>46106.96037381944</v>
      </c>
      <c r="B1035" s="6" t="s">
        <v>2282</v>
      </c>
      <c r="C1035" s="10" t="s">
        <v>1055</v>
      </c>
      <c r="D1035" s="13">
        <v>5.0</v>
      </c>
      <c r="E1035" s="13">
        <v>11.0</v>
      </c>
      <c r="F1035" s="13">
        <v>15.0</v>
      </c>
      <c r="G1035" s="6">
        <v>15.0</v>
      </c>
      <c r="H1035" s="6">
        <v>75.0</v>
      </c>
      <c r="I1035" s="6">
        <v>20.0</v>
      </c>
      <c r="J1035" s="10" t="s">
        <v>119</v>
      </c>
      <c r="K1035" s="6">
        <v>783.0</v>
      </c>
      <c r="L1035" s="6" t="s">
        <v>4501</v>
      </c>
      <c r="M1035" s="6" t="s">
        <v>2230</v>
      </c>
    </row>
    <row r="1036" ht="22.5" customHeight="1">
      <c r="A1036" s="14">
        <v>46106.96037327546</v>
      </c>
      <c r="B1036" s="6" t="s">
        <v>2282</v>
      </c>
      <c r="C1036" s="10" t="s">
        <v>577</v>
      </c>
      <c r="D1036" s="13">
        <v>1.0</v>
      </c>
      <c r="E1036" s="13">
        <v>175.0</v>
      </c>
      <c r="F1036" s="13">
        <v>275.0</v>
      </c>
      <c r="G1036" s="6">
        <v>275.0</v>
      </c>
      <c r="H1036" s="6">
        <v>275.0</v>
      </c>
      <c r="I1036" s="6">
        <v>100.0</v>
      </c>
      <c r="J1036" s="10" t="s">
        <v>125</v>
      </c>
      <c r="K1036" s="6">
        <v>782.0</v>
      </c>
      <c r="L1036" s="6" t="s">
        <v>4502</v>
      </c>
      <c r="M1036" s="6" t="s">
        <v>2230</v>
      </c>
    </row>
    <row r="1037" ht="22.5" customHeight="1">
      <c r="A1037" s="14">
        <v>46106.9603728125</v>
      </c>
      <c r="B1037" s="6" t="s">
        <v>2282</v>
      </c>
      <c r="C1037" s="10" t="s">
        <v>1049</v>
      </c>
      <c r="D1037" s="13">
        <v>1.0</v>
      </c>
      <c r="E1037" s="13">
        <v>95.0</v>
      </c>
      <c r="F1037" s="13">
        <v>140.0</v>
      </c>
      <c r="G1037" s="6">
        <v>140.0</v>
      </c>
      <c r="H1037" s="6">
        <v>140.0</v>
      </c>
      <c r="I1037" s="6">
        <v>45.0</v>
      </c>
      <c r="J1037" s="10" t="s">
        <v>154</v>
      </c>
      <c r="K1037" s="6">
        <v>781.0</v>
      </c>
      <c r="L1037" s="6" t="s">
        <v>4503</v>
      </c>
      <c r="M1037" s="6" t="s">
        <v>2230</v>
      </c>
    </row>
    <row r="1038" ht="22.5" customHeight="1">
      <c r="A1038" s="14">
        <v>46106.96037238426</v>
      </c>
      <c r="B1038" s="6" t="s">
        <v>2282</v>
      </c>
      <c r="C1038" s="10" t="s">
        <v>77</v>
      </c>
      <c r="D1038" s="13">
        <v>1.0</v>
      </c>
      <c r="E1038" s="13">
        <v>197.0</v>
      </c>
      <c r="F1038" s="13">
        <v>420.0</v>
      </c>
      <c r="G1038" s="6">
        <v>420.0</v>
      </c>
      <c r="H1038" s="6">
        <v>420.0</v>
      </c>
      <c r="I1038" s="6">
        <v>223.0</v>
      </c>
      <c r="J1038" s="6" t="s">
        <v>54</v>
      </c>
      <c r="K1038" s="6">
        <v>779.0</v>
      </c>
      <c r="L1038" s="6" t="s">
        <v>4504</v>
      </c>
      <c r="M1038" s="6" t="s">
        <v>2230</v>
      </c>
    </row>
    <row r="1039" ht="22.5" customHeight="1">
      <c r="A1039" s="14">
        <v>46106.96037188657</v>
      </c>
      <c r="B1039" s="6" t="s">
        <v>2282</v>
      </c>
      <c r="C1039" s="10" t="s">
        <v>963</v>
      </c>
      <c r="D1039" s="13">
        <v>1.0</v>
      </c>
      <c r="E1039" s="13">
        <v>18.75</v>
      </c>
      <c r="F1039" s="13">
        <v>40.0</v>
      </c>
      <c r="G1039" s="6">
        <v>40.0</v>
      </c>
      <c r="H1039" s="6">
        <v>40.0</v>
      </c>
      <c r="I1039" s="6">
        <v>21.25</v>
      </c>
      <c r="J1039" s="6" t="s">
        <v>54</v>
      </c>
      <c r="K1039" s="6">
        <v>778.0</v>
      </c>
      <c r="L1039" s="6" t="s">
        <v>4505</v>
      </c>
      <c r="M1039" s="6" t="s">
        <v>2230</v>
      </c>
    </row>
    <row r="1040" ht="22.5" customHeight="1">
      <c r="A1040" s="14">
        <v>46106.960371469904</v>
      </c>
      <c r="B1040" s="6" t="s">
        <v>2282</v>
      </c>
      <c r="C1040" s="10" t="s">
        <v>74</v>
      </c>
      <c r="D1040" s="13">
        <v>3.0</v>
      </c>
      <c r="E1040" s="13">
        <v>120.0</v>
      </c>
      <c r="F1040" s="13">
        <v>150.0</v>
      </c>
      <c r="G1040" s="6">
        <v>150.0</v>
      </c>
      <c r="H1040" s="6">
        <v>450.0</v>
      </c>
      <c r="I1040" s="6">
        <v>90.0</v>
      </c>
      <c r="J1040" s="10" t="s">
        <v>31</v>
      </c>
      <c r="K1040" s="6">
        <v>777.0</v>
      </c>
      <c r="L1040" s="6" t="s">
        <v>4506</v>
      </c>
      <c r="M1040" s="6" t="s">
        <v>2230</v>
      </c>
    </row>
    <row r="1041" ht="22.5" customHeight="1">
      <c r="A1041" s="14">
        <v>46106.96037100695</v>
      </c>
      <c r="B1041" s="6" t="s">
        <v>2282</v>
      </c>
      <c r="C1041" s="10" t="s">
        <v>210</v>
      </c>
      <c r="D1041" s="13">
        <v>1.0</v>
      </c>
      <c r="E1041" s="13">
        <v>130.0</v>
      </c>
      <c r="F1041" s="13">
        <v>150.0</v>
      </c>
      <c r="G1041" s="6">
        <v>150.0</v>
      </c>
      <c r="H1041" s="6">
        <v>150.0</v>
      </c>
      <c r="I1041" s="6">
        <v>20.0</v>
      </c>
      <c r="J1041" s="10" t="s">
        <v>31</v>
      </c>
      <c r="K1041" s="6">
        <v>776.0</v>
      </c>
      <c r="L1041" s="6" t="s">
        <v>4507</v>
      </c>
      <c r="M1041" s="6" t="s">
        <v>2230</v>
      </c>
    </row>
    <row r="1042" ht="22.5" customHeight="1">
      <c r="A1042" s="14">
        <v>46106.960370636574</v>
      </c>
      <c r="B1042" s="6" t="s">
        <v>2282</v>
      </c>
      <c r="C1042" s="10" t="s">
        <v>255</v>
      </c>
      <c r="D1042" s="13">
        <v>1.0</v>
      </c>
      <c r="E1042" s="13">
        <v>35.0</v>
      </c>
      <c r="F1042" s="13">
        <v>50.0</v>
      </c>
      <c r="G1042" s="6">
        <v>50.0</v>
      </c>
      <c r="H1042" s="6">
        <v>50.0</v>
      </c>
      <c r="I1042" s="6">
        <v>15.0</v>
      </c>
      <c r="J1042" s="10" t="s">
        <v>31</v>
      </c>
      <c r="K1042" s="6">
        <v>775.0</v>
      </c>
      <c r="L1042" s="6" t="s">
        <v>4508</v>
      </c>
      <c r="M1042" s="6" t="s">
        <v>2230</v>
      </c>
    </row>
    <row r="1043" ht="22.5" customHeight="1">
      <c r="A1043" s="14">
        <v>46106.96037028935</v>
      </c>
      <c r="B1043" s="6" t="s">
        <v>2282</v>
      </c>
      <c r="C1043" s="10" t="s">
        <v>946</v>
      </c>
      <c r="D1043" s="13">
        <v>2.0</v>
      </c>
      <c r="E1043" s="13">
        <v>75.0</v>
      </c>
      <c r="F1043" s="13">
        <v>100.0</v>
      </c>
      <c r="G1043" s="6">
        <v>100.0</v>
      </c>
      <c r="H1043" s="6">
        <v>200.0</v>
      </c>
      <c r="I1043" s="6">
        <v>50.0</v>
      </c>
      <c r="J1043" s="10" t="s">
        <v>51</v>
      </c>
      <c r="K1043" s="6">
        <v>774.0</v>
      </c>
      <c r="L1043" s="6" t="s">
        <v>4509</v>
      </c>
      <c r="M1043" s="6" t="s">
        <v>2230</v>
      </c>
    </row>
    <row r="1044" ht="22.5" customHeight="1">
      <c r="A1044" s="14">
        <v>46106.960369733795</v>
      </c>
      <c r="B1044" s="6" t="s">
        <v>2282</v>
      </c>
      <c r="C1044" s="10" t="s">
        <v>812</v>
      </c>
      <c r="D1044" s="13">
        <v>2.0</v>
      </c>
      <c r="E1044" s="13">
        <v>15.0</v>
      </c>
      <c r="F1044" s="13">
        <v>20.0</v>
      </c>
      <c r="G1044" s="6">
        <v>20.0</v>
      </c>
      <c r="H1044" s="6">
        <v>40.0</v>
      </c>
      <c r="I1044" s="6">
        <v>10.0</v>
      </c>
      <c r="J1044" s="10" t="s">
        <v>154</v>
      </c>
      <c r="K1044" s="6">
        <v>773.0</v>
      </c>
      <c r="L1044" s="6" t="s">
        <v>4510</v>
      </c>
      <c r="M1044" s="6" t="s">
        <v>2230</v>
      </c>
    </row>
    <row r="1045" ht="22.5" customHeight="1">
      <c r="A1045" s="14">
        <v>46106.960369340275</v>
      </c>
      <c r="B1045" s="6" t="s">
        <v>2282</v>
      </c>
      <c r="C1045" s="10" t="s">
        <v>637</v>
      </c>
      <c r="D1045" s="13">
        <v>1.0</v>
      </c>
      <c r="E1045" s="13">
        <v>167.0</v>
      </c>
      <c r="F1045" s="13">
        <v>210.0</v>
      </c>
      <c r="G1045" s="6">
        <v>210.0</v>
      </c>
      <c r="H1045" s="6">
        <v>210.0</v>
      </c>
      <c r="I1045" s="6">
        <v>43.0</v>
      </c>
      <c r="J1045" s="10" t="s">
        <v>119</v>
      </c>
      <c r="K1045" s="6">
        <v>772.0</v>
      </c>
      <c r="L1045" s="6" t="s">
        <v>4511</v>
      </c>
      <c r="M1045" s="6" t="s">
        <v>2230</v>
      </c>
    </row>
    <row r="1046" ht="22.5" customHeight="1">
      <c r="A1046" s="14">
        <v>46106.96036885417</v>
      </c>
      <c r="B1046" s="6" t="s">
        <v>2282</v>
      </c>
      <c r="C1046" s="10" t="s">
        <v>385</v>
      </c>
      <c r="D1046" s="13">
        <v>1.0</v>
      </c>
      <c r="E1046" s="13">
        <v>229.5</v>
      </c>
      <c r="F1046" s="13">
        <v>290.0</v>
      </c>
      <c r="G1046" s="6">
        <v>290.0</v>
      </c>
      <c r="H1046" s="6">
        <v>290.0</v>
      </c>
      <c r="I1046" s="6">
        <v>60.5</v>
      </c>
      <c r="J1046" s="10" t="s">
        <v>119</v>
      </c>
      <c r="K1046" s="6">
        <v>771.0</v>
      </c>
      <c r="L1046" s="6" t="s">
        <v>4512</v>
      </c>
      <c r="M1046" s="6" t="s">
        <v>2230</v>
      </c>
    </row>
    <row r="1047" ht="22.5" customHeight="1">
      <c r="A1047" s="14">
        <v>46106.9603684375</v>
      </c>
      <c r="B1047" s="6" t="s">
        <v>2282</v>
      </c>
      <c r="C1047" s="10" t="s">
        <v>79</v>
      </c>
      <c r="D1047" s="13">
        <v>1.0</v>
      </c>
      <c r="E1047" s="13">
        <v>60.0</v>
      </c>
      <c r="F1047" s="13">
        <v>85.0</v>
      </c>
      <c r="G1047" s="6">
        <v>85.0</v>
      </c>
      <c r="H1047" s="6">
        <v>85.0</v>
      </c>
      <c r="I1047" s="6">
        <v>25.0</v>
      </c>
      <c r="J1047" s="10" t="s">
        <v>31</v>
      </c>
      <c r="K1047" s="6">
        <v>770.0</v>
      </c>
      <c r="L1047" s="6" t="s">
        <v>4514</v>
      </c>
      <c r="M1047" s="6" t="s">
        <v>2230</v>
      </c>
    </row>
    <row r="1048" ht="22.5" customHeight="1">
      <c r="A1048" s="14">
        <v>46106.96036788194</v>
      </c>
      <c r="B1048" s="6" t="s">
        <v>2282</v>
      </c>
      <c r="C1048" s="10" t="s">
        <v>216</v>
      </c>
      <c r="D1048" s="13">
        <v>0.4</v>
      </c>
      <c r="E1048" s="13">
        <v>50.0</v>
      </c>
      <c r="F1048" s="13">
        <v>62.5</v>
      </c>
      <c r="G1048" s="6">
        <v>62.5</v>
      </c>
      <c r="H1048" s="6">
        <v>25.0</v>
      </c>
      <c r="I1048" s="6">
        <v>5.0</v>
      </c>
      <c r="J1048" s="10" t="s">
        <v>51</v>
      </c>
      <c r="K1048" s="6">
        <v>769.0</v>
      </c>
      <c r="L1048" s="6" t="s">
        <v>4515</v>
      </c>
      <c r="M1048" s="6" t="s">
        <v>2230</v>
      </c>
    </row>
    <row r="1049" ht="22.5" customHeight="1">
      <c r="A1049" s="14">
        <v>46106.9603668287</v>
      </c>
      <c r="B1049" s="6" t="s">
        <v>2282</v>
      </c>
      <c r="C1049" s="10" t="s">
        <v>741</v>
      </c>
      <c r="D1049" s="13">
        <v>0.2</v>
      </c>
      <c r="E1049" s="13">
        <v>150.0</v>
      </c>
      <c r="F1049" s="13">
        <v>200.0</v>
      </c>
      <c r="G1049" s="6">
        <v>200.0</v>
      </c>
      <c r="H1049" s="6">
        <v>40.0</v>
      </c>
      <c r="I1049" s="6">
        <v>10.0</v>
      </c>
      <c r="J1049" s="10" t="s">
        <v>51</v>
      </c>
      <c r="K1049" s="6">
        <v>768.0</v>
      </c>
      <c r="L1049" s="6" t="s">
        <v>4517</v>
      </c>
      <c r="M1049" s="6" t="s">
        <v>2230</v>
      </c>
    </row>
    <row r="1050" ht="22.5" customHeight="1">
      <c r="A1050" s="14">
        <v>46106.96036641204</v>
      </c>
      <c r="B1050" s="6" t="s">
        <v>2282</v>
      </c>
      <c r="C1050" s="10" t="s">
        <v>830</v>
      </c>
      <c r="D1050" s="13">
        <v>1.0</v>
      </c>
      <c r="E1050" s="13">
        <v>10.0</v>
      </c>
      <c r="F1050" s="13">
        <v>15.0</v>
      </c>
      <c r="G1050" s="6">
        <v>15.0</v>
      </c>
      <c r="H1050" s="6">
        <v>15.0</v>
      </c>
      <c r="I1050" s="6">
        <v>5.0</v>
      </c>
      <c r="J1050" s="10" t="s">
        <v>51</v>
      </c>
      <c r="K1050" s="6">
        <v>767.0</v>
      </c>
      <c r="L1050" s="6" t="s">
        <v>4518</v>
      </c>
      <c r="M1050" s="6" t="s">
        <v>2230</v>
      </c>
    </row>
    <row r="1051" ht="22.5" customHeight="1">
      <c r="A1051" s="14">
        <v>46106.960366099534</v>
      </c>
      <c r="B1051" s="6" t="s">
        <v>2282</v>
      </c>
      <c r="C1051" s="10" t="s">
        <v>77</v>
      </c>
      <c r="D1051" s="13">
        <v>1.0</v>
      </c>
      <c r="E1051" s="13">
        <v>197.0</v>
      </c>
      <c r="F1051" s="13">
        <v>370.0</v>
      </c>
      <c r="G1051" s="6">
        <v>370.0</v>
      </c>
      <c r="H1051" s="6">
        <v>370.0</v>
      </c>
      <c r="I1051" s="6">
        <v>173.0</v>
      </c>
      <c r="J1051" s="6" t="s">
        <v>54</v>
      </c>
      <c r="K1051" s="6">
        <v>766.0</v>
      </c>
      <c r="L1051" s="6" t="s">
        <v>4520</v>
      </c>
      <c r="M1051" s="6" t="s">
        <v>2230</v>
      </c>
    </row>
    <row r="1052" ht="22.5" customHeight="1">
      <c r="A1052" s="14">
        <v>46106.96036577546</v>
      </c>
      <c r="B1052" s="6" t="s">
        <v>2282</v>
      </c>
      <c r="C1052" s="10" t="s">
        <v>255</v>
      </c>
      <c r="D1052" s="13">
        <v>1.0</v>
      </c>
      <c r="E1052" s="13">
        <v>35.0</v>
      </c>
      <c r="F1052" s="13">
        <v>50.0</v>
      </c>
      <c r="G1052" s="6">
        <v>50.0</v>
      </c>
      <c r="H1052" s="6">
        <v>50.0</v>
      </c>
      <c r="I1052" s="6">
        <v>15.0</v>
      </c>
      <c r="J1052" s="10" t="s">
        <v>31</v>
      </c>
      <c r="K1052" s="6">
        <v>765.0</v>
      </c>
      <c r="L1052" s="6" t="s">
        <v>4521</v>
      </c>
      <c r="M1052" s="6" t="s">
        <v>2230</v>
      </c>
    </row>
    <row r="1053" ht="22.5" customHeight="1">
      <c r="A1053" s="14">
        <v>46106.96036545139</v>
      </c>
      <c r="B1053" s="6" t="s">
        <v>2282</v>
      </c>
      <c r="C1053" s="10" t="s">
        <v>220</v>
      </c>
      <c r="D1053" s="13">
        <v>1.0</v>
      </c>
      <c r="E1053" s="13">
        <v>85.0</v>
      </c>
      <c r="F1053" s="13">
        <v>150.0</v>
      </c>
      <c r="G1053" s="6">
        <v>150.0</v>
      </c>
      <c r="H1053" s="6">
        <v>150.0</v>
      </c>
      <c r="I1053" s="6">
        <v>65.0</v>
      </c>
      <c r="J1053" s="10" t="s">
        <v>51</v>
      </c>
      <c r="K1053" s="6">
        <v>764.0</v>
      </c>
      <c r="L1053" s="6" t="s">
        <v>4522</v>
      </c>
      <c r="M1053" s="6" t="s">
        <v>2230</v>
      </c>
    </row>
    <row r="1054" ht="22.5" customHeight="1">
      <c r="A1054" s="14">
        <v>46106.96036513889</v>
      </c>
      <c r="B1054" s="6" t="s">
        <v>2282</v>
      </c>
      <c r="C1054" s="10" t="s">
        <v>933</v>
      </c>
      <c r="D1054" s="13">
        <v>1.0</v>
      </c>
      <c r="E1054" s="13">
        <v>10.0</v>
      </c>
      <c r="F1054" s="13">
        <v>15.0</v>
      </c>
      <c r="G1054" s="6">
        <v>15.0</v>
      </c>
      <c r="H1054" s="6">
        <v>15.0</v>
      </c>
      <c r="I1054" s="6">
        <v>5.0</v>
      </c>
      <c r="J1054" s="10" t="s">
        <v>436</v>
      </c>
      <c r="K1054" s="6">
        <v>763.0</v>
      </c>
      <c r="L1054" s="6" t="s">
        <v>4523</v>
      </c>
      <c r="M1054" s="6" t="s">
        <v>2230</v>
      </c>
    </row>
    <row r="1055" ht="22.5" customHeight="1">
      <c r="A1055" s="14">
        <v>46106.96036460648</v>
      </c>
      <c r="B1055" s="6" t="s">
        <v>2282</v>
      </c>
      <c r="C1055" s="10" t="s">
        <v>91</v>
      </c>
      <c r="D1055" s="13">
        <v>1.0</v>
      </c>
      <c r="E1055" s="13">
        <v>35.0</v>
      </c>
      <c r="F1055" s="13">
        <v>50.0</v>
      </c>
      <c r="G1055" s="6">
        <v>50.0</v>
      </c>
      <c r="H1055" s="6">
        <v>50.0</v>
      </c>
      <c r="I1055" s="6">
        <v>15.0</v>
      </c>
      <c r="J1055" s="10" t="s">
        <v>436</v>
      </c>
      <c r="K1055" s="6">
        <v>762.0</v>
      </c>
      <c r="L1055" s="6" t="s">
        <v>4524</v>
      </c>
      <c r="M1055" s="6" t="s">
        <v>2230</v>
      </c>
    </row>
    <row r="1056" ht="22.5" customHeight="1">
      <c r="A1056" s="14">
        <v>46106.96036427083</v>
      </c>
      <c r="B1056" s="6" t="s">
        <v>2282</v>
      </c>
      <c r="C1056" s="10" t="s">
        <v>159</v>
      </c>
      <c r="D1056" s="13">
        <v>1.0</v>
      </c>
      <c r="E1056" s="13">
        <v>233.33</v>
      </c>
      <c r="F1056" s="13">
        <v>285.0</v>
      </c>
      <c r="G1056" s="6">
        <v>285.0</v>
      </c>
      <c r="H1056" s="6">
        <v>285.0</v>
      </c>
      <c r="I1056" s="6">
        <v>51.67</v>
      </c>
      <c r="J1056" s="10" t="s">
        <v>154</v>
      </c>
      <c r="K1056" s="6">
        <v>761.0</v>
      </c>
      <c r="L1056" s="6" t="s">
        <v>4525</v>
      </c>
      <c r="M1056" s="6" t="s">
        <v>2230</v>
      </c>
    </row>
    <row r="1057" ht="22.5" customHeight="1">
      <c r="A1057" s="14">
        <v>46106.96036399306</v>
      </c>
      <c r="B1057" s="6" t="s">
        <v>2282</v>
      </c>
      <c r="C1057" s="10" t="s">
        <v>567</v>
      </c>
      <c r="D1057" s="13">
        <v>1.0</v>
      </c>
      <c r="E1057" s="13">
        <v>51.0</v>
      </c>
      <c r="F1057" s="13">
        <v>75.0</v>
      </c>
      <c r="G1057" s="6">
        <v>75.0</v>
      </c>
      <c r="H1057" s="6">
        <v>75.0</v>
      </c>
      <c r="I1057" s="6">
        <v>24.0</v>
      </c>
      <c r="J1057" s="10" t="s">
        <v>119</v>
      </c>
      <c r="K1057" s="6">
        <v>760.0</v>
      </c>
      <c r="L1057" s="6" t="s">
        <v>4526</v>
      </c>
      <c r="M1057" s="6" t="s">
        <v>2230</v>
      </c>
    </row>
    <row r="1058" ht="22.5" customHeight="1">
      <c r="A1058" s="14">
        <v>46106.960363680555</v>
      </c>
      <c r="B1058" s="6" t="s">
        <v>2282</v>
      </c>
      <c r="C1058" s="10" t="s">
        <v>572</v>
      </c>
      <c r="D1058" s="13">
        <v>2.0</v>
      </c>
      <c r="E1058" s="13">
        <v>4.38</v>
      </c>
      <c r="F1058" s="13">
        <v>10.0</v>
      </c>
      <c r="G1058" s="6">
        <v>10.0</v>
      </c>
      <c r="H1058" s="6">
        <v>20.0</v>
      </c>
      <c r="I1058" s="6">
        <v>11.24</v>
      </c>
      <c r="J1058" s="10" t="s">
        <v>119</v>
      </c>
      <c r="K1058" s="6">
        <v>759.0</v>
      </c>
      <c r="L1058" s="6" t="s">
        <v>4527</v>
      </c>
      <c r="M1058" s="6" t="s">
        <v>2230</v>
      </c>
    </row>
    <row r="1059" ht="22.5" customHeight="1">
      <c r="A1059" s="14">
        <v>46106.96036334491</v>
      </c>
      <c r="B1059" s="6" t="s">
        <v>2282</v>
      </c>
      <c r="C1059" s="10" t="s">
        <v>206</v>
      </c>
      <c r="D1059" s="13">
        <v>1.0</v>
      </c>
      <c r="E1059" s="13">
        <v>155.0</v>
      </c>
      <c r="F1059" s="13">
        <v>200.0</v>
      </c>
      <c r="G1059" s="6">
        <v>200.0</v>
      </c>
      <c r="H1059" s="6">
        <v>200.0</v>
      </c>
      <c r="I1059" s="6">
        <v>45.0</v>
      </c>
      <c r="J1059" s="10" t="s">
        <v>31</v>
      </c>
      <c r="K1059" s="6">
        <v>758.0</v>
      </c>
      <c r="L1059" s="6" t="s">
        <v>4528</v>
      </c>
      <c r="M1059" s="6" t="s">
        <v>2230</v>
      </c>
    </row>
    <row r="1060" ht="22.5" customHeight="1">
      <c r="A1060" s="14">
        <v>46106.96036309028</v>
      </c>
      <c r="B1060" s="6" t="s">
        <v>2282</v>
      </c>
      <c r="C1060" s="10" t="s">
        <v>235</v>
      </c>
      <c r="D1060" s="13">
        <v>3.0</v>
      </c>
      <c r="E1060" s="13">
        <v>75.0</v>
      </c>
      <c r="F1060" s="13">
        <v>100.0</v>
      </c>
      <c r="G1060" s="6">
        <v>100.0</v>
      </c>
      <c r="H1060" s="6">
        <v>300.0</v>
      </c>
      <c r="I1060" s="6">
        <v>75.0</v>
      </c>
      <c r="J1060" s="10" t="s">
        <v>31</v>
      </c>
      <c r="K1060" s="6">
        <v>757.0</v>
      </c>
      <c r="L1060" s="6" t="s">
        <v>4529</v>
      </c>
      <c r="M1060" s="6" t="s">
        <v>2230</v>
      </c>
    </row>
    <row r="1061" ht="22.5" customHeight="1">
      <c r="A1061" s="14">
        <v>46106.96036283565</v>
      </c>
      <c r="B1061" s="6" t="s">
        <v>2282</v>
      </c>
      <c r="C1061" s="10" t="s">
        <v>812</v>
      </c>
      <c r="D1061" s="13">
        <v>2.0</v>
      </c>
      <c r="E1061" s="13">
        <v>15.0</v>
      </c>
      <c r="F1061" s="13">
        <v>20.0</v>
      </c>
      <c r="G1061" s="6">
        <v>20.0</v>
      </c>
      <c r="H1061" s="6">
        <v>40.0</v>
      </c>
      <c r="I1061" s="6">
        <v>10.0</v>
      </c>
      <c r="J1061" s="10" t="s">
        <v>154</v>
      </c>
      <c r="K1061" s="6">
        <v>756.0</v>
      </c>
      <c r="L1061" s="6" t="s">
        <v>4530</v>
      </c>
      <c r="M1061" s="6" t="s">
        <v>2230</v>
      </c>
    </row>
    <row r="1062" ht="22.5" customHeight="1">
      <c r="A1062" s="14">
        <v>46106.960362557875</v>
      </c>
      <c r="B1062" s="6" t="s">
        <v>2282</v>
      </c>
      <c r="C1062" s="10" t="s">
        <v>640</v>
      </c>
      <c r="D1062" s="13">
        <v>1.0</v>
      </c>
      <c r="E1062" s="13">
        <v>167.0</v>
      </c>
      <c r="F1062" s="13">
        <v>210.0</v>
      </c>
      <c r="G1062" s="6">
        <v>210.0</v>
      </c>
      <c r="H1062" s="6">
        <v>210.0</v>
      </c>
      <c r="I1062" s="6">
        <v>43.0</v>
      </c>
      <c r="J1062" s="10" t="s">
        <v>119</v>
      </c>
      <c r="K1062" s="6">
        <v>755.0</v>
      </c>
      <c r="L1062" s="6" t="s">
        <v>4531</v>
      </c>
      <c r="M1062" s="6" t="s">
        <v>2230</v>
      </c>
    </row>
    <row r="1063" ht="22.5" customHeight="1">
      <c r="A1063" s="14">
        <v>46106.96036225694</v>
      </c>
      <c r="B1063" s="6" t="s">
        <v>2282</v>
      </c>
      <c r="C1063" s="10" t="s">
        <v>812</v>
      </c>
      <c r="D1063" s="13">
        <v>4.0</v>
      </c>
      <c r="E1063" s="13">
        <v>15.0</v>
      </c>
      <c r="F1063" s="13">
        <v>20.0</v>
      </c>
      <c r="G1063" s="6">
        <v>20.0</v>
      </c>
      <c r="H1063" s="6">
        <v>80.0</v>
      </c>
      <c r="I1063" s="6">
        <v>20.0</v>
      </c>
      <c r="J1063" s="10" t="s">
        <v>154</v>
      </c>
      <c r="K1063" s="6">
        <v>754.0</v>
      </c>
      <c r="L1063" s="6" t="s">
        <v>4532</v>
      </c>
      <c r="M1063" s="6" t="s">
        <v>2230</v>
      </c>
    </row>
    <row r="1064" ht="22.5" customHeight="1">
      <c r="A1064" s="14">
        <v>46106.960361944446</v>
      </c>
      <c r="B1064" s="6" t="s">
        <v>2282</v>
      </c>
      <c r="C1064" s="10" t="s">
        <v>168</v>
      </c>
      <c r="D1064" s="13">
        <v>1.0</v>
      </c>
      <c r="E1064" s="13">
        <v>135.0</v>
      </c>
      <c r="F1064" s="13">
        <v>220.0</v>
      </c>
      <c r="G1064" s="6">
        <v>220.0</v>
      </c>
      <c r="H1064" s="6">
        <v>220.0</v>
      </c>
      <c r="I1064" s="6">
        <v>85.0</v>
      </c>
      <c r="J1064" s="10" t="s">
        <v>31</v>
      </c>
      <c r="K1064" s="6">
        <v>753.0</v>
      </c>
      <c r="L1064" s="6" t="s">
        <v>4533</v>
      </c>
      <c r="M1064" s="6" t="s">
        <v>2230</v>
      </c>
    </row>
    <row r="1065" ht="22.5" customHeight="1">
      <c r="A1065" s="14">
        <v>46106.96036157408</v>
      </c>
      <c r="B1065" s="6" t="s">
        <v>2282</v>
      </c>
      <c r="C1065" s="10" t="s">
        <v>572</v>
      </c>
      <c r="D1065" s="13">
        <v>5.0</v>
      </c>
      <c r="E1065" s="13">
        <v>4.38</v>
      </c>
      <c r="F1065" s="13">
        <v>10.0</v>
      </c>
      <c r="G1065" s="6">
        <v>10.0</v>
      </c>
      <c r="H1065" s="6">
        <v>50.0</v>
      </c>
      <c r="I1065" s="6">
        <v>28.1</v>
      </c>
      <c r="J1065" s="10" t="s">
        <v>119</v>
      </c>
      <c r="K1065" s="6">
        <v>751.0</v>
      </c>
      <c r="L1065" s="6" t="s">
        <v>4534</v>
      </c>
      <c r="M1065" s="6" t="s">
        <v>2230</v>
      </c>
    </row>
    <row r="1066" ht="22.5" customHeight="1">
      <c r="A1066" s="14">
        <v>46106.9603608912</v>
      </c>
      <c r="B1066" s="6" t="s">
        <v>2282</v>
      </c>
      <c r="C1066" s="10" t="s">
        <v>268</v>
      </c>
      <c r="D1066" s="13">
        <v>1.0</v>
      </c>
      <c r="E1066" s="13">
        <v>170.0</v>
      </c>
      <c r="F1066" s="13">
        <v>250.0</v>
      </c>
      <c r="G1066" s="6">
        <v>250.0</v>
      </c>
      <c r="H1066" s="6">
        <v>250.0</v>
      </c>
      <c r="I1066" s="6">
        <v>80.0</v>
      </c>
      <c r="J1066" s="10" t="s">
        <v>581</v>
      </c>
      <c r="K1066" s="6">
        <v>750.0</v>
      </c>
      <c r="L1066" s="6" t="s">
        <v>4535</v>
      </c>
      <c r="M1066" s="6" t="s">
        <v>2230</v>
      </c>
    </row>
    <row r="1067" ht="22.5" customHeight="1">
      <c r="A1067" s="14">
        <v>46106.96036040509</v>
      </c>
      <c r="B1067" s="6" t="s">
        <v>2282</v>
      </c>
      <c r="C1067" s="10" t="s">
        <v>554</v>
      </c>
      <c r="D1067" s="13">
        <v>1.0</v>
      </c>
      <c r="E1067" s="13">
        <v>23.22222222222222</v>
      </c>
      <c r="F1067" s="13">
        <v>40.0</v>
      </c>
      <c r="G1067" s="6">
        <v>40.0</v>
      </c>
      <c r="H1067" s="6">
        <v>40.0</v>
      </c>
      <c r="I1067" s="6">
        <v>16.78</v>
      </c>
      <c r="J1067" s="6" t="s">
        <v>54</v>
      </c>
      <c r="K1067" s="6">
        <v>749.0</v>
      </c>
      <c r="L1067" s="6" t="s">
        <v>4536</v>
      </c>
      <c r="M1067" s="6" t="s">
        <v>2230</v>
      </c>
    </row>
    <row r="1068" ht="22.5" customHeight="1">
      <c r="A1068" s="14">
        <v>46106.96035925926</v>
      </c>
      <c r="B1068" s="6" t="s">
        <v>2282</v>
      </c>
      <c r="C1068" s="10" t="s">
        <v>255</v>
      </c>
      <c r="D1068" s="13">
        <v>1.0</v>
      </c>
      <c r="E1068" s="13">
        <v>35.0</v>
      </c>
      <c r="F1068" s="13">
        <v>50.0</v>
      </c>
      <c r="G1068" s="6">
        <v>50.0</v>
      </c>
      <c r="H1068" s="6">
        <v>50.0</v>
      </c>
      <c r="I1068" s="6">
        <v>15.0</v>
      </c>
      <c r="J1068" s="10" t="s">
        <v>31</v>
      </c>
      <c r="K1068" s="6">
        <v>748.0</v>
      </c>
      <c r="L1068" s="6" t="s">
        <v>4537</v>
      </c>
      <c r="M1068" s="6" t="s">
        <v>2230</v>
      </c>
    </row>
    <row r="1069" ht="22.5" customHeight="1">
      <c r="A1069" s="14">
        <v>46106.960358321754</v>
      </c>
      <c r="B1069" s="6" t="s">
        <v>2282</v>
      </c>
      <c r="C1069" s="10" t="s">
        <v>593</v>
      </c>
      <c r="D1069" s="13">
        <v>3.0</v>
      </c>
      <c r="E1069" s="13">
        <v>50.0</v>
      </c>
      <c r="F1069" s="13">
        <v>70.0</v>
      </c>
      <c r="G1069" s="6">
        <v>70.0</v>
      </c>
      <c r="H1069" s="6">
        <v>210.0</v>
      </c>
      <c r="I1069" s="6">
        <v>60.0</v>
      </c>
      <c r="J1069" s="10" t="s">
        <v>51</v>
      </c>
      <c r="K1069" s="6">
        <v>747.0</v>
      </c>
      <c r="L1069" s="6" t="s">
        <v>4538</v>
      </c>
      <c r="M1069" s="6" t="s">
        <v>2230</v>
      </c>
    </row>
    <row r="1070" ht="22.5" customHeight="1">
      <c r="A1070" s="14">
        <v>46106.960357881944</v>
      </c>
      <c r="B1070" s="6" t="s">
        <v>2282</v>
      </c>
      <c r="C1070" s="10" t="s">
        <v>91</v>
      </c>
      <c r="D1070" s="13">
        <v>2.0</v>
      </c>
      <c r="E1070" s="13">
        <v>35.0</v>
      </c>
      <c r="F1070" s="13">
        <v>50.0</v>
      </c>
      <c r="G1070" s="6">
        <v>50.0</v>
      </c>
      <c r="H1070" s="6">
        <v>100.0</v>
      </c>
      <c r="I1070" s="6">
        <v>30.0</v>
      </c>
      <c r="J1070" s="10" t="s">
        <v>436</v>
      </c>
      <c r="K1070" s="6">
        <v>746.0</v>
      </c>
      <c r="L1070" s="6" t="s">
        <v>4539</v>
      </c>
      <c r="M1070" s="6" t="s">
        <v>2230</v>
      </c>
    </row>
    <row r="1071" ht="22.5" customHeight="1">
      <c r="A1071" s="14">
        <v>46106.96035681713</v>
      </c>
      <c r="B1071" s="6" t="s">
        <v>2282</v>
      </c>
      <c r="C1071" s="10" t="s">
        <v>216</v>
      </c>
      <c r="D1071" s="13">
        <v>1.0</v>
      </c>
      <c r="E1071" s="13">
        <v>50.0</v>
      </c>
      <c r="F1071" s="13">
        <v>70.0</v>
      </c>
      <c r="G1071" s="6">
        <v>70.0</v>
      </c>
      <c r="H1071" s="6">
        <v>70.0</v>
      </c>
      <c r="I1071" s="6">
        <v>20.0</v>
      </c>
      <c r="J1071" s="10" t="s">
        <v>51</v>
      </c>
      <c r="K1071" s="6">
        <v>745.0</v>
      </c>
      <c r="L1071" s="6" t="s">
        <v>4540</v>
      </c>
      <c r="M1071" s="6" t="s">
        <v>2230</v>
      </c>
    </row>
    <row r="1072" ht="22.5" customHeight="1">
      <c r="A1072" s="14">
        <v>46106.96035519676</v>
      </c>
      <c r="B1072" s="6" t="s">
        <v>2282</v>
      </c>
      <c r="C1072" s="10" t="s">
        <v>34</v>
      </c>
      <c r="D1072" s="13">
        <v>2.0</v>
      </c>
      <c r="E1072" s="13">
        <v>134.23749999999998</v>
      </c>
      <c r="F1072" s="13">
        <v>300.0</v>
      </c>
      <c r="G1072" s="6">
        <v>300.0</v>
      </c>
      <c r="H1072" s="6">
        <v>600.0</v>
      </c>
      <c r="I1072" s="6">
        <v>331.53</v>
      </c>
      <c r="J1072" s="6" t="s">
        <v>54</v>
      </c>
      <c r="K1072" s="6">
        <v>744.0</v>
      </c>
      <c r="L1072" s="6" t="s">
        <v>4541</v>
      </c>
      <c r="M1072" s="6" t="s">
        <v>2230</v>
      </c>
    </row>
    <row r="1073" ht="22.5" customHeight="1">
      <c r="A1073" s="14">
        <v>46106.96035480324</v>
      </c>
      <c r="B1073" s="6" t="s">
        <v>2282</v>
      </c>
      <c r="C1073" s="10" t="s">
        <v>236</v>
      </c>
      <c r="D1073" s="13">
        <v>1.0</v>
      </c>
      <c r="E1073" s="13">
        <v>150.0</v>
      </c>
      <c r="F1073" s="13">
        <v>180.0</v>
      </c>
      <c r="G1073" s="6">
        <v>180.0</v>
      </c>
      <c r="H1073" s="6">
        <v>180.0</v>
      </c>
      <c r="I1073" s="6">
        <v>30.0</v>
      </c>
      <c r="J1073" s="10" t="s">
        <v>154</v>
      </c>
      <c r="K1073" s="6">
        <v>743.0</v>
      </c>
      <c r="L1073" s="6" t="s">
        <v>4542</v>
      </c>
      <c r="M1073" s="6" t="s">
        <v>2230</v>
      </c>
    </row>
    <row r="1074" ht="22.5" customHeight="1">
      <c r="A1074" s="14">
        <v>46106.960354236115</v>
      </c>
      <c r="B1074" s="6" t="s">
        <v>2282</v>
      </c>
      <c r="C1074" s="10" t="s">
        <v>412</v>
      </c>
      <c r="D1074" s="13">
        <v>1.0</v>
      </c>
      <c r="E1074" s="13">
        <v>195.0</v>
      </c>
      <c r="F1074" s="13">
        <v>250.0</v>
      </c>
      <c r="G1074" s="6">
        <v>250.0</v>
      </c>
      <c r="H1074" s="6">
        <v>250.0</v>
      </c>
      <c r="I1074" s="6">
        <v>55.0</v>
      </c>
      <c r="J1074" s="10" t="s">
        <v>31</v>
      </c>
      <c r="K1074" s="6">
        <v>742.0</v>
      </c>
      <c r="L1074" s="6" t="s">
        <v>4543</v>
      </c>
      <c r="M1074" s="6" t="s">
        <v>2230</v>
      </c>
    </row>
    <row r="1075" ht="22.5" customHeight="1">
      <c r="A1075" s="14">
        <v>46106.9603537963</v>
      </c>
      <c r="B1075" s="6" t="s">
        <v>2282</v>
      </c>
      <c r="C1075" s="10" t="s">
        <v>220</v>
      </c>
      <c r="D1075" s="13">
        <v>0.16666666666666666</v>
      </c>
      <c r="E1075" s="13">
        <v>85.0</v>
      </c>
      <c r="F1075" s="13">
        <v>120.0</v>
      </c>
      <c r="G1075" s="6">
        <v>120.0</v>
      </c>
      <c r="H1075" s="6">
        <v>20.0</v>
      </c>
      <c r="I1075" s="6">
        <v>5.83</v>
      </c>
      <c r="J1075" s="10" t="s">
        <v>51</v>
      </c>
      <c r="K1075" s="6">
        <v>741.0</v>
      </c>
      <c r="L1075" s="6" t="s">
        <v>4544</v>
      </c>
      <c r="M1075" s="6" t="s">
        <v>2230</v>
      </c>
    </row>
    <row r="1076" ht="22.5" customHeight="1">
      <c r="A1076" s="14">
        <v>46106.96035342592</v>
      </c>
      <c r="B1076" s="6" t="s">
        <v>2282</v>
      </c>
      <c r="C1076" s="10" t="s">
        <v>518</v>
      </c>
      <c r="D1076" s="13">
        <v>0.2222222222222222</v>
      </c>
      <c r="E1076" s="13">
        <v>75.0</v>
      </c>
      <c r="F1076" s="13">
        <v>135.0</v>
      </c>
      <c r="G1076" s="6">
        <v>135.0</v>
      </c>
      <c r="H1076" s="6">
        <v>30.0</v>
      </c>
      <c r="I1076" s="6">
        <v>13.33</v>
      </c>
      <c r="J1076" s="10" t="s">
        <v>51</v>
      </c>
      <c r="K1076" s="6">
        <v>740.0</v>
      </c>
      <c r="L1076" s="6" t="s">
        <v>4545</v>
      </c>
      <c r="M1076" s="6" t="s">
        <v>2230</v>
      </c>
    </row>
    <row r="1077" ht="22.5" customHeight="1">
      <c r="A1077" s="14">
        <v>46106.96035303241</v>
      </c>
      <c r="B1077" s="6" t="s">
        <v>2282</v>
      </c>
      <c r="C1077" s="10" t="s">
        <v>806</v>
      </c>
      <c r="D1077" s="13">
        <v>0.2857142857142857</v>
      </c>
      <c r="E1077" s="13">
        <v>140.0</v>
      </c>
      <c r="F1077" s="13">
        <v>175.0</v>
      </c>
      <c r="G1077" s="6">
        <v>175.0</v>
      </c>
      <c r="H1077" s="6">
        <v>50.0</v>
      </c>
      <c r="I1077" s="6">
        <v>10.0</v>
      </c>
      <c r="J1077" s="10" t="s">
        <v>51</v>
      </c>
      <c r="K1077" s="6">
        <v>739.0</v>
      </c>
      <c r="L1077" s="6" t="s">
        <v>4546</v>
      </c>
      <c r="M1077" s="6" t="s">
        <v>2230</v>
      </c>
    </row>
    <row r="1078" ht="22.5" customHeight="1">
      <c r="A1078" s="14">
        <v>46106.96035271991</v>
      </c>
      <c r="B1078" s="6" t="s">
        <v>2282</v>
      </c>
      <c r="C1078" s="10" t="s">
        <v>235</v>
      </c>
      <c r="D1078" s="13">
        <v>2.0</v>
      </c>
      <c r="E1078" s="13">
        <v>75.0</v>
      </c>
      <c r="F1078" s="13">
        <v>110.0</v>
      </c>
      <c r="G1078" s="6">
        <v>110.0</v>
      </c>
      <c r="H1078" s="6">
        <v>220.0</v>
      </c>
      <c r="I1078" s="6">
        <v>70.0</v>
      </c>
      <c r="J1078" s="10" t="s">
        <v>31</v>
      </c>
      <c r="K1078" s="6">
        <v>738.0</v>
      </c>
      <c r="L1078" s="6" t="s">
        <v>4547</v>
      </c>
      <c r="M1078" s="6" t="s">
        <v>2230</v>
      </c>
    </row>
    <row r="1079" ht="22.5" customHeight="1">
      <c r="A1079" s="14">
        <v>46106.96035226852</v>
      </c>
      <c r="B1079" s="6" t="s">
        <v>2282</v>
      </c>
      <c r="C1079" s="10" t="s">
        <v>645</v>
      </c>
      <c r="D1079" s="13">
        <v>4.0</v>
      </c>
      <c r="E1079" s="13">
        <v>17.0</v>
      </c>
      <c r="F1079" s="13">
        <v>20.0</v>
      </c>
      <c r="G1079" s="6">
        <v>20.0</v>
      </c>
      <c r="H1079" s="6">
        <v>80.0</v>
      </c>
      <c r="I1079" s="6">
        <v>12.0</v>
      </c>
      <c r="J1079" s="10" t="s">
        <v>1052</v>
      </c>
      <c r="K1079" s="6">
        <v>737.0</v>
      </c>
      <c r="L1079" s="6" t="s">
        <v>4548</v>
      </c>
      <c r="M1079" s="6" t="s">
        <v>2230</v>
      </c>
    </row>
    <row r="1080" ht="22.5" customHeight="1">
      <c r="A1080" s="14">
        <v>46106.96035167824</v>
      </c>
      <c r="B1080" s="6" t="s">
        <v>2282</v>
      </c>
      <c r="C1080" s="10" t="s">
        <v>689</v>
      </c>
      <c r="D1080" s="13">
        <v>1.0</v>
      </c>
      <c r="E1080" s="13">
        <v>130.0</v>
      </c>
      <c r="F1080" s="13">
        <v>170.0</v>
      </c>
      <c r="G1080" s="6">
        <v>170.0</v>
      </c>
      <c r="H1080" s="6">
        <v>170.0</v>
      </c>
      <c r="I1080" s="6">
        <v>40.0</v>
      </c>
      <c r="J1080" s="10" t="s">
        <v>119</v>
      </c>
      <c r="K1080" s="6">
        <v>736.0</v>
      </c>
      <c r="L1080" s="6" t="s">
        <v>4549</v>
      </c>
      <c r="M1080" s="6" t="s">
        <v>2230</v>
      </c>
    </row>
    <row r="1081" ht="22.5" customHeight="1">
      <c r="A1081" s="14">
        <v>46106.96035122685</v>
      </c>
      <c r="B1081" s="6" t="s">
        <v>2282</v>
      </c>
      <c r="C1081" s="10" t="s">
        <v>558</v>
      </c>
      <c r="D1081" s="13">
        <v>1.0</v>
      </c>
      <c r="E1081" s="13">
        <v>125.0</v>
      </c>
      <c r="F1081" s="13">
        <v>150.0</v>
      </c>
      <c r="G1081" s="6">
        <v>150.0</v>
      </c>
      <c r="H1081" s="6">
        <v>150.0</v>
      </c>
      <c r="I1081" s="6">
        <v>25.0</v>
      </c>
      <c r="J1081" s="10" t="s">
        <v>119</v>
      </c>
      <c r="K1081" s="6">
        <v>735.0</v>
      </c>
      <c r="L1081" s="6" t="s">
        <v>4550</v>
      </c>
      <c r="M1081" s="6" t="s">
        <v>2230</v>
      </c>
    </row>
    <row r="1082" ht="22.5" customHeight="1">
      <c r="A1082" s="14">
        <v>46106.96035075231</v>
      </c>
      <c r="B1082" s="6" t="s">
        <v>2282</v>
      </c>
      <c r="C1082" s="10" t="s">
        <v>268</v>
      </c>
      <c r="D1082" s="13">
        <v>1.0</v>
      </c>
      <c r="E1082" s="13">
        <v>178.75</v>
      </c>
      <c r="F1082" s="13">
        <v>250.0</v>
      </c>
      <c r="G1082" s="6">
        <v>250.0</v>
      </c>
      <c r="H1082" s="6">
        <v>250.0</v>
      </c>
      <c r="I1082" s="6">
        <v>71.25</v>
      </c>
      <c r="J1082" s="10" t="s">
        <v>154</v>
      </c>
      <c r="K1082" s="6">
        <v>734.0</v>
      </c>
      <c r="L1082" s="6" t="s">
        <v>4551</v>
      </c>
      <c r="M1082" s="6" t="s">
        <v>2230</v>
      </c>
    </row>
    <row r="1083" ht="22.5" customHeight="1">
      <c r="A1083" s="14">
        <v>46106.960348402776</v>
      </c>
      <c r="B1083" s="6" t="s">
        <v>2282</v>
      </c>
      <c r="C1083" s="10" t="s">
        <v>144</v>
      </c>
      <c r="D1083" s="13">
        <v>1.0</v>
      </c>
      <c r="E1083" s="13">
        <v>140.0</v>
      </c>
      <c r="F1083" s="13">
        <v>175.0</v>
      </c>
      <c r="G1083" s="6">
        <v>175.0</v>
      </c>
      <c r="H1083" s="6">
        <v>175.0</v>
      </c>
      <c r="I1083" s="6">
        <v>35.0</v>
      </c>
      <c r="J1083" s="10" t="s">
        <v>620</v>
      </c>
      <c r="K1083" s="6">
        <v>225.0</v>
      </c>
      <c r="L1083" s="6" t="s">
        <v>4552</v>
      </c>
      <c r="M1083" s="6" t="s">
        <v>2230</v>
      </c>
    </row>
    <row r="1084" ht="22.5" customHeight="1">
      <c r="A1084" s="14">
        <v>46106.960345300926</v>
      </c>
      <c r="B1084" s="6" t="s">
        <v>2282</v>
      </c>
      <c r="C1084" s="10" t="s">
        <v>144</v>
      </c>
      <c r="D1084" s="13">
        <v>2.0</v>
      </c>
      <c r="E1084" s="13">
        <v>140.0</v>
      </c>
      <c r="F1084" s="13">
        <v>175.0</v>
      </c>
      <c r="G1084" s="6">
        <v>174.88</v>
      </c>
      <c r="H1084" s="6">
        <v>349.76</v>
      </c>
      <c r="I1084" s="6">
        <v>69.76</v>
      </c>
      <c r="J1084" s="10" t="s">
        <v>620</v>
      </c>
      <c r="K1084" s="6">
        <v>203.0</v>
      </c>
      <c r="L1084" s="6" t="s">
        <v>4554</v>
      </c>
      <c r="M1084" s="6" t="s">
        <v>2230</v>
      </c>
    </row>
    <row r="1085" ht="22.5" customHeight="1">
      <c r="A1085" s="14">
        <v>46106.96034398148</v>
      </c>
      <c r="B1085" s="6" t="s">
        <v>2282</v>
      </c>
      <c r="C1085" s="10" t="s">
        <v>144</v>
      </c>
      <c r="D1085" s="13">
        <v>1.0</v>
      </c>
      <c r="E1085" s="13">
        <v>140.0</v>
      </c>
      <c r="F1085" s="13">
        <v>175.0</v>
      </c>
      <c r="G1085" s="6">
        <v>174.91</v>
      </c>
      <c r="H1085" s="6">
        <v>174.91</v>
      </c>
      <c r="I1085" s="6">
        <v>34.91</v>
      </c>
      <c r="J1085" s="10" t="s">
        <v>620</v>
      </c>
      <c r="K1085" s="6">
        <v>197.0</v>
      </c>
      <c r="L1085" s="6" t="s">
        <v>4555</v>
      </c>
      <c r="M1085" s="6" t="s">
        <v>2230</v>
      </c>
    </row>
    <row r="1086" ht="22.5" customHeight="1">
      <c r="A1086" s="14">
        <v>46106.922104791665</v>
      </c>
      <c r="B1086" s="6" t="s">
        <v>2282</v>
      </c>
      <c r="C1086" s="10" t="s">
        <v>1029</v>
      </c>
      <c r="D1086" s="13">
        <v>2.0</v>
      </c>
      <c r="E1086" s="13">
        <v>56.666666666666664</v>
      </c>
      <c r="F1086" s="13">
        <v>100.0</v>
      </c>
      <c r="G1086" s="6">
        <v>100.0</v>
      </c>
      <c r="H1086" s="6">
        <v>200.0</v>
      </c>
      <c r="I1086" s="6">
        <v>86.67</v>
      </c>
      <c r="J1086" s="6" t="s">
        <v>54</v>
      </c>
      <c r="K1086" s="6">
        <v>729.0</v>
      </c>
      <c r="L1086" s="6" t="s">
        <v>4556</v>
      </c>
      <c r="M1086" s="6" t="s">
        <v>2230</v>
      </c>
    </row>
    <row r="1087" ht="22.5" customHeight="1">
      <c r="A1087" s="14">
        <v>46106.92210447916</v>
      </c>
      <c r="B1087" s="6" t="s">
        <v>2282</v>
      </c>
      <c r="C1087" s="10" t="s">
        <v>812</v>
      </c>
      <c r="D1087" s="13">
        <v>4.0</v>
      </c>
      <c r="E1087" s="13">
        <v>15.0</v>
      </c>
      <c r="F1087" s="13">
        <v>25.0</v>
      </c>
      <c r="G1087" s="6">
        <v>25.0</v>
      </c>
      <c r="H1087" s="6">
        <v>100.0</v>
      </c>
      <c r="I1087" s="6">
        <v>40.0</v>
      </c>
      <c r="J1087" s="10" t="s">
        <v>154</v>
      </c>
      <c r="K1087" s="6">
        <v>721.0</v>
      </c>
      <c r="L1087" s="6" t="s">
        <v>4557</v>
      </c>
      <c r="M1087" s="6" t="s">
        <v>2230</v>
      </c>
    </row>
    <row r="1088" ht="22.5" customHeight="1">
      <c r="A1088" s="14">
        <v>46106.92210418981</v>
      </c>
      <c r="B1088" s="6" t="s">
        <v>2282</v>
      </c>
      <c r="C1088" s="10" t="s">
        <v>800</v>
      </c>
      <c r="D1088" s="13">
        <v>1.0</v>
      </c>
      <c r="E1088" s="13">
        <v>11.25</v>
      </c>
      <c r="F1088" s="13">
        <v>10.0</v>
      </c>
      <c r="G1088" s="6">
        <v>10.0</v>
      </c>
      <c r="H1088" s="6">
        <v>10.0</v>
      </c>
      <c r="I1088" s="6">
        <v>-1.25</v>
      </c>
      <c r="J1088" s="10" t="s">
        <v>119</v>
      </c>
      <c r="K1088" s="6">
        <v>717.0</v>
      </c>
      <c r="L1088" s="6" t="s">
        <v>4558</v>
      </c>
      <c r="M1088" s="6" t="s">
        <v>2230</v>
      </c>
    </row>
    <row r="1089" ht="22.5" customHeight="1">
      <c r="A1089" s="14">
        <v>46106.918886631945</v>
      </c>
      <c r="B1089" s="6" t="s">
        <v>2282</v>
      </c>
      <c r="C1089" s="10" t="s">
        <v>572</v>
      </c>
      <c r="D1089" s="13">
        <v>1.0</v>
      </c>
      <c r="E1089" s="13">
        <v>4.38</v>
      </c>
      <c r="F1089" s="13">
        <v>10.0</v>
      </c>
      <c r="G1089" s="6">
        <v>10.0</v>
      </c>
      <c r="H1089" s="6">
        <v>10.0</v>
      </c>
      <c r="I1089" s="6">
        <v>5.62</v>
      </c>
      <c r="J1089" s="10" t="s">
        <v>119</v>
      </c>
      <c r="K1089" s="6">
        <v>733.0</v>
      </c>
      <c r="L1089" s="6" t="s">
        <v>4559</v>
      </c>
      <c r="M1089" s="6" t="s">
        <v>2230</v>
      </c>
    </row>
    <row r="1090" ht="22.5" customHeight="1">
      <c r="A1090" s="14">
        <v>46106.918886354164</v>
      </c>
      <c r="B1090" s="6" t="s">
        <v>2282</v>
      </c>
      <c r="C1090" s="10" t="s">
        <v>575</v>
      </c>
      <c r="D1090" s="13">
        <v>1.0</v>
      </c>
      <c r="E1090" s="13">
        <v>4.5</v>
      </c>
      <c r="F1090" s="13">
        <v>10.0</v>
      </c>
      <c r="G1090" s="6">
        <v>10.0</v>
      </c>
      <c r="H1090" s="6">
        <v>10.0</v>
      </c>
      <c r="I1090" s="6">
        <v>5.5</v>
      </c>
      <c r="J1090" s="10" t="s">
        <v>119</v>
      </c>
      <c r="K1090" s="6">
        <v>732.0</v>
      </c>
      <c r="L1090" s="6" t="s">
        <v>4560</v>
      </c>
      <c r="M1090" s="6" t="s">
        <v>2230</v>
      </c>
    </row>
    <row r="1091" ht="22.5" customHeight="1">
      <c r="A1091" s="14">
        <v>46106.91888614584</v>
      </c>
      <c r="B1091" s="6" t="s">
        <v>2282</v>
      </c>
      <c r="C1091" s="10" t="s">
        <v>856</v>
      </c>
      <c r="D1091" s="13">
        <v>4.0</v>
      </c>
      <c r="E1091" s="13">
        <v>4.58</v>
      </c>
      <c r="F1091" s="13">
        <v>5.0</v>
      </c>
      <c r="G1091" s="6">
        <v>5.0</v>
      </c>
      <c r="H1091" s="6">
        <v>20.0</v>
      </c>
      <c r="I1091" s="6">
        <v>1.68</v>
      </c>
      <c r="J1091" s="10" t="s">
        <v>119</v>
      </c>
      <c r="K1091" s="6">
        <v>731.0</v>
      </c>
      <c r="L1091" s="6" t="s">
        <v>4561</v>
      </c>
      <c r="M1091" s="6" t="s">
        <v>2230</v>
      </c>
    </row>
    <row r="1092" ht="22.5" customHeight="1">
      <c r="A1092" s="14">
        <v>46106.91888591435</v>
      </c>
      <c r="B1092" s="6" t="s">
        <v>2282</v>
      </c>
      <c r="C1092" s="10" t="s">
        <v>567</v>
      </c>
      <c r="D1092" s="13">
        <v>1.0</v>
      </c>
      <c r="E1092" s="13">
        <v>51.0</v>
      </c>
      <c r="F1092" s="13">
        <v>60.0</v>
      </c>
      <c r="G1092" s="6">
        <v>60.0</v>
      </c>
      <c r="H1092" s="6">
        <v>60.0</v>
      </c>
      <c r="I1092" s="6">
        <v>9.0</v>
      </c>
      <c r="J1092" s="10" t="s">
        <v>119</v>
      </c>
      <c r="K1092" s="6">
        <v>730.0</v>
      </c>
      <c r="L1092" s="6" t="s">
        <v>4562</v>
      </c>
      <c r="M1092" s="6" t="s">
        <v>2230</v>
      </c>
    </row>
    <row r="1093" ht="22.5" customHeight="1">
      <c r="A1093" s="14">
        <v>46106.918885625</v>
      </c>
      <c r="B1093" s="6" t="s">
        <v>2282</v>
      </c>
      <c r="C1093" s="10" t="s">
        <v>165</v>
      </c>
      <c r="D1093" s="13">
        <v>1.0</v>
      </c>
      <c r="E1093" s="13">
        <v>89.07</v>
      </c>
      <c r="F1093" s="13">
        <v>130.0</v>
      </c>
      <c r="G1093" s="6">
        <v>130.0</v>
      </c>
      <c r="H1093" s="6">
        <v>130.0</v>
      </c>
      <c r="I1093" s="6">
        <v>40.93</v>
      </c>
      <c r="J1093" s="10" t="s">
        <v>31</v>
      </c>
      <c r="K1093" s="6">
        <v>728.0</v>
      </c>
      <c r="L1093" s="6" t="s">
        <v>4563</v>
      </c>
      <c r="M1093" s="6" t="s">
        <v>2230</v>
      </c>
    </row>
    <row r="1094" ht="22.5" customHeight="1">
      <c r="A1094" s="14">
        <v>46106.918885335646</v>
      </c>
      <c r="B1094" s="6" t="s">
        <v>2282</v>
      </c>
      <c r="C1094" s="10" t="s">
        <v>83</v>
      </c>
      <c r="D1094" s="13">
        <v>1.0</v>
      </c>
      <c r="E1094" s="13">
        <v>175.0</v>
      </c>
      <c r="F1094" s="13">
        <v>220.0</v>
      </c>
      <c r="G1094" s="6">
        <v>220.0</v>
      </c>
      <c r="H1094" s="6">
        <v>220.0</v>
      </c>
      <c r="I1094" s="6">
        <v>45.0</v>
      </c>
      <c r="J1094" s="10" t="s">
        <v>31</v>
      </c>
      <c r="K1094" s="6">
        <v>727.0</v>
      </c>
      <c r="L1094" s="6" t="s">
        <v>4564</v>
      </c>
      <c r="M1094" s="6" t="s">
        <v>2230</v>
      </c>
    </row>
    <row r="1095" ht="22.5" customHeight="1">
      <c r="A1095" s="14">
        <v>46106.91888488426</v>
      </c>
      <c r="B1095" s="6" t="s">
        <v>2282</v>
      </c>
      <c r="C1095" s="10" t="s">
        <v>936</v>
      </c>
      <c r="D1095" s="13">
        <v>1.0</v>
      </c>
      <c r="E1095" s="13">
        <v>28.0</v>
      </c>
      <c r="F1095" s="13">
        <v>50.0</v>
      </c>
      <c r="G1095" s="6">
        <v>50.0</v>
      </c>
      <c r="H1095" s="6">
        <v>50.0</v>
      </c>
      <c r="I1095" s="6">
        <v>22.0</v>
      </c>
      <c r="J1095" s="10"/>
      <c r="K1095" s="6">
        <v>726.0</v>
      </c>
      <c r="L1095" s="6" t="s">
        <v>4565</v>
      </c>
      <c r="M1095" s="6" t="s">
        <v>2230</v>
      </c>
    </row>
    <row r="1096" ht="22.5" customHeight="1">
      <c r="A1096" s="14">
        <v>46106.918884502316</v>
      </c>
      <c r="B1096" s="6" t="s">
        <v>2282</v>
      </c>
      <c r="C1096" s="10" t="s">
        <v>572</v>
      </c>
      <c r="D1096" s="13">
        <v>1.0</v>
      </c>
      <c r="E1096" s="13">
        <v>4.38</v>
      </c>
      <c r="F1096" s="13">
        <v>10.0</v>
      </c>
      <c r="G1096" s="6">
        <v>10.0</v>
      </c>
      <c r="H1096" s="6">
        <v>10.0</v>
      </c>
      <c r="I1096" s="6">
        <v>5.62</v>
      </c>
      <c r="J1096" s="10" t="s">
        <v>119</v>
      </c>
      <c r="K1096" s="6">
        <v>725.0</v>
      </c>
      <c r="L1096" s="6" t="s">
        <v>4566</v>
      </c>
      <c r="M1096" s="6" t="s">
        <v>2230</v>
      </c>
    </row>
    <row r="1097" ht="22.5" customHeight="1">
      <c r="A1097" s="14">
        <v>46106.91888409722</v>
      </c>
      <c r="B1097" s="6" t="s">
        <v>2282</v>
      </c>
      <c r="C1097" s="10" t="s">
        <v>248</v>
      </c>
      <c r="D1097" s="13">
        <v>1.0</v>
      </c>
      <c r="E1097" s="13">
        <v>100.0</v>
      </c>
      <c r="F1097" s="13">
        <v>180.0</v>
      </c>
      <c r="G1097" s="6">
        <v>180.0</v>
      </c>
      <c r="H1097" s="6">
        <v>180.0</v>
      </c>
      <c r="I1097" s="6">
        <v>80.0</v>
      </c>
      <c r="J1097" s="10" t="s">
        <v>154</v>
      </c>
      <c r="K1097" s="6">
        <v>724.0</v>
      </c>
      <c r="L1097" s="6" t="s">
        <v>4567</v>
      </c>
      <c r="M1097" s="6" t="s">
        <v>2230</v>
      </c>
    </row>
    <row r="1098" ht="22.5" customHeight="1">
      <c r="A1098" s="14">
        <v>46106.91888375</v>
      </c>
      <c r="B1098" s="6" t="s">
        <v>2282</v>
      </c>
      <c r="C1098" s="10" t="s">
        <v>250</v>
      </c>
      <c r="D1098" s="13">
        <v>1.0</v>
      </c>
      <c r="E1098" s="13">
        <v>145.0</v>
      </c>
      <c r="F1098" s="13">
        <v>200.0</v>
      </c>
      <c r="G1098" s="6">
        <v>200.0</v>
      </c>
      <c r="H1098" s="6">
        <v>200.0</v>
      </c>
      <c r="I1098" s="6">
        <v>55.0</v>
      </c>
      <c r="J1098" s="10" t="s">
        <v>31</v>
      </c>
      <c r="K1098" s="6">
        <v>723.0</v>
      </c>
      <c r="L1098" s="6" t="s">
        <v>4568</v>
      </c>
      <c r="M1098" s="6" t="s">
        <v>2230</v>
      </c>
    </row>
    <row r="1099" ht="22.5" customHeight="1">
      <c r="A1099" s="14">
        <v>46106.91888333333</v>
      </c>
      <c r="B1099" s="6" t="s">
        <v>2282</v>
      </c>
      <c r="C1099" s="10" t="s">
        <v>255</v>
      </c>
      <c r="D1099" s="13">
        <v>1.0</v>
      </c>
      <c r="E1099" s="13">
        <v>35.0</v>
      </c>
      <c r="F1099" s="13">
        <v>50.0</v>
      </c>
      <c r="G1099" s="6">
        <v>50.0</v>
      </c>
      <c r="H1099" s="6">
        <v>50.0</v>
      </c>
      <c r="I1099" s="6">
        <v>15.0</v>
      </c>
      <c r="J1099" s="10" t="s">
        <v>31</v>
      </c>
      <c r="K1099" s="6">
        <v>722.0</v>
      </c>
      <c r="L1099" s="6" t="s">
        <v>4569</v>
      </c>
      <c r="M1099" s="6" t="s">
        <v>2230</v>
      </c>
    </row>
    <row r="1100" ht="22.5" customHeight="1">
      <c r="A1100" s="14">
        <v>46106.918882893515</v>
      </c>
      <c r="B1100" s="6" t="s">
        <v>2282</v>
      </c>
      <c r="C1100" s="10" t="s">
        <v>245</v>
      </c>
      <c r="D1100" s="13">
        <v>1.0</v>
      </c>
      <c r="E1100" s="13">
        <v>150.0</v>
      </c>
      <c r="F1100" s="13">
        <v>200.0</v>
      </c>
      <c r="G1100" s="6">
        <v>200.0</v>
      </c>
      <c r="H1100" s="6">
        <v>200.0</v>
      </c>
      <c r="I1100" s="6">
        <v>50.0</v>
      </c>
      <c r="J1100" s="10" t="s">
        <v>154</v>
      </c>
      <c r="K1100" s="6">
        <v>720.0</v>
      </c>
      <c r="L1100" s="6" t="s">
        <v>4570</v>
      </c>
      <c r="M1100" s="6" t="s">
        <v>2230</v>
      </c>
    </row>
    <row r="1101" ht="22.5" customHeight="1">
      <c r="A1101" s="14">
        <v>46106.91888253472</v>
      </c>
      <c r="B1101" s="6" t="s">
        <v>2282</v>
      </c>
      <c r="C1101" s="10" t="s">
        <v>802</v>
      </c>
      <c r="D1101" s="13">
        <v>0.2</v>
      </c>
      <c r="E1101" s="13">
        <v>53.33</v>
      </c>
      <c r="F1101" s="13">
        <v>75.0</v>
      </c>
      <c r="G1101" s="6">
        <v>75.0</v>
      </c>
      <c r="H1101" s="6">
        <v>15.0</v>
      </c>
      <c r="I1101" s="6">
        <v>4.33</v>
      </c>
      <c r="J1101" s="10"/>
      <c r="K1101" s="6">
        <v>719.0</v>
      </c>
      <c r="L1101" s="6" t="s">
        <v>4571</v>
      </c>
      <c r="M1101" s="6" t="s">
        <v>2230</v>
      </c>
    </row>
    <row r="1102" ht="22.5" customHeight="1">
      <c r="A1102" s="14">
        <v>46106.91888216435</v>
      </c>
      <c r="B1102" s="6" t="s">
        <v>2282</v>
      </c>
      <c r="C1102" s="10" t="s">
        <v>768</v>
      </c>
      <c r="D1102" s="13">
        <v>1.0</v>
      </c>
      <c r="E1102" s="13">
        <v>30.0</v>
      </c>
      <c r="F1102" s="13">
        <v>85.0</v>
      </c>
      <c r="G1102" s="6">
        <v>85.0</v>
      </c>
      <c r="H1102" s="6">
        <v>85.0</v>
      </c>
      <c r="I1102" s="6">
        <v>55.0</v>
      </c>
      <c r="J1102" s="10" t="s">
        <v>31</v>
      </c>
      <c r="K1102" s="6">
        <v>718.0</v>
      </c>
      <c r="L1102" s="6" t="s">
        <v>4572</v>
      </c>
      <c r="M1102" s="6" t="s">
        <v>2230</v>
      </c>
    </row>
    <row r="1103" ht="22.5" customHeight="1">
      <c r="A1103" s="14">
        <v>46106.91888175926</v>
      </c>
      <c r="B1103" s="6" t="s">
        <v>2282</v>
      </c>
      <c r="C1103" s="10" t="s">
        <v>700</v>
      </c>
      <c r="D1103" s="13">
        <v>1.0</v>
      </c>
      <c r="E1103" s="13">
        <v>159.0</v>
      </c>
      <c r="F1103" s="13">
        <v>185.0</v>
      </c>
      <c r="G1103" s="6">
        <v>185.0</v>
      </c>
      <c r="H1103" s="6">
        <v>185.0</v>
      </c>
      <c r="I1103" s="6">
        <v>26.0</v>
      </c>
      <c r="J1103" s="10" t="s">
        <v>119</v>
      </c>
      <c r="K1103" s="6">
        <v>716.0</v>
      </c>
      <c r="L1103" s="6" t="s">
        <v>4573</v>
      </c>
      <c r="M1103" s="6" t="s">
        <v>2230</v>
      </c>
    </row>
    <row r="1104" ht="22.5" customHeight="1">
      <c r="A1104" s="14">
        <v>46106.91888149305</v>
      </c>
      <c r="B1104" s="6" t="s">
        <v>2282</v>
      </c>
      <c r="C1104" s="10" t="s">
        <v>554</v>
      </c>
      <c r="D1104" s="13">
        <v>2.0</v>
      </c>
      <c r="E1104" s="13">
        <v>23.22222222222222</v>
      </c>
      <c r="F1104" s="13">
        <v>40.0</v>
      </c>
      <c r="G1104" s="6">
        <v>40.0</v>
      </c>
      <c r="H1104" s="6">
        <v>80.0</v>
      </c>
      <c r="I1104" s="6">
        <v>33.56</v>
      </c>
      <c r="J1104" s="6" t="s">
        <v>54</v>
      </c>
      <c r="K1104" s="6">
        <v>715.0</v>
      </c>
      <c r="L1104" s="6" t="s">
        <v>4574</v>
      </c>
      <c r="M1104" s="6" t="s">
        <v>2230</v>
      </c>
    </row>
    <row r="1105" ht="22.5" customHeight="1">
      <c r="A1105" s="14">
        <v>46106.9188812037</v>
      </c>
      <c r="B1105" s="6" t="s">
        <v>2282</v>
      </c>
      <c r="C1105" s="10" t="s">
        <v>559</v>
      </c>
      <c r="D1105" s="13">
        <v>3.0</v>
      </c>
      <c r="E1105" s="13">
        <v>32.333333333333336</v>
      </c>
      <c r="F1105" s="13">
        <v>45.0</v>
      </c>
      <c r="G1105" s="6">
        <v>45.0</v>
      </c>
      <c r="H1105" s="6">
        <v>135.0</v>
      </c>
      <c r="I1105" s="6">
        <v>38.0</v>
      </c>
      <c r="J1105" s="6" t="s">
        <v>54</v>
      </c>
      <c r="K1105" s="6">
        <v>714.0</v>
      </c>
      <c r="L1105" s="6" t="s">
        <v>4575</v>
      </c>
      <c r="M1105" s="6" t="s">
        <v>2230</v>
      </c>
    </row>
    <row r="1106" ht="22.5" customHeight="1">
      <c r="A1106" s="14">
        <v>46106.91888081019</v>
      </c>
      <c r="B1106" s="6" t="s">
        <v>2282</v>
      </c>
      <c r="C1106" s="10" t="s">
        <v>1014</v>
      </c>
      <c r="D1106" s="13">
        <v>1.0</v>
      </c>
      <c r="E1106" s="13">
        <v>50.0</v>
      </c>
      <c r="F1106" s="13">
        <v>80.0</v>
      </c>
      <c r="G1106" s="6">
        <v>80.0</v>
      </c>
      <c r="H1106" s="6">
        <v>80.0</v>
      </c>
      <c r="I1106" s="6">
        <v>30.0</v>
      </c>
      <c r="J1106" s="10" t="s">
        <v>119</v>
      </c>
      <c r="K1106" s="6">
        <v>713.0</v>
      </c>
      <c r="L1106" s="6" t="s">
        <v>4576</v>
      </c>
      <c r="M1106" s="6" t="s">
        <v>2230</v>
      </c>
    </row>
    <row r="1107" ht="22.5" customHeight="1">
      <c r="A1107" s="14">
        <v>46106.91888049769</v>
      </c>
      <c r="B1107" s="6" t="s">
        <v>2282</v>
      </c>
      <c r="C1107" s="10" t="s">
        <v>268</v>
      </c>
      <c r="D1107" s="13">
        <v>1.0</v>
      </c>
      <c r="E1107" s="13">
        <v>178.75</v>
      </c>
      <c r="F1107" s="13">
        <v>225.0</v>
      </c>
      <c r="G1107" s="6">
        <v>225.0</v>
      </c>
      <c r="H1107" s="6">
        <v>225.0</v>
      </c>
      <c r="I1107" s="6">
        <v>46.25</v>
      </c>
      <c r="J1107" s="10" t="s">
        <v>154</v>
      </c>
      <c r="K1107" s="6">
        <v>712.0</v>
      </c>
      <c r="L1107" s="6" t="s">
        <v>4577</v>
      </c>
      <c r="M1107" s="6" t="s">
        <v>2230</v>
      </c>
    </row>
    <row r="1108" ht="22.5" customHeight="1">
      <c r="A1108" s="14">
        <v>46106.91888023148</v>
      </c>
      <c r="B1108" s="6" t="s">
        <v>2282</v>
      </c>
      <c r="C1108" s="10" t="s">
        <v>255</v>
      </c>
      <c r="D1108" s="13">
        <v>1.0</v>
      </c>
      <c r="E1108" s="13">
        <v>35.0</v>
      </c>
      <c r="F1108" s="13">
        <v>50.0</v>
      </c>
      <c r="G1108" s="6">
        <v>50.0</v>
      </c>
      <c r="H1108" s="6">
        <v>50.0</v>
      </c>
      <c r="I1108" s="6">
        <v>15.0</v>
      </c>
      <c r="J1108" s="10" t="s">
        <v>31</v>
      </c>
      <c r="K1108" s="6">
        <v>711.0</v>
      </c>
      <c r="L1108" s="6" t="s">
        <v>4579</v>
      </c>
      <c r="M1108" s="6" t="s">
        <v>2230</v>
      </c>
    </row>
    <row r="1109" ht="22.5" customHeight="1">
      <c r="A1109" s="14">
        <v>46106.91887987268</v>
      </c>
      <c r="B1109" s="6" t="s">
        <v>2282</v>
      </c>
      <c r="C1109" s="10" t="s">
        <v>1011</v>
      </c>
      <c r="D1109" s="13">
        <v>1.0</v>
      </c>
      <c r="E1109" s="13">
        <v>65.0</v>
      </c>
      <c r="F1109" s="13">
        <v>100.0</v>
      </c>
      <c r="G1109" s="6">
        <v>100.0</v>
      </c>
      <c r="H1109" s="6">
        <v>100.0</v>
      </c>
      <c r="I1109" s="6">
        <v>35.0</v>
      </c>
      <c r="J1109" s="10" t="s">
        <v>51</v>
      </c>
      <c r="K1109" s="6">
        <v>710.0</v>
      </c>
      <c r="L1109" s="6" t="s">
        <v>4581</v>
      </c>
      <c r="M1109" s="6" t="s">
        <v>2230</v>
      </c>
    </row>
    <row r="1110" ht="22.5" customHeight="1">
      <c r="A1110" s="14">
        <v>46106.918879537036</v>
      </c>
      <c r="B1110" s="6" t="s">
        <v>2282</v>
      </c>
      <c r="C1110" s="10" t="s">
        <v>248</v>
      </c>
      <c r="D1110" s="13">
        <v>1.0</v>
      </c>
      <c r="E1110" s="13">
        <v>100.0</v>
      </c>
      <c r="F1110" s="13">
        <v>150.0</v>
      </c>
      <c r="G1110" s="6">
        <v>150.0</v>
      </c>
      <c r="H1110" s="6">
        <v>150.0</v>
      </c>
      <c r="I1110" s="6">
        <v>50.0</v>
      </c>
      <c r="J1110" s="10" t="s">
        <v>154</v>
      </c>
      <c r="K1110" s="6">
        <v>709.0</v>
      </c>
      <c r="L1110" s="6" t="s">
        <v>4582</v>
      </c>
      <c r="M1110" s="6" t="s">
        <v>2230</v>
      </c>
    </row>
    <row r="1111" ht="22.5" customHeight="1">
      <c r="A1111" s="14">
        <v>46106.91887925926</v>
      </c>
      <c r="B1111" s="6" t="s">
        <v>2282</v>
      </c>
      <c r="C1111" s="10" t="s">
        <v>71</v>
      </c>
      <c r="D1111" s="13">
        <v>1.0</v>
      </c>
      <c r="E1111" s="13">
        <v>330.0</v>
      </c>
      <c r="F1111" s="13">
        <v>450.0</v>
      </c>
      <c r="G1111" s="6">
        <v>450.0</v>
      </c>
      <c r="H1111" s="6">
        <v>450.0</v>
      </c>
      <c r="I1111" s="6">
        <v>120.0</v>
      </c>
      <c r="J1111" s="6" t="s">
        <v>54</v>
      </c>
      <c r="K1111" s="6">
        <v>708.0</v>
      </c>
      <c r="L1111" s="6" t="s">
        <v>4583</v>
      </c>
      <c r="M1111" s="6" t="s">
        <v>2230</v>
      </c>
    </row>
    <row r="1112" ht="22.5" customHeight="1">
      <c r="A1112" s="14">
        <v>46096.00300762731</v>
      </c>
      <c r="B1112" s="6" t="s">
        <v>2282</v>
      </c>
      <c r="C1112" s="10" t="s">
        <v>245</v>
      </c>
      <c r="D1112" s="13">
        <v>1.0</v>
      </c>
      <c r="E1112" s="13">
        <v>150.0</v>
      </c>
      <c r="F1112" s="13">
        <v>190.0</v>
      </c>
      <c r="G1112" s="6">
        <v>190.0</v>
      </c>
      <c r="H1112" s="6">
        <v>190.0</v>
      </c>
      <c r="I1112" s="6">
        <v>40.0</v>
      </c>
      <c r="J1112" s="10" t="s">
        <v>154</v>
      </c>
      <c r="K1112" s="6">
        <v>674.0</v>
      </c>
      <c r="L1112" s="6" t="s">
        <v>4584</v>
      </c>
      <c r="M1112" s="6" t="s">
        <v>2230</v>
      </c>
    </row>
    <row r="1113" ht="22.5" customHeight="1">
      <c r="A1113" s="14">
        <v>46096.00172237269</v>
      </c>
      <c r="B1113" s="6" t="s">
        <v>2282</v>
      </c>
      <c r="C1113" s="10" t="s">
        <v>645</v>
      </c>
      <c r="D1113" s="13">
        <v>1.0</v>
      </c>
      <c r="E1113" s="13">
        <v>17.0</v>
      </c>
      <c r="F1113" s="13">
        <v>25.0</v>
      </c>
      <c r="G1113" s="6">
        <v>25.0</v>
      </c>
      <c r="H1113" s="6">
        <v>25.0</v>
      </c>
      <c r="I1113" s="6">
        <v>8.0</v>
      </c>
      <c r="J1113" s="10" t="s">
        <v>1052</v>
      </c>
      <c r="K1113" s="6">
        <v>707.0</v>
      </c>
      <c r="L1113" s="6" t="s">
        <v>4585</v>
      </c>
      <c r="M1113" s="6" t="s">
        <v>2230</v>
      </c>
    </row>
    <row r="1114" ht="22.5" customHeight="1">
      <c r="A1114" s="14">
        <v>46096.001722037036</v>
      </c>
      <c r="B1114" s="6" t="s">
        <v>2282</v>
      </c>
      <c r="C1114" s="10" t="s">
        <v>29</v>
      </c>
      <c r="D1114" s="13">
        <v>2.0</v>
      </c>
      <c r="E1114" s="13">
        <v>103.75</v>
      </c>
      <c r="F1114" s="13">
        <v>235.0</v>
      </c>
      <c r="G1114" s="6">
        <v>235.0</v>
      </c>
      <c r="H1114" s="6">
        <v>470.0</v>
      </c>
      <c r="I1114" s="6">
        <v>262.5</v>
      </c>
      <c r="J1114" s="6" t="s">
        <v>54</v>
      </c>
      <c r="K1114" s="6">
        <v>706.0</v>
      </c>
      <c r="L1114" s="6" t="s">
        <v>4586</v>
      </c>
      <c r="M1114" s="6" t="s">
        <v>2230</v>
      </c>
    </row>
    <row r="1115" ht="22.5" customHeight="1">
      <c r="A1115" s="14">
        <v>46096.00172164352</v>
      </c>
      <c r="B1115" s="6" t="s">
        <v>2282</v>
      </c>
      <c r="C1115" s="10" t="s">
        <v>733</v>
      </c>
      <c r="D1115" s="13">
        <v>3.0</v>
      </c>
      <c r="E1115" s="13">
        <v>26.0</v>
      </c>
      <c r="F1115" s="13">
        <v>40.0</v>
      </c>
      <c r="G1115" s="6">
        <v>40.0</v>
      </c>
      <c r="H1115" s="6">
        <v>120.0</v>
      </c>
      <c r="I1115" s="6">
        <v>42.0</v>
      </c>
      <c r="J1115" s="10" t="s">
        <v>1052</v>
      </c>
      <c r="K1115" s="6">
        <v>705.0</v>
      </c>
      <c r="L1115" s="6" t="s">
        <v>4587</v>
      </c>
      <c r="M1115" s="6" t="s">
        <v>2230</v>
      </c>
    </row>
    <row r="1116" ht="22.5" customHeight="1">
      <c r="A1116" s="14">
        <v>46096.0017212963</v>
      </c>
      <c r="B1116" s="6" t="s">
        <v>2282</v>
      </c>
      <c r="C1116" s="10" t="s">
        <v>724</v>
      </c>
      <c r="D1116" s="13">
        <v>1.0</v>
      </c>
      <c r="E1116" s="13">
        <v>35.0</v>
      </c>
      <c r="F1116" s="13">
        <v>50.0</v>
      </c>
      <c r="G1116" s="6">
        <v>50.0</v>
      </c>
      <c r="H1116" s="6">
        <v>50.0</v>
      </c>
      <c r="I1116" s="6">
        <v>15.0</v>
      </c>
      <c r="J1116" s="10" t="s">
        <v>1052</v>
      </c>
      <c r="K1116" s="6">
        <v>704.0</v>
      </c>
      <c r="L1116" s="6" t="s">
        <v>4588</v>
      </c>
      <c r="M1116" s="6" t="s">
        <v>2230</v>
      </c>
    </row>
    <row r="1117" ht="22.5" customHeight="1">
      <c r="A1117" s="14">
        <v>46095.93637196759</v>
      </c>
      <c r="B1117" s="6" t="s">
        <v>2282</v>
      </c>
      <c r="C1117" s="10" t="s">
        <v>1004</v>
      </c>
      <c r="D1117" s="13">
        <v>1.0</v>
      </c>
      <c r="E1117" s="13">
        <v>65.0</v>
      </c>
      <c r="F1117" s="13">
        <v>80.0</v>
      </c>
      <c r="G1117" s="6">
        <v>80.0</v>
      </c>
      <c r="H1117" s="6">
        <v>80.0</v>
      </c>
      <c r="I1117" s="6">
        <v>15.0</v>
      </c>
      <c r="J1117" s="10" t="s">
        <v>154</v>
      </c>
      <c r="K1117" s="6">
        <v>702.0</v>
      </c>
      <c r="L1117" s="6" t="s">
        <v>4589</v>
      </c>
      <c r="M1117" s="6" t="s">
        <v>2230</v>
      </c>
    </row>
    <row r="1118" ht="22.5" customHeight="1">
      <c r="A1118" s="14">
        <v>46095.93637167824</v>
      </c>
      <c r="B1118" s="6" t="s">
        <v>2282</v>
      </c>
      <c r="C1118" s="10" t="s">
        <v>255</v>
      </c>
      <c r="D1118" s="13">
        <v>1.0</v>
      </c>
      <c r="E1118" s="13">
        <v>35.0</v>
      </c>
      <c r="F1118" s="13">
        <v>50.0</v>
      </c>
      <c r="G1118" s="6">
        <v>50.0</v>
      </c>
      <c r="H1118" s="6">
        <v>50.0</v>
      </c>
      <c r="I1118" s="6">
        <v>15.0</v>
      </c>
      <c r="J1118" s="10" t="s">
        <v>31</v>
      </c>
      <c r="K1118" s="6">
        <v>701.0</v>
      </c>
      <c r="L1118" s="6" t="s">
        <v>4590</v>
      </c>
      <c r="M1118" s="6" t="s">
        <v>2230</v>
      </c>
    </row>
    <row r="1119" ht="22.5" customHeight="1">
      <c r="A1119" s="14">
        <v>46095.93637142361</v>
      </c>
      <c r="B1119" s="6" t="s">
        <v>2282</v>
      </c>
      <c r="C1119" s="10" t="s">
        <v>220</v>
      </c>
      <c r="D1119" s="13">
        <v>1.0</v>
      </c>
      <c r="E1119" s="13">
        <v>85.0</v>
      </c>
      <c r="F1119" s="13">
        <v>110.0</v>
      </c>
      <c r="G1119" s="6">
        <v>110.0</v>
      </c>
      <c r="H1119" s="6">
        <v>110.0</v>
      </c>
      <c r="I1119" s="6">
        <v>25.0</v>
      </c>
      <c r="J1119" s="10" t="s">
        <v>51</v>
      </c>
      <c r="K1119" s="6">
        <v>700.0</v>
      </c>
      <c r="L1119" s="6" t="s">
        <v>4591</v>
      </c>
      <c r="M1119" s="6" t="s">
        <v>2230</v>
      </c>
    </row>
    <row r="1120" ht="22.5" customHeight="1">
      <c r="A1120" s="14">
        <v>46095.93637111111</v>
      </c>
      <c r="B1120" s="6" t="s">
        <v>2282</v>
      </c>
      <c r="C1120" s="10" t="s">
        <v>858</v>
      </c>
      <c r="D1120" s="13">
        <v>2.0</v>
      </c>
      <c r="E1120" s="13">
        <v>10.845238095238095</v>
      </c>
      <c r="F1120" s="13">
        <v>25.0</v>
      </c>
      <c r="G1120" s="6">
        <v>25.0</v>
      </c>
      <c r="H1120" s="6">
        <v>50.0</v>
      </c>
      <c r="I1120" s="6">
        <v>28.31</v>
      </c>
      <c r="J1120" s="6" t="s">
        <v>54</v>
      </c>
      <c r="K1120" s="6">
        <v>699.0</v>
      </c>
      <c r="L1120" s="6" t="s">
        <v>4592</v>
      </c>
      <c r="M1120" s="6" t="s">
        <v>2230</v>
      </c>
    </row>
    <row r="1121" ht="22.5" customHeight="1">
      <c r="A1121" s="14">
        <v>46095.936370787036</v>
      </c>
      <c r="B1121" s="6" t="s">
        <v>2282</v>
      </c>
      <c r="C1121" s="10" t="s">
        <v>545</v>
      </c>
      <c r="D1121" s="13">
        <v>2.0</v>
      </c>
      <c r="E1121" s="13">
        <v>85.0</v>
      </c>
      <c r="F1121" s="13">
        <v>100.0</v>
      </c>
      <c r="G1121" s="6">
        <v>100.0</v>
      </c>
      <c r="H1121" s="6">
        <v>200.0</v>
      </c>
      <c r="I1121" s="6">
        <v>30.0</v>
      </c>
      <c r="J1121" s="10" t="s">
        <v>914</v>
      </c>
      <c r="K1121" s="6">
        <v>698.0</v>
      </c>
      <c r="L1121" s="6" t="s">
        <v>4593</v>
      </c>
      <c r="M1121" s="6" t="s">
        <v>2230</v>
      </c>
    </row>
    <row r="1122" ht="22.5" customHeight="1">
      <c r="A1122" s="14">
        <v>46095.93637052084</v>
      </c>
      <c r="B1122" s="6" t="s">
        <v>2282</v>
      </c>
      <c r="C1122" s="10" t="s">
        <v>133</v>
      </c>
      <c r="D1122" s="13">
        <v>1.0</v>
      </c>
      <c r="E1122" s="13">
        <v>135.0</v>
      </c>
      <c r="F1122" s="13">
        <v>135.0</v>
      </c>
      <c r="G1122" s="6">
        <v>135.0</v>
      </c>
      <c r="H1122" s="6">
        <v>135.0</v>
      </c>
      <c r="I1122" s="6">
        <v>0.0</v>
      </c>
      <c r="J1122" s="10" t="s">
        <v>31</v>
      </c>
      <c r="K1122" s="6">
        <v>697.0</v>
      </c>
      <c r="L1122" s="6" t="s">
        <v>4594</v>
      </c>
      <c r="M1122" s="6" t="s">
        <v>2230</v>
      </c>
    </row>
    <row r="1123" ht="22.5" customHeight="1">
      <c r="A1123" s="14">
        <v>46095.93637023148</v>
      </c>
      <c r="B1123" s="6" t="s">
        <v>2282</v>
      </c>
      <c r="C1123" s="10" t="s">
        <v>98</v>
      </c>
      <c r="D1123" s="13">
        <v>1.0</v>
      </c>
      <c r="E1123" s="13">
        <v>575.0</v>
      </c>
      <c r="F1123" s="13">
        <v>600.0</v>
      </c>
      <c r="G1123" s="6">
        <v>600.0</v>
      </c>
      <c r="H1123" s="6">
        <v>600.0</v>
      </c>
      <c r="I1123" s="6">
        <v>25.0</v>
      </c>
      <c r="J1123" s="10" t="s">
        <v>31</v>
      </c>
      <c r="K1123" s="6">
        <v>696.0</v>
      </c>
      <c r="L1123" s="6" t="s">
        <v>4595</v>
      </c>
      <c r="M1123" s="6" t="s">
        <v>2230</v>
      </c>
    </row>
    <row r="1124" ht="22.5" customHeight="1">
      <c r="A1124" s="14">
        <v>46095.936369930554</v>
      </c>
      <c r="B1124" s="6" t="s">
        <v>2282</v>
      </c>
      <c r="C1124" s="10" t="s">
        <v>1000</v>
      </c>
      <c r="D1124" s="13">
        <v>2.0</v>
      </c>
      <c r="E1124" s="13">
        <v>10.0</v>
      </c>
      <c r="F1124" s="13">
        <v>10.0</v>
      </c>
      <c r="G1124" s="6">
        <v>10.0</v>
      </c>
      <c r="H1124" s="6">
        <v>20.0</v>
      </c>
      <c r="I1124" s="6">
        <v>0.0</v>
      </c>
      <c r="J1124" s="10" t="s">
        <v>1052</v>
      </c>
      <c r="K1124" s="6">
        <v>695.0</v>
      </c>
      <c r="L1124" s="6" t="s">
        <v>4596</v>
      </c>
      <c r="M1124" s="6" t="s">
        <v>2230</v>
      </c>
    </row>
    <row r="1125" ht="22.5" customHeight="1">
      <c r="A1125" s="14">
        <v>46095.93636961805</v>
      </c>
      <c r="B1125" s="6" t="s">
        <v>2282</v>
      </c>
      <c r="C1125" s="10" t="s">
        <v>133</v>
      </c>
      <c r="D1125" s="13">
        <v>1.0</v>
      </c>
      <c r="E1125" s="13">
        <v>135.0</v>
      </c>
      <c r="F1125" s="13">
        <v>135.0</v>
      </c>
      <c r="G1125" s="6">
        <v>135.0</v>
      </c>
      <c r="H1125" s="6">
        <v>135.0</v>
      </c>
      <c r="I1125" s="6">
        <v>0.0</v>
      </c>
      <c r="J1125" s="10" t="s">
        <v>31</v>
      </c>
      <c r="K1125" s="6">
        <v>694.0</v>
      </c>
      <c r="L1125" s="6" t="s">
        <v>4597</v>
      </c>
      <c r="M1125" s="6" t="s">
        <v>2230</v>
      </c>
    </row>
    <row r="1126" ht="22.5" customHeight="1">
      <c r="A1126" s="14">
        <v>46095.9363693287</v>
      </c>
      <c r="B1126" s="6" t="s">
        <v>2282</v>
      </c>
      <c r="C1126" s="10" t="s">
        <v>102</v>
      </c>
      <c r="D1126" s="13">
        <v>1.0</v>
      </c>
      <c r="E1126" s="13">
        <v>562.5</v>
      </c>
      <c r="F1126" s="13">
        <v>660.0</v>
      </c>
      <c r="G1126" s="6">
        <v>660.0</v>
      </c>
      <c r="H1126" s="6">
        <v>660.0</v>
      </c>
      <c r="I1126" s="6">
        <v>97.5</v>
      </c>
      <c r="J1126" s="10" t="s">
        <v>31</v>
      </c>
      <c r="K1126" s="6">
        <v>693.0</v>
      </c>
      <c r="L1126" s="6" t="s">
        <v>4598</v>
      </c>
      <c r="M1126" s="6" t="s">
        <v>2230</v>
      </c>
    </row>
    <row r="1127" ht="22.5" customHeight="1">
      <c r="A1127" s="14">
        <v>46095.93636907407</v>
      </c>
      <c r="B1127" s="6" t="s">
        <v>2282</v>
      </c>
      <c r="C1127" s="10" t="s">
        <v>48</v>
      </c>
      <c r="D1127" s="13">
        <v>1.0</v>
      </c>
      <c r="E1127" s="13">
        <v>31.5</v>
      </c>
      <c r="F1127" s="13">
        <v>75.0</v>
      </c>
      <c r="G1127" s="6">
        <v>75.0</v>
      </c>
      <c r="H1127" s="6">
        <v>75.0</v>
      </c>
      <c r="I1127" s="6">
        <v>43.5</v>
      </c>
      <c r="J1127" s="10" t="s">
        <v>31</v>
      </c>
      <c r="K1127" s="6">
        <v>692.0</v>
      </c>
      <c r="L1127" s="6" t="s">
        <v>4599</v>
      </c>
      <c r="M1127" s="6" t="s">
        <v>2230</v>
      </c>
    </row>
    <row r="1128" ht="22.5" customHeight="1">
      <c r="A1128" s="14">
        <v>46095.936368807874</v>
      </c>
      <c r="B1128" s="6" t="s">
        <v>2282</v>
      </c>
      <c r="C1128" s="10" t="s">
        <v>177</v>
      </c>
      <c r="D1128" s="13">
        <v>1.0</v>
      </c>
      <c r="E1128" s="13">
        <v>75.0</v>
      </c>
      <c r="F1128" s="13">
        <v>100.0</v>
      </c>
      <c r="G1128" s="6">
        <v>100.0</v>
      </c>
      <c r="H1128" s="6">
        <v>100.0</v>
      </c>
      <c r="I1128" s="6">
        <v>25.0</v>
      </c>
      <c r="J1128" s="10" t="s">
        <v>1052</v>
      </c>
      <c r="K1128" s="6">
        <v>691.0</v>
      </c>
      <c r="L1128" s="6" t="s">
        <v>4600</v>
      </c>
      <c r="M1128" s="6" t="s">
        <v>2230</v>
      </c>
    </row>
    <row r="1129" ht="22.5" customHeight="1">
      <c r="A1129" s="14">
        <v>46095.93636851852</v>
      </c>
      <c r="B1129" s="6" t="s">
        <v>2282</v>
      </c>
      <c r="C1129" s="10" t="s">
        <v>699</v>
      </c>
      <c r="D1129" s="13">
        <v>1.0</v>
      </c>
      <c r="E1129" s="13">
        <v>20.0</v>
      </c>
      <c r="F1129" s="13">
        <v>50.0</v>
      </c>
      <c r="G1129" s="6">
        <v>50.0</v>
      </c>
      <c r="H1129" s="6">
        <v>50.0</v>
      </c>
      <c r="I1129" s="6">
        <v>30.0</v>
      </c>
      <c r="J1129" s="6" t="s">
        <v>54</v>
      </c>
      <c r="K1129" s="6">
        <v>690.0</v>
      </c>
      <c r="L1129" s="6" t="s">
        <v>4601</v>
      </c>
      <c r="M1129" s="6" t="s">
        <v>2230</v>
      </c>
    </row>
    <row r="1130" ht="22.5" customHeight="1">
      <c r="A1130" s="14">
        <v>46095.936368263894</v>
      </c>
      <c r="B1130" s="6" t="s">
        <v>2282</v>
      </c>
      <c r="C1130" s="10" t="s">
        <v>898</v>
      </c>
      <c r="D1130" s="13">
        <v>1.0</v>
      </c>
      <c r="E1130" s="13">
        <v>15.0</v>
      </c>
      <c r="F1130" s="13">
        <v>25.0</v>
      </c>
      <c r="G1130" s="6">
        <v>25.0</v>
      </c>
      <c r="H1130" s="6">
        <v>25.0</v>
      </c>
      <c r="I1130" s="6">
        <v>10.0</v>
      </c>
      <c r="J1130" s="10" t="s">
        <v>154</v>
      </c>
      <c r="K1130" s="6">
        <v>689.0</v>
      </c>
      <c r="L1130" s="6" t="s">
        <v>4602</v>
      </c>
      <c r="M1130" s="6" t="s">
        <v>2230</v>
      </c>
    </row>
    <row r="1131" ht="22.5" customHeight="1">
      <c r="A1131" s="14">
        <v>46095.936368009265</v>
      </c>
      <c r="B1131" s="6" t="s">
        <v>2282</v>
      </c>
      <c r="C1131" s="10" t="s">
        <v>858</v>
      </c>
      <c r="D1131" s="13">
        <v>1.0</v>
      </c>
      <c r="E1131" s="13">
        <v>10.845238095238095</v>
      </c>
      <c r="F1131" s="13">
        <v>25.0</v>
      </c>
      <c r="G1131" s="6">
        <v>25.0</v>
      </c>
      <c r="H1131" s="6">
        <v>25.0</v>
      </c>
      <c r="I1131" s="6">
        <v>14.15</v>
      </c>
      <c r="J1131" s="6" t="s">
        <v>54</v>
      </c>
      <c r="K1131" s="6">
        <v>688.0</v>
      </c>
      <c r="L1131" s="6" t="s">
        <v>4603</v>
      </c>
      <c r="M1131" s="6" t="s">
        <v>2230</v>
      </c>
    </row>
    <row r="1132" ht="22.5" customHeight="1">
      <c r="A1132" s="14">
        <v>46095.93636774305</v>
      </c>
      <c r="B1132" s="6" t="s">
        <v>2282</v>
      </c>
      <c r="C1132" s="10" t="s">
        <v>733</v>
      </c>
      <c r="D1132" s="13">
        <v>2.0</v>
      </c>
      <c r="E1132" s="13">
        <v>26.0</v>
      </c>
      <c r="F1132" s="13">
        <v>40.0</v>
      </c>
      <c r="G1132" s="6">
        <v>40.0</v>
      </c>
      <c r="H1132" s="6">
        <v>80.0</v>
      </c>
      <c r="I1132" s="6">
        <v>28.0</v>
      </c>
      <c r="J1132" s="10" t="s">
        <v>1052</v>
      </c>
      <c r="K1132" s="6">
        <v>687.0</v>
      </c>
      <c r="L1132" s="6" t="s">
        <v>4604</v>
      </c>
      <c r="M1132" s="6" t="s">
        <v>2230</v>
      </c>
    </row>
    <row r="1133" ht="22.5" customHeight="1">
      <c r="A1133" s="14">
        <v>46095.93636730324</v>
      </c>
      <c r="B1133" s="6" t="s">
        <v>2282</v>
      </c>
      <c r="C1133" s="10" t="s">
        <v>410</v>
      </c>
      <c r="D1133" s="13">
        <v>2.0</v>
      </c>
      <c r="E1133" s="13">
        <v>225.0</v>
      </c>
      <c r="F1133" s="13">
        <v>270.0</v>
      </c>
      <c r="G1133" s="6">
        <v>270.0</v>
      </c>
      <c r="H1133" s="6">
        <v>540.0</v>
      </c>
      <c r="I1133" s="6">
        <v>90.0</v>
      </c>
      <c r="J1133" s="10" t="s">
        <v>154</v>
      </c>
      <c r="K1133" s="6">
        <v>686.0</v>
      </c>
      <c r="L1133" s="6" t="s">
        <v>4605</v>
      </c>
      <c r="M1133" s="6" t="s">
        <v>2230</v>
      </c>
    </row>
    <row r="1134" ht="22.5" customHeight="1">
      <c r="A1134" s="14">
        <v>46095.9363669213</v>
      </c>
      <c r="B1134" s="6" t="s">
        <v>2282</v>
      </c>
      <c r="C1134" s="10" t="s">
        <v>913</v>
      </c>
      <c r="D1134" s="13">
        <v>1.0</v>
      </c>
      <c r="E1134" s="13">
        <v>130.0</v>
      </c>
      <c r="F1134" s="13">
        <v>160.0</v>
      </c>
      <c r="G1134" s="6">
        <v>160.0</v>
      </c>
      <c r="H1134" s="6">
        <v>160.0</v>
      </c>
      <c r="I1134" s="6">
        <v>30.0</v>
      </c>
      <c r="J1134" s="10" t="s">
        <v>119</v>
      </c>
      <c r="K1134" s="6">
        <v>685.0</v>
      </c>
      <c r="L1134" s="6" t="s">
        <v>4606</v>
      </c>
      <c r="M1134" s="6" t="s">
        <v>2230</v>
      </c>
    </row>
    <row r="1135" ht="22.5" customHeight="1">
      <c r="A1135" s="14">
        <v>46095.93636659722</v>
      </c>
      <c r="B1135" s="6" t="s">
        <v>2282</v>
      </c>
      <c r="C1135" s="10" t="s">
        <v>846</v>
      </c>
      <c r="D1135" s="13">
        <v>1.0</v>
      </c>
      <c r="E1135" s="13">
        <v>137.5</v>
      </c>
      <c r="F1135" s="13">
        <v>175.0</v>
      </c>
      <c r="G1135" s="6">
        <v>175.0</v>
      </c>
      <c r="H1135" s="6">
        <v>175.0</v>
      </c>
      <c r="I1135" s="6">
        <v>37.5</v>
      </c>
      <c r="J1135" s="10" t="s">
        <v>119</v>
      </c>
      <c r="K1135" s="6">
        <v>684.0</v>
      </c>
      <c r="L1135" s="6" t="s">
        <v>4607</v>
      </c>
      <c r="M1135" s="6" t="s">
        <v>2230</v>
      </c>
    </row>
    <row r="1136" ht="22.5" customHeight="1">
      <c r="A1136" s="14">
        <v>46095.93636619213</v>
      </c>
      <c r="B1136" s="6" t="s">
        <v>2282</v>
      </c>
      <c r="C1136" s="10" t="s">
        <v>987</v>
      </c>
      <c r="D1136" s="13">
        <v>1.0</v>
      </c>
      <c r="E1136" s="13">
        <v>19.0</v>
      </c>
      <c r="F1136" s="13">
        <v>30.0</v>
      </c>
      <c r="G1136" s="6">
        <v>30.0</v>
      </c>
      <c r="H1136" s="6">
        <v>30.0</v>
      </c>
      <c r="I1136" s="6">
        <v>11.0</v>
      </c>
      <c r="J1136" s="10" t="s">
        <v>119</v>
      </c>
      <c r="K1136" s="6">
        <v>683.0</v>
      </c>
      <c r="L1136" s="6" t="s">
        <v>4608</v>
      </c>
      <c r="M1136" s="6" t="s">
        <v>2230</v>
      </c>
    </row>
    <row r="1137" ht="22.5" customHeight="1">
      <c r="A1137" s="14">
        <v>46095.93636582176</v>
      </c>
      <c r="B1137" s="6" t="s">
        <v>2282</v>
      </c>
      <c r="C1137" s="10" t="s">
        <v>812</v>
      </c>
      <c r="D1137" s="13">
        <v>6.0</v>
      </c>
      <c r="E1137" s="13">
        <v>15.0</v>
      </c>
      <c r="F1137" s="13">
        <v>20.0</v>
      </c>
      <c r="G1137" s="6">
        <v>20.0</v>
      </c>
      <c r="H1137" s="6">
        <v>120.0</v>
      </c>
      <c r="I1137" s="6">
        <v>30.0</v>
      </c>
      <c r="J1137" s="10" t="s">
        <v>154</v>
      </c>
      <c r="K1137" s="6">
        <v>682.0</v>
      </c>
      <c r="L1137" s="6" t="s">
        <v>4609</v>
      </c>
      <c r="M1137" s="6" t="s">
        <v>2230</v>
      </c>
    </row>
    <row r="1138" ht="22.5" customHeight="1">
      <c r="A1138" s="14">
        <v>46095.93636548611</v>
      </c>
      <c r="B1138" s="6" t="s">
        <v>2282</v>
      </c>
      <c r="C1138" s="10" t="s">
        <v>236</v>
      </c>
      <c r="D1138" s="13">
        <v>1.0</v>
      </c>
      <c r="E1138" s="13">
        <v>150.0</v>
      </c>
      <c r="F1138" s="13">
        <v>250.0</v>
      </c>
      <c r="G1138" s="6">
        <v>250.0</v>
      </c>
      <c r="H1138" s="6">
        <v>250.0</v>
      </c>
      <c r="I1138" s="6">
        <v>100.0</v>
      </c>
      <c r="J1138" s="10" t="s">
        <v>154</v>
      </c>
      <c r="K1138" s="6">
        <v>681.0</v>
      </c>
      <c r="L1138" s="6" t="s">
        <v>4610</v>
      </c>
      <c r="M1138" s="6" t="s">
        <v>2230</v>
      </c>
    </row>
    <row r="1139" ht="22.5" customHeight="1">
      <c r="A1139" s="14">
        <v>46095.936365127316</v>
      </c>
      <c r="B1139" s="6" t="s">
        <v>2282</v>
      </c>
      <c r="C1139" s="10" t="s">
        <v>983</v>
      </c>
      <c r="D1139" s="13">
        <v>1.0</v>
      </c>
      <c r="E1139" s="13">
        <v>75.0</v>
      </c>
      <c r="F1139" s="13">
        <v>130.0</v>
      </c>
      <c r="G1139" s="6">
        <v>130.0</v>
      </c>
      <c r="H1139" s="6">
        <v>130.0</v>
      </c>
      <c r="I1139" s="6">
        <v>55.0</v>
      </c>
      <c r="J1139" s="6" t="s">
        <v>54</v>
      </c>
      <c r="K1139" s="6">
        <v>680.0</v>
      </c>
      <c r="L1139" s="6" t="s">
        <v>4611</v>
      </c>
      <c r="M1139" s="6" t="s">
        <v>2230</v>
      </c>
    </row>
    <row r="1140" ht="22.5" customHeight="1">
      <c r="A1140" s="14">
        <v>46095.93636475694</v>
      </c>
      <c r="B1140" s="6" t="s">
        <v>2282</v>
      </c>
      <c r="C1140" s="10" t="s">
        <v>816</v>
      </c>
      <c r="D1140" s="13">
        <v>1.0</v>
      </c>
      <c r="E1140" s="13">
        <v>141.0</v>
      </c>
      <c r="F1140" s="13">
        <v>190.0</v>
      </c>
      <c r="G1140" s="6">
        <v>190.0</v>
      </c>
      <c r="H1140" s="6">
        <v>190.0</v>
      </c>
      <c r="I1140" s="6">
        <v>49.0</v>
      </c>
      <c r="J1140" s="10" t="s">
        <v>119</v>
      </c>
      <c r="K1140" s="6">
        <v>679.0</v>
      </c>
      <c r="L1140" s="6" t="s">
        <v>4612</v>
      </c>
      <c r="M1140" s="6" t="s">
        <v>2230</v>
      </c>
    </row>
    <row r="1141" ht="22.5" customHeight="1">
      <c r="A1141" s="14">
        <v>46095.936364444446</v>
      </c>
      <c r="B1141" s="6" t="s">
        <v>2282</v>
      </c>
      <c r="C1141" s="10" t="s">
        <v>766</v>
      </c>
      <c r="D1141" s="13">
        <v>1.0</v>
      </c>
      <c r="E1141" s="13">
        <v>150.0</v>
      </c>
      <c r="F1141" s="13">
        <v>180.0</v>
      </c>
      <c r="G1141" s="6">
        <v>180.0</v>
      </c>
      <c r="H1141" s="6">
        <v>180.0</v>
      </c>
      <c r="I1141" s="6">
        <v>30.0</v>
      </c>
      <c r="J1141" s="10" t="s">
        <v>119</v>
      </c>
      <c r="K1141" s="6">
        <v>678.0</v>
      </c>
      <c r="L1141" s="6" t="s">
        <v>4613</v>
      </c>
      <c r="M1141" s="6" t="s">
        <v>2230</v>
      </c>
    </row>
    <row r="1142" ht="22.5" customHeight="1">
      <c r="A1142" s="14">
        <v>46095.9363641088</v>
      </c>
      <c r="B1142" s="6" t="s">
        <v>2282</v>
      </c>
      <c r="C1142" s="10" t="s">
        <v>177</v>
      </c>
      <c r="D1142" s="13">
        <v>1.0</v>
      </c>
      <c r="E1142" s="13">
        <v>75.0</v>
      </c>
      <c r="F1142" s="13">
        <v>100.0</v>
      </c>
      <c r="G1142" s="6">
        <v>100.0</v>
      </c>
      <c r="H1142" s="6">
        <v>100.0</v>
      </c>
      <c r="I1142" s="6">
        <v>25.0</v>
      </c>
      <c r="J1142" s="10" t="s">
        <v>1052</v>
      </c>
      <c r="K1142" s="6">
        <v>677.0</v>
      </c>
      <c r="L1142" s="6" t="s">
        <v>4614</v>
      </c>
      <c r="M1142" s="6" t="s">
        <v>2230</v>
      </c>
    </row>
    <row r="1143" ht="22.5" customHeight="1">
      <c r="A1143" s="14">
        <v>46095.93636383102</v>
      </c>
      <c r="B1143" s="6" t="s">
        <v>2282</v>
      </c>
      <c r="C1143" s="10" t="s">
        <v>667</v>
      </c>
      <c r="D1143" s="13">
        <v>1.0</v>
      </c>
      <c r="E1143" s="13">
        <v>55.0</v>
      </c>
      <c r="F1143" s="13">
        <v>75.0</v>
      </c>
      <c r="G1143" s="6">
        <v>75.0</v>
      </c>
      <c r="H1143" s="6">
        <v>75.0</v>
      </c>
      <c r="I1143" s="6">
        <v>20.0</v>
      </c>
      <c r="J1143" s="10" t="s">
        <v>1052</v>
      </c>
      <c r="K1143" s="6">
        <v>676.0</v>
      </c>
      <c r="L1143" s="6" t="s">
        <v>4615</v>
      </c>
      <c r="M1143" s="6" t="s">
        <v>2230</v>
      </c>
    </row>
    <row r="1144" ht="22.5" customHeight="1">
      <c r="A1144" s="14">
        <v>46095.93636354167</v>
      </c>
      <c r="B1144" s="6" t="s">
        <v>2282</v>
      </c>
      <c r="C1144" s="10" t="s">
        <v>74</v>
      </c>
      <c r="D1144" s="13">
        <v>1.0</v>
      </c>
      <c r="E1144" s="13">
        <v>120.0</v>
      </c>
      <c r="F1144" s="13">
        <v>150.0</v>
      </c>
      <c r="G1144" s="6">
        <v>150.0</v>
      </c>
      <c r="H1144" s="6">
        <v>150.0</v>
      </c>
      <c r="I1144" s="6">
        <v>30.0</v>
      </c>
      <c r="J1144" s="10" t="s">
        <v>31</v>
      </c>
      <c r="K1144" s="6">
        <v>675.0</v>
      </c>
      <c r="L1144" s="6" t="s">
        <v>4616</v>
      </c>
      <c r="M1144" s="6" t="s">
        <v>2230</v>
      </c>
    </row>
    <row r="1145" ht="22.5" customHeight="1">
      <c r="A1145" s="14">
        <v>46095.93636325232</v>
      </c>
      <c r="B1145" s="6" t="s">
        <v>2282</v>
      </c>
      <c r="C1145" s="10" t="s">
        <v>812</v>
      </c>
      <c r="D1145" s="13">
        <v>3.0</v>
      </c>
      <c r="E1145" s="13">
        <v>15.0</v>
      </c>
      <c r="F1145" s="13">
        <v>25.0</v>
      </c>
      <c r="G1145" s="6">
        <v>25.0</v>
      </c>
      <c r="H1145" s="6">
        <v>75.0</v>
      </c>
      <c r="I1145" s="6">
        <v>30.0</v>
      </c>
      <c r="J1145" s="10" t="s">
        <v>154</v>
      </c>
      <c r="K1145" s="6">
        <v>674.0</v>
      </c>
      <c r="L1145" s="6" t="s">
        <v>4617</v>
      </c>
      <c r="M1145" s="6" t="s">
        <v>2230</v>
      </c>
    </row>
    <row r="1146" ht="22.5" customHeight="1">
      <c r="A1146" s="14">
        <v>46095.93636290509</v>
      </c>
      <c r="B1146" s="6" t="s">
        <v>2282</v>
      </c>
      <c r="C1146" s="10" t="s">
        <v>975</v>
      </c>
      <c r="D1146" s="13">
        <v>1.0</v>
      </c>
      <c r="E1146" s="13">
        <v>49.0</v>
      </c>
      <c r="F1146" s="13">
        <v>70.0</v>
      </c>
      <c r="G1146" s="6">
        <v>70.0</v>
      </c>
      <c r="H1146" s="6">
        <v>70.0</v>
      </c>
      <c r="I1146" s="6">
        <v>21.0</v>
      </c>
      <c r="J1146" s="10" t="s">
        <v>119</v>
      </c>
      <c r="K1146" s="6">
        <v>672.0</v>
      </c>
      <c r="L1146" s="6" t="s">
        <v>4622</v>
      </c>
      <c r="M1146" s="6" t="s">
        <v>2230</v>
      </c>
    </row>
    <row r="1147" ht="22.5" customHeight="1">
      <c r="A1147" s="14">
        <v>46095.93636251157</v>
      </c>
      <c r="B1147" s="6" t="s">
        <v>2282</v>
      </c>
      <c r="C1147" s="10" t="s">
        <v>848</v>
      </c>
      <c r="D1147" s="13">
        <v>1.0</v>
      </c>
      <c r="E1147" s="13">
        <v>120.0</v>
      </c>
      <c r="F1147" s="13">
        <v>170.0</v>
      </c>
      <c r="G1147" s="6">
        <v>170.0</v>
      </c>
      <c r="H1147" s="6">
        <v>170.0</v>
      </c>
      <c r="I1147" s="6">
        <v>50.0</v>
      </c>
      <c r="J1147" s="10" t="s">
        <v>154</v>
      </c>
      <c r="K1147" s="6">
        <v>671.0</v>
      </c>
      <c r="L1147" s="6" t="s">
        <v>4623</v>
      </c>
      <c r="M1147" s="6" t="s">
        <v>2230</v>
      </c>
    </row>
    <row r="1148" ht="22.5" customHeight="1">
      <c r="A1148" s="14">
        <v>46095.9363621875</v>
      </c>
      <c r="B1148" s="6" t="s">
        <v>2282</v>
      </c>
      <c r="C1148" s="10" t="s">
        <v>347</v>
      </c>
      <c r="D1148" s="13">
        <v>1.0</v>
      </c>
      <c r="E1148" s="13">
        <v>20.0</v>
      </c>
      <c r="F1148" s="13">
        <v>50.0</v>
      </c>
      <c r="G1148" s="6">
        <v>50.0</v>
      </c>
      <c r="H1148" s="6">
        <v>50.0</v>
      </c>
      <c r="I1148" s="6">
        <v>30.0</v>
      </c>
      <c r="J1148" s="10" t="s">
        <v>51</v>
      </c>
      <c r="K1148" s="6">
        <v>670.0</v>
      </c>
      <c r="L1148" s="6" t="s">
        <v>4624</v>
      </c>
      <c r="M1148" s="6" t="s">
        <v>2230</v>
      </c>
    </row>
    <row r="1149" ht="22.5" customHeight="1">
      <c r="A1149" s="14">
        <v>46095.936361898144</v>
      </c>
      <c r="B1149" s="6" t="s">
        <v>2282</v>
      </c>
      <c r="C1149" s="10" t="s">
        <v>918</v>
      </c>
      <c r="D1149" s="13">
        <v>1.0</v>
      </c>
      <c r="E1149" s="13">
        <v>135.0</v>
      </c>
      <c r="F1149" s="13">
        <v>205.0</v>
      </c>
      <c r="G1149" s="6">
        <v>205.0</v>
      </c>
      <c r="H1149" s="6">
        <v>205.0</v>
      </c>
      <c r="I1149" s="6">
        <v>70.0</v>
      </c>
      <c r="J1149" s="10" t="s">
        <v>51</v>
      </c>
      <c r="K1149" s="6">
        <v>669.0</v>
      </c>
      <c r="L1149" s="6" t="s">
        <v>4625</v>
      </c>
      <c r="M1149" s="6" t="s">
        <v>2230</v>
      </c>
    </row>
    <row r="1150" ht="22.5" customHeight="1">
      <c r="A1150" s="14">
        <v>46095.93636162037</v>
      </c>
      <c r="B1150" s="6" t="s">
        <v>2282</v>
      </c>
      <c r="C1150" s="10" t="s">
        <v>812</v>
      </c>
      <c r="D1150" s="13">
        <v>3.0</v>
      </c>
      <c r="E1150" s="13">
        <v>15.0</v>
      </c>
      <c r="F1150" s="13">
        <v>25.0</v>
      </c>
      <c r="G1150" s="6">
        <v>25.0</v>
      </c>
      <c r="H1150" s="6">
        <v>75.0</v>
      </c>
      <c r="I1150" s="6">
        <v>30.0</v>
      </c>
      <c r="J1150" s="10" t="s">
        <v>154</v>
      </c>
      <c r="K1150" s="6">
        <v>668.0</v>
      </c>
      <c r="L1150" s="6" t="s">
        <v>4626</v>
      </c>
      <c r="M1150" s="6" t="s">
        <v>2230</v>
      </c>
    </row>
    <row r="1151" ht="22.5" customHeight="1">
      <c r="A1151" s="14">
        <v>46095.936361354165</v>
      </c>
      <c r="B1151" s="6" t="s">
        <v>2282</v>
      </c>
      <c r="C1151" s="10" t="s">
        <v>179</v>
      </c>
      <c r="D1151" s="13">
        <v>1.0</v>
      </c>
      <c r="E1151" s="13">
        <v>105.0</v>
      </c>
      <c r="F1151" s="13">
        <v>130.0</v>
      </c>
      <c r="G1151" s="6">
        <v>130.0</v>
      </c>
      <c r="H1151" s="6">
        <v>130.0</v>
      </c>
      <c r="I1151" s="6">
        <v>25.0</v>
      </c>
      <c r="J1151" s="10" t="s">
        <v>31</v>
      </c>
      <c r="K1151" s="6">
        <v>667.0</v>
      </c>
      <c r="L1151" s="6" t="s">
        <v>4627</v>
      </c>
      <c r="M1151" s="6" t="s">
        <v>2230</v>
      </c>
    </row>
    <row r="1152" ht="22.5" customHeight="1">
      <c r="A1152" s="14">
        <v>46095.93636101852</v>
      </c>
      <c r="B1152" s="6" t="s">
        <v>2282</v>
      </c>
      <c r="C1152" s="10" t="s">
        <v>250</v>
      </c>
      <c r="D1152" s="13">
        <v>1.0</v>
      </c>
      <c r="E1152" s="13">
        <v>145.0</v>
      </c>
      <c r="F1152" s="13">
        <v>170.0</v>
      </c>
      <c r="G1152" s="6">
        <v>170.0</v>
      </c>
      <c r="H1152" s="6">
        <v>170.0</v>
      </c>
      <c r="I1152" s="6">
        <v>25.0</v>
      </c>
      <c r="J1152" s="10" t="s">
        <v>31</v>
      </c>
      <c r="K1152" s="6">
        <v>666.0</v>
      </c>
      <c r="L1152" s="6" t="s">
        <v>4628</v>
      </c>
      <c r="M1152" s="6" t="s">
        <v>2230</v>
      </c>
    </row>
    <row r="1153" ht="22.5" customHeight="1">
      <c r="A1153" s="14">
        <v>46095.93636072917</v>
      </c>
      <c r="B1153" s="6" t="s">
        <v>2282</v>
      </c>
      <c r="C1153" s="10" t="s">
        <v>643</v>
      </c>
      <c r="D1153" s="13">
        <v>1.0</v>
      </c>
      <c r="E1153" s="13">
        <v>166.0</v>
      </c>
      <c r="F1153" s="13">
        <v>200.0</v>
      </c>
      <c r="G1153" s="6">
        <v>200.0</v>
      </c>
      <c r="H1153" s="6">
        <v>200.0</v>
      </c>
      <c r="I1153" s="6">
        <v>34.0</v>
      </c>
      <c r="J1153" s="10" t="s">
        <v>119</v>
      </c>
      <c r="K1153" s="6">
        <v>665.0</v>
      </c>
      <c r="L1153" s="6" t="s">
        <v>4629</v>
      </c>
      <c r="M1153" s="6" t="s">
        <v>2230</v>
      </c>
    </row>
    <row r="1154" ht="22.5" customHeight="1">
      <c r="A1154" s="14">
        <v>46095.93636042824</v>
      </c>
      <c r="B1154" s="6" t="s">
        <v>2282</v>
      </c>
      <c r="C1154" s="10" t="s">
        <v>210</v>
      </c>
      <c r="D1154" s="13">
        <v>1.0</v>
      </c>
      <c r="E1154" s="13">
        <v>130.0</v>
      </c>
      <c r="F1154" s="13">
        <v>150.0</v>
      </c>
      <c r="G1154" s="6">
        <v>150.0</v>
      </c>
      <c r="H1154" s="6">
        <v>150.0</v>
      </c>
      <c r="I1154" s="6">
        <v>20.0</v>
      </c>
      <c r="J1154" s="10" t="s">
        <v>31</v>
      </c>
      <c r="K1154" s="6">
        <v>664.0</v>
      </c>
      <c r="L1154" s="6" t="s">
        <v>4630</v>
      </c>
      <c r="M1154" s="6" t="s">
        <v>2230</v>
      </c>
    </row>
    <row r="1155" ht="22.5" customHeight="1">
      <c r="A1155" s="14">
        <v>46095.93636017361</v>
      </c>
      <c r="B1155" s="6" t="s">
        <v>2282</v>
      </c>
      <c r="C1155" s="10" t="s">
        <v>593</v>
      </c>
      <c r="D1155" s="13">
        <v>1.0</v>
      </c>
      <c r="E1155" s="13">
        <v>50.0</v>
      </c>
      <c r="F1155" s="13">
        <v>75.0</v>
      </c>
      <c r="G1155" s="6">
        <v>75.0</v>
      </c>
      <c r="H1155" s="6">
        <v>75.0</v>
      </c>
      <c r="I1155" s="6">
        <v>25.0</v>
      </c>
      <c r="J1155" s="10" t="s">
        <v>51</v>
      </c>
      <c r="K1155" s="6">
        <v>663.0</v>
      </c>
      <c r="L1155" s="6" t="s">
        <v>4631</v>
      </c>
      <c r="M1155" s="6" t="s">
        <v>2230</v>
      </c>
    </row>
    <row r="1156" ht="22.5" customHeight="1">
      <c r="A1156" s="14">
        <v>46095.936359907406</v>
      </c>
      <c r="B1156" s="6" t="s">
        <v>2282</v>
      </c>
      <c r="C1156" s="10" t="s">
        <v>662</v>
      </c>
      <c r="D1156" s="13">
        <v>1.0</v>
      </c>
      <c r="E1156" s="13">
        <v>50.0</v>
      </c>
      <c r="F1156" s="13">
        <v>75.0</v>
      </c>
      <c r="G1156" s="6">
        <v>75.0</v>
      </c>
      <c r="H1156" s="6">
        <v>75.0</v>
      </c>
      <c r="I1156" s="6">
        <v>25.0</v>
      </c>
      <c r="J1156" s="10" t="s">
        <v>1052</v>
      </c>
      <c r="K1156" s="6">
        <v>662.0</v>
      </c>
      <c r="L1156" s="6" t="s">
        <v>4632</v>
      </c>
      <c r="M1156" s="6" t="s">
        <v>2230</v>
      </c>
    </row>
    <row r="1157" ht="22.5" customHeight="1">
      <c r="A1157" s="14">
        <v>46095.9363596412</v>
      </c>
      <c r="B1157" s="6" t="s">
        <v>2282</v>
      </c>
      <c r="C1157" s="10" t="s">
        <v>545</v>
      </c>
      <c r="D1157" s="13">
        <v>1.0</v>
      </c>
      <c r="E1157" s="13">
        <v>85.0</v>
      </c>
      <c r="F1157" s="13">
        <v>100.0</v>
      </c>
      <c r="G1157" s="6">
        <v>100.0</v>
      </c>
      <c r="H1157" s="6">
        <v>100.0</v>
      </c>
      <c r="I1157" s="6">
        <v>15.0</v>
      </c>
      <c r="J1157" s="10" t="s">
        <v>914</v>
      </c>
      <c r="K1157" s="6">
        <v>661.0</v>
      </c>
      <c r="L1157" s="6" t="s">
        <v>4633</v>
      </c>
      <c r="M1157" s="6" t="s">
        <v>2230</v>
      </c>
    </row>
    <row r="1158" ht="22.5" customHeight="1">
      <c r="A1158" s="14">
        <v>46095.93635929398</v>
      </c>
      <c r="B1158" s="6" t="s">
        <v>2282</v>
      </c>
      <c r="C1158" s="10" t="s">
        <v>963</v>
      </c>
      <c r="D1158" s="13">
        <v>1.0</v>
      </c>
      <c r="E1158" s="13">
        <v>18.75</v>
      </c>
      <c r="F1158" s="13">
        <v>40.0</v>
      </c>
      <c r="G1158" s="6">
        <v>40.0</v>
      </c>
      <c r="H1158" s="6">
        <v>40.0</v>
      </c>
      <c r="I1158" s="6">
        <v>21.25</v>
      </c>
      <c r="J1158" s="6" t="s">
        <v>54</v>
      </c>
      <c r="K1158" s="6">
        <v>660.0</v>
      </c>
      <c r="L1158" s="6" t="s">
        <v>4634</v>
      </c>
      <c r="M1158" s="6" t="s">
        <v>2230</v>
      </c>
    </row>
    <row r="1159" ht="22.5" customHeight="1">
      <c r="A1159" s="14">
        <v>46095.93635900463</v>
      </c>
      <c r="B1159" s="6" t="s">
        <v>2282</v>
      </c>
      <c r="C1159" s="10" t="s">
        <v>330</v>
      </c>
      <c r="D1159" s="13">
        <v>1.0</v>
      </c>
      <c r="E1159" s="13">
        <v>25.833333333333332</v>
      </c>
      <c r="F1159" s="13">
        <v>50.0</v>
      </c>
      <c r="G1159" s="6">
        <v>50.0</v>
      </c>
      <c r="H1159" s="6">
        <v>50.0</v>
      </c>
      <c r="I1159" s="6">
        <v>24.17</v>
      </c>
      <c r="J1159" s="6" t="s">
        <v>54</v>
      </c>
      <c r="K1159" s="6">
        <v>659.0</v>
      </c>
      <c r="L1159" s="6" t="s">
        <v>4635</v>
      </c>
      <c r="M1159" s="6" t="s">
        <v>2230</v>
      </c>
    </row>
    <row r="1160" ht="22.5" customHeight="1">
      <c r="A1160" s="14">
        <v>46095.93635872685</v>
      </c>
      <c r="B1160" s="6" t="s">
        <v>2282</v>
      </c>
      <c r="C1160" s="10" t="s">
        <v>593</v>
      </c>
      <c r="D1160" s="13">
        <v>2.0</v>
      </c>
      <c r="E1160" s="13">
        <v>50.0</v>
      </c>
      <c r="F1160" s="13">
        <v>70.0</v>
      </c>
      <c r="G1160" s="6">
        <v>70.0</v>
      </c>
      <c r="H1160" s="6">
        <v>140.0</v>
      </c>
      <c r="I1160" s="6">
        <v>40.0</v>
      </c>
      <c r="J1160" s="10" t="s">
        <v>51</v>
      </c>
      <c r="K1160" s="6">
        <v>658.0</v>
      </c>
      <c r="L1160" s="6" t="s">
        <v>4636</v>
      </c>
      <c r="M1160" s="6" t="s">
        <v>2230</v>
      </c>
    </row>
    <row r="1161" ht="22.5" customHeight="1">
      <c r="A1161" s="14">
        <v>46095.93635846065</v>
      </c>
      <c r="B1161" s="6" t="s">
        <v>2282</v>
      </c>
      <c r="C1161" s="10" t="s">
        <v>177</v>
      </c>
      <c r="D1161" s="13">
        <v>1.0</v>
      </c>
      <c r="E1161" s="13">
        <v>75.0</v>
      </c>
      <c r="F1161" s="13">
        <v>100.0</v>
      </c>
      <c r="G1161" s="6">
        <v>100.0</v>
      </c>
      <c r="H1161" s="6">
        <v>100.0</v>
      </c>
      <c r="I1161" s="6">
        <v>25.0</v>
      </c>
      <c r="J1161" s="10" t="s">
        <v>1052</v>
      </c>
      <c r="K1161" s="6">
        <v>657.0</v>
      </c>
      <c r="L1161" s="6" t="s">
        <v>4637</v>
      </c>
      <c r="M1161" s="6" t="s">
        <v>2230</v>
      </c>
    </row>
    <row r="1162" ht="22.5" customHeight="1">
      <c r="A1162" s="14">
        <v>46095.93635815972</v>
      </c>
      <c r="B1162" s="6" t="s">
        <v>2282</v>
      </c>
      <c r="C1162" s="10" t="s">
        <v>960</v>
      </c>
      <c r="D1162" s="13">
        <v>1.0</v>
      </c>
      <c r="E1162" s="13">
        <v>80.0</v>
      </c>
      <c r="F1162" s="13">
        <v>135.0</v>
      </c>
      <c r="G1162" s="6">
        <v>135.0</v>
      </c>
      <c r="H1162" s="6">
        <v>135.0</v>
      </c>
      <c r="I1162" s="6">
        <v>55.0</v>
      </c>
      <c r="J1162" s="10" t="s">
        <v>51</v>
      </c>
      <c r="K1162" s="6">
        <v>656.0</v>
      </c>
      <c r="L1162" s="6" t="s">
        <v>4638</v>
      </c>
      <c r="M1162" s="6" t="s">
        <v>2230</v>
      </c>
    </row>
    <row r="1163" ht="22.5" customHeight="1">
      <c r="A1163" s="14">
        <v>46095.93635777778</v>
      </c>
      <c r="B1163" s="6" t="s">
        <v>2282</v>
      </c>
      <c r="C1163" s="10" t="s">
        <v>144</v>
      </c>
      <c r="D1163" s="13">
        <v>1.0</v>
      </c>
      <c r="E1163" s="13">
        <v>140.0</v>
      </c>
      <c r="F1163" s="13">
        <v>150.0</v>
      </c>
      <c r="G1163" s="6">
        <v>150.0</v>
      </c>
      <c r="H1163" s="6">
        <v>150.0</v>
      </c>
      <c r="I1163" s="6">
        <v>10.0</v>
      </c>
      <c r="J1163" s="6"/>
      <c r="K1163" s="6">
        <v>655.0</v>
      </c>
      <c r="L1163" s="6" t="s">
        <v>4639</v>
      </c>
      <c r="M1163" s="6" t="s">
        <v>2230</v>
      </c>
    </row>
    <row r="1164" ht="22.5" customHeight="1">
      <c r="A1164" s="14">
        <v>46095.93635744213</v>
      </c>
      <c r="B1164" s="6" t="s">
        <v>2282</v>
      </c>
      <c r="C1164" s="10" t="s">
        <v>144</v>
      </c>
      <c r="D1164" s="13">
        <v>2.0</v>
      </c>
      <c r="E1164" s="13">
        <v>140.0</v>
      </c>
      <c r="F1164" s="13">
        <v>160.0</v>
      </c>
      <c r="G1164" s="6">
        <v>160.0</v>
      </c>
      <c r="H1164" s="6">
        <v>320.0</v>
      </c>
      <c r="I1164" s="6">
        <v>40.0</v>
      </c>
      <c r="J1164" s="6"/>
      <c r="K1164" s="6">
        <v>654.0</v>
      </c>
      <c r="L1164" s="6" t="s">
        <v>4640</v>
      </c>
      <c r="M1164" s="6" t="s">
        <v>2230</v>
      </c>
    </row>
    <row r="1165" ht="22.5" customHeight="1">
      <c r="A1165" s="14">
        <v>46095.93635711806</v>
      </c>
      <c r="B1165" s="6" t="s">
        <v>2282</v>
      </c>
      <c r="C1165" s="10" t="s">
        <v>144</v>
      </c>
      <c r="D1165" s="13">
        <v>2.0</v>
      </c>
      <c r="E1165" s="13">
        <v>140.0</v>
      </c>
      <c r="F1165" s="13">
        <v>160.0</v>
      </c>
      <c r="G1165" s="6">
        <v>160.0</v>
      </c>
      <c r="H1165" s="6">
        <v>320.0</v>
      </c>
      <c r="I1165" s="6">
        <v>40.0</v>
      </c>
      <c r="J1165" s="6"/>
      <c r="K1165" s="6">
        <v>653.0</v>
      </c>
      <c r="L1165" s="6" t="s">
        <v>4642</v>
      </c>
      <c r="M1165" s="6" t="s">
        <v>2230</v>
      </c>
    </row>
    <row r="1166" ht="22.5" customHeight="1">
      <c r="A1166" s="14">
        <v>46095.936356782404</v>
      </c>
      <c r="B1166" s="6" t="s">
        <v>2282</v>
      </c>
      <c r="C1166" s="10" t="s">
        <v>478</v>
      </c>
      <c r="D1166" s="13">
        <v>1.0</v>
      </c>
      <c r="E1166" s="13">
        <v>90.0</v>
      </c>
      <c r="F1166" s="13">
        <v>130.0</v>
      </c>
      <c r="G1166" s="6">
        <v>130.0</v>
      </c>
      <c r="H1166" s="6">
        <v>130.0</v>
      </c>
      <c r="I1166" s="6">
        <v>40.0</v>
      </c>
      <c r="J1166" s="10" t="s">
        <v>31</v>
      </c>
      <c r="K1166" s="6">
        <v>652.0</v>
      </c>
      <c r="L1166" s="6" t="s">
        <v>4643</v>
      </c>
      <c r="M1166" s="6" t="s">
        <v>2230</v>
      </c>
    </row>
    <row r="1167" ht="22.5" customHeight="1">
      <c r="A1167" s="14">
        <v>46095.936356446764</v>
      </c>
      <c r="B1167" s="6" t="s">
        <v>2282</v>
      </c>
      <c r="C1167" s="10" t="s">
        <v>330</v>
      </c>
      <c r="D1167" s="13">
        <v>3.0</v>
      </c>
      <c r="E1167" s="13">
        <v>25.833333333333332</v>
      </c>
      <c r="F1167" s="13">
        <v>50.0</v>
      </c>
      <c r="G1167" s="6">
        <v>50.0</v>
      </c>
      <c r="H1167" s="6">
        <v>150.0</v>
      </c>
      <c r="I1167" s="6">
        <v>72.5</v>
      </c>
      <c r="J1167" s="6" t="s">
        <v>54</v>
      </c>
      <c r="K1167" s="6">
        <v>651.0</v>
      </c>
      <c r="L1167" s="6" t="s">
        <v>4644</v>
      </c>
      <c r="M1167" s="6" t="s">
        <v>2230</v>
      </c>
    </row>
    <row r="1168" ht="22.5" customHeight="1">
      <c r="A1168" s="14">
        <v>46095.93635604167</v>
      </c>
      <c r="B1168" s="6" t="s">
        <v>2282</v>
      </c>
      <c r="C1168" s="10" t="s">
        <v>593</v>
      </c>
      <c r="D1168" s="13">
        <v>2.0</v>
      </c>
      <c r="E1168" s="13">
        <v>50.0</v>
      </c>
      <c r="F1168" s="13">
        <v>80.0</v>
      </c>
      <c r="G1168" s="6">
        <v>80.0</v>
      </c>
      <c r="H1168" s="6">
        <v>160.0</v>
      </c>
      <c r="I1168" s="6">
        <v>60.0</v>
      </c>
      <c r="J1168" s="10" t="s">
        <v>51</v>
      </c>
      <c r="K1168" s="6">
        <v>650.0</v>
      </c>
      <c r="L1168" s="6" t="s">
        <v>4645</v>
      </c>
      <c r="M1168" s="6" t="s">
        <v>2230</v>
      </c>
    </row>
    <row r="1169" ht="22.5" customHeight="1">
      <c r="A1169" s="14">
        <v>46095.93635565972</v>
      </c>
      <c r="B1169" s="6" t="s">
        <v>2282</v>
      </c>
      <c r="C1169" s="10" t="s">
        <v>902</v>
      </c>
      <c r="D1169" s="13">
        <v>1.0</v>
      </c>
      <c r="E1169" s="13">
        <v>75.0</v>
      </c>
      <c r="F1169" s="13">
        <v>90.0</v>
      </c>
      <c r="G1169" s="6">
        <v>90.0</v>
      </c>
      <c r="H1169" s="6">
        <v>90.0</v>
      </c>
      <c r="I1169" s="6">
        <v>15.0</v>
      </c>
      <c r="J1169" s="10" t="s">
        <v>154</v>
      </c>
      <c r="K1169" s="6">
        <v>649.0</v>
      </c>
      <c r="L1169" s="6" t="s">
        <v>4646</v>
      </c>
      <c r="M1169" s="6" t="s">
        <v>2230</v>
      </c>
    </row>
    <row r="1170" ht="22.5" customHeight="1">
      <c r="A1170" s="14">
        <v>46095.93635533565</v>
      </c>
      <c r="B1170" s="6" t="s">
        <v>2282</v>
      </c>
      <c r="C1170" s="10" t="s">
        <v>478</v>
      </c>
      <c r="D1170" s="13">
        <v>1.0</v>
      </c>
      <c r="E1170" s="13">
        <v>90.0</v>
      </c>
      <c r="F1170" s="13">
        <v>135.0</v>
      </c>
      <c r="G1170" s="6">
        <v>135.0</v>
      </c>
      <c r="H1170" s="6">
        <v>135.0</v>
      </c>
      <c r="I1170" s="6">
        <v>45.0</v>
      </c>
      <c r="J1170" s="10" t="s">
        <v>31</v>
      </c>
      <c r="K1170" s="6">
        <v>648.0</v>
      </c>
      <c r="L1170" s="6" t="s">
        <v>4647</v>
      </c>
      <c r="M1170" s="6" t="s">
        <v>2230</v>
      </c>
    </row>
    <row r="1171" ht="22.5" customHeight="1">
      <c r="A1171" s="14">
        <v>46095.936355046295</v>
      </c>
      <c r="B1171" s="6" t="s">
        <v>2282</v>
      </c>
      <c r="C1171" s="10" t="s">
        <v>638</v>
      </c>
      <c r="D1171" s="13">
        <v>0.2</v>
      </c>
      <c r="E1171" s="13">
        <v>100.0</v>
      </c>
      <c r="F1171" s="13">
        <v>150.0</v>
      </c>
      <c r="G1171" s="6">
        <v>150.0</v>
      </c>
      <c r="H1171" s="6">
        <v>30.0</v>
      </c>
      <c r="I1171" s="6">
        <v>10.0</v>
      </c>
      <c r="J1171" s="10" t="s">
        <v>51</v>
      </c>
      <c r="K1171" s="6">
        <v>647.0</v>
      </c>
      <c r="L1171" s="6" t="s">
        <v>4648</v>
      </c>
      <c r="M1171" s="6" t="s">
        <v>2230</v>
      </c>
    </row>
    <row r="1172" ht="22.5" customHeight="1">
      <c r="A1172" s="14">
        <v>46095.936354756945</v>
      </c>
      <c r="B1172" s="6" t="s">
        <v>2282</v>
      </c>
      <c r="C1172" s="10" t="s">
        <v>812</v>
      </c>
      <c r="D1172" s="13">
        <v>2.0</v>
      </c>
      <c r="E1172" s="13">
        <v>15.0</v>
      </c>
      <c r="F1172" s="13">
        <v>20.0</v>
      </c>
      <c r="G1172" s="6">
        <v>20.0</v>
      </c>
      <c r="H1172" s="6">
        <v>40.0</v>
      </c>
      <c r="I1172" s="6">
        <v>10.0</v>
      </c>
      <c r="J1172" s="10" t="s">
        <v>154</v>
      </c>
      <c r="K1172" s="6">
        <v>646.0</v>
      </c>
      <c r="L1172" s="6" t="s">
        <v>4649</v>
      </c>
      <c r="M1172" s="6" t="s">
        <v>2230</v>
      </c>
    </row>
    <row r="1173" ht="22.5" customHeight="1">
      <c r="A1173" s="14">
        <v>46095.936354502315</v>
      </c>
      <c r="B1173" s="6" t="s">
        <v>2282</v>
      </c>
      <c r="C1173" s="10" t="s">
        <v>634</v>
      </c>
      <c r="D1173" s="13">
        <v>1.0</v>
      </c>
      <c r="E1173" s="13">
        <v>167.0</v>
      </c>
      <c r="F1173" s="13">
        <v>190.0</v>
      </c>
      <c r="G1173" s="6">
        <v>190.0</v>
      </c>
      <c r="H1173" s="6">
        <v>190.0</v>
      </c>
      <c r="I1173" s="6">
        <v>23.0</v>
      </c>
      <c r="J1173" s="10" t="s">
        <v>119</v>
      </c>
      <c r="K1173" s="6">
        <v>645.0</v>
      </c>
      <c r="L1173" s="6" t="s">
        <v>4650</v>
      </c>
      <c r="M1173" s="6" t="s">
        <v>2230</v>
      </c>
    </row>
    <row r="1174" ht="22.5" customHeight="1">
      <c r="A1174" s="14">
        <v>46095.93635420139</v>
      </c>
      <c r="B1174" s="6" t="s">
        <v>2282</v>
      </c>
      <c r="C1174" s="10" t="s">
        <v>255</v>
      </c>
      <c r="D1174" s="13">
        <v>1.0</v>
      </c>
      <c r="E1174" s="13">
        <v>35.0</v>
      </c>
      <c r="F1174" s="13">
        <v>50.0</v>
      </c>
      <c r="G1174" s="6">
        <v>50.0</v>
      </c>
      <c r="H1174" s="6">
        <v>50.0</v>
      </c>
      <c r="I1174" s="6">
        <v>15.0</v>
      </c>
      <c r="J1174" s="10" t="s">
        <v>31</v>
      </c>
      <c r="K1174" s="6">
        <v>644.0</v>
      </c>
      <c r="L1174" s="6" t="s">
        <v>4651</v>
      </c>
      <c r="M1174" s="6" t="s">
        <v>2230</v>
      </c>
    </row>
    <row r="1175" ht="22.5" customHeight="1">
      <c r="A1175" s="14">
        <v>46095.93635387732</v>
      </c>
      <c r="B1175" s="6" t="s">
        <v>2282</v>
      </c>
      <c r="C1175" s="10" t="s">
        <v>812</v>
      </c>
      <c r="D1175" s="13">
        <v>3.0</v>
      </c>
      <c r="E1175" s="13">
        <v>15.0</v>
      </c>
      <c r="F1175" s="13">
        <v>20.0</v>
      </c>
      <c r="G1175" s="6">
        <v>20.0</v>
      </c>
      <c r="H1175" s="6">
        <v>60.0</v>
      </c>
      <c r="I1175" s="6">
        <v>15.0</v>
      </c>
      <c r="J1175" s="10" t="s">
        <v>154</v>
      </c>
      <c r="K1175" s="6">
        <v>643.0</v>
      </c>
      <c r="L1175" s="6" t="s">
        <v>4652</v>
      </c>
      <c r="M1175" s="6" t="s">
        <v>2230</v>
      </c>
    </row>
    <row r="1176" ht="22.5" customHeight="1">
      <c r="A1176" s="14">
        <v>46095.93635362269</v>
      </c>
      <c r="B1176" s="6" t="s">
        <v>2282</v>
      </c>
      <c r="C1176" s="10" t="s">
        <v>918</v>
      </c>
      <c r="D1176" s="13">
        <v>1.0</v>
      </c>
      <c r="E1176" s="13">
        <v>135.0</v>
      </c>
      <c r="F1176" s="13">
        <v>200.0</v>
      </c>
      <c r="G1176" s="6">
        <v>200.0</v>
      </c>
      <c r="H1176" s="6">
        <v>200.0</v>
      </c>
      <c r="I1176" s="6">
        <v>65.0</v>
      </c>
      <c r="J1176" s="10" t="s">
        <v>51</v>
      </c>
      <c r="K1176" s="6">
        <v>642.0</v>
      </c>
      <c r="L1176" s="6" t="s">
        <v>4653</v>
      </c>
      <c r="M1176" s="6" t="s">
        <v>2230</v>
      </c>
    </row>
    <row r="1177" ht="22.5" customHeight="1">
      <c r="A1177" s="14">
        <v>46095.93635336806</v>
      </c>
      <c r="B1177" s="6" t="s">
        <v>2282</v>
      </c>
      <c r="C1177" s="10" t="s">
        <v>255</v>
      </c>
      <c r="D1177" s="13">
        <v>1.0</v>
      </c>
      <c r="E1177" s="13">
        <v>35.0</v>
      </c>
      <c r="F1177" s="13">
        <v>50.0</v>
      </c>
      <c r="G1177" s="6">
        <v>50.0</v>
      </c>
      <c r="H1177" s="6">
        <v>50.0</v>
      </c>
      <c r="I1177" s="6">
        <v>15.0</v>
      </c>
      <c r="J1177" s="10" t="s">
        <v>31</v>
      </c>
      <c r="K1177" s="6">
        <v>641.0</v>
      </c>
      <c r="L1177" s="6" t="s">
        <v>4654</v>
      </c>
      <c r="M1177" s="6" t="s">
        <v>2230</v>
      </c>
    </row>
    <row r="1178" ht="22.5" customHeight="1">
      <c r="A1178" s="14">
        <v>46095.93635305556</v>
      </c>
      <c r="B1178" s="6" t="s">
        <v>2282</v>
      </c>
      <c r="C1178" s="10" t="s">
        <v>812</v>
      </c>
      <c r="D1178" s="13">
        <v>5.0</v>
      </c>
      <c r="E1178" s="13">
        <v>15.0</v>
      </c>
      <c r="F1178" s="13">
        <v>20.0</v>
      </c>
      <c r="G1178" s="6">
        <v>20.0</v>
      </c>
      <c r="H1178" s="6">
        <v>100.0</v>
      </c>
      <c r="I1178" s="6">
        <v>25.0</v>
      </c>
      <c r="J1178" s="10" t="s">
        <v>154</v>
      </c>
      <c r="K1178" s="6">
        <v>640.0</v>
      </c>
      <c r="L1178" s="6" t="s">
        <v>4655</v>
      </c>
      <c r="M1178" s="6" t="s">
        <v>2230</v>
      </c>
    </row>
    <row r="1179" ht="22.5" customHeight="1">
      <c r="A1179" s="14">
        <v>46095.936352777775</v>
      </c>
      <c r="B1179" s="6" t="s">
        <v>2282</v>
      </c>
      <c r="C1179" s="10" t="s">
        <v>236</v>
      </c>
      <c r="D1179" s="13">
        <v>1.0</v>
      </c>
      <c r="E1179" s="13">
        <v>150.0</v>
      </c>
      <c r="F1179" s="13">
        <v>200.0</v>
      </c>
      <c r="G1179" s="6">
        <v>200.0</v>
      </c>
      <c r="H1179" s="6">
        <v>200.0</v>
      </c>
      <c r="I1179" s="6">
        <v>50.0</v>
      </c>
      <c r="J1179" s="10" t="s">
        <v>154</v>
      </c>
      <c r="K1179" s="6">
        <v>639.0</v>
      </c>
      <c r="L1179" s="6" t="s">
        <v>4656</v>
      </c>
      <c r="M1179" s="6" t="s">
        <v>2230</v>
      </c>
    </row>
    <row r="1180" ht="22.5" customHeight="1">
      <c r="A1180" s="14">
        <v>46095.936352476856</v>
      </c>
      <c r="B1180" s="6" t="s">
        <v>2282</v>
      </c>
      <c r="C1180" s="10" t="s">
        <v>775</v>
      </c>
      <c r="D1180" s="13">
        <v>2.0</v>
      </c>
      <c r="E1180" s="13">
        <v>94.0</v>
      </c>
      <c r="F1180" s="13">
        <v>120.0</v>
      </c>
      <c r="G1180" s="6">
        <v>120.0</v>
      </c>
      <c r="H1180" s="6">
        <v>240.0</v>
      </c>
      <c r="I1180" s="6">
        <v>52.0</v>
      </c>
      <c r="J1180" s="10" t="s">
        <v>119</v>
      </c>
      <c r="K1180" s="6">
        <v>638.0</v>
      </c>
      <c r="L1180" s="6" t="s">
        <v>4657</v>
      </c>
      <c r="M1180" s="6" t="s">
        <v>2230</v>
      </c>
    </row>
    <row r="1181" ht="22.5" customHeight="1">
      <c r="A1181" s="14">
        <v>46095.93635221064</v>
      </c>
      <c r="B1181" s="6" t="s">
        <v>2282</v>
      </c>
      <c r="C1181" s="10" t="s">
        <v>953</v>
      </c>
      <c r="D1181" s="13">
        <v>1.0</v>
      </c>
      <c r="E1181" s="13">
        <v>94.0</v>
      </c>
      <c r="F1181" s="13">
        <v>120.0</v>
      </c>
      <c r="G1181" s="6">
        <v>120.0</v>
      </c>
      <c r="H1181" s="6">
        <v>120.0</v>
      </c>
      <c r="I1181" s="6">
        <v>26.0</v>
      </c>
      <c r="J1181" s="10" t="s">
        <v>119</v>
      </c>
      <c r="K1181" s="6">
        <v>637.0</v>
      </c>
      <c r="L1181" s="6" t="s">
        <v>4658</v>
      </c>
      <c r="M1181" s="6" t="s">
        <v>2230</v>
      </c>
    </row>
    <row r="1182" ht="22.5" customHeight="1">
      <c r="A1182" s="14">
        <v>46095.936351909724</v>
      </c>
      <c r="B1182" s="6" t="s">
        <v>2282</v>
      </c>
      <c r="C1182" s="10" t="s">
        <v>950</v>
      </c>
      <c r="D1182" s="13">
        <v>1.0</v>
      </c>
      <c r="E1182" s="13">
        <v>72.0</v>
      </c>
      <c r="F1182" s="13">
        <v>90.0</v>
      </c>
      <c r="G1182" s="6">
        <v>90.0</v>
      </c>
      <c r="H1182" s="6">
        <v>90.0</v>
      </c>
      <c r="I1182" s="6">
        <v>18.0</v>
      </c>
      <c r="J1182" s="10" t="s">
        <v>119</v>
      </c>
      <c r="K1182" s="6">
        <v>636.0</v>
      </c>
      <c r="L1182" s="6" t="s">
        <v>4659</v>
      </c>
      <c r="M1182" s="6" t="s">
        <v>2230</v>
      </c>
    </row>
    <row r="1183" ht="22.5" customHeight="1">
      <c r="A1183" s="14">
        <v>46095.936351620374</v>
      </c>
      <c r="B1183" s="6" t="s">
        <v>2282</v>
      </c>
      <c r="C1183" s="10" t="s">
        <v>528</v>
      </c>
      <c r="D1183" s="13">
        <v>1.0</v>
      </c>
      <c r="E1183" s="13">
        <v>180.0</v>
      </c>
      <c r="F1183" s="13">
        <v>210.0</v>
      </c>
      <c r="G1183" s="6">
        <v>210.0</v>
      </c>
      <c r="H1183" s="6">
        <v>210.0</v>
      </c>
      <c r="I1183" s="6">
        <v>30.0</v>
      </c>
      <c r="J1183" s="10" t="s">
        <v>119</v>
      </c>
      <c r="K1183" s="6">
        <v>635.0</v>
      </c>
      <c r="L1183" s="6" t="s">
        <v>4660</v>
      </c>
      <c r="M1183" s="6" t="s">
        <v>2230</v>
      </c>
    </row>
    <row r="1184" ht="22.5" customHeight="1">
      <c r="A1184" s="14">
        <v>46095.93635131944</v>
      </c>
      <c r="B1184" s="6" t="s">
        <v>2282</v>
      </c>
      <c r="C1184" s="10" t="s">
        <v>858</v>
      </c>
      <c r="D1184" s="13">
        <v>1.0</v>
      </c>
      <c r="E1184" s="13">
        <v>10.845238095238095</v>
      </c>
      <c r="F1184" s="13">
        <v>20.0</v>
      </c>
      <c r="G1184" s="6">
        <v>20.0</v>
      </c>
      <c r="H1184" s="6">
        <v>20.0</v>
      </c>
      <c r="I1184" s="6">
        <v>9.15</v>
      </c>
      <c r="J1184" s="6" t="s">
        <v>54</v>
      </c>
      <c r="K1184" s="6">
        <v>634.0</v>
      </c>
      <c r="L1184" s="6" t="s">
        <v>4662</v>
      </c>
      <c r="M1184" s="6" t="s">
        <v>2230</v>
      </c>
    </row>
    <row r="1185" ht="22.5" customHeight="1">
      <c r="A1185" s="14">
        <v>46095.93635099537</v>
      </c>
      <c r="B1185" s="6" t="s">
        <v>2282</v>
      </c>
      <c r="C1185" s="10" t="s">
        <v>34</v>
      </c>
      <c r="D1185" s="13">
        <v>1.0</v>
      </c>
      <c r="E1185" s="13">
        <v>134.23749999999998</v>
      </c>
      <c r="F1185" s="13">
        <v>300.0</v>
      </c>
      <c r="G1185" s="6">
        <v>300.0</v>
      </c>
      <c r="H1185" s="6">
        <v>300.0</v>
      </c>
      <c r="I1185" s="6">
        <v>165.76</v>
      </c>
      <c r="J1185" s="6" t="s">
        <v>54</v>
      </c>
      <c r="K1185" s="6">
        <v>633.0</v>
      </c>
      <c r="L1185" s="6" t="s">
        <v>4663</v>
      </c>
      <c r="M1185" s="6" t="s">
        <v>2230</v>
      </c>
    </row>
    <row r="1186" ht="22.5" customHeight="1">
      <c r="A1186" s="14">
        <v>46095.93635069444</v>
      </c>
      <c r="B1186" s="6" t="s">
        <v>2282</v>
      </c>
      <c r="C1186" s="10" t="s">
        <v>77</v>
      </c>
      <c r="D1186" s="13">
        <v>1.0</v>
      </c>
      <c r="E1186" s="13">
        <v>197.0</v>
      </c>
      <c r="F1186" s="13">
        <v>420.0</v>
      </c>
      <c r="G1186" s="6">
        <v>420.0</v>
      </c>
      <c r="H1186" s="6">
        <v>420.0</v>
      </c>
      <c r="I1186" s="6">
        <v>223.0</v>
      </c>
      <c r="J1186" s="6" t="s">
        <v>54</v>
      </c>
      <c r="K1186" s="6">
        <v>632.0</v>
      </c>
      <c r="L1186" s="6" t="s">
        <v>4664</v>
      </c>
      <c r="M1186" s="6" t="s">
        <v>2230</v>
      </c>
    </row>
    <row r="1187" ht="22.5" customHeight="1">
      <c r="A1187" s="14">
        <v>46095.936350185184</v>
      </c>
      <c r="B1187" s="6" t="s">
        <v>2282</v>
      </c>
      <c r="C1187" s="10" t="s">
        <v>712</v>
      </c>
      <c r="D1187" s="13">
        <v>1.0</v>
      </c>
      <c r="E1187" s="13">
        <v>7.0</v>
      </c>
      <c r="F1187" s="13">
        <v>20.0</v>
      </c>
      <c r="G1187" s="6">
        <v>20.0</v>
      </c>
      <c r="H1187" s="6">
        <v>20.0</v>
      </c>
      <c r="I1187" s="6">
        <v>13.0</v>
      </c>
      <c r="J1187" s="6" t="s">
        <v>54</v>
      </c>
      <c r="K1187" s="6">
        <v>631.0</v>
      </c>
      <c r="L1187" s="6" t="s">
        <v>4665</v>
      </c>
      <c r="M1187" s="6" t="s">
        <v>2230</v>
      </c>
    </row>
    <row r="1188" ht="22.5" customHeight="1">
      <c r="A1188" s="14">
        <v>46095.936349791664</v>
      </c>
      <c r="B1188" s="6" t="s">
        <v>2282</v>
      </c>
      <c r="C1188" s="10" t="s">
        <v>856</v>
      </c>
      <c r="D1188" s="13">
        <v>4.0</v>
      </c>
      <c r="E1188" s="13">
        <v>4.58</v>
      </c>
      <c r="F1188" s="13">
        <v>5.5</v>
      </c>
      <c r="G1188" s="6">
        <v>5.5</v>
      </c>
      <c r="H1188" s="6">
        <v>22.0</v>
      </c>
      <c r="I1188" s="6">
        <v>3.68</v>
      </c>
      <c r="J1188" s="10" t="s">
        <v>119</v>
      </c>
      <c r="K1188" s="6">
        <v>630.0</v>
      </c>
      <c r="L1188" s="6" t="s">
        <v>4666</v>
      </c>
      <c r="M1188" s="6" t="s">
        <v>2230</v>
      </c>
    </row>
    <row r="1189" ht="22.5" customHeight="1">
      <c r="A1189" s="14">
        <v>46095.936349386575</v>
      </c>
      <c r="B1189" s="6" t="s">
        <v>2282</v>
      </c>
      <c r="C1189" s="10" t="s">
        <v>653</v>
      </c>
      <c r="D1189" s="13">
        <v>1.0</v>
      </c>
      <c r="E1189" s="13">
        <v>165.5</v>
      </c>
      <c r="F1189" s="13">
        <v>210.0</v>
      </c>
      <c r="G1189" s="6">
        <v>210.0</v>
      </c>
      <c r="H1189" s="6">
        <v>210.0</v>
      </c>
      <c r="I1189" s="6">
        <v>44.5</v>
      </c>
      <c r="J1189" s="10" t="s">
        <v>119</v>
      </c>
      <c r="K1189" s="6">
        <v>629.0</v>
      </c>
      <c r="L1189" s="6" t="s">
        <v>4667</v>
      </c>
      <c r="M1189" s="6" t="s">
        <v>2230</v>
      </c>
    </row>
    <row r="1190" ht="22.5" customHeight="1">
      <c r="A1190" s="14">
        <v>46095.93634900463</v>
      </c>
      <c r="B1190" s="6" t="s">
        <v>2282</v>
      </c>
      <c r="C1190" s="10" t="s">
        <v>593</v>
      </c>
      <c r="D1190" s="13">
        <v>3.0</v>
      </c>
      <c r="E1190" s="13">
        <v>50.0</v>
      </c>
      <c r="F1190" s="13">
        <v>75.0</v>
      </c>
      <c r="G1190" s="6">
        <v>75.0</v>
      </c>
      <c r="H1190" s="6">
        <v>225.0</v>
      </c>
      <c r="I1190" s="6">
        <v>75.0</v>
      </c>
      <c r="J1190" s="10" t="s">
        <v>51</v>
      </c>
      <c r="K1190" s="6">
        <v>628.0</v>
      </c>
      <c r="L1190" s="6" t="s">
        <v>4668</v>
      </c>
      <c r="M1190" s="6" t="s">
        <v>2230</v>
      </c>
    </row>
    <row r="1191" ht="22.5" customHeight="1">
      <c r="A1191" s="14">
        <v>46095.93634862269</v>
      </c>
      <c r="B1191" s="6" t="s">
        <v>2282</v>
      </c>
      <c r="C1191" s="10" t="s">
        <v>946</v>
      </c>
      <c r="D1191" s="13">
        <v>2.0</v>
      </c>
      <c r="E1191" s="13">
        <v>75.0</v>
      </c>
      <c r="F1191" s="13">
        <v>100.0</v>
      </c>
      <c r="G1191" s="6">
        <v>100.0</v>
      </c>
      <c r="H1191" s="6">
        <v>200.0</v>
      </c>
      <c r="I1191" s="6">
        <v>50.0</v>
      </c>
      <c r="J1191" s="10" t="s">
        <v>51</v>
      </c>
      <c r="K1191" s="6">
        <v>627.0</v>
      </c>
      <c r="L1191" s="6" t="s">
        <v>4669</v>
      </c>
      <c r="M1191" s="6" t="s">
        <v>2230</v>
      </c>
    </row>
    <row r="1192" ht="22.5" customHeight="1">
      <c r="A1192" s="14">
        <v>46095.93634824074</v>
      </c>
      <c r="B1192" s="6" t="s">
        <v>2282</v>
      </c>
      <c r="C1192" s="10" t="s">
        <v>322</v>
      </c>
      <c r="D1192" s="13">
        <v>2.0</v>
      </c>
      <c r="E1192" s="13">
        <v>75.0</v>
      </c>
      <c r="F1192" s="13">
        <v>120.0</v>
      </c>
      <c r="G1192" s="6">
        <v>120.0</v>
      </c>
      <c r="H1192" s="6">
        <v>240.0</v>
      </c>
      <c r="I1192" s="6">
        <v>90.0</v>
      </c>
      <c r="J1192" s="10" t="s">
        <v>31</v>
      </c>
      <c r="K1192" s="6">
        <v>626.0</v>
      </c>
      <c r="L1192" s="6" t="s">
        <v>4670</v>
      </c>
      <c r="M1192" s="6" t="s">
        <v>2230</v>
      </c>
    </row>
    <row r="1193" ht="22.5" customHeight="1">
      <c r="A1193" s="14">
        <v>46095.93634784722</v>
      </c>
      <c r="B1193" s="6" t="s">
        <v>2282</v>
      </c>
      <c r="C1193" s="10" t="s">
        <v>812</v>
      </c>
      <c r="D1193" s="13">
        <v>4.0</v>
      </c>
      <c r="E1193" s="13">
        <v>15.0</v>
      </c>
      <c r="F1193" s="13">
        <v>20.0</v>
      </c>
      <c r="G1193" s="6">
        <v>20.0</v>
      </c>
      <c r="H1193" s="6">
        <v>80.0</v>
      </c>
      <c r="I1193" s="6">
        <v>20.0</v>
      </c>
      <c r="J1193" s="10" t="s">
        <v>154</v>
      </c>
      <c r="K1193" s="6">
        <v>625.0</v>
      </c>
      <c r="L1193" s="6" t="s">
        <v>4671</v>
      </c>
      <c r="M1193" s="6" t="s">
        <v>2230</v>
      </c>
    </row>
    <row r="1194" ht="22.5" customHeight="1">
      <c r="A1194" s="14">
        <v>46095.936347407405</v>
      </c>
      <c r="B1194" s="6" t="s">
        <v>2282</v>
      </c>
      <c r="C1194" s="10" t="s">
        <v>255</v>
      </c>
      <c r="D1194" s="13">
        <v>1.0</v>
      </c>
      <c r="E1194" s="13">
        <v>35.0</v>
      </c>
      <c r="F1194" s="13">
        <v>50.0</v>
      </c>
      <c r="G1194" s="6">
        <v>50.0</v>
      </c>
      <c r="H1194" s="6">
        <v>50.0</v>
      </c>
      <c r="I1194" s="6">
        <v>15.0</v>
      </c>
      <c r="J1194" s="10" t="s">
        <v>31</v>
      </c>
      <c r="K1194" s="6">
        <v>624.0</v>
      </c>
      <c r="L1194" s="6" t="s">
        <v>4672</v>
      </c>
      <c r="M1194" s="6" t="s">
        <v>2230</v>
      </c>
    </row>
    <row r="1195" ht="22.5" customHeight="1">
      <c r="A1195" s="14">
        <v>46095.93634706018</v>
      </c>
      <c r="B1195" s="6" t="s">
        <v>2282</v>
      </c>
      <c r="C1195" s="10" t="s">
        <v>918</v>
      </c>
      <c r="D1195" s="13">
        <v>1.0</v>
      </c>
      <c r="E1195" s="13">
        <v>135.0</v>
      </c>
      <c r="F1195" s="13">
        <v>170.0</v>
      </c>
      <c r="G1195" s="6">
        <v>170.0</v>
      </c>
      <c r="H1195" s="6">
        <v>170.0</v>
      </c>
      <c r="I1195" s="6">
        <v>35.0</v>
      </c>
      <c r="J1195" s="10" t="s">
        <v>51</v>
      </c>
      <c r="K1195" s="6">
        <v>623.0</v>
      </c>
      <c r="L1195" s="6" t="s">
        <v>4673</v>
      </c>
      <c r="M1195" s="6" t="s">
        <v>2230</v>
      </c>
    </row>
    <row r="1196" ht="22.5" customHeight="1">
      <c r="A1196" s="14">
        <v>46095.93634670139</v>
      </c>
      <c r="B1196" s="6" t="s">
        <v>2282</v>
      </c>
      <c r="C1196" s="10" t="s">
        <v>788</v>
      </c>
      <c r="D1196" s="13">
        <v>1.0</v>
      </c>
      <c r="E1196" s="13">
        <v>85.0</v>
      </c>
      <c r="F1196" s="13">
        <v>110.0</v>
      </c>
      <c r="G1196" s="6">
        <v>110.0</v>
      </c>
      <c r="H1196" s="6">
        <v>110.0</v>
      </c>
      <c r="I1196" s="6">
        <v>25.0</v>
      </c>
      <c r="J1196" s="10" t="s">
        <v>154</v>
      </c>
      <c r="K1196" s="6">
        <v>622.0</v>
      </c>
      <c r="L1196" s="6" t="s">
        <v>4674</v>
      </c>
      <c r="M1196" s="6" t="s">
        <v>2230</v>
      </c>
    </row>
    <row r="1197" ht="22.5" customHeight="1">
      <c r="A1197" s="14">
        <v>46095.93634637732</v>
      </c>
      <c r="B1197" s="6" t="s">
        <v>2282</v>
      </c>
      <c r="C1197" s="10" t="s">
        <v>34</v>
      </c>
      <c r="D1197" s="13">
        <v>1.0</v>
      </c>
      <c r="E1197" s="13">
        <v>134.23749999999998</v>
      </c>
      <c r="F1197" s="13">
        <v>300.0</v>
      </c>
      <c r="G1197" s="6">
        <v>300.0</v>
      </c>
      <c r="H1197" s="6">
        <v>300.0</v>
      </c>
      <c r="I1197" s="6">
        <v>165.76</v>
      </c>
      <c r="J1197" s="6" t="s">
        <v>54</v>
      </c>
      <c r="K1197" s="6">
        <v>621.0</v>
      </c>
      <c r="L1197" s="6" t="s">
        <v>4675</v>
      </c>
      <c r="M1197" s="6" t="s">
        <v>2230</v>
      </c>
    </row>
    <row r="1198" ht="22.5" customHeight="1">
      <c r="A1198" s="14">
        <v>46095.93634600694</v>
      </c>
      <c r="B1198" s="6" t="s">
        <v>2282</v>
      </c>
      <c r="C1198" s="10" t="s">
        <v>77</v>
      </c>
      <c r="D1198" s="13">
        <v>1.0</v>
      </c>
      <c r="E1198" s="13">
        <v>197.0</v>
      </c>
      <c r="F1198" s="13">
        <v>400.0</v>
      </c>
      <c r="G1198" s="6">
        <v>400.0</v>
      </c>
      <c r="H1198" s="6">
        <v>400.0</v>
      </c>
      <c r="I1198" s="6">
        <v>203.0</v>
      </c>
      <c r="J1198" s="6" t="s">
        <v>54</v>
      </c>
      <c r="K1198" s="6">
        <v>620.0</v>
      </c>
      <c r="L1198" s="6" t="s">
        <v>4676</v>
      </c>
      <c r="M1198" s="6" t="s">
        <v>2230</v>
      </c>
    </row>
    <row r="1199" ht="22.5" customHeight="1">
      <c r="A1199" s="14">
        <v>46095.93634564815</v>
      </c>
      <c r="B1199" s="6" t="s">
        <v>2282</v>
      </c>
      <c r="C1199" s="10" t="s">
        <v>902</v>
      </c>
      <c r="D1199" s="13">
        <v>1.0</v>
      </c>
      <c r="E1199" s="13">
        <v>75.0</v>
      </c>
      <c r="F1199" s="13">
        <v>100.0</v>
      </c>
      <c r="G1199" s="6">
        <v>100.0</v>
      </c>
      <c r="H1199" s="6">
        <v>100.0</v>
      </c>
      <c r="I1199" s="6">
        <v>25.0</v>
      </c>
      <c r="J1199" s="10" t="s">
        <v>154</v>
      </c>
      <c r="K1199" s="6">
        <v>619.0</v>
      </c>
      <c r="L1199" s="6" t="s">
        <v>4677</v>
      </c>
      <c r="M1199" s="6" t="s">
        <v>2230</v>
      </c>
    </row>
    <row r="1200" ht="22.5" customHeight="1">
      <c r="A1200" s="14">
        <v>46095.93634532407</v>
      </c>
      <c r="B1200" s="6" t="s">
        <v>2282</v>
      </c>
      <c r="C1200" s="10" t="s">
        <v>699</v>
      </c>
      <c r="D1200" s="13">
        <v>1.0</v>
      </c>
      <c r="E1200" s="13">
        <v>10.0</v>
      </c>
      <c r="F1200" s="13">
        <v>30.0</v>
      </c>
      <c r="G1200" s="6">
        <v>30.0</v>
      </c>
      <c r="H1200" s="6">
        <v>30.0</v>
      </c>
      <c r="I1200" s="6">
        <v>20.0</v>
      </c>
      <c r="J1200" s="6" t="s">
        <v>54</v>
      </c>
      <c r="K1200" s="6">
        <v>618.0</v>
      </c>
      <c r="L1200" s="6" t="s">
        <v>4678</v>
      </c>
      <c r="M1200" s="6" t="s">
        <v>2230</v>
      </c>
    </row>
    <row r="1201" ht="22.5" customHeight="1">
      <c r="A1201" s="14">
        <v>46095.936344965274</v>
      </c>
      <c r="B1201" s="6" t="s">
        <v>2282</v>
      </c>
      <c r="C1201" s="10" t="s">
        <v>933</v>
      </c>
      <c r="D1201" s="13">
        <v>1.0</v>
      </c>
      <c r="E1201" s="13">
        <v>10.0</v>
      </c>
      <c r="F1201" s="13">
        <v>20.0</v>
      </c>
      <c r="G1201" s="6">
        <v>20.0</v>
      </c>
      <c r="H1201" s="6">
        <v>20.0</v>
      </c>
      <c r="I1201" s="6">
        <v>10.0</v>
      </c>
      <c r="J1201" s="10" t="s">
        <v>436</v>
      </c>
      <c r="K1201" s="6">
        <v>617.0</v>
      </c>
      <c r="L1201" s="6" t="s">
        <v>4679</v>
      </c>
      <c r="M1201" s="6" t="s">
        <v>2230</v>
      </c>
    </row>
    <row r="1202" ht="22.5" customHeight="1">
      <c r="A1202" s="14">
        <v>46095.936344594906</v>
      </c>
      <c r="B1202" s="6" t="s">
        <v>2282</v>
      </c>
      <c r="C1202" s="10" t="s">
        <v>91</v>
      </c>
      <c r="D1202" s="13">
        <v>1.0</v>
      </c>
      <c r="E1202" s="13">
        <v>35.0</v>
      </c>
      <c r="F1202" s="13">
        <v>50.0</v>
      </c>
      <c r="G1202" s="6">
        <v>50.0</v>
      </c>
      <c r="H1202" s="6">
        <v>50.0</v>
      </c>
      <c r="I1202" s="6">
        <v>15.0</v>
      </c>
      <c r="J1202" s="10" t="s">
        <v>436</v>
      </c>
      <c r="K1202" s="6">
        <v>616.0</v>
      </c>
      <c r="L1202" s="6" t="s">
        <v>4680</v>
      </c>
      <c r="M1202" s="6" t="s">
        <v>2230</v>
      </c>
    </row>
    <row r="1203" ht="22.5" customHeight="1">
      <c r="A1203" s="14">
        <v>46095.93634425926</v>
      </c>
      <c r="B1203" s="6" t="s">
        <v>2282</v>
      </c>
      <c r="C1203" s="10" t="s">
        <v>159</v>
      </c>
      <c r="D1203" s="13">
        <v>1.0</v>
      </c>
      <c r="E1203" s="13">
        <v>225.0</v>
      </c>
      <c r="F1203" s="13">
        <v>280.0</v>
      </c>
      <c r="G1203" s="6">
        <v>280.0</v>
      </c>
      <c r="H1203" s="6">
        <v>280.0</v>
      </c>
      <c r="I1203" s="6">
        <v>55.0</v>
      </c>
      <c r="J1203" s="10" t="s">
        <v>154</v>
      </c>
      <c r="K1203" s="6">
        <v>615.0</v>
      </c>
      <c r="L1203" s="6" t="s">
        <v>4681</v>
      </c>
      <c r="M1203" s="6" t="s">
        <v>2230</v>
      </c>
    </row>
    <row r="1204" ht="22.5" customHeight="1">
      <c r="A1204" s="14">
        <v>46095.93634395833</v>
      </c>
      <c r="B1204" s="6" t="s">
        <v>2282</v>
      </c>
      <c r="C1204" s="10" t="s">
        <v>593</v>
      </c>
      <c r="D1204" s="13">
        <v>1.0</v>
      </c>
      <c r="E1204" s="13">
        <v>50.0</v>
      </c>
      <c r="F1204" s="13">
        <v>80.0</v>
      </c>
      <c r="G1204" s="6">
        <v>80.0</v>
      </c>
      <c r="H1204" s="6">
        <v>80.0</v>
      </c>
      <c r="I1204" s="6">
        <v>30.0</v>
      </c>
      <c r="J1204" s="10" t="s">
        <v>51</v>
      </c>
      <c r="K1204" s="6">
        <v>614.0</v>
      </c>
      <c r="L1204" s="6" t="s">
        <v>4682</v>
      </c>
      <c r="M1204" s="6" t="s">
        <v>2230</v>
      </c>
    </row>
    <row r="1205" ht="22.5" customHeight="1">
      <c r="A1205" s="37">
        <v>46091.90641239584</v>
      </c>
      <c r="B1205" s="5" t="s">
        <v>2282</v>
      </c>
      <c r="C1205" s="19" t="s">
        <v>330</v>
      </c>
      <c r="D1205" s="17">
        <v>1.0</v>
      </c>
      <c r="E1205" s="17">
        <v>25.833333333333332</v>
      </c>
      <c r="F1205" s="5">
        <v>50.0</v>
      </c>
      <c r="G1205" s="5">
        <v>50.0</v>
      </c>
      <c r="H1205" s="5">
        <v>50.0</v>
      </c>
      <c r="I1205" s="5">
        <v>24.17</v>
      </c>
      <c r="J1205" s="5" t="s">
        <v>54</v>
      </c>
      <c r="K1205" s="5">
        <v>613.0</v>
      </c>
      <c r="L1205" s="5" t="s">
        <v>4683</v>
      </c>
      <c r="M1205" s="5" t="s">
        <v>2230</v>
      </c>
    </row>
    <row r="1206" ht="22.5" customHeight="1">
      <c r="A1206" s="37">
        <v>46091.90641188658</v>
      </c>
      <c r="B1206" s="5" t="s">
        <v>2282</v>
      </c>
      <c r="C1206" s="19" t="s">
        <v>858</v>
      </c>
      <c r="D1206" s="17">
        <v>1.0</v>
      </c>
      <c r="E1206" s="17">
        <v>10.845238095238095</v>
      </c>
      <c r="F1206" s="5">
        <v>25.0</v>
      </c>
      <c r="G1206" s="5">
        <v>25.0</v>
      </c>
      <c r="H1206" s="5">
        <v>25.0</v>
      </c>
      <c r="I1206" s="5">
        <v>14.15</v>
      </c>
      <c r="J1206" s="5" t="s">
        <v>54</v>
      </c>
      <c r="K1206" s="5">
        <v>612.0</v>
      </c>
      <c r="L1206" s="5" t="s">
        <v>4684</v>
      </c>
      <c r="M1206" s="5" t="s">
        <v>2230</v>
      </c>
    </row>
    <row r="1207" ht="22.5" customHeight="1">
      <c r="A1207" s="37">
        <v>46091.90641140046</v>
      </c>
      <c r="B1207" s="5" t="s">
        <v>2282</v>
      </c>
      <c r="C1207" s="19" t="s">
        <v>858</v>
      </c>
      <c r="D1207" s="17">
        <v>2.0</v>
      </c>
      <c r="E1207" s="17">
        <v>10.845238095238095</v>
      </c>
      <c r="F1207" s="5">
        <v>25.0</v>
      </c>
      <c r="G1207" s="5">
        <v>25.0</v>
      </c>
      <c r="H1207" s="5">
        <v>50.0</v>
      </c>
      <c r="I1207" s="5">
        <v>28.31</v>
      </c>
      <c r="J1207" s="5" t="s">
        <v>54</v>
      </c>
      <c r="K1207" s="5">
        <v>611.0</v>
      </c>
      <c r="L1207" s="5" t="s">
        <v>4685</v>
      </c>
      <c r="M1207" s="5" t="s">
        <v>2230</v>
      </c>
    </row>
    <row r="1208" ht="22.5" customHeight="1">
      <c r="A1208" s="37">
        <v>46091.906411006945</v>
      </c>
      <c r="B1208" s="5" t="s">
        <v>2282</v>
      </c>
      <c r="C1208" s="19" t="s">
        <v>941</v>
      </c>
      <c r="D1208" s="17">
        <v>3.0</v>
      </c>
      <c r="E1208" s="17">
        <v>11.25</v>
      </c>
      <c r="F1208" s="5">
        <v>20.0</v>
      </c>
      <c r="G1208" s="5">
        <v>20.0</v>
      </c>
      <c r="H1208" s="5">
        <v>60.0</v>
      </c>
      <c r="I1208" s="5">
        <v>26.25</v>
      </c>
      <c r="J1208" s="5" t="s">
        <v>54</v>
      </c>
      <c r="K1208" s="5">
        <v>610.0</v>
      </c>
      <c r="L1208" s="5" t="s">
        <v>4686</v>
      </c>
      <c r="M1208" s="5" t="s">
        <v>2230</v>
      </c>
    </row>
    <row r="1209" ht="22.5" customHeight="1">
      <c r="A1209" s="37">
        <v>46091.90641055556</v>
      </c>
      <c r="B1209" s="5" t="s">
        <v>2282</v>
      </c>
      <c r="C1209" s="19" t="s">
        <v>255</v>
      </c>
      <c r="D1209" s="17">
        <v>1.0</v>
      </c>
      <c r="E1209" s="17">
        <v>35.0</v>
      </c>
      <c r="F1209" s="5">
        <v>40.0</v>
      </c>
      <c r="G1209" s="5">
        <v>40.0</v>
      </c>
      <c r="H1209" s="5">
        <v>40.0</v>
      </c>
      <c r="I1209" s="5">
        <v>5.0</v>
      </c>
      <c r="J1209" s="19" t="s">
        <v>31</v>
      </c>
      <c r="K1209" s="5">
        <v>609.0</v>
      </c>
      <c r="L1209" s="5" t="s">
        <v>4687</v>
      </c>
      <c r="M1209" s="5" t="s">
        <v>2230</v>
      </c>
    </row>
    <row r="1210" ht="22.5" customHeight="1">
      <c r="A1210" s="37">
        <v>46091.90641019676</v>
      </c>
      <c r="B1210" s="5" t="s">
        <v>2282</v>
      </c>
      <c r="C1210" s="19" t="s">
        <v>220</v>
      </c>
      <c r="D1210" s="17">
        <v>1.0</v>
      </c>
      <c r="E1210" s="17">
        <v>85.0</v>
      </c>
      <c r="F1210" s="5">
        <v>140.0</v>
      </c>
      <c r="G1210" s="5">
        <v>140.0</v>
      </c>
      <c r="H1210" s="5">
        <v>140.0</v>
      </c>
      <c r="I1210" s="5">
        <v>55.0</v>
      </c>
      <c r="J1210" s="19" t="s">
        <v>51</v>
      </c>
      <c r="K1210" s="5">
        <v>608.0</v>
      </c>
      <c r="L1210" s="5" t="s">
        <v>4688</v>
      </c>
      <c r="M1210" s="5" t="s">
        <v>2230</v>
      </c>
    </row>
    <row r="1211" ht="22.5" customHeight="1">
      <c r="A1211" s="37">
        <v>46091.906409814816</v>
      </c>
      <c r="B1211" s="5" t="s">
        <v>2282</v>
      </c>
      <c r="C1211" s="19" t="s">
        <v>309</v>
      </c>
      <c r="D1211" s="17">
        <v>1.0</v>
      </c>
      <c r="E1211" s="17">
        <v>20.0</v>
      </c>
      <c r="F1211" s="5">
        <v>20.0</v>
      </c>
      <c r="G1211" s="5">
        <v>20.0</v>
      </c>
      <c r="H1211" s="5">
        <v>20.0</v>
      </c>
      <c r="I1211" s="5">
        <v>0.0</v>
      </c>
      <c r="J1211" s="19" t="s">
        <v>154</v>
      </c>
      <c r="K1211" s="5">
        <v>607.0</v>
      </c>
      <c r="L1211" s="5" t="s">
        <v>4689</v>
      </c>
      <c r="M1211" s="5" t="s">
        <v>2230</v>
      </c>
    </row>
    <row r="1212" ht="22.5" customHeight="1">
      <c r="A1212" s="37">
        <v>46091.90640930556</v>
      </c>
      <c r="B1212" s="5" t="s">
        <v>2282</v>
      </c>
      <c r="C1212" s="19" t="s">
        <v>356</v>
      </c>
      <c r="D1212" s="17">
        <v>2.0</v>
      </c>
      <c r="E1212" s="17">
        <v>85.0</v>
      </c>
      <c r="F1212" s="5">
        <v>90.0</v>
      </c>
      <c r="G1212" s="5">
        <v>90.0</v>
      </c>
      <c r="H1212" s="5">
        <v>180.0</v>
      </c>
      <c r="I1212" s="5">
        <v>10.0</v>
      </c>
      <c r="J1212" s="19" t="s">
        <v>51</v>
      </c>
      <c r="K1212" s="5">
        <v>606.0</v>
      </c>
      <c r="L1212" s="5" t="s">
        <v>4690</v>
      </c>
      <c r="M1212" s="5" t="s">
        <v>2230</v>
      </c>
    </row>
    <row r="1213" ht="22.5" customHeight="1">
      <c r="A1213" s="37">
        <v>46091.732025543984</v>
      </c>
      <c r="B1213" s="5" t="s">
        <v>2282</v>
      </c>
      <c r="C1213" s="19" t="s">
        <v>933</v>
      </c>
      <c r="D1213" s="17">
        <v>1.0</v>
      </c>
      <c r="E1213" s="17">
        <v>10.0</v>
      </c>
      <c r="F1213" s="5">
        <v>15.0</v>
      </c>
      <c r="G1213" s="5">
        <v>15.0</v>
      </c>
      <c r="H1213" s="5">
        <v>15.0</v>
      </c>
      <c r="I1213" s="5">
        <v>5.0</v>
      </c>
      <c r="J1213" s="19" t="s">
        <v>436</v>
      </c>
      <c r="K1213" s="5">
        <v>605.0</v>
      </c>
      <c r="L1213" s="5" t="s">
        <v>4692</v>
      </c>
      <c r="M1213" s="5" t="s">
        <v>2230</v>
      </c>
    </row>
    <row r="1214" ht="22.5" customHeight="1">
      <c r="A1214" s="37">
        <v>46091.73202510417</v>
      </c>
      <c r="B1214" s="5" t="s">
        <v>2282</v>
      </c>
      <c r="C1214" s="19" t="s">
        <v>91</v>
      </c>
      <c r="D1214" s="17">
        <v>1.0</v>
      </c>
      <c r="E1214" s="17">
        <v>35.0</v>
      </c>
      <c r="F1214" s="5">
        <v>50.0</v>
      </c>
      <c r="G1214" s="5">
        <v>50.0</v>
      </c>
      <c r="H1214" s="5">
        <v>50.0</v>
      </c>
      <c r="I1214" s="5">
        <v>15.0</v>
      </c>
      <c r="J1214" s="19" t="s">
        <v>436</v>
      </c>
      <c r="K1214" s="5">
        <v>604.0</v>
      </c>
      <c r="L1214" s="5" t="s">
        <v>4693</v>
      </c>
      <c r="M1214" s="5" t="s">
        <v>2230</v>
      </c>
    </row>
    <row r="1215" ht="22.5" customHeight="1">
      <c r="A1215" s="37">
        <v>46091.73202444444</v>
      </c>
      <c r="B1215" s="5" t="s">
        <v>2282</v>
      </c>
      <c r="C1215" s="19" t="s">
        <v>159</v>
      </c>
      <c r="D1215" s="17">
        <v>1.0</v>
      </c>
      <c r="E1215" s="17">
        <v>225.0</v>
      </c>
      <c r="F1215" s="5">
        <v>270.0</v>
      </c>
      <c r="G1215" s="5">
        <v>270.0</v>
      </c>
      <c r="H1215" s="5">
        <v>270.0</v>
      </c>
      <c r="I1215" s="5">
        <v>45.0</v>
      </c>
      <c r="J1215" s="19" t="s">
        <v>154</v>
      </c>
      <c r="K1215" s="5">
        <v>603.0</v>
      </c>
      <c r="L1215" s="5" t="s">
        <v>4694</v>
      </c>
      <c r="M1215" s="5" t="s">
        <v>2230</v>
      </c>
    </row>
    <row r="1216" ht="22.5" customHeight="1">
      <c r="A1216" s="37">
        <v>46091.73202387731</v>
      </c>
      <c r="B1216" s="5" t="s">
        <v>2282</v>
      </c>
      <c r="C1216" s="19" t="s">
        <v>255</v>
      </c>
      <c r="D1216" s="17">
        <v>1.0</v>
      </c>
      <c r="E1216" s="17">
        <v>35.0</v>
      </c>
      <c r="F1216" s="5">
        <v>50.0</v>
      </c>
      <c r="G1216" s="5">
        <v>50.0</v>
      </c>
      <c r="H1216" s="5">
        <v>50.0</v>
      </c>
      <c r="I1216" s="5">
        <v>15.0</v>
      </c>
      <c r="J1216" s="19" t="s">
        <v>31</v>
      </c>
      <c r="K1216" s="5">
        <v>602.0</v>
      </c>
      <c r="L1216" s="5" t="s">
        <v>4695</v>
      </c>
      <c r="M1216" s="5" t="s">
        <v>2230</v>
      </c>
    </row>
    <row r="1217" ht="22.5" customHeight="1">
      <c r="A1217" s="37">
        <v>46091.73202335648</v>
      </c>
      <c r="B1217" s="5" t="s">
        <v>2282</v>
      </c>
      <c r="C1217" s="19" t="s">
        <v>918</v>
      </c>
      <c r="D1217" s="17">
        <v>1.0</v>
      </c>
      <c r="E1217" s="17">
        <v>135.0</v>
      </c>
      <c r="F1217" s="5">
        <v>170.0</v>
      </c>
      <c r="G1217" s="5">
        <v>170.0</v>
      </c>
      <c r="H1217" s="5">
        <v>170.0</v>
      </c>
      <c r="I1217" s="5">
        <v>35.0</v>
      </c>
      <c r="J1217" s="19" t="s">
        <v>51</v>
      </c>
      <c r="K1217" s="5">
        <v>601.0</v>
      </c>
      <c r="L1217" s="5" t="s">
        <v>4696</v>
      </c>
      <c r="M1217" s="5" t="s">
        <v>2230</v>
      </c>
    </row>
    <row r="1218" ht="22.5" customHeight="1">
      <c r="A1218" s="37">
        <v>46091.73202285879</v>
      </c>
      <c r="B1218" s="5" t="s">
        <v>2282</v>
      </c>
      <c r="C1218" s="19" t="s">
        <v>898</v>
      </c>
      <c r="D1218" s="17">
        <v>3.0</v>
      </c>
      <c r="E1218" s="17">
        <v>15.0</v>
      </c>
      <c r="F1218" s="5">
        <v>25.0</v>
      </c>
      <c r="G1218" s="5">
        <v>25.0</v>
      </c>
      <c r="H1218" s="5">
        <v>75.0</v>
      </c>
      <c r="I1218" s="5">
        <v>30.0</v>
      </c>
      <c r="J1218" s="19" t="s">
        <v>154</v>
      </c>
      <c r="K1218" s="5">
        <v>600.0</v>
      </c>
      <c r="L1218" s="5" t="s">
        <v>4698</v>
      </c>
      <c r="M1218" s="5" t="s">
        <v>2230</v>
      </c>
    </row>
    <row r="1219" ht="22.5" customHeight="1">
      <c r="A1219" s="37">
        <v>46091.73202239584</v>
      </c>
      <c r="B1219" s="5" t="s">
        <v>2282</v>
      </c>
      <c r="C1219" s="19" t="s">
        <v>356</v>
      </c>
      <c r="D1219" s="17">
        <v>2.0</v>
      </c>
      <c r="E1219" s="17">
        <v>85.0</v>
      </c>
      <c r="F1219" s="5">
        <v>100.0</v>
      </c>
      <c r="G1219" s="5">
        <v>100.0</v>
      </c>
      <c r="H1219" s="5">
        <v>200.0</v>
      </c>
      <c r="I1219" s="5">
        <v>30.0</v>
      </c>
      <c r="J1219" s="19" t="s">
        <v>51</v>
      </c>
      <c r="K1219" s="5">
        <v>599.0</v>
      </c>
      <c r="L1219" s="5" t="s">
        <v>4700</v>
      </c>
      <c r="M1219" s="5" t="s">
        <v>2230</v>
      </c>
    </row>
    <row r="1220" ht="22.5" customHeight="1">
      <c r="A1220" s="37">
        <v>46091.73202196759</v>
      </c>
      <c r="B1220" s="5" t="s">
        <v>2282</v>
      </c>
      <c r="C1220" s="19" t="s">
        <v>194</v>
      </c>
      <c r="D1220" s="17">
        <v>1.0</v>
      </c>
      <c r="E1220" s="17">
        <v>164.17</v>
      </c>
      <c r="F1220" s="5">
        <v>200.0</v>
      </c>
      <c r="G1220" s="5">
        <v>200.0</v>
      </c>
      <c r="H1220" s="5">
        <v>200.0</v>
      </c>
      <c r="I1220" s="5">
        <v>35.83</v>
      </c>
      <c r="J1220" s="19" t="s">
        <v>31</v>
      </c>
      <c r="K1220" s="5">
        <v>598.0</v>
      </c>
      <c r="L1220" s="5" t="s">
        <v>4701</v>
      </c>
      <c r="M1220" s="5" t="s">
        <v>2230</v>
      </c>
    </row>
    <row r="1221" ht="22.5" customHeight="1">
      <c r="A1221" s="37">
        <v>46091.732021550924</v>
      </c>
      <c r="B1221" s="5" t="s">
        <v>2282</v>
      </c>
      <c r="C1221" s="19" t="s">
        <v>334</v>
      </c>
      <c r="D1221" s="17">
        <v>1.0</v>
      </c>
      <c r="E1221" s="17">
        <v>255.0</v>
      </c>
      <c r="F1221" s="5">
        <v>350.0</v>
      </c>
      <c r="G1221" s="5">
        <v>350.0</v>
      </c>
      <c r="H1221" s="5">
        <v>350.0</v>
      </c>
      <c r="I1221" s="5">
        <v>95.0</v>
      </c>
      <c r="J1221" s="19" t="s">
        <v>119</v>
      </c>
      <c r="K1221" s="5">
        <v>597.0</v>
      </c>
      <c r="L1221" s="5" t="s">
        <v>4702</v>
      </c>
      <c r="M1221" s="5" t="s">
        <v>2230</v>
      </c>
    </row>
    <row r="1222" ht="22.5" customHeight="1">
      <c r="A1222" s="37">
        <v>46091.73202105324</v>
      </c>
      <c r="B1222" s="5" t="s">
        <v>2282</v>
      </c>
      <c r="C1222" s="19" t="s">
        <v>898</v>
      </c>
      <c r="D1222" s="17">
        <v>8.0</v>
      </c>
      <c r="E1222" s="17">
        <v>15.0</v>
      </c>
      <c r="F1222" s="5">
        <v>20.0</v>
      </c>
      <c r="G1222" s="5">
        <v>20.0</v>
      </c>
      <c r="H1222" s="5">
        <v>160.0</v>
      </c>
      <c r="I1222" s="5">
        <v>40.0</v>
      </c>
      <c r="J1222" s="19" t="s">
        <v>154</v>
      </c>
      <c r="K1222" s="5">
        <v>596.0</v>
      </c>
      <c r="L1222" s="5" t="s">
        <v>4703</v>
      </c>
      <c r="M1222" s="5" t="s">
        <v>2230</v>
      </c>
    </row>
    <row r="1223" ht="22.5" customHeight="1">
      <c r="A1223" s="37">
        <v>46091.732020625</v>
      </c>
      <c r="B1223" s="5" t="s">
        <v>2282</v>
      </c>
      <c r="C1223" s="19" t="s">
        <v>918</v>
      </c>
      <c r="D1223" s="17">
        <v>2.0</v>
      </c>
      <c r="E1223" s="17">
        <v>135.0</v>
      </c>
      <c r="F1223" s="5">
        <v>170.0</v>
      </c>
      <c r="G1223" s="5">
        <v>170.0</v>
      </c>
      <c r="H1223" s="5">
        <v>340.0</v>
      </c>
      <c r="I1223" s="5">
        <v>70.0</v>
      </c>
      <c r="J1223" s="19" t="s">
        <v>51</v>
      </c>
      <c r="K1223" s="5">
        <v>595.0</v>
      </c>
      <c r="L1223" s="5" t="s">
        <v>4704</v>
      </c>
      <c r="M1223" s="5" t="s">
        <v>2230</v>
      </c>
    </row>
    <row r="1224" ht="22.5" customHeight="1">
      <c r="A1224" s="37">
        <v>46091.73202016204</v>
      </c>
      <c r="B1224" s="5" t="s">
        <v>2282</v>
      </c>
      <c r="C1224" s="19" t="s">
        <v>255</v>
      </c>
      <c r="D1224" s="17">
        <v>2.0</v>
      </c>
      <c r="E1224" s="17">
        <v>35.0</v>
      </c>
      <c r="F1224" s="5">
        <v>50.0</v>
      </c>
      <c r="G1224" s="5">
        <v>50.0</v>
      </c>
      <c r="H1224" s="5">
        <v>100.0</v>
      </c>
      <c r="I1224" s="5">
        <v>30.0</v>
      </c>
      <c r="J1224" s="19" t="s">
        <v>31</v>
      </c>
      <c r="K1224" s="5">
        <v>594.0</v>
      </c>
      <c r="L1224" s="5" t="s">
        <v>4705</v>
      </c>
      <c r="M1224" s="5" t="s">
        <v>2230</v>
      </c>
    </row>
    <row r="1225" ht="22.5" customHeight="1">
      <c r="A1225" s="37">
        <v>46091.73201974537</v>
      </c>
      <c r="B1225" s="5" t="s">
        <v>2282</v>
      </c>
      <c r="C1225" s="19" t="s">
        <v>637</v>
      </c>
      <c r="D1225" s="17">
        <v>1.0</v>
      </c>
      <c r="E1225" s="17">
        <v>167.0</v>
      </c>
      <c r="F1225" s="5">
        <v>205.0</v>
      </c>
      <c r="G1225" s="5">
        <v>205.0</v>
      </c>
      <c r="H1225" s="5">
        <v>205.0</v>
      </c>
      <c r="I1225" s="5">
        <v>38.0</v>
      </c>
      <c r="J1225" s="19" t="s">
        <v>119</v>
      </c>
      <c r="K1225" s="5">
        <v>593.0</v>
      </c>
      <c r="L1225" s="5" t="s">
        <v>4706</v>
      </c>
      <c r="M1225" s="5" t="s">
        <v>2230</v>
      </c>
    </row>
    <row r="1226" ht="22.5" customHeight="1">
      <c r="A1226" s="37">
        <v>46091.73201929398</v>
      </c>
      <c r="B1226" s="5" t="s">
        <v>2282</v>
      </c>
      <c r="C1226" s="19" t="s">
        <v>837</v>
      </c>
      <c r="D1226" s="17">
        <v>1.0</v>
      </c>
      <c r="E1226" s="17">
        <v>17.0</v>
      </c>
      <c r="F1226" s="5">
        <v>25.0</v>
      </c>
      <c r="G1226" s="5">
        <v>25.0</v>
      </c>
      <c r="H1226" s="5">
        <v>25.0</v>
      </c>
      <c r="I1226" s="5">
        <v>8.0</v>
      </c>
      <c r="J1226" s="19" t="s">
        <v>154</v>
      </c>
      <c r="K1226" s="5">
        <v>592.0</v>
      </c>
      <c r="L1226" s="5" t="s">
        <v>4707</v>
      </c>
      <c r="M1226" s="5" t="s">
        <v>2230</v>
      </c>
    </row>
    <row r="1227" ht="22.5" customHeight="1">
      <c r="A1227" s="37">
        <v>46091.73201893519</v>
      </c>
      <c r="B1227" s="5" t="s">
        <v>2282</v>
      </c>
      <c r="C1227" s="19" t="s">
        <v>638</v>
      </c>
      <c r="D1227" s="17">
        <v>0.2</v>
      </c>
      <c r="E1227" s="17">
        <v>100.0</v>
      </c>
      <c r="F1227" s="5">
        <v>150.0</v>
      </c>
      <c r="G1227" s="5">
        <v>150.0</v>
      </c>
      <c r="H1227" s="5">
        <v>30.0</v>
      </c>
      <c r="I1227" s="5">
        <v>10.0</v>
      </c>
      <c r="J1227" s="19" t="s">
        <v>51</v>
      </c>
      <c r="K1227" s="5">
        <v>591.0</v>
      </c>
      <c r="L1227" s="5" t="s">
        <v>4708</v>
      </c>
      <c r="M1227" s="5" t="s">
        <v>2230</v>
      </c>
    </row>
    <row r="1228" ht="22.5" customHeight="1">
      <c r="A1228" s="37">
        <v>46091.732018587965</v>
      </c>
      <c r="B1228" s="5" t="s">
        <v>2282</v>
      </c>
      <c r="C1228" s="19" t="s">
        <v>35</v>
      </c>
      <c r="D1228" s="17">
        <v>1.0</v>
      </c>
      <c r="E1228" s="17">
        <v>1499.0</v>
      </c>
      <c r="F1228" s="5">
        <v>1500.0</v>
      </c>
      <c r="G1228" s="5">
        <v>1500.0</v>
      </c>
      <c r="H1228" s="5">
        <v>1500.0</v>
      </c>
      <c r="I1228" s="5">
        <v>1.0</v>
      </c>
      <c r="J1228" s="19" t="s">
        <v>31</v>
      </c>
      <c r="K1228" s="5">
        <v>590.0</v>
      </c>
      <c r="L1228" s="5" t="s">
        <v>4709</v>
      </c>
      <c r="M1228" s="5" t="s">
        <v>2230</v>
      </c>
    </row>
    <row r="1229" ht="22.5" customHeight="1">
      <c r="A1229" s="37">
        <v>46091.7320181713</v>
      </c>
      <c r="B1229" s="5" t="s">
        <v>2282</v>
      </c>
      <c r="C1229" s="19" t="s">
        <v>85</v>
      </c>
      <c r="D1229" s="17">
        <v>1.0</v>
      </c>
      <c r="E1229" s="17">
        <v>598.33</v>
      </c>
      <c r="F1229" s="5">
        <v>730.0</v>
      </c>
      <c r="G1229" s="5">
        <v>730.0</v>
      </c>
      <c r="H1229" s="5">
        <v>730.0</v>
      </c>
      <c r="I1229" s="5">
        <v>131.67</v>
      </c>
      <c r="J1229" s="19" t="s">
        <v>31</v>
      </c>
      <c r="K1229" s="5">
        <v>589.0</v>
      </c>
      <c r="L1229" s="5" t="s">
        <v>4710</v>
      </c>
      <c r="M1229" s="5" t="s">
        <v>2230</v>
      </c>
    </row>
    <row r="1230" ht="22.5" customHeight="1">
      <c r="A1230" s="37">
        <v>46091.732017789356</v>
      </c>
      <c r="B1230" s="5" t="s">
        <v>2282</v>
      </c>
      <c r="C1230" s="19" t="s">
        <v>194</v>
      </c>
      <c r="D1230" s="17">
        <v>1.0</v>
      </c>
      <c r="E1230" s="17">
        <v>164.17</v>
      </c>
      <c r="F1230" s="5">
        <v>200.0</v>
      </c>
      <c r="G1230" s="5">
        <v>200.0</v>
      </c>
      <c r="H1230" s="5">
        <v>200.0</v>
      </c>
      <c r="I1230" s="5">
        <v>35.83</v>
      </c>
      <c r="J1230" s="19" t="s">
        <v>31</v>
      </c>
      <c r="K1230" s="5">
        <v>588.0</v>
      </c>
      <c r="L1230" s="5" t="s">
        <v>4711</v>
      </c>
      <c r="M1230" s="5" t="s">
        <v>2230</v>
      </c>
    </row>
    <row r="1231" ht="22.5" customHeight="1">
      <c r="A1231" s="37">
        <v>46091.73201736111</v>
      </c>
      <c r="B1231" s="5" t="s">
        <v>2282</v>
      </c>
      <c r="C1231" s="19" t="s">
        <v>356</v>
      </c>
      <c r="D1231" s="17">
        <v>2.0</v>
      </c>
      <c r="E1231" s="17">
        <v>85.0</v>
      </c>
      <c r="F1231" s="5">
        <v>110.0</v>
      </c>
      <c r="G1231" s="5">
        <v>110.0</v>
      </c>
      <c r="H1231" s="5">
        <v>220.0</v>
      </c>
      <c r="I1231" s="5">
        <v>50.0</v>
      </c>
      <c r="J1231" s="19" t="s">
        <v>51</v>
      </c>
      <c r="K1231" s="5">
        <v>587.0</v>
      </c>
      <c r="L1231" s="5" t="s">
        <v>4712</v>
      </c>
      <c r="M1231" s="5" t="s">
        <v>2230</v>
      </c>
    </row>
    <row r="1232" ht="22.5" customHeight="1">
      <c r="A1232" s="37">
        <v>46091.732016932874</v>
      </c>
      <c r="B1232" s="5" t="s">
        <v>2282</v>
      </c>
      <c r="C1232" s="19" t="s">
        <v>330</v>
      </c>
      <c r="D1232" s="17">
        <v>3.0</v>
      </c>
      <c r="E1232" s="17">
        <v>25.833333333333332</v>
      </c>
      <c r="F1232" s="5">
        <v>50.0</v>
      </c>
      <c r="G1232" s="5">
        <v>50.0</v>
      </c>
      <c r="H1232" s="5">
        <v>150.0</v>
      </c>
      <c r="I1232" s="5">
        <v>72.5</v>
      </c>
      <c r="J1232" s="5" t="s">
        <v>54</v>
      </c>
      <c r="K1232" s="5">
        <v>586.0</v>
      </c>
      <c r="L1232" s="5" t="s">
        <v>4713</v>
      </c>
      <c r="M1232" s="5" t="s">
        <v>2230</v>
      </c>
    </row>
    <row r="1233" ht="22.5" customHeight="1">
      <c r="A1233" s="37">
        <v>46089.912815601856</v>
      </c>
      <c r="B1233" s="5" t="s">
        <v>2282</v>
      </c>
      <c r="C1233" s="19" t="s">
        <v>689</v>
      </c>
      <c r="D1233" s="17">
        <v>2.0</v>
      </c>
      <c r="E1233" s="17">
        <v>130.0</v>
      </c>
      <c r="F1233" s="5">
        <v>170.0</v>
      </c>
      <c r="G1233" s="5">
        <v>170.0</v>
      </c>
      <c r="H1233" s="5">
        <v>340.0</v>
      </c>
      <c r="I1233" s="5">
        <v>80.0</v>
      </c>
      <c r="J1233" s="19" t="s">
        <v>119</v>
      </c>
      <c r="K1233" s="17">
        <v>585.0</v>
      </c>
      <c r="L1233" s="5" t="s">
        <v>4714</v>
      </c>
      <c r="M1233" s="5" t="s">
        <v>2230</v>
      </c>
    </row>
    <row r="1234" ht="22.5" customHeight="1">
      <c r="A1234" s="37">
        <v>46089.912815104166</v>
      </c>
      <c r="B1234" s="5" t="s">
        <v>2282</v>
      </c>
      <c r="C1234" s="19" t="s">
        <v>908</v>
      </c>
      <c r="D1234" s="17">
        <v>0.4</v>
      </c>
      <c r="E1234" s="17">
        <v>35.0</v>
      </c>
      <c r="F1234" s="5">
        <v>50.0</v>
      </c>
      <c r="G1234" s="5">
        <v>50.0</v>
      </c>
      <c r="H1234" s="5">
        <v>20.0</v>
      </c>
      <c r="I1234" s="5">
        <v>6.0</v>
      </c>
      <c r="J1234" s="19" t="s">
        <v>154</v>
      </c>
      <c r="K1234" s="17">
        <v>584.0</v>
      </c>
      <c r="L1234" s="5" t="s">
        <v>4715</v>
      </c>
      <c r="M1234" s="5" t="s">
        <v>2230</v>
      </c>
    </row>
    <row r="1235" ht="22.5" customHeight="1">
      <c r="A1235" s="37">
        <v>46089.91281462963</v>
      </c>
      <c r="B1235" s="5" t="s">
        <v>2282</v>
      </c>
      <c r="C1235" s="19" t="s">
        <v>906</v>
      </c>
      <c r="D1235" s="17">
        <v>1.0</v>
      </c>
      <c r="E1235" s="17">
        <v>5.0</v>
      </c>
      <c r="F1235" s="5">
        <v>10.0</v>
      </c>
      <c r="G1235" s="5">
        <v>10.0</v>
      </c>
      <c r="H1235" s="5">
        <v>10.0</v>
      </c>
      <c r="I1235" s="5">
        <v>5.0</v>
      </c>
      <c r="J1235" s="19" t="s">
        <v>1052</v>
      </c>
      <c r="K1235" s="17">
        <v>583.0</v>
      </c>
      <c r="L1235" s="5" t="s">
        <v>4716</v>
      </c>
      <c r="M1235" s="5" t="s">
        <v>2230</v>
      </c>
    </row>
    <row r="1236" ht="22.5" customHeight="1">
      <c r="A1236" s="37">
        <v>46089.912814282405</v>
      </c>
      <c r="B1236" s="5" t="s">
        <v>2282</v>
      </c>
      <c r="C1236" s="19" t="s">
        <v>902</v>
      </c>
      <c r="D1236" s="17">
        <v>1.0</v>
      </c>
      <c r="E1236" s="17">
        <v>75.0</v>
      </c>
      <c r="F1236" s="5">
        <v>100.0</v>
      </c>
      <c r="G1236" s="5">
        <v>100.0</v>
      </c>
      <c r="H1236" s="5">
        <v>100.0</v>
      </c>
      <c r="I1236" s="5">
        <v>25.0</v>
      </c>
      <c r="J1236" s="19" t="s">
        <v>154</v>
      </c>
      <c r="K1236" s="17">
        <v>582.0</v>
      </c>
      <c r="L1236" s="5" t="s">
        <v>4717</v>
      </c>
      <c r="M1236" s="5" t="s">
        <v>2230</v>
      </c>
    </row>
    <row r="1237" ht="22.5" customHeight="1">
      <c r="A1237" s="37">
        <v>46089.91281388889</v>
      </c>
      <c r="B1237" s="5" t="s">
        <v>2282</v>
      </c>
      <c r="C1237" s="19" t="s">
        <v>172</v>
      </c>
      <c r="D1237" s="17">
        <v>1.0</v>
      </c>
      <c r="E1237" s="17">
        <v>28.2</v>
      </c>
      <c r="F1237" s="5">
        <v>40.0</v>
      </c>
      <c r="G1237" s="5">
        <v>40.0</v>
      </c>
      <c r="H1237" s="5">
        <v>40.0</v>
      </c>
      <c r="I1237" s="5">
        <v>11.8</v>
      </c>
      <c r="J1237" s="19" t="s">
        <v>31</v>
      </c>
      <c r="K1237" s="17">
        <v>581.0</v>
      </c>
      <c r="L1237" s="5" t="s">
        <v>4718</v>
      </c>
      <c r="M1237" s="5" t="s">
        <v>2230</v>
      </c>
    </row>
    <row r="1238" ht="22.5" customHeight="1">
      <c r="A1238" s="37">
        <v>46089.91281304398</v>
      </c>
      <c r="B1238" s="5" t="s">
        <v>2282</v>
      </c>
      <c r="C1238" s="19" t="s">
        <v>511</v>
      </c>
      <c r="D1238" s="17">
        <v>2.0</v>
      </c>
      <c r="E1238" s="17">
        <v>40.0</v>
      </c>
      <c r="F1238" s="5">
        <v>85.0</v>
      </c>
      <c r="G1238" s="5">
        <v>85.0</v>
      </c>
      <c r="H1238" s="5">
        <v>170.0</v>
      </c>
      <c r="I1238" s="5">
        <v>90.0</v>
      </c>
      <c r="J1238" s="19" t="s">
        <v>31</v>
      </c>
      <c r="K1238" s="17">
        <v>580.0</v>
      </c>
      <c r="L1238" s="5" t="s">
        <v>4719</v>
      </c>
      <c r="M1238" s="5" t="s">
        <v>2230</v>
      </c>
    </row>
    <row r="1239" ht="22.5" customHeight="1">
      <c r="A1239" s="37">
        <v>46089.91281271991</v>
      </c>
      <c r="B1239" s="5" t="s">
        <v>2282</v>
      </c>
      <c r="C1239" s="19" t="s">
        <v>898</v>
      </c>
      <c r="D1239" s="17">
        <v>6.0</v>
      </c>
      <c r="E1239" s="17">
        <v>15.0</v>
      </c>
      <c r="F1239" s="5">
        <v>25.0</v>
      </c>
      <c r="G1239" s="5">
        <v>25.0</v>
      </c>
      <c r="H1239" s="5">
        <v>150.0</v>
      </c>
      <c r="I1239" s="5">
        <v>60.0</v>
      </c>
      <c r="J1239" s="19" t="s">
        <v>154</v>
      </c>
      <c r="K1239" s="17">
        <v>579.0</v>
      </c>
      <c r="L1239" s="5" t="s">
        <v>4720</v>
      </c>
      <c r="M1239" s="5" t="s">
        <v>2230</v>
      </c>
    </row>
    <row r="1240" ht="22.5" customHeight="1">
      <c r="A1240" s="37">
        <v>46089.912812361115</v>
      </c>
      <c r="B1240" s="5" t="s">
        <v>2282</v>
      </c>
      <c r="C1240" s="19" t="s">
        <v>662</v>
      </c>
      <c r="D1240" s="17">
        <v>2.0</v>
      </c>
      <c r="E1240" s="17">
        <v>50.0</v>
      </c>
      <c r="F1240" s="5">
        <v>75.0</v>
      </c>
      <c r="G1240" s="5">
        <v>75.0</v>
      </c>
      <c r="H1240" s="5">
        <v>150.0</v>
      </c>
      <c r="I1240" s="5">
        <v>50.0</v>
      </c>
      <c r="J1240" s="19" t="s">
        <v>1052</v>
      </c>
      <c r="K1240" s="17">
        <v>578.0</v>
      </c>
      <c r="L1240" s="5" t="s">
        <v>4721</v>
      </c>
      <c r="M1240" s="5" t="s">
        <v>2230</v>
      </c>
    </row>
    <row r="1241" ht="22.5" customHeight="1">
      <c r="A1241" s="37">
        <v>46089.91281212963</v>
      </c>
      <c r="B1241" s="5" t="s">
        <v>2282</v>
      </c>
      <c r="C1241" s="19" t="s">
        <v>645</v>
      </c>
      <c r="D1241" s="17">
        <v>2.0</v>
      </c>
      <c r="E1241" s="17">
        <v>17.0</v>
      </c>
      <c r="F1241" s="5">
        <v>20.0</v>
      </c>
      <c r="G1241" s="5">
        <v>20.0</v>
      </c>
      <c r="H1241" s="5">
        <v>40.0</v>
      </c>
      <c r="I1241" s="5">
        <v>6.0</v>
      </c>
      <c r="J1241" s="19" t="s">
        <v>1052</v>
      </c>
      <c r="K1241" s="17">
        <v>577.0</v>
      </c>
      <c r="L1241" s="5" t="s">
        <v>4722</v>
      </c>
      <c r="M1241" s="5" t="s">
        <v>2230</v>
      </c>
    </row>
    <row r="1242" ht="22.5" customHeight="1">
      <c r="A1242" s="37">
        <v>46089.912811863425</v>
      </c>
      <c r="B1242" s="5" t="s">
        <v>2282</v>
      </c>
      <c r="C1242" s="19" t="s">
        <v>287</v>
      </c>
      <c r="D1242" s="17">
        <v>1.0</v>
      </c>
      <c r="E1242" s="17">
        <v>45.0</v>
      </c>
      <c r="F1242" s="5">
        <v>60.0</v>
      </c>
      <c r="G1242" s="5">
        <v>60.0</v>
      </c>
      <c r="H1242" s="5">
        <v>60.0</v>
      </c>
      <c r="I1242" s="5">
        <v>15.0</v>
      </c>
      <c r="J1242" s="19" t="s">
        <v>31</v>
      </c>
      <c r="K1242" s="17">
        <v>576.0</v>
      </c>
      <c r="L1242" s="5" t="s">
        <v>4723</v>
      </c>
      <c r="M1242" s="5" t="s">
        <v>2230</v>
      </c>
    </row>
    <row r="1243" ht="22.5" customHeight="1">
      <c r="A1243" s="37">
        <v>46089.91281162037</v>
      </c>
      <c r="B1243" s="5" t="s">
        <v>2282</v>
      </c>
      <c r="C1243" s="19" t="s">
        <v>645</v>
      </c>
      <c r="D1243" s="17">
        <v>4.0</v>
      </c>
      <c r="E1243" s="17">
        <v>17.0</v>
      </c>
      <c r="F1243" s="5">
        <v>25.0</v>
      </c>
      <c r="G1243" s="5">
        <v>25.0</v>
      </c>
      <c r="H1243" s="5">
        <v>100.0</v>
      </c>
      <c r="I1243" s="5">
        <v>32.0</v>
      </c>
      <c r="J1243" s="19" t="s">
        <v>1052</v>
      </c>
      <c r="K1243" s="17">
        <v>575.0</v>
      </c>
      <c r="L1243" s="5" t="s">
        <v>4724</v>
      </c>
      <c r="M1243" s="5" t="s">
        <v>2230</v>
      </c>
    </row>
    <row r="1244" ht="22.5" customHeight="1">
      <c r="A1244" s="37">
        <v>46089.9128113426</v>
      </c>
      <c r="B1244" s="5" t="s">
        <v>2282</v>
      </c>
      <c r="C1244" s="19" t="s">
        <v>837</v>
      </c>
      <c r="D1244" s="17">
        <v>2.0</v>
      </c>
      <c r="E1244" s="17">
        <v>17.0</v>
      </c>
      <c r="F1244" s="5">
        <v>20.0</v>
      </c>
      <c r="G1244" s="5">
        <v>20.0</v>
      </c>
      <c r="H1244" s="5">
        <v>40.0</v>
      </c>
      <c r="I1244" s="5">
        <v>6.0</v>
      </c>
      <c r="J1244" s="19" t="s">
        <v>154</v>
      </c>
      <c r="K1244" s="17">
        <v>574.0</v>
      </c>
      <c r="L1244" s="5" t="s">
        <v>4725</v>
      </c>
      <c r="M1244" s="5" t="s">
        <v>2230</v>
      </c>
    </row>
    <row r="1245" ht="22.5" customHeight="1">
      <c r="A1245" s="37">
        <v>46089.912811041664</v>
      </c>
      <c r="B1245" s="5" t="s">
        <v>2282</v>
      </c>
      <c r="C1245" s="19" t="s">
        <v>220</v>
      </c>
      <c r="D1245" s="17">
        <v>1.0</v>
      </c>
      <c r="E1245" s="17">
        <v>85.0</v>
      </c>
      <c r="F1245" s="5">
        <v>140.0</v>
      </c>
      <c r="G1245" s="5">
        <v>140.0</v>
      </c>
      <c r="H1245" s="5">
        <v>140.0</v>
      </c>
      <c r="I1245" s="5">
        <v>55.0</v>
      </c>
      <c r="J1245" s="19" t="s">
        <v>51</v>
      </c>
      <c r="K1245" s="17">
        <v>573.0</v>
      </c>
      <c r="L1245" s="5" t="s">
        <v>4726</v>
      </c>
      <c r="M1245" s="5" t="s">
        <v>2230</v>
      </c>
    </row>
    <row r="1246" ht="22.5" customHeight="1">
      <c r="A1246" s="37">
        <v>46089.91281069444</v>
      </c>
      <c r="B1246" s="5" t="s">
        <v>2282</v>
      </c>
      <c r="C1246" s="19" t="s">
        <v>412</v>
      </c>
      <c r="D1246" s="17">
        <v>1.0</v>
      </c>
      <c r="E1246" s="17">
        <v>195.0</v>
      </c>
      <c r="F1246" s="5">
        <v>240.0</v>
      </c>
      <c r="G1246" s="5">
        <v>240.0</v>
      </c>
      <c r="H1246" s="5">
        <v>240.0</v>
      </c>
      <c r="I1246" s="5">
        <v>45.0</v>
      </c>
      <c r="J1246" s="19" t="s">
        <v>31</v>
      </c>
      <c r="K1246" s="17">
        <v>572.0</v>
      </c>
      <c r="L1246" s="5" t="s">
        <v>4727</v>
      </c>
      <c r="M1246" s="5" t="s">
        <v>2230</v>
      </c>
    </row>
    <row r="1247" ht="22.5" customHeight="1">
      <c r="A1247" s="37">
        <v>46089.91281033565</v>
      </c>
      <c r="B1247" s="5" t="s">
        <v>2282</v>
      </c>
      <c r="C1247" s="19" t="s">
        <v>323</v>
      </c>
      <c r="D1247" s="17">
        <v>1.0</v>
      </c>
      <c r="E1247" s="17">
        <v>275.0</v>
      </c>
      <c r="F1247" s="5">
        <v>330.0</v>
      </c>
      <c r="G1247" s="5">
        <v>330.0</v>
      </c>
      <c r="H1247" s="5">
        <v>330.0</v>
      </c>
      <c r="I1247" s="5">
        <v>55.0</v>
      </c>
      <c r="J1247" s="19" t="s">
        <v>31</v>
      </c>
      <c r="K1247" s="17">
        <v>571.0</v>
      </c>
      <c r="L1247" s="5" t="s">
        <v>4728</v>
      </c>
      <c r="M1247" s="5" t="s">
        <v>2230</v>
      </c>
    </row>
    <row r="1248" ht="22.5" customHeight="1">
      <c r="A1248" s="37">
        <v>46089.91281</v>
      </c>
      <c r="B1248" s="5" t="s">
        <v>2282</v>
      </c>
      <c r="C1248" s="19" t="s">
        <v>246</v>
      </c>
      <c r="D1248" s="17">
        <v>1.0</v>
      </c>
      <c r="E1248" s="17">
        <v>325.0</v>
      </c>
      <c r="F1248" s="5">
        <v>350.0</v>
      </c>
      <c r="G1248" s="5">
        <v>350.0</v>
      </c>
      <c r="H1248" s="5">
        <v>350.0</v>
      </c>
      <c r="I1248" s="5">
        <v>25.0</v>
      </c>
      <c r="J1248" s="19" t="s">
        <v>31</v>
      </c>
      <c r="K1248" s="17">
        <v>570.0</v>
      </c>
      <c r="L1248" s="5" t="s">
        <v>4729</v>
      </c>
      <c r="M1248" s="5" t="s">
        <v>2230</v>
      </c>
    </row>
    <row r="1249" ht="22.5" customHeight="1">
      <c r="A1249" s="37">
        <v>46088.87747792824</v>
      </c>
      <c r="B1249" s="5" t="s">
        <v>2282</v>
      </c>
      <c r="C1249" s="19" t="s">
        <v>287</v>
      </c>
      <c r="D1249" s="17">
        <v>1.0</v>
      </c>
      <c r="E1249" s="17">
        <v>45.0</v>
      </c>
      <c r="F1249" s="5">
        <v>65.0</v>
      </c>
      <c r="G1249" s="5">
        <v>65.0</v>
      </c>
      <c r="H1249" s="5">
        <v>65.0</v>
      </c>
      <c r="I1249" s="5">
        <v>20.0</v>
      </c>
      <c r="J1249" s="19" t="s">
        <v>31</v>
      </c>
      <c r="K1249" s="5">
        <v>569.0</v>
      </c>
      <c r="L1249" s="5" t="s">
        <v>4730</v>
      </c>
      <c r="M1249" s="5" t="s">
        <v>2230</v>
      </c>
    </row>
    <row r="1250" ht="22.5" customHeight="1">
      <c r="A1250" s="37">
        <v>46088.87747761574</v>
      </c>
      <c r="B1250" s="5" t="s">
        <v>2282</v>
      </c>
      <c r="C1250" s="19" t="s">
        <v>478</v>
      </c>
      <c r="D1250" s="17">
        <v>1.0</v>
      </c>
      <c r="E1250" s="17">
        <v>90.0</v>
      </c>
      <c r="F1250" s="5">
        <v>135.0</v>
      </c>
      <c r="G1250" s="5">
        <v>135.0</v>
      </c>
      <c r="H1250" s="5">
        <v>135.0</v>
      </c>
      <c r="I1250" s="5">
        <v>45.0</v>
      </c>
      <c r="J1250" s="19" t="s">
        <v>51</v>
      </c>
      <c r="K1250" s="5">
        <v>568.0</v>
      </c>
      <c r="L1250" s="5" t="s">
        <v>4732</v>
      </c>
      <c r="M1250" s="5" t="s">
        <v>2230</v>
      </c>
    </row>
    <row r="1251" ht="22.5" customHeight="1">
      <c r="A1251" s="37">
        <v>46088.87747730324</v>
      </c>
      <c r="B1251" s="5" t="s">
        <v>2282</v>
      </c>
      <c r="C1251" s="19" t="s">
        <v>858</v>
      </c>
      <c r="D1251" s="17">
        <v>2.0</v>
      </c>
      <c r="E1251" s="17">
        <v>14.083333333333334</v>
      </c>
      <c r="F1251" s="5">
        <v>25.0</v>
      </c>
      <c r="G1251" s="5">
        <v>25.0</v>
      </c>
      <c r="H1251" s="5">
        <v>50.0</v>
      </c>
      <c r="I1251" s="5">
        <v>21.83</v>
      </c>
      <c r="J1251" s="5" t="s">
        <v>54</v>
      </c>
      <c r="K1251" s="5">
        <v>567.0</v>
      </c>
      <c r="L1251" s="5" t="s">
        <v>4733</v>
      </c>
      <c r="M1251" s="5" t="s">
        <v>2230</v>
      </c>
    </row>
    <row r="1252" ht="22.5" customHeight="1">
      <c r="A1252" s="37">
        <v>46088.87642056713</v>
      </c>
      <c r="B1252" s="5" t="s">
        <v>2282</v>
      </c>
      <c r="C1252" s="19" t="s">
        <v>549</v>
      </c>
      <c r="D1252" s="17">
        <v>1.0</v>
      </c>
      <c r="E1252" s="17">
        <v>17.5</v>
      </c>
      <c r="F1252" s="5">
        <v>25.0</v>
      </c>
      <c r="G1252" s="5">
        <v>25.0</v>
      </c>
      <c r="H1252" s="5">
        <v>25.0</v>
      </c>
      <c r="I1252" s="5">
        <v>7.5</v>
      </c>
      <c r="J1252" s="19" t="s">
        <v>119</v>
      </c>
      <c r="K1252" s="5">
        <v>566.0</v>
      </c>
      <c r="L1252" s="5" t="s">
        <v>4734</v>
      </c>
      <c r="M1252" s="5" t="s">
        <v>2230</v>
      </c>
    </row>
    <row r="1253" ht="22.5" customHeight="1">
      <c r="A1253" s="37">
        <v>46088.87642033565</v>
      </c>
      <c r="B1253" s="5" t="s">
        <v>2282</v>
      </c>
      <c r="C1253" s="19" t="s">
        <v>518</v>
      </c>
      <c r="D1253" s="17">
        <v>1.0</v>
      </c>
      <c r="E1253" s="17">
        <v>75.0</v>
      </c>
      <c r="F1253" s="5">
        <v>100.0</v>
      </c>
      <c r="G1253" s="5">
        <v>100.0</v>
      </c>
      <c r="H1253" s="5">
        <v>100.0</v>
      </c>
      <c r="I1253" s="5">
        <v>25.0</v>
      </c>
      <c r="J1253" s="19" t="s">
        <v>51</v>
      </c>
      <c r="K1253" s="5">
        <v>565.0</v>
      </c>
      <c r="L1253" s="5" t="s">
        <v>4736</v>
      </c>
      <c r="M1253" s="5" t="s">
        <v>2230</v>
      </c>
    </row>
    <row r="1254" ht="22.5" customHeight="1">
      <c r="A1254" s="37">
        <v>46088.87642008102</v>
      </c>
      <c r="B1254" s="5" t="s">
        <v>2282</v>
      </c>
      <c r="C1254" s="19" t="s">
        <v>511</v>
      </c>
      <c r="D1254" s="17">
        <v>1.0</v>
      </c>
      <c r="E1254" s="17">
        <v>40.0</v>
      </c>
      <c r="F1254" s="5">
        <v>80.0</v>
      </c>
      <c r="G1254" s="5">
        <v>80.0</v>
      </c>
      <c r="H1254" s="5">
        <v>80.0</v>
      </c>
      <c r="I1254" s="5">
        <v>40.0</v>
      </c>
      <c r="J1254" s="19" t="s">
        <v>31</v>
      </c>
      <c r="K1254" s="5">
        <v>564.0</v>
      </c>
      <c r="L1254" s="5" t="s">
        <v>4737</v>
      </c>
      <c r="M1254" s="5" t="s">
        <v>2230</v>
      </c>
    </row>
    <row r="1255" ht="22.5" customHeight="1">
      <c r="A1255" s="37">
        <v>46088.87641986111</v>
      </c>
      <c r="B1255" s="5" t="s">
        <v>2282</v>
      </c>
      <c r="C1255" s="19" t="s">
        <v>761</v>
      </c>
      <c r="D1255" s="17">
        <v>1.0</v>
      </c>
      <c r="E1255" s="17">
        <v>150.0</v>
      </c>
      <c r="F1255" s="5">
        <v>180.0</v>
      </c>
      <c r="G1255" s="5">
        <v>180.0</v>
      </c>
      <c r="H1255" s="5">
        <v>180.0</v>
      </c>
      <c r="I1255" s="5">
        <v>30.0</v>
      </c>
      <c r="J1255" s="19" t="s">
        <v>119</v>
      </c>
      <c r="K1255" s="5">
        <v>563.0</v>
      </c>
      <c r="L1255" s="5" t="s">
        <v>4739</v>
      </c>
      <c r="M1255" s="5" t="s">
        <v>2230</v>
      </c>
    </row>
    <row r="1256" ht="22.5" customHeight="1">
      <c r="A1256" s="37">
        <v>46088.87641965278</v>
      </c>
      <c r="B1256" s="5" t="s">
        <v>2282</v>
      </c>
      <c r="C1256" s="19" t="s">
        <v>888</v>
      </c>
      <c r="D1256" s="17">
        <v>1.0</v>
      </c>
      <c r="E1256" s="17">
        <v>129.0</v>
      </c>
      <c r="F1256" s="5">
        <v>190.0</v>
      </c>
      <c r="G1256" s="5">
        <v>190.0</v>
      </c>
      <c r="H1256" s="5">
        <v>190.0</v>
      </c>
      <c r="I1256" s="5">
        <v>61.0</v>
      </c>
      <c r="J1256" s="19" t="s">
        <v>119</v>
      </c>
      <c r="K1256" s="5">
        <v>562.0</v>
      </c>
      <c r="L1256" s="5" t="s">
        <v>4740</v>
      </c>
      <c r="M1256" s="5" t="s">
        <v>2230</v>
      </c>
    </row>
    <row r="1257" ht="22.5" customHeight="1">
      <c r="A1257" s="37">
        <v>46088.87641945602</v>
      </c>
      <c r="B1257" s="5" t="s">
        <v>2282</v>
      </c>
      <c r="C1257" s="19" t="s">
        <v>675</v>
      </c>
      <c r="D1257" s="17">
        <v>1.0</v>
      </c>
      <c r="E1257" s="17">
        <v>27.5</v>
      </c>
      <c r="F1257" s="5">
        <v>45.0</v>
      </c>
      <c r="G1257" s="5">
        <v>45.0</v>
      </c>
      <c r="H1257" s="5">
        <v>45.0</v>
      </c>
      <c r="I1257" s="5">
        <v>17.5</v>
      </c>
      <c r="J1257" s="19" t="s">
        <v>119</v>
      </c>
      <c r="K1257" s="5">
        <v>561.0</v>
      </c>
      <c r="L1257" s="5" t="s">
        <v>4741</v>
      </c>
      <c r="M1257" s="5" t="s">
        <v>2230</v>
      </c>
    </row>
    <row r="1258" ht="22.5" customHeight="1">
      <c r="A1258" s="37">
        <v>46088.876419259264</v>
      </c>
      <c r="B1258" s="5" t="s">
        <v>2282</v>
      </c>
      <c r="C1258" s="19" t="s">
        <v>268</v>
      </c>
      <c r="D1258" s="17">
        <v>1.0</v>
      </c>
      <c r="E1258" s="17">
        <v>175.0</v>
      </c>
      <c r="F1258" s="5">
        <v>225.0</v>
      </c>
      <c r="G1258" s="5">
        <v>225.0</v>
      </c>
      <c r="H1258" s="5">
        <v>225.0</v>
      </c>
      <c r="I1258" s="5">
        <v>50.0</v>
      </c>
      <c r="J1258" s="19" t="s">
        <v>154</v>
      </c>
      <c r="K1258" s="5">
        <v>560.0</v>
      </c>
      <c r="L1258" s="5" t="s">
        <v>4742</v>
      </c>
      <c r="M1258" s="5" t="s">
        <v>2230</v>
      </c>
    </row>
    <row r="1259" ht="22.5" customHeight="1">
      <c r="A1259" s="37">
        <v>46088.87641907408</v>
      </c>
      <c r="B1259" s="5" t="s">
        <v>2282</v>
      </c>
      <c r="C1259" s="19" t="s">
        <v>255</v>
      </c>
      <c r="D1259" s="17">
        <v>1.0</v>
      </c>
      <c r="E1259" s="17">
        <v>35.0</v>
      </c>
      <c r="F1259" s="5">
        <v>50.0</v>
      </c>
      <c r="G1259" s="5">
        <v>50.0</v>
      </c>
      <c r="H1259" s="5">
        <v>50.0</v>
      </c>
      <c r="I1259" s="5">
        <v>15.0</v>
      </c>
      <c r="J1259" s="19" t="s">
        <v>31</v>
      </c>
      <c r="K1259" s="5">
        <v>559.0</v>
      </c>
      <c r="L1259" s="5" t="s">
        <v>4743</v>
      </c>
      <c r="M1259" s="5" t="s">
        <v>2230</v>
      </c>
    </row>
    <row r="1260" ht="22.5" customHeight="1">
      <c r="A1260" s="37">
        <v>46088.87641888889</v>
      </c>
      <c r="B1260" s="5" t="s">
        <v>2282</v>
      </c>
      <c r="C1260" s="19" t="s">
        <v>885</v>
      </c>
      <c r="D1260" s="17">
        <v>1.0</v>
      </c>
      <c r="E1260" s="17">
        <v>135.0</v>
      </c>
      <c r="F1260" s="5">
        <v>180.0</v>
      </c>
      <c r="G1260" s="5">
        <v>180.0</v>
      </c>
      <c r="H1260" s="5">
        <v>180.0</v>
      </c>
      <c r="I1260" s="5">
        <v>45.0</v>
      </c>
      <c r="J1260" s="19" t="s">
        <v>154</v>
      </c>
      <c r="K1260" s="5">
        <v>558.0</v>
      </c>
      <c r="L1260" s="5" t="s">
        <v>4744</v>
      </c>
      <c r="M1260" s="5" t="s">
        <v>2230</v>
      </c>
    </row>
    <row r="1261" ht="22.5" customHeight="1">
      <c r="A1261" s="37">
        <v>46085.95631207176</v>
      </c>
      <c r="B1261" s="5" t="s">
        <v>2282</v>
      </c>
      <c r="C1261" s="19" t="s">
        <v>858</v>
      </c>
      <c r="D1261" s="17">
        <v>4.0</v>
      </c>
      <c r="E1261" s="17">
        <v>14.083333333333334</v>
      </c>
      <c r="F1261" s="5">
        <v>25.0</v>
      </c>
      <c r="G1261" s="5">
        <v>25.0</v>
      </c>
      <c r="H1261" s="5">
        <v>100.0</v>
      </c>
      <c r="I1261" s="5">
        <v>43.67</v>
      </c>
      <c r="J1261" s="19"/>
      <c r="K1261" s="5">
        <v>554.0</v>
      </c>
      <c r="L1261" s="5" t="s">
        <v>4745</v>
      </c>
      <c r="M1261" s="5" t="s">
        <v>2230</v>
      </c>
    </row>
    <row r="1262" ht="22.5" customHeight="1">
      <c r="A1262" s="37">
        <v>46085.955495057875</v>
      </c>
      <c r="B1262" s="5" t="s">
        <v>2282</v>
      </c>
      <c r="C1262" s="19" t="s">
        <v>693</v>
      </c>
      <c r="D1262" s="17">
        <v>1.0</v>
      </c>
      <c r="E1262" s="17">
        <v>160.0</v>
      </c>
      <c r="F1262" s="5">
        <v>200.0</v>
      </c>
      <c r="G1262" s="5">
        <v>200.0</v>
      </c>
      <c r="H1262" s="5">
        <v>200.0</v>
      </c>
      <c r="I1262" s="5">
        <v>40.0</v>
      </c>
      <c r="J1262" s="19" t="s">
        <v>119</v>
      </c>
      <c r="K1262" s="5">
        <v>555.0</v>
      </c>
      <c r="L1262" s="5" t="s">
        <v>4746</v>
      </c>
      <c r="M1262" s="5" t="s">
        <v>2230</v>
      </c>
    </row>
    <row r="1263" ht="22.5" customHeight="1">
      <c r="A1263" s="37">
        <v>46085.954254745375</v>
      </c>
      <c r="B1263" s="5" t="s">
        <v>2282</v>
      </c>
      <c r="C1263" s="19" t="s">
        <v>882</v>
      </c>
      <c r="D1263" s="17">
        <v>1.0</v>
      </c>
      <c r="E1263" s="17">
        <v>12.5</v>
      </c>
      <c r="F1263" s="5">
        <v>15.0</v>
      </c>
      <c r="G1263" s="5">
        <v>15.0</v>
      </c>
      <c r="H1263" s="5">
        <v>15.0</v>
      </c>
      <c r="I1263" s="5">
        <v>2.5</v>
      </c>
      <c r="J1263" s="19" t="s">
        <v>119</v>
      </c>
      <c r="K1263" s="5">
        <v>557.0</v>
      </c>
      <c r="L1263" s="5" t="s">
        <v>4747</v>
      </c>
      <c r="M1263" s="5" t="s">
        <v>2230</v>
      </c>
    </row>
    <row r="1264" ht="22.5" customHeight="1">
      <c r="A1264" s="37">
        <v>46085.954254537035</v>
      </c>
      <c r="B1264" s="5" t="s">
        <v>2282</v>
      </c>
      <c r="C1264" s="19" t="s">
        <v>879</v>
      </c>
      <c r="D1264" s="17">
        <v>2.0</v>
      </c>
      <c r="E1264" s="17">
        <v>3.25</v>
      </c>
      <c r="F1264" s="5">
        <v>5.0</v>
      </c>
      <c r="G1264" s="5">
        <v>5.0</v>
      </c>
      <c r="H1264" s="5">
        <v>10.0</v>
      </c>
      <c r="I1264" s="5">
        <v>3.5</v>
      </c>
      <c r="J1264" s="19"/>
      <c r="K1264" s="5">
        <v>556.0</v>
      </c>
      <c r="L1264" s="5" t="s">
        <v>4748</v>
      </c>
      <c r="M1264" s="5" t="s">
        <v>2230</v>
      </c>
    </row>
    <row r="1265" ht="22.5" customHeight="1">
      <c r="A1265" s="37">
        <v>46085.954254236116</v>
      </c>
      <c r="B1265" s="5" t="s">
        <v>2282</v>
      </c>
      <c r="C1265" s="19" t="s">
        <v>255</v>
      </c>
      <c r="D1265" s="17">
        <v>1.0</v>
      </c>
      <c r="E1265" s="17">
        <v>35.0</v>
      </c>
      <c r="F1265" s="5">
        <v>50.0</v>
      </c>
      <c r="G1265" s="5">
        <v>50.0</v>
      </c>
      <c r="H1265" s="5">
        <v>50.0</v>
      </c>
      <c r="I1265" s="5">
        <v>15.0</v>
      </c>
      <c r="J1265" s="19" t="s">
        <v>31</v>
      </c>
      <c r="K1265" s="5">
        <v>553.0</v>
      </c>
      <c r="L1265" s="5" t="s">
        <v>4749</v>
      </c>
      <c r="M1265" s="5" t="s">
        <v>2230</v>
      </c>
    </row>
    <row r="1266" ht="22.5" customHeight="1">
      <c r="A1266" s="37">
        <v>46085.954254027776</v>
      </c>
      <c r="B1266" s="5" t="s">
        <v>2282</v>
      </c>
      <c r="C1266" s="19" t="s">
        <v>220</v>
      </c>
      <c r="D1266" s="17">
        <v>1.0</v>
      </c>
      <c r="E1266" s="17">
        <v>85.0</v>
      </c>
      <c r="F1266" s="5">
        <v>150.0</v>
      </c>
      <c r="G1266" s="5">
        <v>150.0</v>
      </c>
      <c r="H1266" s="5">
        <v>150.0</v>
      </c>
      <c r="I1266" s="5">
        <v>65.0</v>
      </c>
      <c r="J1266" s="19" t="s">
        <v>51</v>
      </c>
      <c r="K1266" s="5">
        <v>552.0</v>
      </c>
      <c r="L1266" s="5" t="s">
        <v>4750</v>
      </c>
      <c r="M1266" s="5" t="s">
        <v>2230</v>
      </c>
    </row>
    <row r="1267" ht="22.5" customHeight="1">
      <c r="A1267" s="37">
        <v>46085.954253819444</v>
      </c>
      <c r="B1267" s="5" t="s">
        <v>2282</v>
      </c>
      <c r="C1267" s="19" t="s">
        <v>788</v>
      </c>
      <c r="D1267" s="17">
        <v>1.0</v>
      </c>
      <c r="E1267" s="17">
        <v>85.0</v>
      </c>
      <c r="F1267" s="5">
        <v>130.0</v>
      </c>
      <c r="G1267" s="5">
        <v>130.0</v>
      </c>
      <c r="H1267" s="5">
        <v>130.0</v>
      </c>
      <c r="I1267" s="5">
        <v>45.0</v>
      </c>
      <c r="J1267" s="19" t="s">
        <v>154</v>
      </c>
      <c r="K1267" s="5">
        <v>551.0</v>
      </c>
      <c r="L1267" s="5" t="s">
        <v>4751</v>
      </c>
      <c r="M1267" s="5" t="s">
        <v>2230</v>
      </c>
    </row>
    <row r="1268" ht="22.5" customHeight="1">
      <c r="A1268" s="37">
        <v>46085.95425362268</v>
      </c>
      <c r="B1268" s="5" t="s">
        <v>2282</v>
      </c>
      <c r="C1268" s="19" t="s">
        <v>392</v>
      </c>
      <c r="D1268" s="17">
        <v>1.0</v>
      </c>
      <c r="E1268" s="17">
        <v>65.0</v>
      </c>
      <c r="F1268" s="5">
        <v>85.0</v>
      </c>
      <c r="G1268" s="5">
        <v>85.0</v>
      </c>
      <c r="H1268" s="5">
        <v>85.0</v>
      </c>
      <c r="I1268" s="5">
        <v>20.0</v>
      </c>
      <c r="J1268" s="19" t="s">
        <v>31</v>
      </c>
      <c r="K1268" s="5">
        <v>550.0</v>
      </c>
      <c r="L1268" s="5" t="s">
        <v>4752</v>
      </c>
      <c r="M1268" s="5" t="s">
        <v>2230</v>
      </c>
    </row>
    <row r="1269" ht="22.5" customHeight="1">
      <c r="A1269" s="37">
        <v>46085.954253449076</v>
      </c>
      <c r="B1269" s="5" t="s">
        <v>2282</v>
      </c>
      <c r="C1269" s="19" t="s">
        <v>871</v>
      </c>
      <c r="D1269" s="17">
        <v>1.0</v>
      </c>
      <c r="E1269" s="17">
        <v>90.0</v>
      </c>
      <c r="F1269" s="5">
        <v>100.0</v>
      </c>
      <c r="G1269" s="5">
        <v>100.0</v>
      </c>
      <c r="H1269" s="5">
        <v>100.0</v>
      </c>
      <c r="I1269" s="5">
        <v>10.0</v>
      </c>
      <c r="J1269" s="19" t="s">
        <v>154</v>
      </c>
      <c r="K1269" s="5">
        <v>549.0</v>
      </c>
      <c r="L1269" s="5" t="s">
        <v>4753</v>
      </c>
      <c r="M1269" s="5" t="s">
        <v>2230</v>
      </c>
    </row>
    <row r="1270" ht="22.5" customHeight="1">
      <c r="A1270" s="37">
        <v>46085.954253275464</v>
      </c>
      <c r="B1270" s="5" t="s">
        <v>2282</v>
      </c>
      <c r="C1270" s="19" t="s">
        <v>841</v>
      </c>
      <c r="D1270" s="17">
        <v>1.0</v>
      </c>
      <c r="E1270" s="17">
        <v>15.0</v>
      </c>
      <c r="F1270" s="5">
        <v>40.0</v>
      </c>
      <c r="G1270" s="5">
        <v>40.0</v>
      </c>
      <c r="H1270" s="5">
        <v>40.0</v>
      </c>
      <c r="I1270" s="5">
        <v>25.0</v>
      </c>
      <c r="J1270" s="5"/>
      <c r="K1270" s="5">
        <v>548.0</v>
      </c>
      <c r="L1270" s="5" t="s">
        <v>4754</v>
      </c>
      <c r="M1270" s="5" t="s">
        <v>2230</v>
      </c>
    </row>
    <row r="1271" ht="22.5" customHeight="1">
      <c r="A1271" s="37">
        <v>46083.00889243056</v>
      </c>
      <c r="B1271" s="5" t="s">
        <v>2282</v>
      </c>
      <c r="C1271" s="19" t="s">
        <v>865</v>
      </c>
      <c r="D1271" s="17">
        <v>1.0</v>
      </c>
      <c r="E1271" s="17">
        <v>125.0</v>
      </c>
      <c r="F1271" s="17">
        <v>200.0</v>
      </c>
      <c r="G1271" s="5">
        <v>200.0</v>
      </c>
      <c r="H1271" s="5">
        <v>200.0</v>
      </c>
      <c r="I1271" s="5">
        <v>75.0</v>
      </c>
      <c r="J1271" s="19" t="s">
        <v>51</v>
      </c>
      <c r="K1271" s="5">
        <v>544.0</v>
      </c>
      <c r="L1271" s="5" t="s">
        <v>4755</v>
      </c>
      <c r="M1271" s="5" t="s">
        <v>2230</v>
      </c>
    </row>
    <row r="1272" ht="22.5" customHeight="1">
      <c r="A1272" s="37">
        <v>46083.007717650464</v>
      </c>
      <c r="B1272" s="5" t="s">
        <v>2282</v>
      </c>
      <c r="C1272" s="19" t="s">
        <v>586</v>
      </c>
      <c r="D1272" s="17">
        <v>1.0</v>
      </c>
      <c r="E1272" s="17">
        <v>34.0</v>
      </c>
      <c r="F1272" s="17">
        <v>35.0</v>
      </c>
      <c r="G1272" s="5">
        <v>35.0</v>
      </c>
      <c r="H1272" s="5">
        <v>35.0</v>
      </c>
      <c r="I1272" s="5">
        <v>1.0</v>
      </c>
      <c r="J1272" s="19" t="s">
        <v>581</v>
      </c>
      <c r="K1272" s="5">
        <v>547.0</v>
      </c>
      <c r="L1272" s="5" t="s">
        <v>4756</v>
      </c>
      <c r="M1272" s="5" t="s">
        <v>2230</v>
      </c>
    </row>
    <row r="1273" ht="22.5" customHeight="1">
      <c r="A1273" s="37">
        <v>46083.00771723379</v>
      </c>
      <c r="B1273" s="5" t="s">
        <v>2282</v>
      </c>
      <c r="C1273" s="19" t="s">
        <v>478</v>
      </c>
      <c r="D1273" s="17">
        <v>1.0</v>
      </c>
      <c r="E1273" s="17">
        <v>90.0</v>
      </c>
      <c r="F1273" s="17">
        <v>135.0</v>
      </c>
      <c r="G1273" s="5">
        <v>135.0</v>
      </c>
      <c r="H1273" s="5">
        <v>135.0</v>
      </c>
      <c r="I1273" s="5">
        <v>45.0</v>
      </c>
      <c r="J1273" s="19" t="s">
        <v>31</v>
      </c>
      <c r="K1273" s="5">
        <v>546.0</v>
      </c>
      <c r="L1273" s="5" t="s">
        <v>4757</v>
      </c>
      <c r="M1273" s="5" t="s">
        <v>2230</v>
      </c>
    </row>
    <row r="1274" ht="22.5" customHeight="1">
      <c r="A1274" s="37">
        <v>46083.00771641204</v>
      </c>
      <c r="B1274" s="5" t="s">
        <v>2282</v>
      </c>
      <c r="C1274" s="19" t="s">
        <v>268</v>
      </c>
      <c r="D1274" s="17">
        <v>1.0</v>
      </c>
      <c r="E1274" s="17">
        <v>170.0</v>
      </c>
      <c r="F1274" s="17">
        <v>215.0</v>
      </c>
      <c r="G1274" s="5">
        <v>215.0</v>
      </c>
      <c r="H1274" s="5">
        <v>215.0</v>
      </c>
      <c r="I1274" s="5">
        <v>45.0</v>
      </c>
      <c r="J1274" s="19" t="s">
        <v>581</v>
      </c>
      <c r="K1274" s="5">
        <v>545.0</v>
      </c>
      <c r="L1274" s="5" t="s">
        <v>4758</v>
      </c>
      <c r="M1274" s="5" t="s">
        <v>2230</v>
      </c>
    </row>
    <row r="1275" ht="22.5" customHeight="1">
      <c r="A1275" s="37">
        <v>46083.00771505787</v>
      </c>
      <c r="B1275" s="5" t="s">
        <v>2282</v>
      </c>
      <c r="C1275" s="19" t="s">
        <v>79</v>
      </c>
      <c r="D1275" s="17">
        <v>1.0</v>
      </c>
      <c r="E1275" s="17">
        <v>60.0</v>
      </c>
      <c r="F1275" s="17">
        <v>85.0</v>
      </c>
      <c r="G1275" s="5">
        <v>85.0</v>
      </c>
      <c r="H1275" s="5">
        <v>85.0</v>
      </c>
      <c r="I1275" s="5">
        <v>25.0</v>
      </c>
      <c r="J1275" s="19" t="s">
        <v>31</v>
      </c>
      <c r="K1275" s="5">
        <v>543.0</v>
      </c>
      <c r="L1275" s="5" t="s">
        <v>4759</v>
      </c>
      <c r="M1275" s="5" t="s">
        <v>2230</v>
      </c>
    </row>
    <row r="1276" ht="22.5" customHeight="1">
      <c r="A1276" s="37">
        <v>46083.007714548614</v>
      </c>
      <c r="B1276" s="5" t="s">
        <v>2282</v>
      </c>
      <c r="C1276" s="19" t="s">
        <v>733</v>
      </c>
      <c r="D1276" s="17">
        <v>1.0</v>
      </c>
      <c r="E1276" s="17">
        <v>26.0</v>
      </c>
      <c r="F1276" s="17">
        <v>40.0</v>
      </c>
      <c r="G1276" s="5">
        <v>40.0</v>
      </c>
      <c r="H1276" s="5">
        <v>40.0</v>
      </c>
      <c r="I1276" s="5">
        <v>14.0</v>
      </c>
      <c r="J1276" s="19" t="s">
        <v>1052</v>
      </c>
      <c r="K1276" s="5">
        <v>542.0</v>
      </c>
      <c r="L1276" s="5" t="s">
        <v>4760</v>
      </c>
      <c r="M1276" s="5" t="s">
        <v>2230</v>
      </c>
    </row>
    <row r="1277" ht="22.5" customHeight="1">
      <c r="A1277" s="37">
        <v>46083.0077140625</v>
      </c>
      <c r="B1277" s="5" t="s">
        <v>2282</v>
      </c>
      <c r="C1277" s="19" t="s">
        <v>863</v>
      </c>
      <c r="D1277" s="17">
        <v>1.0</v>
      </c>
      <c r="E1277" s="17">
        <v>30.0</v>
      </c>
      <c r="F1277" s="17">
        <v>70.0</v>
      </c>
      <c r="G1277" s="5">
        <v>70.0</v>
      </c>
      <c r="H1277" s="5">
        <v>70.0</v>
      </c>
      <c r="I1277" s="5">
        <v>40.0</v>
      </c>
      <c r="J1277" s="5" t="s">
        <v>54</v>
      </c>
      <c r="K1277" s="5">
        <v>541.0</v>
      </c>
      <c r="L1277" s="5" t="s">
        <v>4761</v>
      </c>
      <c r="M1277" s="5" t="s">
        <v>2230</v>
      </c>
    </row>
    <row r="1278" ht="22.5" customHeight="1">
      <c r="A1278" s="37">
        <v>46083.00771362269</v>
      </c>
      <c r="B1278" s="5" t="s">
        <v>2282</v>
      </c>
      <c r="C1278" s="19" t="s">
        <v>79</v>
      </c>
      <c r="D1278" s="17">
        <v>1.0</v>
      </c>
      <c r="E1278" s="17">
        <v>60.0</v>
      </c>
      <c r="F1278" s="17">
        <v>80.0</v>
      </c>
      <c r="G1278" s="5">
        <v>80.0</v>
      </c>
      <c r="H1278" s="5">
        <v>80.0</v>
      </c>
      <c r="I1278" s="5">
        <v>20.0</v>
      </c>
      <c r="J1278" s="19" t="s">
        <v>31</v>
      </c>
      <c r="K1278" s="5">
        <v>540.0</v>
      </c>
      <c r="L1278" s="5" t="s">
        <v>4762</v>
      </c>
      <c r="M1278" s="5" t="s">
        <v>2230</v>
      </c>
    </row>
    <row r="1279" ht="22.5" customHeight="1">
      <c r="A1279" s="37">
        <v>46083.00771310185</v>
      </c>
      <c r="B1279" s="5" t="s">
        <v>2282</v>
      </c>
      <c r="C1279" s="19" t="s">
        <v>667</v>
      </c>
      <c r="D1279" s="17">
        <v>1.0</v>
      </c>
      <c r="E1279" s="17">
        <v>55.0</v>
      </c>
      <c r="F1279" s="17">
        <v>70.0</v>
      </c>
      <c r="G1279" s="5">
        <v>70.0</v>
      </c>
      <c r="H1279" s="5">
        <v>70.0</v>
      </c>
      <c r="I1279" s="5">
        <v>15.0</v>
      </c>
      <c r="J1279" s="19" t="s">
        <v>1052</v>
      </c>
      <c r="K1279" s="5">
        <v>539.0</v>
      </c>
      <c r="L1279" s="5" t="s">
        <v>4763</v>
      </c>
      <c r="M1279" s="5" t="s">
        <v>2230</v>
      </c>
    </row>
    <row r="1280" ht="22.5" customHeight="1">
      <c r="A1280" s="37">
        <v>46083.007712199076</v>
      </c>
      <c r="B1280" s="5" t="s">
        <v>2282</v>
      </c>
      <c r="C1280" s="19" t="s">
        <v>645</v>
      </c>
      <c r="D1280" s="17">
        <v>2.0</v>
      </c>
      <c r="E1280" s="17">
        <v>17.0</v>
      </c>
      <c r="F1280" s="17">
        <v>25.0</v>
      </c>
      <c r="G1280" s="5">
        <v>25.0</v>
      </c>
      <c r="H1280" s="5">
        <v>50.0</v>
      </c>
      <c r="I1280" s="5">
        <v>16.0</v>
      </c>
      <c r="J1280" s="19" t="s">
        <v>1052</v>
      </c>
      <c r="K1280" s="5">
        <v>538.0</v>
      </c>
      <c r="L1280" s="5" t="s">
        <v>4764</v>
      </c>
      <c r="M1280" s="5" t="s">
        <v>2230</v>
      </c>
    </row>
    <row r="1281" ht="22.5" customHeight="1">
      <c r="A1281" s="37">
        <v>46083.007711388884</v>
      </c>
      <c r="B1281" s="5" t="s">
        <v>2282</v>
      </c>
      <c r="C1281" s="19" t="s">
        <v>268</v>
      </c>
      <c r="D1281" s="17">
        <v>1.0</v>
      </c>
      <c r="E1281" s="17">
        <v>170.0</v>
      </c>
      <c r="F1281" s="17">
        <v>200.0</v>
      </c>
      <c r="G1281" s="5">
        <v>200.0</v>
      </c>
      <c r="H1281" s="5">
        <v>200.0</v>
      </c>
      <c r="I1281" s="5">
        <v>30.0</v>
      </c>
      <c r="J1281" s="19" t="s">
        <v>581</v>
      </c>
      <c r="K1281" s="5">
        <v>537.0</v>
      </c>
      <c r="L1281" s="5" t="s">
        <v>4765</v>
      </c>
      <c r="M1281" s="5" t="s">
        <v>2230</v>
      </c>
    </row>
    <row r="1282" ht="22.5" customHeight="1">
      <c r="A1282" s="37">
        <v>46081.95361546296</v>
      </c>
      <c r="B1282" s="5" t="s">
        <v>2282</v>
      </c>
      <c r="C1282" s="19" t="s">
        <v>858</v>
      </c>
      <c r="D1282" s="17">
        <v>4.0</v>
      </c>
      <c r="E1282" s="17">
        <v>15.166666666666666</v>
      </c>
      <c r="F1282" s="17">
        <v>25.0</v>
      </c>
      <c r="G1282" s="5">
        <v>25.0</v>
      </c>
      <c r="H1282" s="5">
        <v>100.0</v>
      </c>
      <c r="I1282" s="5">
        <v>39.33</v>
      </c>
      <c r="J1282" s="5" t="s">
        <v>54</v>
      </c>
      <c r="K1282" s="5">
        <v>533.0</v>
      </c>
      <c r="L1282" s="5" t="s">
        <v>4766</v>
      </c>
      <c r="M1282" s="5" t="s">
        <v>2230</v>
      </c>
    </row>
    <row r="1283" ht="22.5" customHeight="1">
      <c r="A1283" s="37">
        <v>46081.93887583334</v>
      </c>
      <c r="B1283" s="5" t="s">
        <v>2282</v>
      </c>
      <c r="C1283" s="19" t="s">
        <v>861</v>
      </c>
      <c r="D1283" s="17">
        <v>1.0</v>
      </c>
      <c r="E1283" s="17">
        <v>23.33</v>
      </c>
      <c r="F1283" s="17">
        <v>35.0</v>
      </c>
      <c r="G1283" s="5">
        <v>35.0</v>
      </c>
      <c r="H1283" s="5">
        <v>35.0</v>
      </c>
      <c r="I1283" s="5">
        <v>11.67</v>
      </c>
      <c r="J1283" s="5"/>
      <c r="K1283" s="5">
        <v>536.0</v>
      </c>
      <c r="L1283" s="5" t="s">
        <v>4767</v>
      </c>
      <c r="M1283" s="5" t="s">
        <v>2230</v>
      </c>
    </row>
    <row r="1284" ht="22.5" customHeight="1">
      <c r="A1284" s="37">
        <v>46081.9388755324</v>
      </c>
      <c r="B1284" s="5" t="s">
        <v>2282</v>
      </c>
      <c r="C1284" s="19" t="s">
        <v>144</v>
      </c>
      <c r="D1284" s="17">
        <v>2.0</v>
      </c>
      <c r="E1284" s="17">
        <v>140.0</v>
      </c>
      <c r="F1284" s="17">
        <v>160.0</v>
      </c>
      <c r="G1284" s="5">
        <v>160.0</v>
      </c>
      <c r="H1284" s="5">
        <v>320.0</v>
      </c>
      <c r="I1284" s="5">
        <v>40.0</v>
      </c>
      <c r="J1284" s="5"/>
      <c r="K1284" s="5">
        <v>535.0</v>
      </c>
      <c r="L1284" s="5" t="s">
        <v>4768</v>
      </c>
      <c r="M1284" s="5" t="s">
        <v>2230</v>
      </c>
    </row>
    <row r="1285" ht="22.5" customHeight="1">
      <c r="A1285" s="37">
        <v>46081.93887524305</v>
      </c>
      <c r="B1285" s="5" t="s">
        <v>2282</v>
      </c>
      <c r="C1285" s="19" t="s">
        <v>858</v>
      </c>
      <c r="D1285" s="17">
        <v>2.0</v>
      </c>
      <c r="E1285" s="17">
        <v>15.166666666666666</v>
      </c>
      <c r="F1285" s="17">
        <v>25.0</v>
      </c>
      <c r="G1285" s="5">
        <v>25.0</v>
      </c>
      <c r="H1285" s="5">
        <v>50.0</v>
      </c>
      <c r="I1285" s="5">
        <v>19.67</v>
      </c>
      <c r="J1285" s="5" t="s">
        <v>54</v>
      </c>
      <c r="K1285" s="5">
        <v>534.0</v>
      </c>
      <c r="L1285" s="5" t="s">
        <v>4769</v>
      </c>
      <c r="M1285" s="5" t="s">
        <v>2230</v>
      </c>
    </row>
    <row r="1286" ht="22.5" customHeight="1">
      <c r="A1286" s="37">
        <v>46081.938874837964</v>
      </c>
      <c r="B1286" s="5" t="s">
        <v>2282</v>
      </c>
      <c r="C1286" s="19" t="s">
        <v>802</v>
      </c>
      <c r="D1286" s="17">
        <v>1.0</v>
      </c>
      <c r="E1286" s="17">
        <v>53.33</v>
      </c>
      <c r="F1286" s="17">
        <v>70.0</v>
      </c>
      <c r="G1286" s="5">
        <v>70.0</v>
      </c>
      <c r="H1286" s="5">
        <v>70.0</v>
      </c>
      <c r="I1286" s="5">
        <v>16.67</v>
      </c>
      <c r="J1286" s="19"/>
      <c r="K1286" s="5">
        <v>532.0</v>
      </c>
      <c r="L1286" s="5" t="s">
        <v>4770</v>
      </c>
      <c r="M1286" s="5" t="s">
        <v>2230</v>
      </c>
    </row>
    <row r="1287" ht="22.5" customHeight="1">
      <c r="A1287" s="37">
        <v>46081.93887450232</v>
      </c>
      <c r="B1287" s="5" t="s">
        <v>2282</v>
      </c>
      <c r="C1287" s="19" t="s">
        <v>575</v>
      </c>
      <c r="D1287" s="17">
        <v>1.0</v>
      </c>
      <c r="E1287" s="17">
        <v>4.5</v>
      </c>
      <c r="F1287" s="17">
        <v>10.0</v>
      </c>
      <c r="G1287" s="5">
        <v>10.0</v>
      </c>
      <c r="H1287" s="5">
        <v>10.0</v>
      </c>
      <c r="I1287" s="5">
        <v>5.5</v>
      </c>
      <c r="J1287" s="19" t="s">
        <v>119</v>
      </c>
      <c r="K1287" s="5">
        <v>531.0</v>
      </c>
      <c r="L1287" s="5" t="s">
        <v>4771</v>
      </c>
      <c r="M1287" s="5" t="s">
        <v>2230</v>
      </c>
    </row>
    <row r="1288" ht="22.5" customHeight="1">
      <c r="A1288" s="37">
        <v>46081.93887420138</v>
      </c>
      <c r="B1288" s="5" t="s">
        <v>2282</v>
      </c>
      <c r="C1288" s="19" t="s">
        <v>856</v>
      </c>
      <c r="D1288" s="17">
        <v>4.0</v>
      </c>
      <c r="E1288" s="17">
        <v>4.58</v>
      </c>
      <c r="F1288" s="17">
        <v>15.0</v>
      </c>
      <c r="G1288" s="5">
        <v>15.0</v>
      </c>
      <c r="H1288" s="5">
        <v>60.0</v>
      </c>
      <c r="I1288" s="5">
        <v>41.68</v>
      </c>
      <c r="J1288" s="19" t="s">
        <v>119</v>
      </c>
      <c r="K1288" s="5">
        <v>530.0</v>
      </c>
      <c r="L1288" s="5" t="s">
        <v>4772</v>
      </c>
      <c r="M1288" s="5" t="s">
        <v>2230</v>
      </c>
    </row>
    <row r="1289" ht="22.5" customHeight="1">
      <c r="A1289" s="37">
        <v>46079.74090013889</v>
      </c>
      <c r="B1289" s="5" t="s">
        <v>2282</v>
      </c>
      <c r="C1289" s="19" t="s">
        <v>852</v>
      </c>
      <c r="D1289" s="17">
        <v>2.0</v>
      </c>
      <c r="E1289" s="17">
        <v>10.0</v>
      </c>
      <c r="F1289" s="17">
        <v>15.0</v>
      </c>
      <c r="G1289" s="5">
        <v>15.0</v>
      </c>
      <c r="H1289" s="5">
        <v>30.0</v>
      </c>
      <c r="I1289" s="5">
        <v>10.0</v>
      </c>
      <c r="J1289" s="19" t="s">
        <v>154</v>
      </c>
      <c r="K1289" s="5">
        <v>529.0</v>
      </c>
      <c r="L1289" s="5" t="s">
        <v>4773</v>
      </c>
      <c r="M1289" s="5" t="s">
        <v>2230</v>
      </c>
    </row>
    <row r="1290" ht="22.5" customHeight="1">
      <c r="A1290" s="37">
        <v>46079.7408999537</v>
      </c>
      <c r="B1290" s="5" t="s">
        <v>2282</v>
      </c>
      <c r="C1290" s="19" t="s">
        <v>470</v>
      </c>
      <c r="D1290" s="17">
        <v>1.2</v>
      </c>
      <c r="E1290" s="17">
        <v>75.0</v>
      </c>
      <c r="F1290" s="17">
        <v>150.0</v>
      </c>
      <c r="G1290" s="5">
        <v>150.0</v>
      </c>
      <c r="H1290" s="5">
        <v>180.0</v>
      </c>
      <c r="I1290" s="5">
        <v>90.0</v>
      </c>
      <c r="J1290" s="19" t="s">
        <v>31</v>
      </c>
      <c r="K1290" s="5">
        <v>528.0</v>
      </c>
      <c r="L1290" s="5" t="s">
        <v>4774</v>
      </c>
      <c r="M1290" s="5" t="s">
        <v>2230</v>
      </c>
    </row>
    <row r="1291" ht="22.5" customHeight="1">
      <c r="A1291" s="37">
        <v>46079.740899756944</v>
      </c>
      <c r="B1291" s="5" t="s">
        <v>2282</v>
      </c>
      <c r="C1291" s="19" t="s">
        <v>848</v>
      </c>
      <c r="D1291" s="17">
        <v>1.0</v>
      </c>
      <c r="E1291" s="17">
        <v>120.0</v>
      </c>
      <c r="F1291" s="17">
        <v>160.0</v>
      </c>
      <c r="G1291" s="5">
        <v>160.0</v>
      </c>
      <c r="H1291" s="5">
        <v>160.0</v>
      </c>
      <c r="I1291" s="5">
        <v>40.0</v>
      </c>
      <c r="J1291" s="19" t="s">
        <v>154</v>
      </c>
      <c r="K1291" s="5">
        <v>527.0</v>
      </c>
      <c r="L1291" s="5" t="s">
        <v>4775</v>
      </c>
      <c r="M1291" s="5" t="s">
        <v>2230</v>
      </c>
    </row>
    <row r="1292" ht="22.5" customHeight="1">
      <c r="A1292" s="37">
        <v>46079.74089960648</v>
      </c>
      <c r="B1292" s="5" t="s">
        <v>2282</v>
      </c>
      <c r="C1292" s="19" t="s">
        <v>144</v>
      </c>
      <c r="D1292" s="17">
        <v>5.0</v>
      </c>
      <c r="E1292" s="17">
        <v>140.0</v>
      </c>
      <c r="F1292" s="17">
        <v>150.0</v>
      </c>
      <c r="G1292" s="5">
        <v>150.0</v>
      </c>
      <c r="H1292" s="5">
        <v>750.0</v>
      </c>
      <c r="I1292" s="5">
        <v>50.0</v>
      </c>
      <c r="J1292" s="19"/>
      <c r="K1292" s="5">
        <v>526.0</v>
      </c>
      <c r="L1292" s="5" t="s">
        <v>4776</v>
      </c>
      <c r="M1292" s="5" t="s">
        <v>2230</v>
      </c>
    </row>
    <row r="1293" ht="22.5" customHeight="1">
      <c r="A1293" s="37">
        <v>46077.92772148148</v>
      </c>
      <c r="B1293" s="5" t="s">
        <v>2282</v>
      </c>
      <c r="C1293" s="19" t="s">
        <v>404</v>
      </c>
      <c r="D1293" s="17">
        <v>1.0</v>
      </c>
      <c r="E1293" s="17">
        <v>75.0</v>
      </c>
      <c r="F1293" s="17">
        <v>100.0</v>
      </c>
      <c r="G1293" s="5">
        <v>100.0</v>
      </c>
      <c r="H1293" s="5">
        <v>100.0</v>
      </c>
      <c r="I1293" s="5">
        <v>25.0</v>
      </c>
      <c r="J1293" s="19" t="s">
        <v>31</v>
      </c>
      <c r="K1293" s="5">
        <v>524.0</v>
      </c>
      <c r="L1293" s="5" t="s">
        <v>4777</v>
      </c>
      <c r="M1293" s="5" t="s">
        <v>2230</v>
      </c>
    </row>
    <row r="1294" ht="22.5" customHeight="1">
      <c r="A1294" s="37">
        <v>46077.92720348379</v>
      </c>
      <c r="B1294" s="5" t="s">
        <v>2282</v>
      </c>
      <c r="C1294" s="19" t="s">
        <v>726</v>
      </c>
      <c r="D1294" s="17">
        <v>2.0</v>
      </c>
      <c r="E1294" s="17">
        <v>30.0</v>
      </c>
      <c r="F1294" s="17">
        <v>40.0</v>
      </c>
      <c r="G1294" s="5">
        <v>40.0</v>
      </c>
      <c r="H1294" s="5">
        <v>80.0</v>
      </c>
      <c r="I1294" s="5">
        <v>20.0</v>
      </c>
      <c r="J1294" s="19" t="s">
        <v>31</v>
      </c>
      <c r="K1294" s="5">
        <v>525.0</v>
      </c>
      <c r="L1294" s="5" t="s">
        <v>4778</v>
      </c>
      <c r="M1294" s="5" t="s">
        <v>2230</v>
      </c>
    </row>
    <row r="1295" ht="22.5" customHeight="1">
      <c r="A1295" s="37">
        <v>46075.98762827546</v>
      </c>
      <c r="B1295" s="5" t="s">
        <v>2282</v>
      </c>
      <c r="C1295" s="19" t="s">
        <v>272</v>
      </c>
      <c r="D1295" s="17">
        <v>1.0</v>
      </c>
      <c r="E1295" s="17">
        <v>300.0</v>
      </c>
      <c r="F1295" s="17">
        <v>300.0</v>
      </c>
      <c r="G1295" s="5">
        <v>300.0</v>
      </c>
      <c r="H1295" s="5">
        <v>300.0</v>
      </c>
      <c r="I1295" s="5">
        <v>0.0</v>
      </c>
      <c r="J1295" s="19" t="s">
        <v>31</v>
      </c>
      <c r="K1295" s="5">
        <v>520.0</v>
      </c>
      <c r="L1295" s="5" t="s">
        <v>4779</v>
      </c>
      <c r="M1295" s="5" t="s">
        <v>2230</v>
      </c>
    </row>
    <row r="1296" ht="22.5" customHeight="1">
      <c r="A1296" s="37">
        <v>46075.98743388889</v>
      </c>
      <c r="B1296" s="5" t="s">
        <v>2282</v>
      </c>
      <c r="C1296" s="19" t="s">
        <v>845</v>
      </c>
      <c r="D1296" s="17">
        <v>1.0</v>
      </c>
      <c r="E1296" s="17">
        <v>115.0</v>
      </c>
      <c r="F1296" s="17">
        <v>145.0</v>
      </c>
      <c r="G1296" s="5">
        <v>145.0</v>
      </c>
      <c r="H1296" s="5">
        <v>145.0</v>
      </c>
      <c r="I1296" s="5">
        <v>30.0</v>
      </c>
      <c r="J1296" s="19" t="s">
        <v>119</v>
      </c>
      <c r="K1296" s="5">
        <v>523.0</v>
      </c>
      <c r="L1296" s="5" t="s">
        <v>4780</v>
      </c>
      <c r="M1296" s="5" t="s">
        <v>2230</v>
      </c>
    </row>
    <row r="1297" ht="22.5" customHeight="1">
      <c r="A1297" s="37">
        <v>46075.98743364583</v>
      </c>
      <c r="B1297" s="5" t="s">
        <v>2282</v>
      </c>
      <c r="C1297" s="19" t="s">
        <v>144</v>
      </c>
      <c r="D1297" s="17">
        <v>1.0</v>
      </c>
      <c r="E1297" s="17">
        <v>140.0</v>
      </c>
      <c r="F1297" s="17">
        <v>165.0</v>
      </c>
      <c r="G1297" s="5">
        <v>165.0</v>
      </c>
      <c r="H1297" s="5">
        <v>165.0</v>
      </c>
      <c r="I1297" s="5">
        <v>25.0</v>
      </c>
      <c r="J1297" s="19"/>
      <c r="K1297" s="5">
        <v>522.0</v>
      </c>
      <c r="L1297" s="5" t="s">
        <v>4781</v>
      </c>
      <c r="M1297" s="5" t="s">
        <v>2230</v>
      </c>
    </row>
    <row r="1298" ht="22.5" customHeight="1">
      <c r="A1298" s="37">
        <v>46075.98743335648</v>
      </c>
      <c r="B1298" s="5" t="s">
        <v>2282</v>
      </c>
      <c r="C1298" s="19" t="s">
        <v>235</v>
      </c>
      <c r="D1298" s="17">
        <v>2.0</v>
      </c>
      <c r="E1298" s="17">
        <v>75.0</v>
      </c>
      <c r="F1298" s="17">
        <v>90.0</v>
      </c>
      <c r="G1298" s="5">
        <v>90.0</v>
      </c>
      <c r="H1298" s="5">
        <v>180.0</v>
      </c>
      <c r="I1298" s="5">
        <v>30.0</v>
      </c>
      <c r="J1298" s="19" t="s">
        <v>31</v>
      </c>
      <c r="K1298" s="5">
        <v>521.0</v>
      </c>
      <c r="L1298" s="5" t="s">
        <v>4782</v>
      </c>
      <c r="M1298" s="5" t="s">
        <v>2230</v>
      </c>
    </row>
    <row r="1299" ht="22.5" customHeight="1">
      <c r="A1299" s="37">
        <v>46075.025193090274</v>
      </c>
      <c r="B1299" s="5" t="s">
        <v>2282</v>
      </c>
      <c r="C1299" s="19" t="s">
        <v>633</v>
      </c>
      <c r="D1299" s="17">
        <v>1.0</v>
      </c>
      <c r="E1299" s="17">
        <v>128.0</v>
      </c>
      <c r="F1299" s="17">
        <v>170.0</v>
      </c>
      <c r="G1299" s="5">
        <v>170.0</v>
      </c>
      <c r="H1299" s="5">
        <v>170.0</v>
      </c>
      <c r="I1299" s="5">
        <v>42.0</v>
      </c>
      <c r="J1299" s="19" t="s">
        <v>119</v>
      </c>
      <c r="K1299" s="5">
        <v>518.0</v>
      </c>
      <c r="L1299" s="5" t="s">
        <v>4783</v>
      </c>
      <c r="M1299" s="5" t="s">
        <v>2230</v>
      </c>
    </row>
    <row r="1300" ht="22.5" customHeight="1">
      <c r="A1300" s="37">
        <v>46075.02285815972</v>
      </c>
      <c r="B1300" s="5" t="s">
        <v>2282</v>
      </c>
      <c r="C1300" s="19" t="s">
        <v>77</v>
      </c>
      <c r="D1300" s="17">
        <v>1.0</v>
      </c>
      <c r="E1300" s="17">
        <v>315.0</v>
      </c>
      <c r="F1300" s="17">
        <v>430.0</v>
      </c>
      <c r="G1300" s="5">
        <v>430.0</v>
      </c>
      <c r="H1300" s="5">
        <v>430.0</v>
      </c>
      <c r="I1300" s="5">
        <v>115.0</v>
      </c>
      <c r="J1300" s="5" t="s">
        <v>54</v>
      </c>
      <c r="K1300" s="5">
        <v>519.0</v>
      </c>
      <c r="L1300" s="5" t="s">
        <v>4784</v>
      </c>
      <c r="M1300" s="5" t="s">
        <v>2230</v>
      </c>
    </row>
    <row r="1301" ht="22.5" customHeight="1">
      <c r="A1301" s="37">
        <v>46074.01785899306</v>
      </c>
      <c r="B1301" s="5" t="s">
        <v>2282</v>
      </c>
      <c r="C1301" s="19" t="s">
        <v>841</v>
      </c>
      <c r="D1301" s="17">
        <v>1.0</v>
      </c>
      <c r="E1301" s="17">
        <v>15.0</v>
      </c>
      <c r="F1301" s="17">
        <v>40.0</v>
      </c>
      <c r="G1301" s="5">
        <v>40.0</v>
      </c>
      <c r="H1301" s="5">
        <v>40.0</v>
      </c>
      <c r="I1301" s="5">
        <v>25.0</v>
      </c>
      <c r="J1301" s="19"/>
      <c r="K1301" s="5">
        <v>517.0</v>
      </c>
      <c r="L1301" s="5" t="s">
        <v>4785</v>
      </c>
      <c r="M1301" s="5" t="s">
        <v>2230</v>
      </c>
    </row>
    <row r="1302" ht="22.5" customHeight="1">
      <c r="A1302" s="37">
        <v>46074.01785878472</v>
      </c>
      <c r="B1302" s="5" t="s">
        <v>2282</v>
      </c>
      <c r="C1302" s="19" t="s">
        <v>287</v>
      </c>
      <c r="D1302" s="17">
        <v>2.0</v>
      </c>
      <c r="E1302" s="17">
        <v>45.0</v>
      </c>
      <c r="F1302" s="17">
        <v>65.0</v>
      </c>
      <c r="G1302" s="5">
        <v>65.0</v>
      </c>
      <c r="H1302" s="5">
        <v>130.0</v>
      </c>
      <c r="I1302" s="5">
        <v>40.0</v>
      </c>
      <c r="J1302" s="19" t="s">
        <v>31</v>
      </c>
      <c r="K1302" s="5">
        <v>516.0</v>
      </c>
      <c r="L1302" s="5" t="s">
        <v>4786</v>
      </c>
      <c r="M1302" s="5" t="s">
        <v>2230</v>
      </c>
    </row>
    <row r="1303" ht="22.5" customHeight="1">
      <c r="A1303" s="37">
        <v>46072.94327236111</v>
      </c>
      <c r="B1303" s="5" t="s">
        <v>2282</v>
      </c>
      <c r="C1303" s="19" t="s">
        <v>500</v>
      </c>
      <c r="D1303" s="17">
        <v>1.0</v>
      </c>
      <c r="E1303" s="17">
        <v>125.0</v>
      </c>
      <c r="F1303" s="5">
        <v>150.0</v>
      </c>
      <c r="G1303" s="5">
        <v>150.0</v>
      </c>
      <c r="H1303" s="5">
        <v>150.0</v>
      </c>
      <c r="I1303" s="5">
        <v>25.0</v>
      </c>
      <c r="J1303" s="19" t="s">
        <v>51</v>
      </c>
      <c r="K1303" s="5">
        <v>515.0</v>
      </c>
      <c r="L1303" s="5" t="s">
        <v>4787</v>
      </c>
      <c r="M1303" s="5" t="s">
        <v>2230</v>
      </c>
    </row>
    <row r="1304" ht="22.5" customHeight="1">
      <c r="A1304" s="37">
        <v>46072.94327215278</v>
      </c>
      <c r="B1304" s="5" t="s">
        <v>2282</v>
      </c>
      <c r="C1304" s="19" t="s">
        <v>325</v>
      </c>
      <c r="D1304" s="17">
        <v>1.0</v>
      </c>
      <c r="E1304" s="17">
        <v>95.0</v>
      </c>
      <c r="F1304" s="5">
        <v>125.0</v>
      </c>
      <c r="G1304" s="5">
        <v>125.0</v>
      </c>
      <c r="H1304" s="5">
        <v>125.0</v>
      </c>
      <c r="I1304" s="5">
        <v>30.0</v>
      </c>
      <c r="J1304" s="19" t="s">
        <v>31</v>
      </c>
      <c r="K1304" s="5">
        <v>514.0</v>
      </c>
      <c r="L1304" s="5" t="s">
        <v>4788</v>
      </c>
      <c r="M1304" s="5" t="s">
        <v>2230</v>
      </c>
    </row>
    <row r="1305" ht="22.5" customHeight="1">
      <c r="A1305" s="37">
        <v>46072.94327195601</v>
      </c>
      <c r="B1305" s="5" t="s">
        <v>2282</v>
      </c>
      <c r="C1305" s="19" t="s">
        <v>837</v>
      </c>
      <c r="D1305" s="17">
        <v>2.0</v>
      </c>
      <c r="E1305" s="17">
        <v>17.0</v>
      </c>
      <c r="F1305" s="5">
        <v>25.0</v>
      </c>
      <c r="G1305" s="5">
        <v>25.0</v>
      </c>
      <c r="H1305" s="5">
        <v>50.0</v>
      </c>
      <c r="I1305" s="5">
        <v>16.0</v>
      </c>
      <c r="J1305" s="19" t="s">
        <v>154</v>
      </c>
      <c r="K1305" s="5">
        <v>513.0</v>
      </c>
      <c r="L1305" s="5" t="s">
        <v>4789</v>
      </c>
      <c r="M1305" s="5" t="s">
        <v>2230</v>
      </c>
    </row>
    <row r="1306" ht="22.5" customHeight="1">
      <c r="A1306" s="37">
        <v>46072.943271701384</v>
      </c>
      <c r="B1306" s="5" t="s">
        <v>2282</v>
      </c>
      <c r="C1306" s="19" t="s">
        <v>500</v>
      </c>
      <c r="D1306" s="17">
        <v>1.0</v>
      </c>
      <c r="E1306" s="17">
        <v>125.0</v>
      </c>
      <c r="F1306" s="5">
        <v>150.0</v>
      </c>
      <c r="G1306" s="5">
        <v>150.0</v>
      </c>
      <c r="H1306" s="5">
        <v>150.0</v>
      </c>
      <c r="I1306" s="5">
        <v>25.0</v>
      </c>
      <c r="J1306" s="19" t="s">
        <v>51</v>
      </c>
      <c r="K1306" s="5">
        <v>512.0</v>
      </c>
      <c r="L1306" s="5" t="s">
        <v>4790</v>
      </c>
      <c r="M1306" s="5" t="s">
        <v>2230</v>
      </c>
    </row>
    <row r="1307" ht="22.5" customHeight="1">
      <c r="A1307" s="37">
        <v>46072.94327148148</v>
      </c>
      <c r="B1307" s="5" t="s">
        <v>2282</v>
      </c>
      <c r="C1307" s="19" t="s">
        <v>325</v>
      </c>
      <c r="D1307" s="17">
        <v>1.0</v>
      </c>
      <c r="E1307" s="17">
        <v>95.0</v>
      </c>
      <c r="F1307" s="5">
        <v>125.0</v>
      </c>
      <c r="G1307" s="5">
        <v>125.0</v>
      </c>
      <c r="H1307" s="5">
        <v>125.0</v>
      </c>
      <c r="I1307" s="5">
        <v>30.0</v>
      </c>
      <c r="J1307" s="19" t="s">
        <v>31</v>
      </c>
      <c r="K1307" s="5">
        <v>511.0</v>
      </c>
      <c r="L1307" s="5" t="s">
        <v>4791</v>
      </c>
      <c r="M1307" s="5" t="s">
        <v>2230</v>
      </c>
    </row>
    <row r="1308" ht="22.5" customHeight="1">
      <c r="A1308" s="37">
        <v>46072.94327128472</v>
      </c>
      <c r="B1308" s="5" t="s">
        <v>2282</v>
      </c>
      <c r="C1308" s="19" t="s">
        <v>322</v>
      </c>
      <c r="D1308" s="17">
        <v>2.0</v>
      </c>
      <c r="E1308" s="17">
        <v>75.0</v>
      </c>
      <c r="F1308" s="5">
        <v>110.0</v>
      </c>
      <c r="G1308" s="5">
        <v>110.0</v>
      </c>
      <c r="H1308" s="5">
        <v>220.0</v>
      </c>
      <c r="I1308" s="5">
        <v>70.0</v>
      </c>
      <c r="J1308" s="19" t="s">
        <v>31</v>
      </c>
      <c r="K1308" s="5">
        <v>510.0</v>
      </c>
      <c r="L1308" s="5" t="s">
        <v>4792</v>
      </c>
      <c r="M1308" s="5" t="s">
        <v>2230</v>
      </c>
    </row>
    <row r="1309" ht="22.5" customHeight="1">
      <c r="A1309" s="37">
        <v>46072.86490111111</v>
      </c>
      <c r="B1309" s="5" t="s">
        <v>2282</v>
      </c>
      <c r="C1309" s="19" t="s">
        <v>584</v>
      </c>
      <c r="D1309" s="17">
        <v>1.0</v>
      </c>
      <c r="E1309" s="17">
        <v>5.0</v>
      </c>
      <c r="F1309" s="5">
        <v>10.0</v>
      </c>
      <c r="G1309" s="5">
        <v>10.0</v>
      </c>
      <c r="H1309" s="5">
        <v>10.0</v>
      </c>
      <c r="I1309" s="5">
        <v>5.0</v>
      </c>
      <c r="J1309" s="19" t="s">
        <v>119</v>
      </c>
      <c r="K1309" s="17">
        <v>509.0</v>
      </c>
      <c r="L1309" s="5" t="s">
        <v>4793</v>
      </c>
      <c r="M1309" s="5" t="s">
        <v>2230</v>
      </c>
    </row>
    <row r="1310" ht="22.5" customHeight="1">
      <c r="A1310" s="37">
        <v>46072.86490072917</v>
      </c>
      <c r="B1310" s="5" t="s">
        <v>2282</v>
      </c>
      <c r="C1310" s="19" t="s">
        <v>828</v>
      </c>
      <c r="D1310" s="17">
        <v>1.0</v>
      </c>
      <c r="E1310" s="17">
        <v>130.0</v>
      </c>
      <c r="F1310" s="5">
        <v>180.0</v>
      </c>
      <c r="G1310" s="5">
        <v>180.0</v>
      </c>
      <c r="H1310" s="5">
        <v>180.0</v>
      </c>
      <c r="I1310" s="5">
        <v>50.0</v>
      </c>
      <c r="J1310" s="19" t="s">
        <v>119</v>
      </c>
      <c r="K1310" s="17">
        <v>508.0</v>
      </c>
      <c r="L1310" s="5" t="s">
        <v>4794</v>
      </c>
      <c r="M1310" s="5" t="s">
        <v>2230</v>
      </c>
    </row>
    <row r="1311" ht="22.5" customHeight="1">
      <c r="A1311" s="37">
        <v>46072.8649003125</v>
      </c>
      <c r="B1311" s="5" t="s">
        <v>2282</v>
      </c>
      <c r="C1311" s="19" t="s">
        <v>801</v>
      </c>
      <c r="D1311" s="17">
        <v>1.0</v>
      </c>
      <c r="E1311" s="17">
        <v>145.0</v>
      </c>
      <c r="F1311" s="5">
        <v>200.0</v>
      </c>
      <c r="G1311" s="5">
        <v>200.0</v>
      </c>
      <c r="H1311" s="5">
        <v>200.0</v>
      </c>
      <c r="I1311" s="5">
        <v>55.0</v>
      </c>
      <c r="J1311" s="19" t="s">
        <v>119</v>
      </c>
      <c r="K1311" s="17">
        <v>507.0</v>
      </c>
      <c r="L1311" s="5" t="s">
        <v>4795</v>
      </c>
      <c r="M1311" s="5" t="s">
        <v>2230</v>
      </c>
    </row>
    <row r="1312" ht="22.5" customHeight="1">
      <c r="A1312" s="37">
        <v>46072.86489990741</v>
      </c>
      <c r="B1312" s="5" t="s">
        <v>2282</v>
      </c>
      <c r="C1312" s="19" t="s">
        <v>787</v>
      </c>
      <c r="D1312" s="17">
        <v>1.0</v>
      </c>
      <c r="E1312" s="17">
        <v>135.0</v>
      </c>
      <c r="F1312" s="5">
        <v>170.0</v>
      </c>
      <c r="G1312" s="5">
        <v>170.0</v>
      </c>
      <c r="H1312" s="5">
        <v>170.0</v>
      </c>
      <c r="I1312" s="5">
        <v>35.0</v>
      </c>
      <c r="J1312" s="19" t="s">
        <v>119</v>
      </c>
      <c r="K1312" s="17">
        <v>506.0</v>
      </c>
      <c r="L1312" s="5" t="s">
        <v>4796</v>
      </c>
      <c r="M1312" s="5" t="s">
        <v>2230</v>
      </c>
    </row>
    <row r="1313" ht="22.5" customHeight="1">
      <c r="A1313" s="37">
        <v>46072.864899444445</v>
      </c>
      <c r="B1313" s="5" t="s">
        <v>2282</v>
      </c>
      <c r="C1313" s="19" t="s">
        <v>633</v>
      </c>
      <c r="D1313" s="17">
        <v>1.0</v>
      </c>
      <c r="E1313" s="17">
        <v>128.0</v>
      </c>
      <c r="F1313" s="5">
        <v>170.0</v>
      </c>
      <c r="G1313" s="5">
        <v>170.0</v>
      </c>
      <c r="H1313" s="5">
        <v>170.0</v>
      </c>
      <c r="I1313" s="5">
        <v>42.0</v>
      </c>
      <c r="J1313" s="19" t="s">
        <v>119</v>
      </c>
      <c r="K1313" s="17">
        <v>505.0</v>
      </c>
      <c r="L1313" s="5" t="s">
        <v>4797</v>
      </c>
      <c r="M1313" s="5" t="s">
        <v>2230</v>
      </c>
    </row>
    <row r="1314" ht="22.5" customHeight="1">
      <c r="A1314" s="37">
        <v>46072.0</v>
      </c>
      <c r="B1314" s="5" t="s">
        <v>2282</v>
      </c>
      <c r="C1314" s="19" t="s">
        <v>816</v>
      </c>
      <c r="D1314" s="17">
        <v>1.0</v>
      </c>
      <c r="E1314" s="17">
        <v>141.0</v>
      </c>
      <c r="F1314" s="5">
        <v>195.0</v>
      </c>
      <c r="G1314" s="5">
        <v>195.0</v>
      </c>
      <c r="H1314" s="5">
        <v>195.0</v>
      </c>
      <c r="I1314" s="5">
        <v>54.0</v>
      </c>
      <c r="J1314" s="19" t="s">
        <v>119</v>
      </c>
      <c r="K1314" s="17">
        <v>504.0</v>
      </c>
      <c r="L1314" s="5" t="s">
        <v>4798</v>
      </c>
      <c r="M1314" s="5" t="s">
        <v>2230</v>
      </c>
    </row>
    <row r="1315" ht="22.5" customHeight="1">
      <c r="A1315" s="37">
        <v>46072.0</v>
      </c>
      <c r="B1315" s="5" t="s">
        <v>2282</v>
      </c>
      <c r="C1315" s="19" t="s">
        <v>820</v>
      </c>
      <c r="D1315" s="17">
        <v>1.0</v>
      </c>
      <c r="E1315" s="17">
        <v>126.0</v>
      </c>
      <c r="F1315" s="5">
        <v>160.0</v>
      </c>
      <c r="G1315" s="5">
        <v>160.0</v>
      </c>
      <c r="H1315" s="5">
        <v>160.0</v>
      </c>
      <c r="I1315" s="5">
        <v>34.0</v>
      </c>
      <c r="J1315" s="19" t="s">
        <v>119</v>
      </c>
      <c r="K1315" s="17">
        <v>503.0</v>
      </c>
      <c r="L1315" s="5" t="s">
        <v>4799</v>
      </c>
      <c r="M1315" s="5" t="s">
        <v>2230</v>
      </c>
    </row>
    <row r="1316" ht="22.5" customHeight="1">
      <c r="A1316" s="37">
        <v>46072.0</v>
      </c>
      <c r="B1316" s="5" t="s">
        <v>2282</v>
      </c>
      <c r="C1316" s="19" t="s">
        <v>801</v>
      </c>
      <c r="D1316" s="17">
        <v>1.0</v>
      </c>
      <c r="E1316" s="17">
        <v>145.0</v>
      </c>
      <c r="F1316" s="5">
        <v>200.0</v>
      </c>
      <c r="G1316" s="5">
        <v>200.0</v>
      </c>
      <c r="H1316" s="5">
        <v>200.0</v>
      </c>
      <c r="I1316" s="5">
        <v>55.0</v>
      </c>
      <c r="J1316" s="19" t="s">
        <v>119</v>
      </c>
      <c r="K1316" s="17">
        <v>502.0</v>
      </c>
      <c r="L1316" s="5" t="s">
        <v>4800</v>
      </c>
      <c r="M1316" s="5" t="s">
        <v>2230</v>
      </c>
    </row>
    <row r="1317" ht="22.5" customHeight="1">
      <c r="A1317" s="37">
        <v>46072.0</v>
      </c>
      <c r="B1317" s="5" t="s">
        <v>2282</v>
      </c>
      <c r="C1317" s="19" t="s">
        <v>815</v>
      </c>
      <c r="D1317" s="17">
        <v>1.0</v>
      </c>
      <c r="E1317" s="17">
        <v>137.0</v>
      </c>
      <c r="F1317" s="5">
        <v>180.0</v>
      </c>
      <c r="G1317" s="5">
        <v>180.0</v>
      </c>
      <c r="H1317" s="5">
        <v>180.0</v>
      </c>
      <c r="I1317" s="5">
        <v>43.0</v>
      </c>
      <c r="J1317" s="19" t="s">
        <v>119</v>
      </c>
      <c r="K1317" s="17">
        <v>501.0</v>
      </c>
      <c r="L1317" s="5" t="s">
        <v>4801</v>
      </c>
      <c r="M1317" s="5" t="s">
        <v>2230</v>
      </c>
    </row>
    <row r="1318" ht="22.5" customHeight="1">
      <c r="A1318" s="37">
        <v>46072.0</v>
      </c>
      <c r="B1318" s="5" t="s">
        <v>2282</v>
      </c>
      <c r="C1318" s="19" t="s">
        <v>812</v>
      </c>
      <c r="D1318" s="17">
        <v>4.0</v>
      </c>
      <c r="E1318" s="17">
        <v>15.0</v>
      </c>
      <c r="F1318" s="5">
        <v>25.0</v>
      </c>
      <c r="G1318" s="5">
        <v>25.0</v>
      </c>
      <c r="H1318" s="5">
        <v>100.0</v>
      </c>
      <c r="I1318" s="5">
        <v>40.0</v>
      </c>
      <c r="J1318" s="19" t="s">
        <v>154</v>
      </c>
      <c r="K1318" s="17">
        <v>500.0</v>
      </c>
      <c r="L1318" s="5" t="s">
        <v>4802</v>
      </c>
      <c r="M1318" s="5" t="s">
        <v>2230</v>
      </c>
    </row>
    <row r="1319" ht="22.5" customHeight="1">
      <c r="A1319" s="37">
        <v>46072.0</v>
      </c>
      <c r="B1319" s="5" t="s">
        <v>2282</v>
      </c>
      <c r="C1319" s="19" t="s">
        <v>34</v>
      </c>
      <c r="D1319" s="17">
        <v>1.0</v>
      </c>
      <c r="E1319" s="17">
        <v>134.23749999999998</v>
      </c>
      <c r="F1319" s="5">
        <v>280.0</v>
      </c>
      <c r="G1319" s="5">
        <v>280.0</v>
      </c>
      <c r="H1319" s="5">
        <v>280.0</v>
      </c>
      <c r="I1319" s="5">
        <v>145.76</v>
      </c>
      <c r="J1319" s="5" t="s">
        <v>54</v>
      </c>
      <c r="K1319" s="17">
        <v>499.0</v>
      </c>
      <c r="L1319" s="5" t="s">
        <v>4803</v>
      </c>
      <c r="M1319" s="5" t="s">
        <v>2230</v>
      </c>
    </row>
    <row r="1320" ht="22.5" customHeight="1">
      <c r="A1320" s="37">
        <v>46070.910374432875</v>
      </c>
      <c r="B1320" s="5" t="s">
        <v>2282</v>
      </c>
      <c r="C1320" s="19" t="s">
        <v>415</v>
      </c>
      <c r="D1320" s="17">
        <v>2.0</v>
      </c>
      <c r="E1320" s="17">
        <v>225.0</v>
      </c>
      <c r="F1320" s="5">
        <v>275.0</v>
      </c>
      <c r="G1320" s="5">
        <v>275.0</v>
      </c>
      <c r="H1320" s="5">
        <v>550.0</v>
      </c>
      <c r="I1320" s="5">
        <v>100.0</v>
      </c>
      <c r="J1320" s="19" t="s">
        <v>119</v>
      </c>
      <c r="K1320" s="17">
        <v>498.0</v>
      </c>
      <c r="L1320" s="5" t="s">
        <v>4804</v>
      </c>
      <c r="M1320" s="5" t="s">
        <v>2230</v>
      </c>
    </row>
    <row r="1321" ht="22.5" customHeight="1">
      <c r="A1321" s="37">
        <v>46068.0</v>
      </c>
      <c r="B1321" s="5" t="s">
        <v>2282</v>
      </c>
      <c r="C1321" s="19" t="s">
        <v>808</v>
      </c>
      <c r="D1321" s="17">
        <v>2.0</v>
      </c>
      <c r="E1321" s="17">
        <v>63.0</v>
      </c>
      <c r="F1321" s="5">
        <v>90.0</v>
      </c>
      <c r="G1321" s="5">
        <v>90.0</v>
      </c>
      <c r="H1321" s="5">
        <v>180.0</v>
      </c>
      <c r="I1321" s="5">
        <v>54.0</v>
      </c>
      <c r="J1321" s="19" t="s">
        <v>119</v>
      </c>
      <c r="K1321" s="17">
        <v>494.0</v>
      </c>
      <c r="L1321" s="5" t="s">
        <v>4805</v>
      </c>
      <c r="M1321" s="5" t="s">
        <v>2230</v>
      </c>
    </row>
    <row r="1322" ht="22.5" customHeight="1">
      <c r="A1322" s="37">
        <v>46069.0</v>
      </c>
      <c r="B1322" s="5" t="s">
        <v>2282</v>
      </c>
      <c r="C1322" s="19" t="s">
        <v>653</v>
      </c>
      <c r="D1322" s="17">
        <v>1.0</v>
      </c>
      <c r="E1322" s="17">
        <v>165.5</v>
      </c>
      <c r="F1322" s="5">
        <v>210.0</v>
      </c>
      <c r="G1322" s="5">
        <v>210.0</v>
      </c>
      <c r="H1322" s="5">
        <v>210.0</v>
      </c>
      <c r="I1322" s="5">
        <v>44.5</v>
      </c>
      <c r="J1322" s="19" t="s">
        <v>119</v>
      </c>
      <c r="K1322" s="17">
        <v>497.0</v>
      </c>
      <c r="L1322" s="5" t="s">
        <v>4806</v>
      </c>
      <c r="M1322" s="5" t="s">
        <v>2230</v>
      </c>
    </row>
    <row r="1323" ht="22.5" customHeight="1">
      <c r="A1323" s="37">
        <v>46069.0</v>
      </c>
      <c r="B1323" s="5" t="s">
        <v>2282</v>
      </c>
      <c r="C1323" s="19" t="s">
        <v>478</v>
      </c>
      <c r="D1323" s="17">
        <v>1.0</v>
      </c>
      <c r="E1323" s="17">
        <v>90.0</v>
      </c>
      <c r="F1323" s="5">
        <v>135.0</v>
      </c>
      <c r="G1323" s="5">
        <v>135.0</v>
      </c>
      <c r="H1323" s="5">
        <v>135.0</v>
      </c>
      <c r="I1323" s="5">
        <v>45.0</v>
      </c>
      <c r="J1323" s="19" t="s">
        <v>31</v>
      </c>
      <c r="K1323" s="17">
        <v>496.0</v>
      </c>
      <c r="L1323" s="5" t="s">
        <v>4807</v>
      </c>
      <c r="M1323" s="5" t="s">
        <v>2230</v>
      </c>
    </row>
    <row r="1324" ht="22.5" customHeight="1">
      <c r="A1324" s="37">
        <v>46068.0</v>
      </c>
      <c r="B1324" s="5" t="s">
        <v>2282</v>
      </c>
      <c r="C1324" s="19" t="s">
        <v>287</v>
      </c>
      <c r="D1324" s="17">
        <v>1.0</v>
      </c>
      <c r="E1324" s="17">
        <v>45.0</v>
      </c>
      <c r="F1324" s="5">
        <v>65.0</v>
      </c>
      <c r="G1324" s="5">
        <v>65.0</v>
      </c>
      <c r="H1324" s="5">
        <v>65.0</v>
      </c>
      <c r="I1324" s="5">
        <v>20.0</v>
      </c>
      <c r="J1324" s="19" t="s">
        <v>31</v>
      </c>
      <c r="K1324" s="17">
        <v>495.0</v>
      </c>
      <c r="L1324" s="5" t="s">
        <v>4808</v>
      </c>
      <c r="M1324" s="5" t="s">
        <v>2230</v>
      </c>
    </row>
    <row r="1325" ht="22.5" customHeight="1">
      <c r="A1325" s="37">
        <v>46068.0</v>
      </c>
      <c r="B1325" s="5" t="s">
        <v>2282</v>
      </c>
      <c r="C1325" s="19" t="s">
        <v>549</v>
      </c>
      <c r="D1325" s="17">
        <v>1.0</v>
      </c>
      <c r="E1325" s="17">
        <v>17.5</v>
      </c>
      <c r="F1325" s="5">
        <v>25.0</v>
      </c>
      <c r="G1325" s="5">
        <v>25.0</v>
      </c>
      <c r="H1325" s="5">
        <v>25.0</v>
      </c>
      <c r="I1325" s="5">
        <v>7.5</v>
      </c>
      <c r="J1325" s="19" t="s">
        <v>119</v>
      </c>
      <c r="K1325" s="17">
        <v>493.0</v>
      </c>
      <c r="L1325" s="5" t="s">
        <v>4809</v>
      </c>
      <c r="M1325" s="5" t="s">
        <v>2230</v>
      </c>
    </row>
    <row r="1326" ht="22.5" customHeight="1">
      <c r="A1326" s="37">
        <v>46068.0</v>
      </c>
      <c r="B1326" s="5" t="s">
        <v>2282</v>
      </c>
      <c r="C1326" s="19" t="s">
        <v>802</v>
      </c>
      <c r="D1326" s="17">
        <v>1.0</v>
      </c>
      <c r="E1326" s="17">
        <v>53.33</v>
      </c>
      <c r="F1326" s="5">
        <v>70.0</v>
      </c>
      <c r="G1326" s="5">
        <v>70.0</v>
      </c>
      <c r="H1326" s="5">
        <v>70.0</v>
      </c>
      <c r="I1326" s="5">
        <v>16.67</v>
      </c>
      <c r="J1326" s="19"/>
      <c r="K1326" s="17">
        <v>492.0</v>
      </c>
      <c r="L1326" s="5" t="s">
        <v>4810</v>
      </c>
      <c r="M1326" s="5" t="s">
        <v>2230</v>
      </c>
    </row>
    <row r="1327" ht="22.5" customHeight="1">
      <c r="A1327" s="37">
        <v>46066.907108761574</v>
      </c>
      <c r="B1327" s="5" t="s">
        <v>2282</v>
      </c>
      <c r="C1327" s="19" t="s">
        <v>699</v>
      </c>
      <c r="D1327" s="17">
        <v>2.0</v>
      </c>
      <c r="E1327" s="17">
        <v>10.0</v>
      </c>
      <c r="F1327" s="5">
        <v>50.0</v>
      </c>
      <c r="G1327" s="5">
        <v>50.0</v>
      </c>
      <c r="H1327" s="5">
        <v>100.0</v>
      </c>
      <c r="I1327" s="5">
        <v>80.0</v>
      </c>
      <c r="J1327" s="5" t="s">
        <v>54</v>
      </c>
      <c r="K1327" s="17">
        <v>487.0</v>
      </c>
      <c r="L1327" s="5" t="s">
        <v>4811</v>
      </c>
      <c r="M1327" s="5" t="s">
        <v>2230</v>
      </c>
    </row>
    <row r="1328" ht="22.5" customHeight="1">
      <c r="A1328" s="37">
        <v>46066.902884826384</v>
      </c>
      <c r="B1328" s="5" t="s">
        <v>2282</v>
      </c>
      <c r="C1328" s="19" t="s">
        <v>235</v>
      </c>
      <c r="D1328" s="17">
        <v>2.0</v>
      </c>
      <c r="E1328" s="17">
        <v>75.0</v>
      </c>
      <c r="F1328" s="5">
        <v>100.0</v>
      </c>
      <c r="G1328" s="5">
        <v>100.0</v>
      </c>
      <c r="H1328" s="5">
        <v>200.0</v>
      </c>
      <c r="I1328" s="5">
        <v>50.0</v>
      </c>
      <c r="J1328" s="19" t="s">
        <v>31</v>
      </c>
      <c r="K1328" s="17">
        <v>491.0</v>
      </c>
      <c r="L1328" s="5" t="s">
        <v>4812</v>
      </c>
      <c r="M1328" s="5" t="s">
        <v>2230</v>
      </c>
    </row>
    <row r="1329" ht="22.5" customHeight="1">
      <c r="A1329" s="37">
        <v>46066.90288446759</v>
      </c>
      <c r="B1329" s="5" t="s">
        <v>2282</v>
      </c>
      <c r="C1329" s="19" t="s">
        <v>712</v>
      </c>
      <c r="D1329" s="17">
        <v>1.0</v>
      </c>
      <c r="E1329" s="17">
        <v>7.0</v>
      </c>
      <c r="F1329" s="5">
        <v>20.0</v>
      </c>
      <c r="G1329" s="5">
        <v>20.0</v>
      </c>
      <c r="H1329" s="5">
        <v>20.0</v>
      </c>
      <c r="I1329" s="5">
        <v>13.0</v>
      </c>
      <c r="J1329" s="5" t="s">
        <v>54</v>
      </c>
      <c r="K1329" s="17">
        <v>490.0</v>
      </c>
      <c r="L1329" s="5" t="s">
        <v>4813</v>
      </c>
      <c r="M1329" s="5" t="s">
        <v>2230</v>
      </c>
    </row>
    <row r="1330" ht="22.5" customHeight="1">
      <c r="A1330" s="37">
        <v>46066.90288407408</v>
      </c>
      <c r="B1330" s="5" t="s">
        <v>2282</v>
      </c>
      <c r="C1330" s="19" t="s">
        <v>547</v>
      </c>
      <c r="D1330" s="17">
        <v>1.0</v>
      </c>
      <c r="E1330" s="17">
        <v>135.0</v>
      </c>
      <c r="F1330" s="5">
        <v>165.0</v>
      </c>
      <c r="G1330" s="5">
        <v>160.0</v>
      </c>
      <c r="H1330" s="5">
        <v>160.0</v>
      </c>
      <c r="I1330" s="5">
        <v>25.0</v>
      </c>
      <c r="J1330" s="19" t="s">
        <v>119</v>
      </c>
      <c r="K1330" s="17">
        <v>489.0</v>
      </c>
      <c r="L1330" s="5" t="s">
        <v>4814</v>
      </c>
      <c r="M1330" s="5" t="s">
        <v>2230</v>
      </c>
    </row>
    <row r="1331" ht="22.5" customHeight="1">
      <c r="A1331" s="37">
        <v>46066.902883738425</v>
      </c>
      <c r="B1331" s="5" t="s">
        <v>2282</v>
      </c>
      <c r="C1331" s="19" t="s">
        <v>172</v>
      </c>
      <c r="D1331" s="17">
        <v>2.0</v>
      </c>
      <c r="E1331" s="17">
        <v>28.2</v>
      </c>
      <c r="F1331" s="5">
        <v>40.0</v>
      </c>
      <c r="G1331" s="5">
        <v>40.0</v>
      </c>
      <c r="H1331" s="5">
        <v>80.0</v>
      </c>
      <c r="I1331" s="5">
        <v>23.6</v>
      </c>
      <c r="J1331" s="19" t="s">
        <v>31</v>
      </c>
      <c r="K1331" s="17">
        <v>488.0</v>
      </c>
      <c r="L1331" s="5" t="s">
        <v>4815</v>
      </c>
      <c r="M1331" s="5" t="s">
        <v>2230</v>
      </c>
    </row>
    <row r="1332" ht="22.5" customHeight="1">
      <c r="A1332" s="37">
        <v>46066.81584072916</v>
      </c>
      <c r="B1332" s="5" t="s">
        <v>2282</v>
      </c>
      <c r="C1332" s="19" t="s">
        <v>415</v>
      </c>
      <c r="D1332" s="17">
        <v>1.0</v>
      </c>
      <c r="E1332" s="17">
        <v>225.0</v>
      </c>
      <c r="F1332" s="5">
        <v>275.0</v>
      </c>
      <c r="G1332" s="5">
        <v>275.0</v>
      </c>
      <c r="H1332" s="5">
        <v>275.0</v>
      </c>
      <c r="I1332" s="5">
        <v>50.0</v>
      </c>
      <c r="J1332" s="19" t="s">
        <v>119</v>
      </c>
      <c r="K1332" s="17">
        <v>486.0</v>
      </c>
      <c r="L1332" s="5" t="s">
        <v>4816</v>
      </c>
      <c r="M1332" s="5" t="s">
        <v>2230</v>
      </c>
    </row>
    <row r="1333" ht="22.5" customHeight="1">
      <c r="A1333" s="37">
        <v>46066.81584047453</v>
      </c>
      <c r="B1333" s="5" t="s">
        <v>2282</v>
      </c>
      <c r="C1333" s="19" t="s">
        <v>800</v>
      </c>
      <c r="D1333" s="17">
        <v>1.0</v>
      </c>
      <c r="E1333" s="17">
        <v>11.25</v>
      </c>
      <c r="F1333" s="5">
        <v>20.0</v>
      </c>
      <c r="G1333" s="5">
        <v>20.0</v>
      </c>
      <c r="H1333" s="5">
        <v>20.0</v>
      </c>
      <c r="I1333" s="5">
        <v>8.75</v>
      </c>
      <c r="J1333" s="19" t="s">
        <v>119</v>
      </c>
      <c r="K1333" s="17">
        <v>485.0</v>
      </c>
      <c r="L1333" s="5" t="s">
        <v>4817</v>
      </c>
      <c r="M1333" s="5" t="s">
        <v>2230</v>
      </c>
    </row>
    <row r="1334" ht="22.5" customHeight="1">
      <c r="A1334" s="37">
        <v>46066.815840208335</v>
      </c>
      <c r="B1334" s="5" t="s">
        <v>2282</v>
      </c>
      <c r="C1334" s="19" t="s">
        <v>549</v>
      </c>
      <c r="D1334" s="17">
        <v>1.0</v>
      </c>
      <c r="E1334" s="17">
        <v>17.5</v>
      </c>
      <c r="F1334" s="5">
        <v>25.0</v>
      </c>
      <c r="G1334" s="5">
        <v>25.0</v>
      </c>
      <c r="H1334" s="5">
        <v>25.0</v>
      </c>
      <c r="I1334" s="5">
        <v>7.5</v>
      </c>
      <c r="J1334" s="19" t="s">
        <v>119</v>
      </c>
      <c r="K1334" s="17">
        <v>484.0</v>
      </c>
      <c r="L1334" s="5" t="s">
        <v>4818</v>
      </c>
      <c r="M1334" s="5" t="s">
        <v>2230</v>
      </c>
    </row>
    <row r="1335" ht="22.5" customHeight="1">
      <c r="A1335" s="37">
        <v>46066.815839930554</v>
      </c>
      <c r="B1335" s="5" t="s">
        <v>2282</v>
      </c>
      <c r="C1335" s="19" t="s">
        <v>638</v>
      </c>
      <c r="D1335" s="17">
        <v>1.0</v>
      </c>
      <c r="E1335" s="17">
        <v>100.0</v>
      </c>
      <c r="F1335" s="5">
        <v>150.0</v>
      </c>
      <c r="G1335" s="5">
        <v>150.0</v>
      </c>
      <c r="H1335" s="5">
        <v>150.0</v>
      </c>
      <c r="I1335" s="5">
        <v>50.0</v>
      </c>
      <c r="J1335" s="19" t="s">
        <v>51</v>
      </c>
      <c r="K1335" s="17">
        <v>483.0</v>
      </c>
      <c r="L1335" s="5" t="s">
        <v>4819</v>
      </c>
      <c r="M1335" s="5" t="s">
        <v>2230</v>
      </c>
    </row>
    <row r="1336" ht="22.5" customHeight="1">
      <c r="A1336" s="37">
        <v>46066.81583959491</v>
      </c>
      <c r="B1336" s="5" t="s">
        <v>2282</v>
      </c>
      <c r="C1336" s="19" t="s">
        <v>714</v>
      </c>
      <c r="D1336" s="17">
        <v>1.0</v>
      </c>
      <c r="E1336" s="17">
        <v>154.0</v>
      </c>
      <c r="F1336" s="5">
        <v>180.0</v>
      </c>
      <c r="G1336" s="5">
        <v>180.0</v>
      </c>
      <c r="H1336" s="5">
        <v>180.0</v>
      </c>
      <c r="I1336" s="5">
        <v>26.0</v>
      </c>
      <c r="J1336" s="19" t="s">
        <v>119</v>
      </c>
      <c r="K1336" s="17">
        <v>482.0</v>
      </c>
      <c r="L1336" s="5" t="s">
        <v>4820</v>
      </c>
      <c r="M1336" s="5" t="s">
        <v>2230</v>
      </c>
    </row>
    <row r="1337" ht="22.5" customHeight="1">
      <c r="A1337" s="37">
        <v>46066.81583939814</v>
      </c>
      <c r="B1337" s="5" t="s">
        <v>2282</v>
      </c>
      <c r="C1337" s="19" t="s">
        <v>412</v>
      </c>
      <c r="D1337" s="17">
        <v>1.0</v>
      </c>
      <c r="E1337" s="17">
        <v>195.0</v>
      </c>
      <c r="F1337" s="5">
        <v>250.0</v>
      </c>
      <c r="G1337" s="5">
        <v>250.0</v>
      </c>
      <c r="H1337" s="5">
        <v>250.0</v>
      </c>
      <c r="I1337" s="5">
        <v>55.0</v>
      </c>
      <c r="J1337" s="19" t="s">
        <v>31</v>
      </c>
      <c r="K1337" s="17">
        <v>481.0</v>
      </c>
      <c r="L1337" s="5" t="s">
        <v>4821</v>
      </c>
      <c r="M1337" s="5" t="s">
        <v>2230</v>
      </c>
    </row>
    <row r="1338" ht="22.5" customHeight="1">
      <c r="A1338" s="37">
        <v>46066.815839166666</v>
      </c>
      <c r="B1338" s="5" t="s">
        <v>2282</v>
      </c>
      <c r="C1338" s="19" t="s">
        <v>522</v>
      </c>
      <c r="D1338" s="17">
        <v>1.0</v>
      </c>
      <c r="E1338" s="17">
        <v>180.0</v>
      </c>
      <c r="F1338" s="5">
        <v>220.0</v>
      </c>
      <c r="G1338" s="5">
        <v>220.0</v>
      </c>
      <c r="H1338" s="5">
        <v>220.0</v>
      </c>
      <c r="I1338" s="5">
        <v>40.0</v>
      </c>
      <c r="J1338" s="19" t="s">
        <v>119</v>
      </c>
      <c r="K1338" s="17">
        <v>480.0</v>
      </c>
      <c r="L1338" s="5" t="s">
        <v>4822</v>
      </c>
      <c r="M1338" s="5" t="s">
        <v>2230</v>
      </c>
    </row>
    <row r="1339" ht="22.5" customHeight="1">
      <c r="A1339" s="37">
        <v>46066.81583895833</v>
      </c>
      <c r="B1339" s="5" t="s">
        <v>2282</v>
      </c>
      <c r="C1339" s="19" t="s">
        <v>793</v>
      </c>
      <c r="D1339" s="17">
        <v>2.0</v>
      </c>
      <c r="E1339" s="17">
        <v>126.0</v>
      </c>
      <c r="F1339" s="5">
        <v>150.0</v>
      </c>
      <c r="G1339" s="5">
        <v>150.0</v>
      </c>
      <c r="H1339" s="5">
        <v>300.0</v>
      </c>
      <c r="I1339" s="5">
        <v>48.0</v>
      </c>
      <c r="J1339" s="19" t="s">
        <v>119</v>
      </c>
      <c r="K1339" s="17">
        <v>479.0</v>
      </c>
      <c r="L1339" s="5" t="s">
        <v>4823</v>
      </c>
      <c r="M1339" s="5" t="s">
        <v>2230</v>
      </c>
    </row>
    <row r="1340" ht="22.5" customHeight="1">
      <c r="A1340" s="37">
        <v>46066.81583877315</v>
      </c>
      <c r="B1340" s="5" t="s">
        <v>2282</v>
      </c>
      <c r="C1340" s="19" t="s">
        <v>478</v>
      </c>
      <c r="D1340" s="17">
        <v>2.0</v>
      </c>
      <c r="E1340" s="17">
        <v>90.0</v>
      </c>
      <c r="F1340" s="5">
        <v>130.0</v>
      </c>
      <c r="G1340" s="5">
        <v>130.0</v>
      </c>
      <c r="H1340" s="5">
        <v>260.0</v>
      </c>
      <c r="I1340" s="5">
        <v>80.0</v>
      </c>
      <c r="J1340" s="19" t="s">
        <v>31</v>
      </c>
      <c r="K1340" s="17">
        <v>478.0</v>
      </c>
      <c r="L1340" s="5" t="s">
        <v>4824</v>
      </c>
      <c r="M1340" s="5" t="s">
        <v>2230</v>
      </c>
    </row>
    <row r="1341" ht="22.5" customHeight="1">
      <c r="A1341" s="37">
        <v>46066.81583851852</v>
      </c>
      <c r="B1341" s="5" t="s">
        <v>2282</v>
      </c>
      <c r="C1341" s="19" t="s">
        <v>748</v>
      </c>
      <c r="D1341" s="17">
        <v>1.0</v>
      </c>
      <c r="E1341" s="17">
        <v>75.0</v>
      </c>
      <c r="F1341" s="5">
        <v>95.0</v>
      </c>
      <c r="G1341" s="5">
        <v>95.0</v>
      </c>
      <c r="H1341" s="5">
        <v>95.0</v>
      </c>
      <c r="I1341" s="5">
        <v>20.0</v>
      </c>
      <c r="J1341" s="19" t="s">
        <v>751</v>
      </c>
      <c r="K1341" s="17">
        <v>477.0</v>
      </c>
      <c r="L1341" s="5" t="s">
        <v>4825</v>
      </c>
      <c r="M1341" s="5" t="s">
        <v>2230</v>
      </c>
    </row>
    <row r="1342" ht="22.5" customHeight="1">
      <c r="A1342" s="37">
        <v>46066.815838298615</v>
      </c>
      <c r="B1342" s="5" t="s">
        <v>2282</v>
      </c>
      <c r="C1342" s="19" t="s">
        <v>505</v>
      </c>
      <c r="D1342" s="17">
        <v>1.0</v>
      </c>
      <c r="E1342" s="17">
        <v>165.0</v>
      </c>
      <c r="F1342" s="5">
        <v>175.0</v>
      </c>
      <c r="G1342" s="5">
        <v>175.0</v>
      </c>
      <c r="H1342" s="5">
        <v>175.0</v>
      </c>
      <c r="I1342" s="5">
        <v>10.0</v>
      </c>
      <c r="J1342" s="19" t="s">
        <v>576</v>
      </c>
      <c r="K1342" s="17">
        <v>476.0</v>
      </c>
      <c r="L1342" s="5" t="s">
        <v>4826</v>
      </c>
      <c r="M1342" s="5" t="s">
        <v>2230</v>
      </c>
    </row>
    <row r="1343" ht="22.5" customHeight="1">
      <c r="A1343" s="37">
        <v>46066.81583810185</v>
      </c>
      <c r="B1343" s="5" t="s">
        <v>2282</v>
      </c>
      <c r="C1343" s="19" t="s">
        <v>790</v>
      </c>
      <c r="D1343" s="17">
        <v>1.0</v>
      </c>
      <c r="E1343" s="17">
        <v>135.0</v>
      </c>
      <c r="F1343" s="5">
        <v>175.0</v>
      </c>
      <c r="G1343" s="5">
        <v>175.0</v>
      </c>
      <c r="H1343" s="5">
        <v>175.0</v>
      </c>
      <c r="I1343" s="5">
        <v>40.0</v>
      </c>
      <c r="J1343" s="19" t="s">
        <v>119</v>
      </c>
      <c r="K1343" s="17">
        <v>475.0</v>
      </c>
      <c r="L1343" s="5" t="s">
        <v>4827</v>
      </c>
      <c r="M1343" s="5" t="s">
        <v>2230</v>
      </c>
    </row>
    <row r="1344" ht="22.5" customHeight="1">
      <c r="A1344" s="37">
        <v>46066.81583787037</v>
      </c>
      <c r="B1344" s="5" t="s">
        <v>2282</v>
      </c>
      <c r="C1344" s="19" t="s">
        <v>584</v>
      </c>
      <c r="D1344" s="17">
        <v>3.0</v>
      </c>
      <c r="E1344" s="17">
        <v>5.0</v>
      </c>
      <c r="F1344" s="5">
        <v>10.0</v>
      </c>
      <c r="G1344" s="5">
        <v>10.0</v>
      </c>
      <c r="H1344" s="5">
        <v>30.0</v>
      </c>
      <c r="I1344" s="5">
        <v>15.0</v>
      </c>
      <c r="J1344" s="19" t="s">
        <v>119</v>
      </c>
      <c r="K1344" s="17">
        <v>474.0</v>
      </c>
      <c r="L1344" s="5" t="s">
        <v>4828</v>
      </c>
      <c r="M1344" s="5" t="s">
        <v>2230</v>
      </c>
    </row>
    <row r="1345" ht="22.5" customHeight="1">
      <c r="A1345" s="37">
        <v>46066.81583762731</v>
      </c>
      <c r="B1345" s="5" t="s">
        <v>2282</v>
      </c>
      <c r="C1345" s="19" t="s">
        <v>673</v>
      </c>
      <c r="D1345" s="17">
        <v>1.0</v>
      </c>
      <c r="E1345" s="17">
        <v>6.75</v>
      </c>
      <c r="F1345" s="5">
        <v>10.0</v>
      </c>
      <c r="G1345" s="5">
        <v>10.0</v>
      </c>
      <c r="H1345" s="5">
        <v>10.0</v>
      </c>
      <c r="I1345" s="5">
        <v>3.25</v>
      </c>
      <c r="J1345" s="19" t="s">
        <v>119</v>
      </c>
      <c r="K1345" s="17">
        <v>473.0</v>
      </c>
      <c r="L1345" s="5" t="s">
        <v>4829</v>
      </c>
      <c r="M1345" s="5" t="s">
        <v>2230</v>
      </c>
    </row>
    <row r="1346" ht="22.5" customHeight="1">
      <c r="A1346" s="37">
        <v>46066.81583734954</v>
      </c>
      <c r="B1346" s="5" t="s">
        <v>2282</v>
      </c>
      <c r="C1346" s="19" t="s">
        <v>614</v>
      </c>
      <c r="D1346" s="17">
        <v>1.0</v>
      </c>
      <c r="E1346" s="17">
        <v>78.0</v>
      </c>
      <c r="F1346" s="5">
        <v>100.0</v>
      </c>
      <c r="G1346" s="5">
        <v>100.0</v>
      </c>
      <c r="H1346" s="5">
        <v>100.0</v>
      </c>
      <c r="I1346" s="5">
        <v>22.0</v>
      </c>
      <c r="J1346" s="19" t="s">
        <v>119</v>
      </c>
      <c r="K1346" s="17">
        <v>472.0</v>
      </c>
      <c r="L1346" s="5" t="s">
        <v>4830</v>
      </c>
      <c r="M1346" s="5" t="s">
        <v>2230</v>
      </c>
    </row>
    <row r="1347" ht="22.5" customHeight="1">
      <c r="A1347" s="37">
        <v>46066.81583702547</v>
      </c>
      <c r="B1347" s="5" t="s">
        <v>2282</v>
      </c>
      <c r="C1347" s="19" t="s">
        <v>787</v>
      </c>
      <c r="D1347" s="17">
        <v>1.0</v>
      </c>
      <c r="E1347" s="17">
        <v>135.0</v>
      </c>
      <c r="F1347" s="5">
        <v>170.0</v>
      </c>
      <c r="G1347" s="5">
        <v>170.0</v>
      </c>
      <c r="H1347" s="5">
        <v>170.0</v>
      </c>
      <c r="I1347" s="5">
        <v>35.0</v>
      </c>
      <c r="J1347" s="19" t="s">
        <v>119</v>
      </c>
      <c r="K1347" s="17">
        <v>471.0</v>
      </c>
      <c r="L1347" s="5" t="s">
        <v>4831</v>
      </c>
      <c r="M1347" s="5" t="s">
        <v>2230</v>
      </c>
    </row>
    <row r="1348" ht="22.5" customHeight="1">
      <c r="A1348" s="37">
        <v>46064.91452630787</v>
      </c>
      <c r="B1348" s="5" t="s">
        <v>2282</v>
      </c>
      <c r="C1348" s="19" t="s">
        <v>454</v>
      </c>
      <c r="D1348" s="17">
        <v>1.0</v>
      </c>
      <c r="E1348" s="17">
        <v>210.0</v>
      </c>
      <c r="F1348" s="5">
        <v>260.0</v>
      </c>
      <c r="G1348" s="5">
        <v>260.0</v>
      </c>
      <c r="H1348" s="5">
        <v>260.0</v>
      </c>
      <c r="I1348" s="5">
        <v>50.0</v>
      </c>
      <c r="J1348" s="19" t="s">
        <v>31</v>
      </c>
      <c r="K1348" s="17">
        <v>470.0</v>
      </c>
      <c r="L1348" s="5" t="s">
        <v>4832</v>
      </c>
      <c r="M1348" s="5" t="s">
        <v>2230</v>
      </c>
    </row>
    <row r="1349" ht="22.5" customHeight="1">
      <c r="A1349" s="37">
        <v>46064.91452506944</v>
      </c>
      <c r="B1349" s="5" t="s">
        <v>2282</v>
      </c>
      <c r="C1349" s="19" t="s">
        <v>511</v>
      </c>
      <c r="D1349" s="17">
        <v>2.0</v>
      </c>
      <c r="E1349" s="17">
        <v>40.0</v>
      </c>
      <c r="F1349" s="5">
        <v>50.0</v>
      </c>
      <c r="G1349" s="5">
        <v>50.0</v>
      </c>
      <c r="H1349" s="5">
        <v>100.0</v>
      </c>
      <c r="I1349" s="5">
        <v>20.0</v>
      </c>
      <c r="J1349" s="19" t="s">
        <v>31</v>
      </c>
      <c r="K1349" s="17">
        <v>469.0</v>
      </c>
      <c r="L1349" s="5" t="s">
        <v>4833</v>
      </c>
      <c r="M1349" s="5" t="s">
        <v>2230</v>
      </c>
    </row>
    <row r="1350" ht="22.5" customHeight="1">
      <c r="A1350" s="37">
        <v>46064.91452388889</v>
      </c>
      <c r="B1350" s="5" t="s">
        <v>2282</v>
      </c>
      <c r="C1350" s="19" t="s">
        <v>784</v>
      </c>
      <c r="D1350" s="17">
        <v>1.0</v>
      </c>
      <c r="E1350" s="17">
        <v>63.0</v>
      </c>
      <c r="F1350" s="5">
        <v>90.0</v>
      </c>
      <c r="G1350" s="5">
        <v>90.0</v>
      </c>
      <c r="H1350" s="5">
        <v>90.0</v>
      </c>
      <c r="I1350" s="5">
        <v>27.0</v>
      </c>
      <c r="J1350" s="19" t="s">
        <v>119</v>
      </c>
      <c r="K1350" s="17">
        <v>468.0</v>
      </c>
      <c r="L1350" s="5" t="s">
        <v>4834</v>
      </c>
      <c r="M1350" s="5" t="s">
        <v>2230</v>
      </c>
    </row>
    <row r="1351" ht="22.5" customHeight="1">
      <c r="A1351" s="37">
        <v>46064.91452236111</v>
      </c>
      <c r="B1351" s="5" t="s">
        <v>2282</v>
      </c>
      <c r="C1351" s="19" t="s">
        <v>753</v>
      </c>
      <c r="D1351" s="17">
        <v>6.0</v>
      </c>
      <c r="E1351" s="17">
        <v>7.083333333333333</v>
      </c>
      <c r="F1351" s="5">
        <v>10.0</v>
      </c>
      <c r="G1351" s="5">
        <v>10.0</v>
      </c>
      <c r="H1351" s="5">
        <v>60.0</v>
      </c>
      <c r="I1351" s="5">
        <v>17.5</v>
      </c>
      <c r="J1351" s="5" t="s">
        <v>54</v>
      </c>
      <c r="K1351" s="17">
        <v>467.0</v>
      </c>
      <c r="L1351" s="5" t="s">
        <v>4835</v>
      </c>
      <c r="M1351" s="5" t="s">
        <v>2230</v>
      </c>
    </row>
    <row r="1352" ht="22.5" customHeight="1">
      <c r="A1352" s="37">
        <v>46064.91451883102</v>
      </c>
      <c r="B1352" s="5" t="s">
        <v>2282</v>
      </c>
      <c r="C1352" s="19" t="s">
        <v>220</v>
      </c>
      <c r="D1352" s="17">
        <v>2.0</v>
      </c>
      <c r="E1352" s="17">
        <v>85.0</v>
      </c>
      <c r="F1352" s="5">
        <v>145.0</v>
      </c>
      <c r="G1352" s="5">
        <v>145.0</v>
      </c>
      <c r="H1352" s="5">
        <v>290.0</v>
      </c>
      <c r="I1352" s="5">
        <v>120.0</v>
      </c>
      <c r="J1352" s="19" t="s">
        <v>51</v>
      </c>
      <c r="K1352" s="17">
        <v>466.0</v>
      </c>
      <c r="L1352" s="5" t="s">
        <v>4836</v>
      </c>
      <c r="M1352" s="5" t="s">
        <v>2230</v>
      </c>
    </row>
    <row r="1353" ht="22.5" customHeight="1">
      <c r="A1353" s="37">
        <v>46064.91451729166</v>
      </c>
      <c r="B1353" s="5" t="s">
        <v>2282</v>
      </c>
      <c r="C1353" s="19" t="s">
        <v>255</v>
      </c>
      <c r="D1353" s="17">
        <v>1.0</v>
      </c>
      <c r="E1353" s="17">
        <v>35.0</v>
      </c>
      <c r="F1353" s="5">
        <v>50.0</v>
      </c>
      <c r="G1353" s="5">
        <v>50.0</v>
      </c>
      <c r="H1353" s="5">
        <v>50.0</v>
      </c>
      <c r="I1353" s="5">
        <v>15.0</v>
      </c>
      <c r="J1353" s="19" t="s">
        <v>31</v>
      </c>
      <c r="K1353" s="17">
        <v>465.0</v>
      </c>
      <c r="L1353" s="5" t="s">
        <v>4837</v>
      </c>
      <c r="M1353" s="5" t="s">
        <v>2230</v>
      </c>
    </row>
    <row r="1354" ht="22.5" customHeight="1">
      <c r="A1354" s="37">
        <v>46064.91451607639</v>
      </c>
      <c r="B1354" s="5" t="s">
        <v>2282</v>
      </c>
      <c r="C1354" s="19" t="s">
        <v>588</v>
      </c>
      <c r="D1354" s="17">
        <v>1.0</v>
      </c>
      <c r="E1354" s="17">
        <v>115.0</v>
      </c>
      <c r="F1354" s="5">
        <v>150.0</v>
      </c>
      <c r="G1354" s="5">
        <v>150.0</v>
      </c>
      <c r="H1354" s="5">
        <v>150.0</v>
      </c>
      <c r="I1354" s="5">
        <v>35.0</v>
      </c>
      <c r="J1354" s="19" t="s">
        <v>119</v>
      </c>
      <c r="K1354" s="17">
        <v>464.0</v>
      </c>
      <c r="L1354" s="5" t="s">
        <v>4838</v>
      </c>
      <c r="M1354" s="5" t="s">
        <v>2230</v>
      </c>
    </row>
    <row r="1355" ht="22.5" customHeight="1">
      <c r="A1355" s="37">
        <v>46064.91451364583</v>
      </c>
      <c r="B1355" s="5" t="s">
        <v>2282</v>
      </c>
      <c r="C1355" s="19" t="s">
        <v>778</v>
      </c>
      <c r="D1355" s="17">
        <v>1.0</v>
      </c>
      <c r="E1355" s="17">
        <v>100.0</v>
      </c>
      <c r="F1355" s="5">
        <v>125.0</v>
      </c>
      <c r="G1355" s="5">
        <v>125.0</v>
      </c>
      <c r="H1355" s="5">
        <v>125.0</v>
      </c>
      <c r="I1355" s="5">
        <v>25.0</v>
      </c>
      <c r="J1355" s="19" t="s">
        <v>119</v>
      </c>
      <c r="K1355" s="17">
        <v>463.0</v>
      </c>
      <c r="L1355" s="5" t="s">
        <v>4839</v>
      </c>
      <c r="M1355" s="5" t="s">
        <v>2230</v>
      </c>
    </row>
    <row r="1356" ht="22.5" customHeight="1">
      <c r="A1356" s="37">
        <v>46064.91451164352</v>
      </c>
      <c r="B1356" s="5" t="s">
        <v>2282</v>
      </c>
      <c r="C1356" s="19" t="s">
        <v>775</v>
      </c>
      <c r="D1356" s="17">
        <v>1.0</v>
      </c>
      <c r="E1356" s="17">
        <v>94.0</v>
      </c>
      <c r="F1356" s="5">
        <v>125.0</v>
      </c>
      <c r="G1356" s="5">
        <v>125.0</v>
      </c>
      <c r="H1356" s="5">
        <v>125.0</v>
      </c>
      <c r="I1356" s="5">
        <v>31.0</v>
      </c>
      <c r="J1356" s="19" t="s">
        <v>119</v>
      </c>
      <c r="K1356" s="17">
        <v>462.0</v>
      </c>
      <c r="L1356" s="5" t="s">
        <v>4840</v>
      </c>
      <c r="M1356" s="5" t="s">
        <v>2230</v>
      </c>
    </row>
    <row r="1357" ht="22.5" customHeight="1">
      <c r="A1357" s="37">
        <v>46064.91450771991</v>
      </c>
      <c r="B1357" s="5" t="s">
        <v>2282</v>
      </c>
      <c r="C1357" s="19" t="s">
        <v>645</v>
      </c>
      <c r="D1357" s="17">
        <v>2.0</v>
      </c>
      <c r="E1357" s="17">
        <v>17.0</v>
      </c>
      <c r="F1357" s="5">
        <v>25.0</v>
      </c>
      <c r="G1357" s="5">
        <v>25.0</v>
      </c>
      <c r="H1357" s="5">
        <v>50.0</v>
      </c>
      <c r="I1357" s="5">
        <v>16.0</v>
      </c>
      <c r="J1357" s="19" t="s">
        <v>1052</v>
      </c>
      <c r="K1357" s="17">
        <v>461.0</v>
      </c>
      <c r="L1357" s="5" t="s">
        <v>4841</v>
      </c>
      <c r="M1357" s="5" t="s">
        <v>2230</v>
      </c>
    </row>
    <row r="1358" ht="22.5" customHeight="1">
      <c r="A1358" s="37">
        <v>46064.91450709491</v>
      </c>
      <c r="B1358" s="5" t="s">
        <v>2282</v>
      </c>
      <c r="C1358" s="19" t="s">
        <v>733</v>
      </c>
      <c r="D1358" s="17">
        <v>1.0</v>
      </c>
      <c r="E1358" s="17">
        <v>26.0</v>
      </c>
      <c r="F1358" s="5">
        <v>40.0</v>
      </c>
      <c r="G1358" s="5">
        <v>40.0</v>
      </c>
      <c r="H1358" s="5">
        <v>40.0</v>
      </c>
      <c r="I1358" s="5">
        <v>14.0</v>
      </c>
      <c r="J1358" s="19" t="s">
        <v>1052</v>
      </c>
      <c r="K1358" s="17">
        <v>460.0</v>
      </c>
      <c r="L1358" s="5" t="s">
        <v>4842</v>
      </c>
      <c r="M1358" s="5" t="s">
        <v>2230</v>
      </c>
    </row>
    <row r="1359" ht="22.5" customHeight="1">
      <c r="A1359" s="37">
        <v>46064.91450638889</v>
      </c>
      <c r="B1359" s="5" t="s">
        <v>2282</v>
      </c>
      <c r="C1359" s="19" t="s">
        <v>302</v>
      </c>
      <c r="D1359" s="17">
        <v>2.0</v>
      </c>
      <c r="E1359" s="17">
        <v>18.0</v>
      </c>
      <c r="F1359" s="5">
        <v>25.0</v>
      </c>
      <c r="G1359" s="5">
        <v>25.0</v>
      </c>
      <c r="H1359" s="5">
        <v>50.0</v>
      </c>
      <c r="I1359" s="5">
        <v>14.0</v>
      </c>
      <c r="J1359" s="19" t="s">
        <v>31</v>
      </c>
      <c r="K1359" s="17">
        <v>459.0</v>
      </c>
      <c r="L1359" s="5" t="s">
        <v>4843</v>
      </c>
      <c r="M1359" s="5" t="s">
        <v>2230</v>
      </c>
    </row>
    <row r="1360" ht="22.5" customHeight="1">
      <c r="A1360" s="37">
        <v>46064.91450565972</v>
      </c>
      <c r="B1360" s="5" t="s">
        <v>2282</v>
      </c>
      <c r="C1360" s="19" t="s">
        <v>596</v>
      </c>
      <c r="D1360" s="17">
        <v>1.0</v>
      </c>
      <c r="E1360" s="17">
        <v>17.92</v>
      </c>
      <c r="F1360" s="5">
        <v>25.0</v>
      </c>
      <c r="G1360" s="5">
        <v>25.0</v>
      </c>
      <c r="H1360" s="5">
        <v>25.0</v>
      </c>
      <c r="I1360" s="5">
        <v>7.08</v>
      </c>
      <c r="J1360" s="19" t="s">
        <v>119</v>
      </c>
      <c r="K1360" s="17">
        <v>458.0</v>
      </c>
      <c r="L1360" s="5" t="s">
        <v>4844</v>
      </c>
      <c r="M1360" s="5" t="s">
        <v>2230</v>
      </c>
    </row>
    <row r="1361" ht="22.5" customHeight="1">
      <c r="A1361" s="37">
        <v>46064.914505243054</v>
      </c>
      <c r="B1361" s="5" t="s">
        <v>2282</v>
      </c>
      <c r="C1361" s="19" t="s">
        <v>572</v>
      </c>
      <c r="D1361" s="17">
        <v>2.0</v>
      </c>
      <c r="E1361" s="17">
        <v>4.38</v>
      </c>
      <c r="F1361" s="5">
        <v>10.0</v>
      </c>
      <c r="G1361" s="5">
        <v>10.0</v>
      </c>
      <c r="H1361" s="5">
        <v>20.0</v>
      </c>
      <c r="I1361" s="5">
        <v>11.24</v>
      </c>
      <c r="J1361" s="19" t="s">
        <v>119</v>
      </c>
      <c r="K1361" s="17">
        <v>457.0</v>
      </c>
      <c r="L1361" s="5" t="s">
        <v>4845</v>
      </c>
      <c r="M1361" s="5" t="s">
        <v>2230</v>
      </c>
    </row>
    <row r="1362" ht="22.5" customHeight="1">
      <c r="A1362" s="37">
        <v>46064.91450454861</v>
      </c>
      <c r="B1362" s="5" t="s">
        <v>2282</v>
      </c>
      <c r="C1362" s="19" t="s">
        <v>645</v>
      </c>
      <c r="D1362" s="17">
        <v>2.0</v>
      </c>
      <c r="E1362" s="17">
        <v>17.0</v>
      </c>
      <c r="F1362" s="5">
        <v>25.0</v>
      </c>
      <c r="G1362" s="5">
        <v>25.0</v>
      </c>
      <c r="H1362" s="5">
        <v>50.0</v>
      </c>
      <c r="I1362" s="5">
        <v>16.0</v>
      </c>
      <c r="J1362" s="19" t="s">
        <v>1052</v>
      </c>
      <c r="K1362" s="17">
        <v>456.0</v>
      </c>
      <c r="L1362" s="5" t="s">
        <v>4846</v>
      </c>
      <c r="M1362" s="5" t="s">
        <v>2230</v>
      </c>
    </row>
    <row r="1363" ht="22.5" customHeight="1">
      <c r="A1363" s="37">
        <v>46064.91450375</v>
      </c>
      <c r="B1363" s="5" t="s">
        <v>2282</v>
      </c>
      <c r="C1363" s="19" t="s">
        <v>733</v>
      </c>
      <c r="D1363" s="17">
        <v>1.0</v>
      </c>
      <c r="E1363" s="17">
        <v>26.0</v>
      </c>
      <c r="F1363" s="5">
        <v>40.0</v>
      </c>
      <c r="G1363" s="5">
        <v>40.0</v>
      </c>
      <c r="H1363" s="5">
        <v>40.0</v>
      </c>
      <c r="I1363" s="5">
        <v>14.0</v>
      </c>
      <c r="J1363" s="19" t="s">
        <v>1052</v>
      </c>
      <c r="K1363" s="17">
        <v>455.0</v>
      </c>
      <c r="L1363" s="5" t="s">
        <v>4848</v>
      </c>
      <c r="M1363" s="5" t="s">
        <v>2230</v>
      </c>
    </row>
    <row r="1364" ht="22.5" customHeight="1">
      <c r="A1364" s="37">
        <v>46058.923499571756</v>
      </c>
      <c r="B1364" s="5" t="s">
        <v>2282</v>
      </c>
      <c r="C1364" s="19" t="s">
        <v>633</v>
      </c>
      <c r="D1364" s="17">
        <v>1.0</v>
      </c>
      <c r="E1364" s="17">
        <v>128.0</v>
      </c>
      <c r="F1364" s="5">
        <v>170.0</v>
      </c>
      <c r="G1364" s="5">
        <v>170.0</v>
      </c>
      <c r="H1364" s="5">
        <v>170.0</v>
      </c>
      <c r="I1364" s="5">
        <v>42.0</v>
      </c>
      <c r="J1364" s="19" t="s">
        <v>119</v>
      </c>
      <c r="K1364" s="17">
        <v>454.0</v>
      </c>
      <c r="L1364" s="5" t="s">
        <v>4852</v>
      </c>
      <c r="M1364" s="5" t="s">
        <v>2230</v>
      </c>
    </row>
    <row r="1365" ht="22.5" customHeight="1">
      <c r="A1365" s="37">
        <v>46058.87709383102</v>
      </c>
      <c r="B1365" s="5" t="s">
        <v>2282</v>
      </c>
      <c r="C1365" s="19" t="s">
        <v>415</v>
      </c>
      <c r="D1365" s="17">
        <v>1.0</v>
      </c>
      <c r="E1365" s="17">
        <v>225.0</v>
      </c>
      <c r="F1365" s="5">
        <v>270.0</v>
      </c>
      <c r="G1365" s="5">
        <v>270.0</v>
      </c>
      <c r="H1365" s="5">
        <v>270.0</v>
      </c>
      <c r="I1365" s="5">
        <v>45.0</v>
      </c>
      <c r="J1365" s="19" t="s">
        <v>119</v>
      </c>
      <c r="K1365" s="17">
        <v>453.0</v>
      </c>
      <c r="L1365" s="5" t="s">
        <v>4853</v>
      </c>
      <c r="M1365" s="5" t="s">
        <v>2230</v>
      </c>
    </row>
    <row r="1366" ht="22.5" customHeight="1">
      <c r="A1366" s="37">
        <v>46058.87709333333</v>
      </c>
      <c r="B1366" s="5" t="s">
        <v>2282</v>
      </c>
      <c r="C1366" s="19" t="s">
        <v>139</v>
      </c>
      <c r="D1366" s="17">
        <v>1.0</v>
      </c>
      <c r="E1366" s="17">
        <v>110.0</v>
      </c>
      <c r="F1366" s="5">
        <v>150.0</v>
      </c>
      <c r="G1366" s="5">
        <v>150.0</v>
      </c>
      <c r="H1366" s="5">
        <v>150.0</v>
      </c>
      <c r="I1366" s="5">
        <v>40.0</v>
      </c>
      <c r="J1366" s="19" t="s">
        <v>31</v>
      </c>
      <c r="K1366" s="17">
        <v>452.0</v>
      </c>
      <c r="L1366" s="5" t="s">
        <v>4855</v>
      </c>
      <c r="M1366" s="5" t="s">
        <v>2230</v>
      </c>
    </row>
    <row r="1367" ht="22.5" customHeight="1">
      <c r="A1367" s="37">
        <v>46058.87709296297</v>
      </c>
      <c r="B1367" s="5" t="s">
        <v>2282</v>
      </c>
      <c r="C1367" s="19" t="s">
        <v>268</v>
      </c>
      <c r="D1367" s="17">
        <v>2.0</v>
      </c>
      <c r="E1367" s="17">
        <v>170.0</v>
      </c>
      <c r="F1367" s="5">
        <v>200.0</v>
      </c>
      <c r="G1367" s="5">
        <v>200.0</v>
      </c>
      <c r="H1367" s="5">
        <v>400.0</v>
      </c>
      <c r="I1367" s="5">
        <v>60.0</v>
      </c>
      <c r="J1367" s="19" t="s">
        <v>581</v>
      </c>
      <c r="K1367" s="17">
        <v>451.0</v>
      </c>
      <c r="L1367" s="5" t="s">
        <v>4856</v>
      </c>
      <c r="M1367" s="5" t="s">
        <v>2230</v>
      </c>
    </row>
    <row r="1368" ht="22.5" customHeight="1">
      <c r="A1368" s="37">
        <v>46058.87709258102</v>
      </c>
      <c r="B1368" s="5" t="s">
        <v>2282</v>
      </c>
      <c r="C1368" s="19" t="s">
        <v>322</v>
      </c>
      <c r="D1368" s="17">
        <v>2.0</v>
      </c>
      <c r="E1368" s="17">
        <v>75.0</v>
      </c>
      <c r="F1368" s="5">
        <v>130.0</v>
      </c>
      <c r="G1368" s="5">
        <v>130.0</v>
      </c>
      <c r="H1368" s="5">
        <v>260.0</v>
      </c>
      <c r="I1368" s="5">
        <v>110.0</v>
      </c>
      <c r="J1368" s="19" t="s">
        <v>31</v>
      </c>
      <c r="K1368" s="17">
        <v>450.0</v>
      </c>
      <c r="L1368" s="5" t="s">
        <v>4857</v>
      </c>
      <c r="M1368" s="5" t="s">
        <v>2230</v>
      </c>
    </row>
    <row r="1369" ht="22.5" customHeight="1">
      <c r="A1369" s="37">
        <v>46058.87709219907</v>
      </c>
      <c r="B1369" s="5" t="s">
        <v>2282</v>
      </c>
      <c r="C1369" s="19" t="s">
        <v>418</v>
      </c>
      <c r="D1369" s="17">
        <v>2.0</v>
      </c>
      <c r="E1369" s="17">
        <v>185.0</v>
      </c>
      <c r="F1369" s="5">
        <v>250.0</v>
      </c>
      <c r="G1369" s="5">
        <v>250.0</v>
      </c>
      <c r="H1369" s="5">
        <v>500.0</v>
      </c>
      <c r="I1369" s="5">
        <v>130.0</v>
      </c>
      <c r="J1369" s="19" t="s">
        <v>31</v>
      </c>
      <c r="K1369" s="17">
        <v>449.0</v>
      </c>
      <c r="L1369" s="5" t="s">
        <v>4858</v>
      </c>
      <c r="M1369" s="5" t="s">
        <v>2230</v>
      </c>
    </row>
    <row r="1370" ht="22.5" customHeight="1">
      <c r="A1370" s="37">
        <v>46058.8167043287</v>
      </c>
      <c r="B1370" s="5" t="s">
        <v>2282</v>
      </c>
      <c r="C1370" s="19" t="s">
        <v>748</v>
      </c>
      <c r="D1370" s="17">
        <v>2.0</v>
      </c>
      <c r="E1370" s="17">
        <v>75.0</v>
      </c>
      <c r="F1370" s="5">
        <v>95.0</v>
      </c>
      <c r="G1370" s="5">
        <v>95.0</v>
      </c>
      <c r="H1370" s="5">
        <v>190.0</v>
      </c>
      <c r="I1370" s="5">
        <v>40.0</v>
      </c>
      <c r="J1370" s="19"/>
      <c r="K1370" s="17">
        <v>446.0</v>
      </c>
      <c r="L1370" s="5" t="s">
        <v>4859</v>
      </c>
      <c r="M1370" s="5" t="s">
        <v>2230</v>
      </c>
    </row>
    <row r="1371" ht="22.5" customHeight="1">
      <c r="A1371" s="37">
        <v>46058.81575408565</v>
      </c>
      <c r="B1371" s="5" t="s">
        <v>2282</v>
      </c>
      <c r="C1371" s="19" t="s">
        <v>452</v>
      </c>
      <c r="D1371" s="17">
        <v>1.0</v>
      </c>
      <c r="E1371" s="17">
        <v>16.0</v>
      </c>
      <c r="F1371" s="5">
        <v>20.0</v>
      </c>
      <c r="G1371" s="5">
        <v>20.0</v>
      </c>
      <c r="H1371" s="5">
        <v>20.0</v>
      </c>
      <c r="I1371" s="5">
        <v>4.0</v>
      </c>
      <c r="J1371" s="19" t="s">
        <v>31</v>
      </c>
      <c r="K1371" s="17">
        <v>448.0</v>
      </c>
      <c r="L1371" s="5" t="s">
        <v>4860</v>
      </c>
      <c r="M1371" s="5" t="s">
        <v>2230</v>
      </c>
    </row>
    <row r="1372" ht="22.5" customHeight="1">
      <c r="A1372" s="37">
        <v>46058.81575363426</v>
      </c>
      <c r="B1372" s="5" t="s">
        <v>2282</v>
      </c>
      <c r="C1372" s="19" t="s">
        <v>584</v>
      </c>
      <c r="D1372" s="17">
        <v>1.0</v>
      </c>
      <c r="E1372" s="17">
        <v>5.0</v>
      </c>
      <c r="F1372" s="5">
        <v>10.0</v>
      </c>
      <c r="G1372" s="5">
        <v>10.0</v>
      </c>
      <c r="H1372" s="5">
        <v>10.0</v>
      </c>
      <c r="I1372" s="5">
        <v>5.0</v>
      </c>
      <c r="J1372" s="19" t="s">
        <v>119</v>
      </c>
      <c r="K1372" s="17">
        <v>447.0</v>
      </c>
      <c r="L1372" s="5" t="s">
        <v>4861</v>
      </c>
      <c r="M1372" s="5" t="s">
        <v>2230</v>
      </c>
    </row>
    <row r="1373" ht="22.5" customHeight="1">
      <c r="A1373" s="37">
        <v>46058.8157528125</v>
      </c>
      <c r="B1373" s="5" t="s">
        <v>2282</v>
      </c>
      <c r="C1373" s="19" t="s">
        <v>764</v>
      </c>
      <c r="D1373" s="17">
        <v>1.0</v>
      </c>
      <c r="E1373" s="17">
        <v>136.5</v>
      </c>
      <c r="F1373" s="5">
        <v>175.0</v>
      </c>
      <c r="G1373" s="5">
        <v>175.0</v>
      </c>
      <c r="H1373" s="5">
        <v>175.0</v>
      </c>
      <c r="I1373" s="5">
        <v>38.5</v>
      </c>
      <c r="J1373" s="19" t="s">
        <v>119</v>
      </c>
      <c r="K1373" s="17">
        <v>445.0</v>
      </c>
      <c r="L1373" s="5" t="s">
        <v>4862</v>
      </c>
      <c r="M1373" s="5" t="s">
        <v>2230</v>
      </c>
    </row>
    <row r="1374" ht="22.5" customHeight="1">
      <c r="A1374" s="37">
        <v>46057.848794907404</v>
      </c>
      <c r="B1374" s="5" t="s">
        <v>2282</v>
      </c>
      <c r="C1374" s="19" t="s">
        <v>518</v>
      </c>
      <c r="D1374" s="17">
        <v>1.0</v>
      </c>
      <c r="E1374" s="17">
        <v>75.0</v>
      </c>
      <c r="F1374" s="5">
        <v>90.0</v>
      </c>
      <c r="G1374" s="5">
        <v>90.0</v>
      </c>
      <c r="H1374" s="5">
        <v>90.0</v>
      </c>
      <c r="I1374" s="5">
        <v>15.0</v>
      </c>
      <c r="J1374" s="19" t="s">
        <v>51</v>
      </c>
      <c r="K1374" s="17">
        <v>444.0</v>
      </c>
      <c r="L1374" s="5" t="s">
        <v>4863</v>
      </c>
      <c r="M1374" s="5" t="s">
        <v>2230</v>
      </c>
    </row>
    <row r="1375" ht="22.5" customHeight="1">
      <c r="A1375" s="37">
        <v>46057.84879447917</v>
      </c>
      <c r="B1375" s="5" t="s">
        <v>2282</v>
      </c>
      <c r="C1375" s="19" t="s">
        <v>265</v>
      </c>
      <c r="D1375" s="17">
        <v>1.0</v>
      </c>
      <c r="E1375" s="17">
        <v>145.0</v>
      </c>
      <c r="F1375" s="5">
        <v>175.0</v>
      </c>
      <c r="G1375" s="5">
        <v>175.0</v>
      </c>
      <c r="H1375" s="5">
        <v>175.0</v>
      </c>
      <c r="I1375" s="5">
        <v>30.0</v>
      </c>
      <c r="J1375" s="19" t="s">
        <v>31</v>
      </c>
      <c r="K1375" s="17">
        <v>443.0</v>
      </c>
      <c r="L1375" s="5" t="s">
        <v>4864</v>
      </c>
      <c r="M1375" s="5" t="s">
        <v>2230</v>
      </c>
    </row>
    <row r="1376" ht="22.5" customHeight="1">
      <c r="A1376" s="37">
        <v>46057.84879412037</v>
      </c>
      <c r="B1376" s="5" t="s">
        <v>2282</v>
      </c>
      <c r="C1376" s="19" t="s">
        <v>412</v>
      </c>
      <c r="D1376" s="17">
        <v>1.0</v>
      </c>
      <c r="E1376" s="17">
        <v>195.0</v>
      </c>
      <c r="F1376" s="5">
        <v>235.0</v>
      </c>
      <c r="G1376" s="5">
        <v>235.0</v>
      </c>
      <c r="H1376" s="5">
        <v>235.0</v>
      </c>
      <c r="I1376" s="5">
        <v>40.0</v>
      </c>
      <c r="J1376" s="19" t="s">
        <v>31</v>
      </c>
      <c r="K1376" s="17">
        <v>442.0</v>
      </c>
      <c r="L1376" s="5" t="s">
        <v>4865</v>
      </c>
      <c r="M1376" s="5" t="s">
        <v>2230</v>
      </c>
    </row>
    <row r="1377" ht="22.5" customHeight="1">
      <c r="A1377" s="37">
        <v>46057.8487937037</v>
      </c>
      <c r="B1377" s="5" t="s">
        <v>2282</v>
      </c>
      <c r="C1377" s="19" t="s">
        <v>297</v>
      </c>
      <c r="D1377" s="17">
        <v>1.0</v>
      </c>
      <c r="E1377" s="17">
        <v>30.0</v>
      </c>
      <c r="F1377" s="5">
        <v>90.0</v>
      </c>
      <c r="G1377" s="5">
        <v>90.0</v>
      </c>
      <c r="H1377" s="5">
        <v>90.0</v>
      </c>
      <c r="I1377" s="5">
        <v>60.0</v>
      </c>
      <c r="J1377" s="19" t="s">
        <v>31</v>
      </c>
      <c r="K1377" s="17">
        <v>441.0</v>
      </c>
      <c r="L1377" s="5" t="s">
        <v>4866</v>
      </c>
      <c r="M1377" s="5" t="s">
        <v>2230</v>
      </c>
    </row>
    <row r="1378" ht="22.5" customHeight="1">
      <c r="A1378" s="37">
        <v>46057.84879325231</v>
      </c>
      <c r="B1378" s="5" t="s">
        <v>2282</v>
      </c>
      <c r="C1378" s="19" t="s">
        <v>753</v>
      </c>
      <c r="D1378" s="17">
        <v>3.0</v>
      </c>
      <c r="E1378" s="17">
        <v>7.083333333333333</v>
      </c>
      <c r="F1378" s="5">
        <v>20.0</v>
      </c>
      <c r="G1378" s="5">
        <v>20.0</v>
      </c>
      <c r="H1378" s="5">
        <v>60.0</v>
      </c>
      <c r="I1378" s="5">
        <v>38.75</v>
      </c>
      <c r="J1378" s="5" t="s">
        <v>54</v>
      </c>
      <c r="K1378" s="17">
        <v>440.0</v>
      </c>
      <c r="L1378" s="5" t="s">
        <v>4867</v>
      </c>
      <c r="M1378" s="5" t="s">
        <v>2230</v>
      </c>
    </row>
    <row r="1379" ht="22.5" customHeight="1">
      <c r="A1379" s="37">
        <v>46057.848792731485</v>
      </c>
      <c r="B1379" s="5" t="s">
        <v>2282</v>
      </c>
      <c r="C1379" s="19" t="s">
        <v>322</v>
      </c>
      <c r="D1379" s="17">
        <v>1.0</v>
      </c>
      <c r="E1379" s="17">
        <v>75.0</v>
      </c>
      <c r="F1379" s="5">
        <v>100.0</v>
      </c>
      <c r="G1379" s="5">
        <v>100.0</v>
      </c>
      <c r="H1379" s="5">
        <v>100.0</v>
      </c>
      <c r="I1379" s="5">
        <v>25.0</v>
      </c>
      <c r="J1379" s="19" t="s">
        <v>31</v>
      </c>
      <c r="K1379" s="17">
        <v>439.0</v>
      </c>
      <c r="L1379" s="5" t="s">
        <v>4868</v>
      </c>
      <c r="M1379" s="5" t="s">
        <v>2230</v>
      </c>
    </row>
    <row r="1380" ht="22.5" customHeight="1">
      <c r="A1380" s="37">
        <v>46057.78413836806</v>
      </c>
      <c r="B1380" s="5" t="s">
        <v>2282</v>
      </c>
      <c r="C1380" s="19" t="s">
        <v>326</v>
      </c>
      <c r="D1380" s="17">
        <v>1.0</v>
      </c>
      <c r="E1380" s="17">
        <v>275.0</v>
      </c>
      <c r="F1380" s="5">
        <v>300.0</v>
      </c>
      <c r="G1380" s="5">
        <v>300.0</v>
      </c>
      <c r="H1380" s="5">
        <v>300.0</v>
      </c>
      <c r="I1380" s="5">
        <v>25.0</v>
      </c>
      <c r="J1380" s="19" t="s">
        <v>31</v>
      </c>
      <c r="K1380" s="17">
        <v>438.0</v>
      </c>
      <c r="L1380" s="5" t="s">
        <v>4869</v>
      </c>
      <c r="M1380" s="5" t="s">
        <v>2230</v>
      </c>
    </row>
    <row r="1381" ht="22.5" customHeight="1">
      <c r="A1381" s="37">
        <v>46057.75442972222</v>
      </c>
      <c r="B1381" s="5" t="s">
        <v>2282</v>
      </c>
      <c r="C1381" s="19" t="s">
        <v>733</v>
      </c>
      <c r="D1381" s="17">
        <v>1.0</v>
      </c>
      <c r="E1381" s="17">
        <v>26.0</v>
      </c>
      <c r="F1381" s="5">
        <v>40.0</v>
      </c>
      <c r="G1381" s="5">
        <v>40.0</v>
      </c>
      <c r="H1381" s="5">
        <v>40.0</v>
      </c>
      <c r="I1381" s="5">
        <v>14.0</v>
      </c>
      <c r="J1381" s="19" t="s">
        <v>1052</v>
      </c>
      <c r="K1381" s="17">
        <v>437.0</v>
      </c>
      <c r="L1381" s="5" t="s">
        <v>4870</v>
      </c>
      <c r="M1381" s="5" t="s">
        <v>2230</v>
      </c>
    </row>
    <row r="1382" ht="22.5" customHeight="1">
      <c r="A1382" s="37">
        <v>46057.75442909722</v>
      </c>
      <c r="B1382" s="5" t="s">
        <v>2282</v>
      </c>
      <c r="C1382" s="19" t="s">
        <v>667</v>
      </c>
      <c r="D1382" s="17">
        <v>1.0</v>
      </c>
      <c r="E1382" s="17">
        <v>55.0</v>
      </c>
      <c r="F1382" s="5">
        <v>75.0</v>
      </c>
      <c r="G1382" s="5">
        <v>75.0</v>
      </c>
      <c r="H1382" s="5">
        <v>75.0</v>
      </c>
      <c r="I1382" s="5">
        <v>20.0</v>
      </c>
      <c r="J1382" s="19" t="s">
        <v>1052</v>
      </c>
      <c r="K1382" s="17">
        <v>436.0</v>
      </c>
      <c r="L1382" s="5" t="s">
        <v>4871</v>
      </c>
      <c r="M1382" s="5" t="s">
        <v>2230</v>
      </c>
    </row>
    <row r="1383" ht="22.5" customHeight="1">
      <c r="A1383" s="37">
        <v>46057.70997289351</v>
      </c>
      <c r="B1383" s="5" t="s">
        <v>2282</v>
      </c>
      <c r="C1383" s="19" t="s">
        <v>645</v>
      </c>
      <c r="D1383" s="17">
        <v>4.0</v>
      </c>
      <c r="E1383" s="17">
        <v>17.0</v>
      </c>
      <c r="F1383" s="5">
        <v>25.0</v>
      </c>
      <c r="G1383" s="5">
        <v>25.0</v>
      </c>
      <c r="H1383" s="5">
        <v>100.0</v>
      </c>
      <c r="I1383" s="5">
        <v>32.0</v>
      </c>
      <c r="J1383" s="19" t="s">
        <v>1052</v>
      </c>
      <c r="K1383" s="17">
        <v>435.0</v>
      </c>
      <c r="L1383" s="5" t="s">
        <v>4872</v>
      </c>
      <c r="M1383" s="5" t="s">
        <v>2230</v>
      </c>
    </row>
    <row r="1384" ht="22.5" customHeight="1">
      <c r="A1384" s="37">
        <v>46057.70997172454</v>
      </c>
      <c r="B1384" s="5" t="s">
        <v>2282</v>
      </c>
      <c r="C1384" s="19" t="s">
        <v>302</v>
      </c>
      <c r="D1384" s="17">
        <v>4.0</v>
      </c>
      <c r="E1384" s="17">
        <v>18.0</v>
      </c>
      <c r="F1384" s="5">
        <v>25.0</v>
      </c>
      <c r="G1384" s="5">
        <v>25.0</v>
      </c>
      <c r="H1384" s="5">
        <v>100.0</v>
      </c>
      <c r="I1384" s="5">
        <v>28.0</v>
      </c>
      <c r="J1384" s="19" t="s">
        <v>31</v>
      </c>
      <c r="K1384" s="17">
        <v>434.0</v>
      </c>
      <c r="L1384" s="5" t="s">
        <v>4873</v>
      </c>
      <c r="M1384" s="5" t="s">
        <v>2230</v>
      </c>
    </row>
    <row r="1385" ht="22.5" customHeight="1">
      <c r="A1385" s="37">
        <v>46057.709970972224</v>
      </c>
      <c r="B1385" s="5" t="s">
        <v>2282</v>
      </c>
      <c r="C1385" s="19" t="s">
        <v>34</v>
      </c>
      <c r="D1385" s="17">
        <v>1.0</v>
      </c>
      <c r="E1385" s="17">
        <v>134.23749999999998</v>
      </c>
      <c r="F1385" s="5">
        <v>300.0</v>
      </c>
      <c r="G1385" s="5">
        <v>300.0</v>
      </c>
      <c r="H1385" s="5">
        <v>300.0</v>
      </c>
      <c r="I1385" s="5">
        <v>165.76</v>
      </c>
      <c r="J1385" s="5" t="s">
        <v>54</v>
      </c>
      <c r="K1385" s="17">
        <v>433.0</v>
      </c>
      <c r="L1385" s="5" t="s">
        <v>4874</v>
      </c>
      <c r="M1385" s="5" t="s">
        <v>2230</v>
      </c>
    </row>
    <row r="1386" ht="22.5" customHeight="1">
      <c r="A1386" s="37">
        <v>46056.78967013889</v>
      </c>
      <c r="B1386" s="5" t="s">
        <v>2282</v>
      </c>
      <c r="C1386" s="19" t="s">
        <v>79</v>
      </c>
      <c r="D1386" s="17">
        <v>1.0</v>
      </c>
      <c r="E1386" s="17">
        <v>60.0</v>
      </c>
      <c r="F1386" s="5">
        <v>75.0</v>
      </c>
      <c r="G1386" s="5">
        <v>75.0</v>
      </c>
      <c r="H1386" s="5">
        <v>75.0</v>
      </c>
      <c r="I1386" s="5">
        <v>15.0</v>
      </c>
      <c r="J1386" s="19" t="s">
        <v>31</v>
      </c>
      <c r="K1386" s="17">
        <v>432.0</v>
      </c>
      <c r="L1386" s="5" t="s">
        <v>4875</v>
      </c>
      <c r="M1386" s="5" t="s">
        <v>2230</v>
      </c>
    </row>
    <row r="1387" ht="22.5" customHeight="1">
      <c r="A1387" s="37">
        <v>46056.78966956018</v>
      </c>
      <c r="B1387" s="5" t="s">
        <v>2282</v>
      </c>
      <c r="C1387" s="19" t="s">
        <v>558</v>
      </c>
      <c r="D1387" s="17">
        <v>1.0</v>
      </c>
      <c r="E1387" s="17">
        <v>125.0</v>
      </c>
      <c r="F1387" s="5">
        <v>150.0</v>
      </c>
      <c r="G1387" s="5">
        <v>150.0</v>
      </c>
      <c r="H1387" s="5">
        <v>150.0</v>
      </c>
      <c r="I1387" s="5">
        <v>25.0</v>
      </c>
      <c r="J1387" s="19" t="s">
        <v>119</v>
      </c>
      <c r="K1387" s="17">
        <v>431.0</v>
      </c>
      <c r="L1387" s="5" t="s">
        <v>4876</v>
      </c>
      <c r="M1387" s="5" t="s">
        <v>2230</v>
      </c>
    </row>
    <row r="1388" ht="22.5" customHeight="1">
      <c r="A1388" s="37">
        <v>46056.78966886574</v>
      </c>
      <c r="B1388" s="5" t="s">
        <v>2282</v>
      </c>
      <c r="C1388" s="19" t="s">
        <v>756</v>
      </c>
      <c r="D1388" s="17">
        <v>1.0</v>
      </c>
      <c r="E1388" s="17">
        <v>30.0</v>
      </c>
      <c r="F1388" s="5">
        <v>75.0</v>
      </c>
      <c r="G1388" s="5">
        <v>75.0</v>
      </c>
      <c r="H1388" s="5">
        <v>75.0</v>
      </c>
      <c r="I1388" s="5">
        <v>45.0</v>
      </c>
      <c r="J1388" s="19" t="s">
        <v>154</v>
      </c>
      <c r="K1388" s="17">
        <v>430.0</v>
      </c>
      <c r="L1388" s="5" t="s">
        <v>4877</v>
      </c>
      <c r="M1388" s="5" t="s">
        <v>2230</v>
      </c>
    </row>
    <row r="1389" ht="22.5" customHeight="1">
      <c r="A1389" s="37">
        <v>46056.78966818287</v>
      </c>
      <c r="B1389" s="5" t="s">
        <v>2282</v>
      </c>
      <c r="C1389" s="19" t="s">
        <v>168</v>
      </c>
      <c r="D1389" s="17">
        <v>1.0</v>
      </c>
      <c r="E1389" s="17">
        <v>135.0</v>
      </c>
      <c r="F1389" s="5">
        <v>225.0</v>
      </c>
      <c r="G1389" s="5">
        <v>225.0</v>
      </c>
      <c r="H1389" s="5">
        <v>225.0</v>
      </c>
      <c r="I1389" s="5">
        <v>90.0</v>
      </c>
      <c r="J1389" s="19" t="s">
        <v>31</v>
      </c>
      <c r="K1389" s="17">
        <v>429.0</v>
      </c>
      <c r="L1389" s="5" t="s">
        <v>4878</v>
      </c>
      <c r="M1389" s="5" t="s">
        <v>2230</v>
      </c>
    </row>
    <row r="1390" ht="22.5" customHeight="1">
      <c r="A1390" s="37">
        <v>46053.883305509255</v>
      </c>
      <c r="B1390" s="5" t="s">
        <v>2282</v>
      </c>
      <c r="C1390" s="19" t="s">
        <v>588</v>
      </c>
      <c r="D1390" s="17">
        <v>2.0</v>
      </c>
      <c r="E1390" s="17">
        <v>115.0</v>
      </c>
      <c r="F1390" s="5">
        <v>125.0</v>
      </c>
      <c r="G1390" s="5">
        <v>125.0</v>
      </c>
      <c r="H1390" s="5">
        <v>250.0</v>
      </c>
      <c r="I1390" s="5">
        <v>20.0</v>
      </c>
      <c r="J1390" s="19" t="s">
        <v>119</v>
      </c>
      <c r="K1390" s="17">
        <v>428.0</v>
      </c>
      <c r="L1390" s="5" t="s">
        <v>4879</v>
      </c>
      <c r="M1390" s="5" t="s">
        <v>2230</v>
      </c>
    </row>
    <row r="1391" ht="22.5" customHeight="1">
      <c r="A1391" s="37">
        <v>46053.855128553245</v>
      </c>
      <c r="B1391" s="5" t="s">
        <v>2282</v>
      </c>
      <c r="C1391" s="19" t="s">
        <v>497</v>
      </c>
      <c r="D1391" s="17">
        <v>1.0</v>
      </c>
      <c r="E1391" s="17">
        <v>195.0</v>
      </c>
      <c r="F1391" s="5">
        <v>250.0</v>
      </c>
      <c r="G1391" s="5">
        <v>250.0</v>
      </c>
      <c r="H1391" s="5">
        <v>250.0</v>
      </c>
      <c r="I1391" s="5">
        <v>55.0</v>
      </c>
      <c r="J1391" s="19" t="s">
        <v>119</v>
      </c>
      <c r="K1391" s="17">
        <v>427.0</v>
      </c>
      <c r="L1391" s="5" t="s">
        <v>4880</v>
      </c>
      <c r="M1391" s="5" t="s">
        <v>2230</v>
      </c>
    </row>
    <row r="1392" ht="22.5" customHeight="1">
      <c r="A1392" s="37">
        <v>46053.73183042824</v>
      </c>
      <c r="B1392" s="5" t="s">
        <v>2282</v>
      </c>
      <c r="C1392" s="19" t="s">
        <v>356</v>
      </c>
      <c r="D1392" s="17">
        <v>2.0</v>
      </c>
      <c r="E1392" s="17">
        <v>85.0</v>
      </c>
      <c r="F1392" s="5">
        <v>110.0</v>
      </c>
      <c r="G1392" s="5">
        <v>110.0</v>
      </c>
      <c r="H1392" s="5">
        <v>220.0</v>
      </c>
      <c r="I1392" s="5">
        <v>50.0</v>
      </c>
      <c r="J1392" s="19" t="s">
        <v>51</v>
      </c>
      <c r="K1392" s="17">
        <v>426.0</v>
      </c>
      <c r="L1392" s="5" t="s">
        <v>4887</v>
      </c>
      <c r="M1392" s="5" t="s">
        <v>2230</v>
      </c>
    </row>
    <row r="1393" ht="22.5" customHeight="1">
      <c r="A1393" s="37">
        <v>46053.73182980324</v>
      </c>
      <c r="B1393" s="5" t="s">
        <v>2282</v>
      </c>
      <c r="C1393" s="19" t="s">
        <v>194</v>
      </c>
      <c r="D1393" s="17">
        <v>1.0</v>
      </c>
      <c r="E1393" s="17">
        <v>164.17</v>
      </c>
      <c r="F1393" s="5">
        <v>200.0</v>
      </c>
      <c r="G1393" s="5">
        <v>200.0</v>
      </c>
      <c r="H1393" s="5">
        <v>200.0</v>
      </c>
      <c r="I1393" s="5">
        <v>35.83</v>
      </c>
      <c r="J1393" s="19" t="s">
        <v>31</v>
      </c>
      <c r="K1393" s="17">
        <v>425.0</v>
      </c>
      <c r="L1393" s="5" t="s">
        <v>4889</v>
      </c>
      <c r="M1393" s="5" t="s">
        <v>2230</v>
      </c>
    </row>
    <row r="1394" ht="22.5" customHeight="1">
      <c r="A1394" s="37">
        <v>46052.95507498842</v>
      </c>
      <c r="B1394" s="5" t="s">
        <v>2282</v>
      </c>
      <c r="C1394" s="19" t="s">
        <v>48</v>
      </c>
      <c r="D1394" s="17">
        <v>1.0</v>
      </c>
      <c r="E1394" s="17">
        <v>31.5</v>
      </c>
      <c r="F1394" s="5">
        <v>50.0</v>
      </c>
      <c r="G1394" s="5">
        <v>50.0</v>
      </c>
      <c r="H1394" s="5">
        <v>50.0</v>
      </c>
      <c r="I1394" s="5">
        <v>18.5</v>
      </c>
      <c r="J1394" s="19" t="s">
        <v>31</v>
      </c>
      <c r="K1394" s="17">
        <v>424.0</v>
      </c>
      <c r="L1394" s="5" t="s">
        <v>4890</v>
      </c>
      <c r="M1394" s="5" t="s">
        <v>2230</v>
      </c>
    </row>
    <row r="1395" ht="22.5" customHeight="1">
      <c r="A1395" s="37">
        <v>46052.0</v>
      </c>
      <c r="B1395" s="5" t="s">
        <v>2282</v>
      </c>
      <c r="C1395" s="19" t="s">
        <v>733</v>
      </c>
      <c r="D1395" s="17">
        <v>1.0</v>
      </c>
      <c r="E1395" s="17">
        <v>26.0</v>
      </c>
      <c r="F1395" s="5">
        <v>40.0</v>
      </c>
      <c r="G1395" s="5">
        <v>40.0</v>
      </c>
      <c r="H1395" s="5">
        <v>40.0</v>
      </c>
      <c r="I1395" s="5">
        <v>14.0</v>
      </c>
      <c r="J1395" s="19" t="s">
        <v>1052</v>
      </c>
      <c r="K1395" s="17">
        <v>427.0</v>
      </c>
      <c r="L1395" s="5" t="s">
        <v>4892</v>
      </c>
      <c r="M1395" s="5" t="s">
        <v>2230</v>
      </c>
    </row>
    <row r="1396" ht="22.5" customHeight="1">
      <c r="A1396" s="37">
        <v>46052.0</v>
      </c>
      <c r="B1396" s="5" t="s">
        <v>2282</v>
      </c>
      <c r="C1396" s="19" t="s">
        <v>753</v>
      </c>
      <c r="D1396" s="17">
        <v>3.0</v>
      </c>
      <c r="E1396" s="17">
        <v>7.083333333333333</v>
      </c>
      <c r="F1396" s="5">
        <v>10.0</v>
      </c>
      <c r="G1396" s="5">
        <v>10.0</v>
      </c>
      <c r="H1396" s="5">
        <v>30.0</v>
      </c>
      <c r="I1396" s="5">
        <v>8.75</v>
      </c>
      <c r="J1396" s="5" t="s">
        <v>54</v>
      </c>
      <c r="K1396" s="17">
        <v>426.0</v>
      </c>
      <c r="L1396" s="5" t="s">
        <v>4893</v>
      </c>
      <c r="M1396" s="5" t="s">
        <v>2230</v>
      </c>
    </row>
    <row r="1397" ht="22.5" customHeight="1">
      <c r="A1397" s="37">
        <v>46052.0</v>
      </c>
      <c r="B1397" s="5" t="s">
        <v>2282</v>
      </c>
      <c r="C1397" s="19" t="s">
        <v>726</v>
      </c>
      <c r="D1397" s="17">
        <v>2.0</v>
      </c>
      <c r="E1397" s="17">
        <v>30.0</v>
      </c>
      <c r="F1397" s="5">
        <v>25.0</v>
      </c>
      <c r="G1397" s="5">
        <v>25.0</v>
      </c>
      <c r="H1397" s="5">
        <v>50.0</v>
      </c>
      <c r="I1397" s="5">
        <v>-10.0</v>
      </c>
      <c r="J1397" s="19" t="s">
        <v>31</v>
      </c>
      <c r="K1397" s="17">
        <v>425.0</v>
      </c>
      <c r="L1397" s="5" t="s">
        <v>4894</v>
      </c>
      <c r="M1397" s="5" t="s">
        <v>2230</v>
      </c>
    </row>
    <row r="1398" ht="22.5" customHeight="1">
      <c r="A1398" s="37">
        <v>46052.0</v>
      </c>
      <c r="B1398" s="5" t="s">
        <v>2282</v>
      </c>
      <c r="C1398" s="19" t="s">
        <v>372</v>
      </c>
      <c r="D1398" s="17">
        <v>1.0</v>
      </c>
      <c r="E1398" s="17">
        <v>180.0</v>
      </c>
      <c r="F1398" s="5">
        <v>180.0</v>
      </c>
      <c r="G1398" s="5">
        <v>180.0</v>
      </c>
      <c r="H1398" s="5">
        <v>180.0</v>
      </c>
      <c r="I1398" s="5">
        <v>0.0</v>
      </c>
      <c r="J1398" s="19" t="s">
        <v>31</v>
      </c>
      <c r="K1398" s="17">
        <v>424.0</v>
      </c>
      <c r="L1398" s="5" t="s">
        <v>4895</v>
      </c>
      <c r="M1398" s="5" t="s">
        <v>2230</v>
      </c>
    </row>
    <row r="1399" ht="22.5" customHeight="1">
      <c r="A1399" s="37">
        <v>46052.0</v>
      </c>
      <c r="B1399" s="5" t="s">
        <v>2282</v>
      </c>
      <c r="C1399" s="19" t="s">
        <v>753</v>
      </c>
      <c r="D1399" s="17">
        <v>3.0</v>
      </c>
      <c r="E1399" s="17">
        <v>7.083333333333333</v>
      </c>
      <c r="F1399" s="5">
        <v>10.0</v>
      </c>
      <c r="G1399" s="5">
        <v>10.0</v>
      </c>
      <c r="H1399" s="5">
        <v>30.0</v>
      </c>
      <c r="I1399" s="5">
        <v>8.75</v>
      </c>
      <c r="J1399" s="5" t="s">
        <v>54</v>
      </c>
      <c r="K1399" s="17">
        <v>423.0</v>
      </c>
      <c r="L1399" s="5" t="s">
        <v>4896</v>
      </c>
      <c r="M1399" s="5" t="s">
        <v>2230</v>
      </c>
    </row>
    <row r="1400" ht="22.5" customHeight="1">
      <c r="A1400" s="37">
        <v>46052.0</v>
      </c>
      <c r="B1400" s="5" t="s">
        <v>2282</v>
      </c>
      <c r="C1400" s="19" t="s">
        <v>726</v>
      </c>
      <c r="D1400" s="17">
        <v>2.0</v>
      </c>
      <c r="E1400" s="17">
        <v>30.0</v>
      </c>
      <c r="F1400" s="5">
        <v>30.0</v>
      </c>
      <c r="G1400" s="5">
        <v>30.0</v>
      </c>
      <c r="H1400" s="5">
        <v>60.0</v>
      </c>
      <c r="I1400" s="5">
        <v>0.0</v>
      </c>
      <c r="J1400" s="19" t="s">
        <v>31</v>
      </c>
      <c r="K1400" s="17">
        <v>422.0</v>
      </c>
      <c r="L1400" s="5" t="s">
        <v>4897</v>
      </c>
      <c r="M1400" s="5" t="s">
        <v>2230</v>
      </c>
    </row>
    <row r="1401" ht="22.5" customHeight="1">
      <c r="A1401" s="37">
        <v>46052.0</v>
      </c>
      <c r="B1401" s="5" t="s">
        <v>2282</v>
      </c>
      <c r="C1401" s="19" t="s">
        <v>372</v>
      </c>
      <c r="D1401" s="17">
        <v>1.0</v>
      </c>
      <c r="E1401" s="17">
        <v>180.0</v>
      </c>
      <c r="F1401" s="5">
        <v>180.0</v>
      </c>
      <c r="G1401" s="5">
        <v>180.0</v>
      </c>
      <c r="H1401" s="5">
        <v>180.0</v>
      </c>
      <c r="I1401" s="5">
        <v>0.0</v>
      </c>
      <c r="J1401" s="19" t="s">
        <v>31</v>
      </c>
      <c r="K1401" s="17">
        <v>421.0</v>
      </c>
      <c r="L1401" s="5" t="s">
        <v>4898</v>
      </c>
      <c r="M1401" s="5" t="s">
        <v>2230</v>
      </c>
    </row>
    <row r="1402" ht="22.5" customHeight="1">
      <c r="A1402" s="37">
        <v>46052.0</v>
      </c>
      <c r="B1402" s="5" t="s">
        <v>2282</v>
      </c>
      <c r="C1402" s="19" t="s">
        <v>740</v>
      </c>
      <c r="D1402" s="17">
        <v>1.0</v>
      </c>
      <c r="E1402" s="17">
        <v>137.5</v>
      </c>
      <c r="F1402" s="5">
        <v>175.0</v>
      </c>
      <c r="G1402" s="5">
        <v>175.0</v>
      </c>
      <c r="H1402" s="5">
        <v>175.0</v>
      </c>
      <c r="I1402" s="5">
        <v>37.5</v>
      </c>
      <c r="J1402" s="19" t="s">
        <v>119</v>
      </c>
      <c r="K1402" s="17">
        <v>420.0</v>
      </c>
      <c r="L1402" s="5" t="s">
        <v>4899</v>
      </c>
      <c r="M1402" s="5" t="s">
        <v>2230</v>
      </c>
    </row>
    <row r="1403" ht="22.5" customHeight="1">
      <c r="A1403" s="37">
        <v>46052.0</v>
      </c>
      <c r="B1403" s="5" t="s">
        <v>2282</v>
      </c>
      <c r="C1403" s="19" t="s">
        <v>177</v>
      </c>
      <c r="D1403" s="17">
        <v>2.0</v>
      </c>
      <c r="E1403" s="17">
        <v>75.0</v>
      </c>
      <c r="F1403" s="5">
        <v>100.0</v>
      </c>
      <c r="G1403" s="5">
        <v>100.0</v>
      </c>
      <c r="H1403" s="5">
        <v>200.0</v>
      </c>
      <c r="I1403" s="5">
        <v>50.0</v>
      </c>
      <c r="J1403" s="19" t="s">
        <v>1052</v>
      </c>
      <c r="K1403" s="17">
        <v>419.0</v>
      </c>
      <c r="L1403" s="5" t="s">
        <v>4900</v>
      </c>
      <c r="M1403" s="5" t="s">
        <v>2230</v>
      </c>
    </row>
    <row r="1404" ht="22.5" customHeight="1">
      <c r="A1404" s="37">
        <v>46052.0</v>
      </c>
      <c r="B1404" s="5" t="s">
        <v>2282</v>
      </c>
      <c r="C1404" s="19" t="s">
        <v>165</v>
      </c>
      <c r="D1404" s="17">
        <v>1.0</v>
      </c>
      <c r="E1404" s="17">
        <v>89.07</v>
      </c>
      <c r="F1404" s="5">
        <v>100.0</v>
      </c>
      <c r="G1404" s="5">
        <v>100.0</v>
      </c>
      <c r="H1404" s="5">
        <v>100.0</v>
      </c>
      <c r="I1404" s="5">
        <v>10.93</v>
      </c>
      <c r="J1404" s="19" t="s">
        <v>31</v>
      </c>
      <c r="K1404" s="17">
        <v>418.0</v>
      </c>
      <c r="L1404" s="5" t="s">
        <v>4901</v>
      </c>
      <c r="M1404" s="5" t="s">
        <v>2230</v>
      </c>
    </row>
    <row r="1405" ht="22.5" customHeight="1">
      <c r="A1405" s="37">
        <v>46052.0</v>
      </c>
      <c r="B1405" s="5" t="s">
        <v>2282</v>
      </c>
      <c r="C1405" s="19" t="s">
        <v>77</v>
      </c>
      <c r="D1405" s="17">
        <v>1.0</v>
      </c>
      <c r="E1405" s="17">
        <v>275.0</v>
      </c>
      <c r="F1405" s="5">
        <v>300.0</v>
      </c>
      <c r="G1405" s="5">
        <v>300.0</v>
      </c>
      <c r="H1405" s="5">
        <v>300.0</v>
      </c>
      <c r="I1405" s="5">
        <v>25.0</v>
      </c>
      <c r="J1405" s="5" t="s">
        <v>54</v>
      </c>
      <c r="K1405" s="17">
        <v>417.0</v>
      </c>
      <c r="L1405" s="5" t="s">
        <v>4902</v>
      </c>
      <c r="M1405" s="5" t="s">
        <v>2230</v>
      </c>
    </row>
    <row r="1406" ht="22.5" customHeight="1">
      <c r="A1406" s="37">
        <v>46052.0</v>
      </c>
      <c r="B1406" s="5" t="s">
        <v>2282</v>
      </c>
      <c r="C1406" s="19" t="s">
        <v>733</v>
      </c>
      <c r="D1406" s="17">
        <v>2.0</v>
      </c>
      <c r="E1406" s="17">
        <v>26.0</v>
      </c>
      <c r="F1406" s="5">
        <v>40.0</v>
      </c>
      <c r="G1406" s="5">
        <v>40.0</v>
      </c>
      <c r="H1406" s="5">
        <v>80.0</v>
      </c>
      <c r="I1406" s="5">
        <v>28.0</v>
      </c>
      <c r="J1406" s="19" t="s">
        <v>1052</v>
      </c>
      <c r="K1406" s="17">
        <v>412.0</v>
      </c>
      <c r="L1406" s="5" t="s">
        <v>4903</v>
      </c>
      <c r="M1406" s="5" t="s">
        <v>2230</v>
      </c>
    </row>
    <row r="1407" ht="22.5" customHeight="1">
      <c r="A1407" s="37">
        <v>46052.0</v>
      </c>
      <c r="B1407" s="5" t="s">
        <v>2282</v>
      </c>
      <c r="C1407" s="19" t="s">
        <v>549</v>
      </c>
      <c r="D1407" s="17">
        <v>1.0</v>
      </c>
      <c r="E1407" s="17">
        <v>17.5</v>
      </c>
      <c r="F1407" s="5">
        <v>25.0</v>
      </c>
      <c r="G1407" s="5">
        <v>25.0</v>
      </c>
      <c r="H1407" s="5">
        <v>25.0</v>
      </c>
      <c r="I1407" s="5">
        <v>7.5</v>
      </c>
      <c r="J1407" s="19" t="s">
        <v>119</v>
      </c>
      <c r="K1407" s="17">
        <v>411.0</v>
      </c>
      <c r="L1407" s="5" t="s">
        <v>4904</v>
      </c>
      <c r="M1407" s="5" t="s">
        <v>2230</v>
      </c>
    </row>
    <row r="1408" ht="22.5" customHeight="1">
      <c r="A1408" s="37">
        <v>46052.0</v>
      </c>
      <c r="B1408" s="5" t="s">
        <v>2282</v>
      </c>
      <c r="C1408" s="19" t="s">
        <v>536</v>
      </c>
      <c r="D1408" s="17">
        <v>1.0</v>
      </c>
      <c r="E1408" s="17">
        <v>11.25</v>
      </c>
      <c r="F1408" s="5">
        <v>20.0</v>
      </c>
      <c r="G1408" s="5">
        <v>20.0</v>
      </c>
      <c r="H1408" s="5">
        <v>20.0</v>
      </c>
      <c r="I1408" s="5">
        <v>8.75</v>
      </c>
      <c r="J1408" s="19" t="s">
        <v>119</v>
      </c>
      <c r="K1408" s="17">
        <v>410.0</v>
      </c>
      <c r="L1408" s="5" t="s">
        <v>4905</v>
      </c>
      <c r="M1408" s="5" t="s">
        <v>2230</v>
      </c>
    </row>
    <row r="1409" ht="22.5" customHeight="1">
      <c r="A1409" s="37">
        <v>46051.35128225695</v>
      </c>
      <c r="B1409" s="5" t="s">
        <v>2282</v>
      </c>
      <c r="C1409" s="19" t="s">
        <v>699</v>
      </c>
      <c r="D1409" s="17">
        <v>1.0</v>
      </c>
      <c r="E1409" s="17">
        <v>20.0</v>
      </c>
      <c r="F1409" s="5">
        <v>50.0</v>
      </c>
      <c r="G1409" s="5">
        <v>50.0</v>
      </c>
      <c r="H1409" s="5">
        <v>50.0</v>
      </c>
      <c r="I1409" s="5">
        <v>30.0</v>
      </c>
      <c r="J1409" s="5" t="s">
        <v>54</v>
      </c>
      <c r="K1409" s="17">
        <v>409.0</v>
      </c>
      <c r="L1409" s="5" t="s">
        <v>4906</v>
      </c>
      <c r="M1409" s="5" t="s">
        <v>2230</v>
      </c>
    </row>
    <row r="1410" ht="22.5" customHeight="1">
      <c r="A1410" s="37">
        <v>46047.94209733796</v>
      </c>
      <c r="B1410" s="5" t="s">
        <v>2282</v>
      </c>
      <c r="C1410" s="19" t="s">
        <v>38</v>
      </c>
      <c r="D1410" s="17">
        <v>1.0</v>
      </c>
      <c r="E1410" s="17">
        <v>174.29999999999998</v>
      </c>
      <c r="F1410" s="5">
        <v>350.0</v>
      </c>
      <c r="G1410" s="5">
        <v>350.0</v>
      </c>
      <c r="H1410" s="5">
        <v>350.0</v>
      </c>
      <c r="I1410" s="5">
        <v>175.7</v>
      </c>
      <c r="J1410" s="5" t="s">
        <v>54</v>
      </c>
      <c r="K1410" s="17">
        <v>408.0</v>
      </c>
      <c r="L1410" s="5" t="s">
        <v>4907</v>
      </c>
      <c r="M1410" s="5" t="s">
        <v>2230</v>
      </c>
    </row>
    <row r="1411" ht="22.5" customHeight="1">
      <c r="A1411" s="37">
        <v>46047.874421967594</v>
      </c>
      <c r="B1411" s="5" t="s">
        <v>2282</v>
      </c>
      <c r="C1411" s="19" t="s">
        <v>645</v>
      </c>
      <c r="D1411" s="17">
        <v>1.0</v>
      </c>
      <c r="E1411" s="17">
        <v>17.0</v>
      </c>
      <c r="F1411" s="5">
        <v>20.0</v>
      </c>
      <c r="G1411" s="5">
        <v>20.0</v>
      </c>
      <c r="H1411" s="5">
        <v>20.0</v>
      </c>
      <c r="I1411" s="5">
        <v>3.0</v>
      </c>
      <c r="J1411" s="19" t="s">
        <v>1052</v>
      </c>
      <c r="K1411" s="17">
        <v>407.0</v>
      </c>
      <c r="L1411" s="5" t="s">
        <v>4908</v>
      </c>
      <c r="M1411" s="5" t="s">
        <v>2230</v>
      </c>
    </row>
    <row r="1412" ht="22.5" customHeight="1">
      <c r="A1412" s="37">
        <v>46047.874421203705</v>
      </c>
      <c r="B1412" s="5" t="s">
        <v>2282</v>
      </c>
      <c r="C1412" s="19" t="s">
        <v>724</v>
      </c>
      <c r="D1412" s="17">
        <v>1.0</v>
      </c>
      <c r="E1412" s="17">
        <v>35.0</v>
      </c>
      <c r="F1412" s="5">
        <v>50.0</v>
      </c>
      <c r="G1412" s="5">
        <v>50.0</v>
      </c>
      <c r="H1412" s="5">
        <v>50.0</v>
      </c>
      <c r="I1412" s="5">
        <v>15.0</v>
      </c>
      <c r="J1412" s="19" t="s">
        <v>1052</v>
      </c>
      <c r="K1412" s="17">
        <v>406.0</v>
      </c>
      <c r="L1412" s="5" t="s">
        <v>4909</v>
      </c>
      <c r="M1412" s="5" t="s">
        <v>2230</v>
      </c>
    </row>
    <row r="1413" ht="22.5" customHeight="1">
      <c r="A1413" s="37">
        <v>46047.87442042824</v>
      </c>
      <c r="B1413" s="5" t="s">
        <v>2282</v>
      </c>
      <c r="C1413" s="19" t="s">
        <v>172</v>
      </c>
      <c r="D1413" s="17">
        <v>2.0</v>
      </c>
      <c r="E1413" s="17">
        <v>28.2</v>
      </c>
      <c r="F1413" s="5">
        <v>35.0</v>
      </c>
      <c r="G1413" s="5">
        <v>35.0</v>
      </c>
      <c r="H1413" s="5">
        <v>70.0</v>
      </c>
      <c r="I1413" s="5">
        <v>13.6</v>
      </c>
      <c r="J1413" s="19" t="s">
        <v>31</v>
      </c>
      <c r="K1413" s="17">
        <v>405.0</v>
      </c>
      <c r="L1413" s="5" t="s">
        <v>4910</v>
      </c>
      <c r="M1413" s="5" t="s">
        <v>2230</v>
      </c>
    </row>
    <row r="1414" ht="22.5" customHeight="1">
      <c r="A1414" s="37">
        <v>46047.844683159725</v>
      </c>
      <c r="B1414" s="5" t="s">
        <v>2282</v>
      </c>
      <c r="C1414" s="19" t="s">
        <v>558</v>
      </c>
      <c r="D1414" s="17">
        <v>1.0</v>
      </c>
      <c r="E1414" s="17">
        <v>125.0</v>
      </c>
      <c r="F1414" s="5">
        <v>150.0</v>
      </c>
      <c r="G1414" s="5">
        <v>150.0</v>
      </c>
      <c r="H1414" s="5">
        <v>150.0</v>
      </c>
      <c r="I1414" s="5">
        <v>25.0</v>
      </c>
      <c r="J1414" s="19" t="s">
        <v>119</v>
      </c>
      <c r="K1414" s="17">
        <v>404.0</v>
      </c>
      <c r="L1414" s="5" t="s">
        <v>4911</v>
      </c>
      <c r="M1414" s="5" t="s">
        <v>2230</v>
      </c>
    </row>
    <row r="1415" ht="22.5" customHeight="1">
      <c r="A1415" s="37">
        <v>46047.84468233796</v>
      </c>
      <c r="B1415" s="5" t="s">
        <v>2282</v>
      </c>
      <c r="C1415" s="19" t="s">
        <v>667</v>
      </c>
      <c r="D1415" s="17">
        <v>1.0</v>
      </c>
      <c r="E1415" s="17">
        <v>55.0</v>
      </c>
      <c r="F1415" s="5">
        <v>75.0</v>
      </c>
      <c r="G1415" s="5">
        <v>75.0</v>
      </c>
      <c r="H1415" s="5">
        <v>75.0</v>
      </c>
      <c r="I1415" s="5">
        <v>20.0</v>
      </c>
      <c r="J1415" s="19" t="s">
        <v>1052</v>
      </c>
      <c r="K1415" s="17">
        <v>403.0</v>
      </c>
      <c r="L1415" s="5" t="s">
        <v>4912</v>
      </c>
      <c r="M1415" s="5" t="s">
        <v>2230</v>
      </c>
    </row>
    <row r="1416" ht="22.5" customHeight="1">
      <c r="A1416" s="37">
        <v>46047.84468145833</v>
      </c>
      <c r="B1416" s="5" t="s">
        <v>2282</v>
      </c>
      <c r="C1416" s="19" t="s">
        <v>717</v>
      </c>
      <c r="D1416" s="17">
        <v>1.0</v>
      </c>
      <c r="E1416" s="17">
        <v>80.0</v>
      </c>
      <c r="F1416" s="5">
        <v>150.0</v>
      </c>
      <c r="G1416" s="5">
        <v>150.0</v>
      </c>
      <c r="H1416" s="5">
        <v>150.0</v>
      </c>
      <c r="I1416" s="5">
        <v>70.0</v>
      </c>
      <c r="J1416" s="19" t="s">
        <v>1052</v>
      </c>
      <c r="K1416" s="17">
        <v>402.0</v>
      </c>
      <c r="L1416" s="5" t="s">
        <v>4913</v>
      </c>
      <c r="M1416" s="5" t="s">
        <v>2230</v>
      </c>
    </row>
    <row r="1417" ht="22.5" customHeight="1">
      <c r="A1417" s="37">
        <v>46047.84468065972</v>
      </c>
      <c r="B1417" s="5" t="s">
        <v>2282</v>
      </c>
      <c r="C1417" s="19" t="s">
        <v>306</v>
      </c>
      <c r="D1417" s="17">
        <v>3.0</v>
      </c>
      <c r="E1417" s="17">
        <v>12.0</v>
      </c>
      <c r="F1417" s="5">
        <v>25.0</v>
      </c>
      <c r="G1417" s="5">
        <v>25.0</v>
      </c>
      <c r="H1417" s="5">
        <v>75.0</v>
      </c>
      <c r="I1417" s="5">
        <v>39.0</v>
      </c>
      <c r="J1417" s="19" t="s">
        <v>31</v>
      </c>
      <c r="K1417" s="17">
        <v>401.0</v>
      </c>
      <c r="L1417" s="5" t="s">
        <v>4914</v>
      </c>
      <c r="M1417" s="5" t="s">
        <v>2230</v>
      </c>
    </row>
    <row r="1418" ht="22.5" customHeight="1">
      <c r="A1418" s="37">
        <v>46047.84467967592</v>
      </c>
      <c r="B1418" s="5" t="s">
        <v>2282</v>
      </c>
      <c r="C1418" s="19" t="s">
        <v>611</v>
      </c>
      <c r="D1418" s="17">
        <v>1.0</v>
      </c>
      <c r="E1418" s="17">
        <v>29.0</v>
      </c>
      <c r="F1418" s="5">
        <v>50.0</v>
      </c>
      <c r="G1418" s="5">
        <v>50.0</v>
      </c>
      <c r="H1418" s="5">
        <v>50.0</v>
      </c>
      <c r="I1418" s="5">
        <v>21.0</v>
      </c>
      <c r="J1418" s="19" t="s">
        <v>119</v>
      </c>
      <c r="K1418" s="17">
        <v>400.0</v>
      </c>
      <c r="L1418" s="5" t="s">
        <v>4915</v>
      </c>
      <c r="M1418" s="5" t="s">
        <v>2230</v>
      </c>
    </row>
    <row r="1419" ht="22.5" customHeight="1">
      <c r="A1419" s="37">
        <v>46047.78527008102</v>
      </c>
      <c r="B1419" s="5" t="s">
        <v>2282</v>
      </c>
      <c r="C1419" s="19" t="s">
        <v>712</v>
      </c>
      <c r="D1419" s="17">
        <v>1.0</v>
      </c>
      <c r="E1419" s="17">
        <v>7.0</v>
      </c>
      <c r="F1419" s="5">
        <v>20.0</v>
      </c>
      <c r="G1419" s="5">
        <v>20.0</v>
      </c>
      <c r="H1419" s="5">
        <v>20.0</v>
      </c>
      <c r="I1419" s="5">
        <v>13.0</v>
      </c>
      <c r="J1419" s="5" t="s">
        <v>54</v>
      </c>
      <c r="K1419" s="17">
        <v>399.0</v>
      </c>
      <c r="L1419" s="5" t="s">
        <v>4916</v>
      </c>
      <c r="M1419" s="5" t="s">
        <v>2230</v>
      </c>
    </row>
    <row r="1420" ht="22.5" customHeight="1">
      <c r="A1420" s="37">
        <v>46047.785269479165</v>
      </c>
      <c r="B1420" s="5" t="s">
        <v>2282</v>
      </c>
      <c r="C1420" s="19" t="s">
        <v>572</v>
      </c>
      <c r="D1420" s="17">
        <v>3.0</v>
      </c>
      <c r="E1420" s="17">
        <v>4.38</v>
      </c>
      <c r="F1420" s="5">
        <v>10.0</v>
      </c>
      <c r="G1420" s="5">
        <v>10.0</v>
      </c>
      <c r="H1420" s="5">
        <v>30.0</v>
      </c>
      <c r="I1420" s="5">
        <v>16.86</v>
      </c>
      <c r="J1420" s="19" t="s">
        <v>119</v>
      </c>
      <c r="K1420" s="17">
        <v>398.0</v>
      </c>
      <c r="L1420" s="5" t="s">
        <v>4917</v>
      </c>
      <c r="M1420" s="5" t="s">
        <v>2230</v>
      </c>
    </row>
    <row r="1421" ht="22.5" customHeight="1">
      <c r="A1421" s="37">
        <v>46047.785268796295</v>
      </c>
      <c r="B1421" s="5" t="s">
        <v>2282</v>
      </c>
      <c r="C1421" s="19" t="s">
        <v>575</v>
      </c>
      <c r="D1421" s="17">
        <v>3.0</v>
      </c>
      <c r="E1421" s="17">
        <v>4.5</v>
      </c>
      <c r="F1421" s="5">
        <v>10.0</v>
      </c>
      <c r="G1421" s="5">
        <v>10.0</v>
      </c>
      <c r="H1421" s="5">
        <v>30.0</v>
      </c>
      <c r="I1421" s="5">
        <v>16.5</v>
      </c>
      <c r="J1421" s="19" t="s">
        <v>119</v>
      </c>
      <c r="K1421" s="17">
        <v>397.0</v>
      </c>
      <c r="L1421" s="5" t="s">
        <v>4918</v>
      </c>
      <c r="M1421" s="5" t="s">
        <v>2230</v>
      </c>
    </row>
    <row r="1422" ht="22.5" customHeight="1">
      <c r="A1422" s="37">
        <v>46047.770103055555</v>
      </c>
      <c r="B1422" s="5" t="s">
        <v>2282</v>
      </c>
      <c r="C1422" s="19" t="s">
        <v>699</v>
      </c>
      <c r="D1422" s="17">
        <v>2.0</v>
      </c>
      <c r="E1422" s="17">
        <v>20.0</v>
      </c>
      <c r="F1422" s="5">
        <v>50.0</v>
      </c>
      <c r="G1422" s="5">
        <v>50.0</v>
      </c>
      <c r="H1422" s="5">
        <v>100.0</v>
      </c>
      <c r="I1422" s="5">
        <v>60.0</v>
      </c>
      <c r="J1422" s="5" t="s">
        <v>54</v>
      </c>
      <c r="K1422" s="17">
        <v>396.0</v>
      </c>
      <c r="L1422" s="5" t="s">
        <v>4919</v>
      </c>
      <c r="M1422" s="5" t="s">
        <v>2230</v>
      </c>
    </row>
    <row r="1423" ht="22.5" customHeight="1">
      <c r="A1423" s="37">
        <v>46044.78636261574</v>
      </c>
      <c r="B1423" s="5" t="s">
        <v>2282</v>
      </c>
      <c r="C1423" s="19" t="s">
        <v>306</v>
      </c>
      <c r="D1423" s="17">
        <v>4.0</v>
      </c>
      <c r="E1423" s="17">
        <v>12.0</v>
      </c>
      <c r="F1423" s="5">
        <v>25.0</v>
      </c>
      <c r="G1423" s="5">
        <v>25.0</v>
      </c>
      <c r="H1423" s="5">
        <v>100.0</v>
      </c>
      <c r="I1423" s="5">
        <v>52.0</v>
      </c>
      <c r="J1423" s="19" t="s">
        <v>31</v>
      </c>
      <c r="K1423" s="17">
        <v>395.0</v>
      </c>
      <c r="L1423" s="5" t="s">
        <v>4920</v>
      </c>
      <c r="M1423" s="5" t="s">
        <v>2230</v>
      </c>
    </row>
    <row r="1424" ht="22.5" customHeight="1">
      <c r="A1424" s="37">
        <v>46043.90635611111</v>
      </c>
      <c r="B1424" s="5" t="s">
        <v>2282</v>
      </c>
      <c r="C1424" s="19" t="s">
        <v>675</v>
      </c>
      <c r="D1424" s="17">
        <v>1.0</v>
      </c>
      <c r="E1424" s="17">
        <v>27.5</v>
      </c>
      <c r="F1424" s="5">
        <v>50.0</v>
      </c>
      <c r="G1424" s="5">
        <v>50.0</v>
      </c>
      <c r="H1424" s="5">
        <v>50.0</v>
      </c>
      <c r="I1424" s="5">
        <v>22.5</v>
      </c>
      <c r="J1424" s="19" t="s">
        <v>119</v>
      </c>
      <c r="K1424" s="17">
        <v>394.0</v>
      </c>
      <c r="L1424" s="5" t="s">
        <v>4921</v>
      </c>
      <c r="M1424" s="5" t="s">
        <v>2230</v>
      </c>
    </row>
    <row r="1425" ht="22.5" customHeight="1">
      <c r="A1425" s="37">
        <v>46043.90635583333</v>
      </c>
      <c r="B1425" s="5" t="s">
        <v>2282</v>
      </c>
      <c r="C1425" s="19" t="s">
        <v>41</v>
      </c>
      <c r="D1425" s="17">
        <v>1.0</v>
      </c>
      <c r="E1425" s="17">
        <v>92.5</v>
      </c>
      <c r="F1425" s="5">
        <v>220.0</v>
      </c>
      <c r="G1425" s="5">
        <v>220.0</v>
      </c>
      <c r="H1425" s="5">
        <v>220.0</v>
      </c>
      <c r="I1425" s="5">
        <v>127.5</v>
      </c>
      <c r="J1425" s="5" t="s">
        <v>54</v>
      </c>
      <c r="K1425" s="17">
        <v>393.0</v>
      </c>
      <c r="L1425" s="5" t="s">
        <v>4922</v>
      </c>
      <c r="M1425" s="5" t="s">
        <v>2230</v>
      </c>
    </row>
    <row r="1426" ht="22.5" customHeight="1">
      <c r="A1426" s="37">
        <v>46043.906355555555</v>
      </c>
      <c r="B1426" s="5" t="s">
        <v>2282</v>
      </c>
      <c r="C1426" s="19" t="s">
        <v>255</v>
      </c>
      <c r="D1426" s="17">
        <v>1.0</v>
      </c>
      <c r="E1426" s="17">
        <v>35.0</v>
      </c>
      <c r="F1426" s="5">
        <v>50.0</v>
      </c>
      <c r="G1426" s="5">
        <v>50.0</v>
      </c>
      <c r="H1426" s="5">
        <v>50.0</v>
      </c>
      <c r="I1426" s="5">
        <v>15.0</v>
      </c>
      <c r="J1426" s="19" t="s">
        <v>31</v>
      </c>
      <c r="K1426" s="17">
        <v>392.0</v>
      </c>
      <c r="L1426" s="5" t="s">
        <v>4923</v>
      </c>
      <c r="M1426" s="5" t="s">
        <v>2230</v>
      </c>
    </row>
    <row r="1427" ht="22.5" customHeight="1">
      <c r="A1427" s="37">
        <v>46043.90635518519</v>
      </c>
      <c r="B1427" s="5" t="s">
        <v>2282</v>
      </c>
      <c r="C1427" s="19" t="s">
        <v>250</v>
      </c>
      <c r="D1427" s="17">
        <v>1.0</v>
      </c>
      <c r="E1427" s="17">
        <v>145.0</v>
      </c>
      <c r="F1427" s="5">
        <v>180.0</v>
      </c>
      <c r="G1427" s="5">
        <v>180.0</v>
      </c>
      <c r="H1427" s="5">
        <v>180.0</v>
      </c>
      <c r="I1427" s="5">
        <v>35.0</v>
      </c>
      <c r="J1427" s="19"/>
      <c r="K1427" s="17">
        <v>391.0</v>
      </c>
      <c r="L1427" s="5" t="s">
        <v>4924</v>
      </c>
      <c r="M1427" s="5" t="s">
        <v>2230</v>
      </c>
    </row>
    <row r="1428" ht="22.5" customHeight="1">
      <c r="A1428" s="37">
        <v>46043.86602518518</v>
      </c>
      <c r="B1428" s="5" t="s">
        <v>2282</v>
      </c>
      <c r="C1428" s="19" t="s">
        <v>707</v>
      </c>
      <c r="D1428" s="17">
        <v>1.0</v>
      </c>
      <c r="E1428" s="17">
        <v>59.0</v>
      </c>
      <c r="F1428" s="5">
        <v>90.0</v>
      </c>
      <c r="G1428" s="5">
        <v>90.0</v>
      </c>
      <c r="H1428" s="5">
        <v>90.0</v>
      </c>
      <c r="I1428" s="5">
        <v>31.0</v>
      </c>
      <c r="J1428" s="19" t="s">
        <v>119</v>
      </c>
      <c r="K1428" s="17">
        <v>390.0</v>
      </c>
      <c r="L1428" s="5" t="s">
        <v>4925</v>
      </c>
      <c r="M1428" s="5" t="s">
        <v>2230</v>
      </c>
    </row>
    <row r="1429" ht="22.5" customHeight="1">
      <c r="A1429" s="37">
        <v>46043.787704421295</v>
      </c>
      <c r="B1429" s="5" t="s">
        <v>2282</v>
      </c>
      <c r="C1429" s="19" t="s">
        <v>497</v>
      </c>
      <c r="D1429" s="17">
        <v>2.0</v>
      </c>
      <c r="E1429" s="17">
        <v>195.0</v>
      </c>
      <c r="F1429" s="5">
        <v>230.0</v>
      </c>
      <c r="G1429" s="5">
        <v>230.0</v>
      </c>
      <c r="H1429" s="5">
        <v>460.0</v>
      </c>
      <c r="I1429" s="5">
        <v>70.0</v>
      </c>
      <c r="J1429" s="19" t="s">
        <v>119</v>
      </c>
      <c r="K1429" s="17">
        <v>389.0</v>
      </c>
      <c r="L1429" s="5" t="s">
        <v>4926</v>
      </c>
      <c r="M1429" s="5" t="s">
        <v>2230</v>
      </c>
    </row>
    <row r="1430" ht="22.5" customHeight="1">
      <c r="A1430" s="37">
        <v>46043.78770395833</v>
      </c>
      <c r="B1430" s="5" t="s">
        <v>2282</v>
      </c>
      <c r="C1430" s="19" t="s">
        <v>317</v>
      </c>
      <c r="D1430" s="17">
        <v>1.0</v>
      </c>
      <c r="E1430" s="17">
        <v>125.0</v>
      </c>
      <c r="F1430" s="5">
        <v>170.0</v>
      </c>
      <c r="G1430" s="5">
        <v>170.0</v>
      </c>
      <c r="H1430" s="5">
        <v>170.0</v>
      </c>
      <c r="I1430" s="5">
        <v>45.0</v>
      </c>
      <c r="J1430" s="19" t="s">
        <v>31</v>
      </c>
      <c r="K1430" s="17">
        <v>388.0</v>
      </c>
      <c r="L1430" s="5" t="s">
        <v>4927</v>
      </c>
      <c r="M1430" s="5" t="s">
        <v>2230</v>
      </c>
    </row>
    <row r="1431" ht="22.5" customHeight="1">
      <c r="A1431" s="37">
        <v>46043.78770357639</v>
      </c>
      <c r="B1431" s="5" t="s">
        <v>2282</v>
      </c>
      <c r="C1431" s="19" t="s">
        <v>497</v>
      </c>
      <c r="D1431" s="17">
        <v>2.0</v>
      </c>
      <c r="E1431" s="17">
        <v>195.0</v>
      </c>
      <c r="F1431" s="5">
        <v>230.0</v>
      </c>
      <c r="G1431" s="5">
        <v>230.0</v>
      </c>
      <c r="H1431" s="5">
        <v>460.0</v>
      </c>
      <c r="I1431" s="5">
        <v>70.0</v>
      </c>
      <c r="J1431" s="19" t="s">
        <v>119</v>
      </c>
      <c r="K1431" s="17">
        <v>373.0</v>
      </c>
      <c r="L1431" s="5" t="s">
        <v>4928</v>
      </c>
      <c r="M1431" s="5" t="s">
        <v>2230</v>
      </c>
    </row>
    <row r="1432" ht="22.5" customHeight="1">
      <c r="A1432" s="37">
        <v>46042.89569542824</v>
      </c>
      <c r="B1432" s="5" t="s">
        <v>2282</v>
      </c>
      <c r="C1432" s="19" t="s">
        <v>702</v>
      </c>
      <c r="D1432" s="17">
        <v>1.0</v>
      </c>
      <c r="E1432" s="17">
        <v>30.0</v>
      </c>
      <c r="F1432" s="5">
        <v>60.0</v>
      </c>
      <c r="G1432" s="5">
        <v>60.0</v>
      </c>
      <c r="H1432" s="5">
        <v>60.0</v>
      </c>
      <c r="I1432" s="5">
        <v>30.0</v>
      </c>
      <c r="J1432" s="5" t="s">
        <v>54</v>
      </c>
      <c r="K1432" s="17">
        <v>387.0</v>
      </c>
      <c r="L1432" s="5" t="s">
        <v>4929</v>
      </c>
      <c r="M1432" s="5" t="s">
        <v>2230</v>
      </c>
    </row>
    <row r="1433" ht="22.5" customHeight="1">
      <c r="A1433" s="37">
        <v>46042.89569508102</v>
      </c>
      <c r="B1433" s="5" t="s">
        <v>2282</v>
      </c>
      <c r="C1433" s="19" t="s">
        <v>699</v>
      </c>
      <c r="D1433" s="17">
        <v>2.0</v>
      </c>
      <c r="E1433" s="17">
        <v>20.0</v>
      </c>
      <c r="F1433" s="5">
        <v>50.0</v>
      </c>
      <c r="G1433" s="5">
        <v>50.0</v>
      </c>
      <c r="H1433" s="5">
        <v>100.0</v>
      </c>
      <c r="I1433" s="5">
        <v>60.0</v>
      </c>
      <c r="J1433" s="5" t="s">
        <v>54</v>
      </c>
      <c r="K1433" s="17">
        <v>386.0</v>
      </c>
      <c r="L1433" s="5" t="s">
        <v>4930</v>
      </c>
      <c r="M1433" s="5" t="s">
        <v>2230</v>
      </c>
    </row>
    <row r="1434" ht="22.5" customHeight="1">
      <c r="A1434" s="37">
        <v>46041.773663518514</v>
      </c>
      <c r="B1434" s="5" t="s">
        <v>2282</v>
      </c>
      <c r="C1434" s="19" t="s">
        <v>694</v>
      </c>
      <c r="D1434" s="17">
        <v>1.0</v>
      </c>
      <c r="E1434" s="17">
        <v>106.0</v>
      </c>
      <c r="F1434" s="5">
        <v>130.0</v>
      </c>
      <c r="G1434" s="5">
        <v>130.0</v>
      </c>
      <c r="H1434" s="5">
        <v>130.0</v>
      </c>
      <c r="I1434" s="5">
        <v>24.0</v>
      </c>
      <c r="J1434" s="19" t="s">
        <v>119</v>
      </c>
      <c r="K1434" s="17">
        <v>385.0</v>
      </c>
      <c r="L1434" s="5" t="s">
        <v>4931</v>
      </c>
      <c r="M1434" s="5" t="s">
        <v>2230</v>
      </c>
    </row>
    <row r="1435" ht="22.5" customHeight="1">
      <c r="A1435" s="37">
        <v>46041.7736631713</v>
      </c>
      <c r="B1435" s="5" t="s">
        <v>2282</v>
      </c>
      <c r="C1435" s="19" t="s">
        <v>691</v>
      </c>
      <c r="D1435" s="17">
        <v>1.0</v>
      </c>
      <c r="E1435" s="17">
        <v>81.0</v>
      </c>
      <c r="F1435" s="5">
        <v>110.0</v>
      </c>
      <c r="G1435" s="5">
        <v>110.0</v>
      </c>
      <c r="H1435" s="5">
        <v>110.0</v>
      </c>
      <c r="I1435" s="5">
        <v>29.0</v>
      </c>
      <c r="J1435" s="19" t="s">
        <v>119</v>
      </c>
      <c r="K1435" s="17">
        <v>384.0</v>
      </c>
      <c r="L1435" s="5" t="s">
        <v>4932</v>
      </c>
      <c r="M1435" s="5" t="s">
        <v>2230</v>
      </c>
    </row>
    <row r="1436" ht="22.5" customHeight="1">
      <c r="A1436" s="37">
        <v>46041.77366273148</v>
      </c>
      <c r="B1436" s="5" t="s">
        <v>2282</v>
      </c>
      <c r="C1436" s="19" t="s">
        <v>687</v>
      </c>
      <c r="D1436" s="17">
        <v>1.0</v>
      </c>
      <c r="E1436" s="17">
        <v>106.0</v>
      </c>
      <c r="F1436" s="5">
        <v>135.0</v>
      </c>
      <c r="G1436" s="5">
        <v>135.0</v>
      </c>
      <c r="H1436" s="5">
        <v>135.0</v>
      </c>
      <c r="I1436" s="5">
        <v>29.0</v>
      </c>
      <c r="J1436" s="19" t="s">
        <v>119</v>
      </c>
      <c r="K1436" s="17">
        <v>383.0</v>
      </c>
      <c r="L1436" s="5" t="s">
        <v>4933</v>
      </c>
      <c r="M1436" s="5" t="s">
        <v>2230</v>
      </c>
    </row>
    <row r="1437" ht="22.5" customHeight="1">
      <c r="A1437" s="37">
        <v>46041.77366244213</v>
      </c>
      <c r="B1437" s="5" t="s">
        <v>2282</v>
      </c>
      <c r="C1437" s="19" t="s">
        <v>684</v>
      </c>
      <c r="D1437" s="17">
        <v>1.0</v>
      </c>
      <c r="E1437" s="17">
        <v>120.0</v>
      </c>
      <c r="F1437" s="5">
        <v>140.0</v>
      </c>
      <c r="G1437" s="5">
        <v>140.0</v>
      </c>
      <c r="H1437" s="5">
        <v>140.0</v>
      </c>
      <c r="I1437" s="5">
        <v>20.0</v>
      </c>
      <c r="J1437" s="19" t="s">
        <v>119</v>
      </c>
      <c r="K1437" s="17">
        <v>382.0</v>
      </c>
      <c r="L1437" s="5" t="s">
        <v>4934</v>
      </c>
      <c r="M1437" s="5" t="s">
        <v>2230</v>
      </c>
    </row>
    <row r="1438" ht="22.5" customHeight="1">
      <c r="A1438" s="37">
        <v>46041.773662210646</v>
      </c>
      <c r="B1438" s="5" t="s">
        <v>2282</v>
      </c>
      <c r="C1438" s="19" t="s">
        <v>679</v>
      </c>
      <c r="D1438" s="17">
        <v>2.0</v>
      </c>
      <c r="E1438" s="17">
        <v>63.0</v>
      </c>
      <c r="F1438" s="5">
        <v>85.0</v>
      </c>
      <c r="G1438" s="5">
        <v>85.0</v>
      </c>
      <c r="H1438" s="5">
        <v>170.0</v>
      </c>
      <c r="I1438" s="5">
        <v>44.0</v>
      </c>
      <c r="J1438" s="19" t="s">
        <v>119</v>
      </c>
      <c r="K1438" s="17">
        <v>381.0</v>
      </c>
      <c r="L1438" s="5" t="s">
        <v>4935</v>
      </c>
      <c r="M1438" s="5" t="s">
        <v>2230</v>
      </c>
    </row>
    <row r="1439" ht="22.5" customHeight="1">
      <c r="A1439" s="37">
        <v>46041.768202349536</v>
      </c>
      <c r="B1439" s="5" t="s">
        <v>2282</v>
      </c>
      <c r="C1439" s="19" t="s">
        <v>675</v>
      </c>
      <c r="D1439" s="17">
        <v>1.0</v>
      </c>
      <c r="E1439" s="17">
        <v>27.5</v>
      </c>
      <c r="F1439" s="5">
        <v>45.0</v>
      </c>
      <c r="G1439" s="5">
        <v>45.0</v>
      </c>
      <c r="H1439" s="5">
        <v>45.0</v>
      </c>
      <c r="I1439" s="5">
        <v>17.5</v>
      </c>
      <c r="J1439" s="19" t="s">
        <v>119</v>
      </c>
      <c r="K1439" s="17">
        <v>380.0</v>
      </c>
      <c r="L1439" s="5" t="s">
        <v>4936</v>
      </c>
      <c r="M1439" s="5" t="s">
        <v>2230</v>
      </c>
    </row>
    <row r="1440" ht="22.5" customHeight="1">
      <c r="A1440" s="340">
        <v>46041.0</v>
      </c>
      <c r="B1440" s="5" t="s">
        <v>2282</v>
      </c>
      <c r="C1440" s="19" t="s">
        <v>673</v>
      </c>
      <c r="D1440" s="17">
        <v>1.0</v>
      </c>
      <c r="E1440" s="17">
        <v>6.75</v>
      </c>
      <c r="F1440" s="5">
        <v>15.0</v>
      </c>
      <c r="G1440" s="5">
        <v>15.0</v>
      </c>
      <c r="H1440" s="5">
        <v>15.0</v>
      </c>
      <c r="I1440" s="5">
        <v>8.25</v>
      </c>
      <c r="J1440" s="19" t="s">
        <v>119</v>
      </c>
      <c r="K1440" s="17">
        <v>379.0</v>
      </c>
      <c r="L1440" s="5" t="s">
        <v>4937</v>
      </c>
      <c r="M1440" s="5" t="s">
        <v>2230</v>
      </c>
    </row>
    <row r="1441" ht="22.5" customHeight="1">
      <c r="A1441" s="340">
        <v>46041.0</v>
      </c>
      <c r="B1441" s="5" t="s">
        <v>2282</v>
      </c>
      <c r="C1441" s="19" t="s">
        <v>630</v>
      </c>
      <c r="D1441" s="17">
        <v>1.0</v>
      </c>
      <c r="E1441" s="17">
        <v>160.0</v>
      </c>
      <c r="F1441" s="5">
        <v>200.0</v>
      </c>
      <c r="G1441" s="5">
        <v>200.0</v>
      </c>
      <c r="H1441" s="5">
        <v>200.0</v>
      </c>
      <c r="I1441" s="5">
        <v>40.0</v>
      </c>
      <c r="J1441" s="19" t="s">
        <v>119</v>
      </c>
      <c r="K1441" s="17">
        <v>378.0</v>
      </c>
      <c r="L1441" s="5" t="s">
        <v>4938</v>
      </c>
      <c r="M1441" s="5" t="s">
        <v>2230</v>
      </c>
    </row>
    <row r="1442" ht="22.5" customHeight="1">
      <c r="A1442" s="340">
        <v>46041.0</v>
      </c>
      <c r="B1442" s="5" t="s">
        <v>2282</v>
      </c>
      <c r="C1442" s="19" t="s">
        <v>34</v>
      </c>
      <c r="D1442" s="17">
        <v>1.0</v>
      </c>
      <c r="E1442" s="17">
        <v>134.23749999999998</v>
      </c>
      <c r="F1442" s="5">
        <v>300.0</v>
      </c>
      <c r="G1442" s="5">
        <v>300.0</v>
      </c>
      <c r="H1442" s="5">
        <v>300.0</v>
      </c>
      <c r="I1442" s="5">
        <v>165.76</v>
      </c>
      <c r="J1442" s="5" t="s">
        <v>54</v>
      </c>
      <c r="K1442" s="17">
        <v>377.0</v>
      </c>
      <c r="L1442" s="5" t="s">
        <v>4939</v>
      </c>
      <c r="M1442" s="5" t="s">
        <v>2230</v>
      </c>
    </row>
    <row r="1443" ht="22.5" customHeight="1">
      <c r="A1443" s="37">
        <v>46037.85651498842</v>
      </c>
      <c r="B1443" s="5" t="s">
        <v>2282</v>
      </c>
      <c r="C1443" s="19" t="s">
        <v>194</v>
      </c>
      <c r="D1443" s="17">
        <v>1.0</v>
      </c>
      <c r="E1443" s="17">
        <v>164.17</v>
      </c>
      <c r="F1443" s="5">
        <v>200.0</v>
      </c>
      <c r="G1443" s="5">
        <v>200.0</v>
      </c>
      <c r="H1443" s="5">
        <v>200.0</v>
      </c>
      <c r="I1443" s="5">
        <v>35.83</v>
      </c>
      <c r="J1443" s="19" t="s">
        <v>31</v>
      </c>
      <c r="K1443" s="17">
        <v>376.0</v>
      </c>
      <c r="L1443" s="5" t="s">
        <v>4940</v>
      </c>
      <c r="M1443" s="5" t="s">
        <v>2230</v>
      </c>
    </row>
    <row r="1444" ht="22.5" customHeight="1">
      <c r="A1444" s="37">
        <v>46037.85651478009</v>
      </c>
      <c r="B1444" s="5" t="s">
        <v>2282</v>
      </c>
      <c r="C1444" s="19" t="s">
        <v>259</v>
      </c>
      <c r="D1444" s="17">
        <v>2.0</v>
      </c>
      <c r="E1444" s="17">
        <v>145.0</v>
      </c>
      <c r="F1444" s="5">
        <v>200.0</v>
      </c>
      <c r="G1444" s="5">
        <v>200.0</v>
      </c>
      <c r="H1444" s="5">
        <v>400.0</v>
      </c>
      <c r="I1444" s="5">
        <v>110.0</v>
      </c>
      <c r="J1444" s="19" t="s">
        <v>31</v>
      </c>
      <c r="K1444" s="17">
        <v>375.0</v>
      </c>
      <c r="L1444" s="5" t="s">
        <v>4941</v>
      </c>
      <c r="M1444" s="5" t="s">
        <v>2230</v>
      </c>
    </row>
    <row r="1445" ht="22.5" customHeight="1">
      <c r="A1445" s="37">
        <v>46037.856514548606</v>
      </c>
      <c r="B1445" s="5" t="s">
        <v>2282</v>
      </c>
      <c r="C1445" s="19" t="s">
        <v>575</v>
      </c>
      <c r="D1445" s="17">
        <v>1.0</v>
      </c>
      <c r="E1445" s="17">
        <v>4.5</v>
      </c>
      <c r="F1445" s="5">
        <v>10.0</v>
      </c>
      <c r="G1445" s="5">
        <v>10.0</v>
      </c>
      <c r="H1445" s="5">
        <v>10.0</v>
      </c>
      <c r="I1445" s="5">
        <v>5.5</v>
      </c>
      <c r="J1445" s="19" t="s">
        <v>119</v>
      </c>
      <c r="K1445" s="17">
        <v>374.0</v>
      </c>
      <c r="L1445" s="5" t="s">
        <v>4942</v>
      </c>
      <c r="M1445" s="5" t="s">
        <v>2230</v>
      </c>
    </row>
    <row r="1446" ht="22.5" customHeight="1">
      <c r="A1446" s="37">
        <v>46037.85651428241</v>
      </c>
      <c r="B1446" s="5" t="s">
        <v>2282</v>
      </c>
      <c r="C1446" s="19" t="s">
        <v>306</v>
      </c>
      <c r="D1446" s="17">
        <v>4.0</v>
      </c>
      <c r="E1446" s="17">
        <v>12.0</v>
      </c>
      <c r="F1446" s="5">
        <v>25.0</v>
      </c>
      <c r="G1446" s="5">
        <v>25.0</v>
      </c>
      <c r="H1446" s="5">
        <v>100.0</v>
      </c>
      <c r="I1446" s="5">
        <v>52.0</v>
      </c>
      <c r="J1446" s="19" t="s">
        <v>31</v>
      </c>
      <c r="K1446" s="17">
        <v>372.0</v>
      </c>
      <c r="L1446" s="5" t="s">
        <v>4943</v>
      </c>
      <c r="M1446" s="5" t="s">
        <v>2230</v>
      </c>
    </row>
    <row r="1447" ht="22.5" customHeight="1">
      <c r="A1447" s="37">
        <v>46037.85651403935</v>
      </c>
      <c r="B1447" s="5" t="s">
        <v>2282</v>
      </c>
      <c r="C1447" s="19" t="s">
        <v>668</v>
      </c>
      <c r="D1447" s="17">
        <v>1.0</v>
      </c>
      <c r="E1447" s="17">
        <v>126.0</v>
      </c>
      <c r="F1447" s="5">
        <v>150.0</v>
      </c>
      <c r="G1447" s="5">
        <v>150.0</v>
      </c>
      <c r="H1447" s="5">
        <v>150.0</v>
      </c>
      <c r="I1447" s="5">
        <v>24.0</v>
      </c>
      <c r="J1447" s="19" t="s">
        <v>119</v>
      </c>
      <c r="K1447" s="17">
        <v>371.0</v>
      </c>
      <c r="L1447" s="5" t="s">
        <v>4944</v>
      </c>
      <c r="M1447" s="5" t="s">
        <v>2230</v>
      </c>
    </row>
    <row r="1448" ht="22.5" customHeight="1">
      <c r="A1448" s="37">
        <v>46037.85651370371</v>
      </c>
      <c r="B1448" s="5" t="s">
        <v>2282</v>
      </c>
      <c r="C1448" s="19" t="s">
        <v>351</v>
      </c>
      <c r="D1448" s="17">
        <v>1.0</v>
      </c>
      <c r="E1448" s="17">
        <v>120.0</v>
      </c>
      <c r="F1448" s="5">
        <v>150.0</v>
      </c>
      <c r="G1448" s="5">
        <v>150.0</v>
      </c>
      <c r="H1448" s="5">
        <v>150.0</v>
      </c>
      <c r="I1448" s="5">
        <v>30.0</v>
      </c>
      <c r="J1448" s="19" t="s">
        <v>31</v>
      </c>
      <c r="K1448" s="17">
        <v>370.0</v>
      </c>
      <c r="L1448" s="5" t="s">
        <v>4945</v>
      </c>
      <c r="M1448" s="5" t="s">
        <v>2230</v>
      </c>
    </row>
    <row r="1449" ht="22.5" customHeight="1">
      <c r="A1449" s="37">
        <v>46037.85651320602</v>
      </c>
      <c r="B1449" s="5" t="s">
        <v>2282</v>
      </c>
      <c r="C1449" s="19" t="s">
        <v>452</v>
      </c>
      <c r="D1449" s="17">
        <v>1.0</v>
      </c>
      <c r="E1449" s="17">
        <v>16.0</v>
      </c>
      <c r="F1449" s="5">
        <v>20.0</v>
      </c>
      <c r="G1449" s="5">
        <v>20.0</v>
      </c>
      <c r="H1449" s="5">
        <v>20.0</v>
      </c>
      <c r="I1449" s="5">
        <v>4.0</v>
      </c>
      <c r="J1449" s="19" t="s">
        <v>31</v>
      </c>
      <c r="K1449" s="17">
        <v>369.0</v>
      </c>
      <c r="L1449" s="5" t="s">
        <v>4946</v>
      </c>
      <c r="M1449" s="5" t="s">
        <v>2230</v>
      </c>
    </row>
    <row r="1450" ht="22.5" customHeight="1">
      <c r="A1450" s="37">
        <v>46037.8565127662</v>
      </c>
      <c r="B1450" s="5" t="s">
        <v>2282</v>
      </c>
      <c r="C1450" s="19" t="s">
        <v>645</v>
      </c>
      <c r="D1450" s="17">
        <v>4.0</v>
      </c>
      <c r="E1450" s="17">
        <v>17.0</v>
      </c>
      <c r="F1450" s="5">
        <v>25.0</v>
      </c>
      <c r="G1450" s="5">
        <v>25.0</v>
      </c>
      <c r="H1450" s="5">
        <v>100.0</v>
      </c>
      <c r="I1450" s="5">
        <v>32.0</v>
      </c>
      <c r="J1450" s="19" t="s">
        <v>1052</v>
      </c>
      <c r="K1450" s="17">
        <v>368.0</v>
      </c>
      <c r="L1450" s="5" t="s">
        <v>4947</v>
      </c>
      <c r="M1450" s="5" t="s">
        <v>2230</v>
      </c>
    </row>
    <row r="1451" ht="22.5" customHeight="1">
      <c r="A1451" s="37">
        <v>46037.85651237269</v>
      </c>
      <c r="B1451" s="5" t="s">
        <v>2282</v>
      </c>
      <c r="C1451" s="19" t="s">
        <v>287</v>
      </c>
      <c r="D1451" s="17">
        <v>2.0</v>
      </c>
      <c r="E1451" s="17">
        <v>45.0</v>
      </c>
      <c r="F1451" s="5">
        <v>50.0</v>
      </c>
      <c r="G1451" s="5">
        <v>50.0</v>
      </c>
      <c r="H1451" s="5">
        <v>100.0</v>
      </c>
      <c r="I1451" s="5">
        <v>10.0</v>
      </c>
      <c r="J1451" s="19" t="s">
        <v>31</v>
      </c>
      <c r="K1451" s="17">
        <v>367.0</v>
      </c>
      <c r="L1451" s="5" t="s">
        <v>4948</v>
      </c>
      <c r="M1451" s="5" t="s">
        <v>2230</v>
      </c>
    </row>
    <row r="1452" ht="22.5" customHeight="1">
      <c r="A1452" s="37">
        <v>46037.85651201389</v>
      </c>
      <c r="B1452" s="5" t="s">
        <v>2282</v>
      </c>
      <c r="C1452" s="19" t="s">
        <v>645</v>
      </c>
      <c r="D1452" s="17">
        <v>4.0</v>
      </c>
      <c r="E1452" s="17">
        <v>17.0</v>
      </c>
      <c r="F1452" s="5">
        <v>25.0</v>
      </c>
      <c r="G1452" s="5">
        <v>25.0</v>
      </c>
      <c r="H1452" s="5">
        <v>100.0</v>
      </c>
      <c r="I1452" s="5">
        <v>32.0</v>
      </c>
      <c r="J1452" s="19" t="s">
        <v>1052</v>
      </c>
      <c r="K1452" s="17">
        <v>366.0</v>
      </c>
      <c r="L1452" s="5" t="s">
        <v>4949</v>
      </c>
      <c r="M1452" s="5" t="s">
        <v>2230</v>
      </c>
    </row>
    <row r="1453" ht="22.5" customHeight="1">
      <c r="A1453" s="37">
        <v>46037.85651159722</v>
      </c>
      <c r="B1453" s="5" t="s">
        <v>2282</v>
      </c>
      <c r="C1453" s="19" t="s">
        <v>29</v>
      </c>
      <c r="D1453" s="17">
        <v>1.0</v>
      </c>
      <c r="E1453" s="17">
        <v>103.75</v>
      </c>
      <c r="F1453" s="5">
        <v>250.0</v>
      </c>
      <c r="G1453" s="5">
        <v>250.0</v>
      </c>
      <c r="H1453" s="5">
        <v>250.0</v>
      </c>
      <c r="I1453" s="5">
        <v>146.25</v>
      </c>
      <c r="J1453" s="5" t="s">
        <v>54</v>
      </c>
      <c r="K1453" s="17">
        <v>365.0</v>
      </c>
      <c r="L1453" s="5" t="s">
        <v>4950</v>
      </c>
      <c r="M1453" s="5" t="s">
        <v>2230</v>
      </c>
    </row>
    <row r="1454" ht="22.5" customHeight="1">
      <c r="A1454" s="37">
        <v>46037.85651128472</v>
      </c>
      <c r="B1454" s="5" t="s">
        <v>2282</v>
      </c>
      <c r="C1454" s="19" t="s">
        <v>549</v>
      </c>
      <c r="D1454" s="17">
        <v>1.0</v>
      </c>
      <c r="E1454" s="17">
        <v>17.5</v>
      </c>
      <c r="F1454" s="5">
        <v>25.0</v>
      </c>
      <c r="G1454" s="5">
        <v>25.0</v>
      </c>
      <c r="H1454" s="5">
        <v>25.0</v>
      </c>
      <c r="I1454" s="5">
        <v>7.5</v>
      </c>
      <c r="J1454" s="19" t="s">
        <v>119</v>
      </c>
      <c r="K1454" s="17">
        <v>364.0</v>
      </c>
      <c r="L1454" s="5" t="s">
        <v>4951</v>
      </c>
      <c r="M1454" s="5" t="s">
        <v>2230</v>
      </c>
    </row>
    <row r="1455" ht="22.5" customHeight="1">
      <c r="A1455" s="37">
        <v>46037.856510937505</v>
      </c>
      <c r="B1455" s="5" t="s">
        <v>2282</v>
      </c>
      <c r="C1455" s="19" t="s">
        <v>660</v>
      </c>
      <c r="D1455" s="17">
        <v>1.0</v>
      </c>
      <c r="E1455" s="17">
        <v>130.0</v>
      </c>
      <c r="F1455" s="5">
        <v>160.0</v>
      </c>
      <c r="G1455" s="5">
        <v>160.0</v>
      </c>
      <c r="H1455" s="5">
        <v>160.0</v>
      </c>
      <c r="I1455" s="5">
        <v>30.0</v>
      </c>
      <c r="J1455" s="19" t="s">
        <v>119</v>
      </c>
      <c r="K1455" s="17">
        <v>363.0</v>
      </c>
      <c r="L1455" s="5" t="s">
        <v>4952</v>
      </c>
      <c r="M1455" s="5" t="s">
        <v>2230</v>
      </c>
    </row>
    <row r="1456" ht="22.5" customHeight="1">
      <c r="A1456" s="37">
        <v>46037.856510428246</v>
      </c>
      <c r="B1456" s="5" t="s">
        <v>2282</v>
      </c>
      <c r="C1456" s="19" t="s">
        <v>562</v>
      </c>
      <c r="D1456" s="17">
        <v>1.0</v>
      </c>
      <c r="E1456" s="17">
        <v>175.0</v>
      </c>
      <c r="F1456" s="5">
        <v>200.0</v>
      </c>
      <c r="G1456" s="5">
        <v>200.0</v>
      </c>
      <c r="H1456" s="5">
        <v>200.0</v>
      </c>
      <c r="I1456" s="5">
        <v>25.0</v>
      </c>
      <c r="J1456" s="19" t="s">
        <v>31</v>
      </c>
      <c r="K1456" s="17">
        <v>362.0</v>
      </c>
      <c r="L1456" s="5" t="s">
        <v>4953</v>
      </c>
      <c r="M1456" s="5" t="s">
        <v>2230</v>
      </c>
    </row>
    <row r="1457" ht="22.5" customHeight="1">
      <c r="A1457" s="37">
        <v>46037.85651016203</v>
      </c>
      <c r="B1457" s="5" t="s">
        <v>2282</v>
      </c>
      <c r="C1457" s="19" t="s">
        <v>94</v>
      </c>
      <c r="D1457" s="17">
        <v>1.0</v>
      </c>
      <c r="E1457" s="17">
        <v>575.0</v>
      </c>
      <c r="F1457" s="5">
        <v>600.0</v>
      </c>
      <c r="G1457" s="5">
        <v>600.0</v>
      </c>
      <c r="H1457" s="5">
        <v>600.0</v>
      </c>
      <c r="I1457" s="5">
        <v>25.0</v>
      </c>
      <c r="J1457" s="19" t="s">
        <v>31</v>
      </c>
      <c r="K1457" s="17">
        <v>361.0</v>
      </c>
      <c r="L1457" s="5" t="s">
        <v>4954</v>
      </c>
      <c r="M1457" s="5" t="s">
        <v>2230</v>
      </c>
    </row>
    <row r="1458" ht="22.5" customHeight="1">
      <c r="A1458" s="37">
        <v>46037.856509907404</v>
      </c>
      <c r="B1458" s="5" t="s">
        <v>2282</v>
      </c>
      <c r="C1458" s="19" t="s">
        <v>650</v>
      </c>
      <c r="D1458" s="17">
        <v>1.0</v>
      </c>
      <c r="E1458" s="17">
        <v>124.0</v>
      </c>
      <c r="F1458" s="5">
        <v>150.0</v>
      </c>
      <c r="G1458" s="5">
        <v>150.0</v>
      </c>
      <c r="H1458" s="5">
        <v>150.0</v>
      </c>
      <c r="I1458" s="5">
        <v>26.0</v>
      </c>
      <c r="J1458" s="19" t="s">
        <v>119</v>
      </c>
      <c r="K1458" s="17">
        <v>360.0</v>
      </c>
      <c r="L1458" s="5" t="s">
        <v>4955</v>
      </c>
      <c r="M1458" s="5" t="s">
        <v>2230</v>
      </c>
    </row>
    <row r="1459" ht="22.5" customHeight="1">
      <c r="A1459" s="37">
        <v>46037.856509641206</v>
      </c>
      <c r="B1459" s="5" t="s">
        <v>2282</v>
      </c>
      <c r="C1459" s="19" t="s">
        <v>645</v>
      </c>
      <c r="D1459" s="17">
        <v>2.0</v>
      </c>
      <c r="E1459" s="17">
        <v>17.0</v>
      </c>
      <c r="F1459" s="5">
        <v>25.0</v>
      </c>
      <c r="G1459" s="5">
        <v>25.0</v>
      </c>
      <c r="H1459" s="5">
        <v>50.0</v>
      </c>
      <c r="I1459" s="5">
        <v>16.0</v>
      </c>
      <c r="J1459" s="19" t="s">
        <v>1052</v>
      </c>
      <c r="K1459" s="17">
        <v>359.0</v>
      </c>
      <c r="L1459" s="5" t="s">
        <v>4956</v>
      </c>
      <c r="M1459" s="5" t="s">
        <v>2230</v>
      </c>
    </row>
    <row r="1460" ht="22.5" customHeight="1">
      <c r="A1460" s="37">
        <v>46037.85650938658</v>
      </c>
      <c r="B1460" s="5" t="s">
        <v>2282</v>
      </c>
      <c r="C1460" s="19" t="s">
        <v>302</v>
      </c>
      <c r="D1460" s="17">
        <v>6.0</v>
      </c>
      <c r="E1460" s="17">
        <v>18.0</v>
      </c>
      <c r="F1460" s="5">
        <v>25.0</v>
      </c>
      <c r="G1460" s="5">
        <v>25.0</v>
      </c>
      <c r="H1460" s="5">
        <v>150.0</v>
      </c>
      <c r="I1460" s="5">
        <v>42.0</v>
      </c>
      <c r="J1460" s="19" t="s">
        <v>31</v>
      </c>
      <c r="K1460" s="17">
        <v>358.0</v>
      </c>
      <c r="L1460" s="5" t="s">
        <v>4957</v>
      </c>
      <c r="M1460" s="5" t="s">
        <v>2230</v>
      </c>
    </row>
    <row r="1461" ht="22.5" customHeight="1">
      <c r="A1461" s="37">
        <v>46037.85650908564</v>
      </c>
      <c r="B1461" s="5" t="s">
        <v>2282</v>
      </c>
      <c r="C1461" s="19" t="s">
        <v>194</v>
      </c>
      <c r="D1461" s="17">
        <v>1.0</v>
      </c>
      <c r="E1461" s="17">
        <v>164.17</v>
      </c>
      <c r="F1461" s="5">
        <v>185.0</v>
      </c>
      <c r="G1461" s="5">
        <v>185.0</v>
      </c>
      <c r="H1461" s="5">
        <v>185.0</v>
      </c>
      <c r="I1461" s="5">
        <v>20.83</v>
      </c>
      <c r="J1461" s="19" t="s">
        <v>31</v>
      </c>
      <c r="K1461" s="17">
        <v>357.0</v>
      </c>
      <c r="L1461" s="5" t="s">
        <v>4958</v>
      </c>
      <c r="M1461" s="5" t="s">
        <v>2230</v>
      </c>
    </row>
    <row r="1462" ht="22.5" customHeight="1">
      <c r="A1462" s="37">
        <v>46037.856508807876</v>
      </c>
      <c r="B1462" s="5" t="s">
        <v>2282</v>
      </c>
      <c r="C1462" s="19" t="s">
        <v>464</v>
      </c>
      <c r="D1462" s="17">
        <v>1.0</v>
      </c>
      <c r="E1462" s="17">
        <v>135.0</v>
      </c>
      <c r="F1462" s="5">
        <v>135.0</v>
      </c>
      <c r="G1462" s="5">
        <v>135.0</v>
      </c>
      <c r="H1462" s="5">
        <v>135.0</v>
      </c>
      <c r="I1462" s="5">
        <v>0.0</v>
      </c>
      <c r="J1462" s="19" t="s">
        <v>31</v>
      </c>
      <c r="K1462" s="17">
        <v>356.0</v>
      </c>
      <c r="L1462" s="5" t="s">
        <v>4959</v>
      </c>
      <c r="M1462" s="5" t="s">
        <v>2230</v>
      </c>
    </row>
    <row r="1463" ht="22.5" customHeight="1">
      <c r="A1463" s="37">
        <v>46037.85650844907</v>
      </c>
      <c r="B1463" s="5" t="s">
        <v>2282</v>
      </c>
      <c r="C1463" s="19" t="s">
        <v>356</v>
      </c>
      <c r="D1463" s="17">
        <v>1.0</v>
      </c>
      <c r="E1463" s="17">
        <v>85.0</v>
      </c>
      <c r="F1463" s="5">
        <v>100.0</v>
      </c>
      <c r="G1463" s="5">
        <v>100.0</v>
      </c>
      <c r="H1463" s="5">
        <v>100.0</v>
      </c>
      <c r="I1463" s="5">
        <v>15.0</v>
      </c>
      <c r="J1463" s="19" t="s">
        <v>51</v>
      </c>
      <c r="K1463" s="17">
        <v>355.0</v>
      </c>
      <c r="L1463" s="5" t="s">
        <v>4960</v>
      </c>
      <c r="M1463" s="5" t="s">
        <v>2230</v>
      </c>
    </row>
    <row r="1464" ht="22.5" customHeight="1">
      <c r="A1464" s="37">
        <v>46026.885039988425</v>
      </c>
      <c r="B1464" s="5" t="s">
        <v>2282</v>
      </c>
      <c r="C1464" s="19" t="s">
        <v>638</v>
      </c>
      <c r="D1464" s="17">
        <v>1.0</v>
      </c>
      <c r="E1464" s="17">
        <v>100.0</v>
      </c>
      <c r="F1464" s="5">
        <v>130.0</v>
      </c>
      <c r="G1464" s="5">
        <v>130.0</v>
      </c>
      <c r="H1464" s="5">
        <v>130.0</v>
      </c>
      <c r="I1464" s="5">
        <v>30.0</v>
      </c>
      <c r="J1464" s="19" t="s">
        <v>51</v>
      </c>
      <c r="K1464" s="17">
        <v>354.0</v>
      </c>
      <c r="L1464" s="5" t="s">
        <v>4961</v>
      </c>
      <c r="M1464" s="5" t="s">
        <v>2230</v>
      </c>
    </row>
    <row r="1465" ht="22.5" customHeight="1">
      <c r="A1465" s="37">
        <v>46026.885039664354</v>
      </c>
      <c r="B1465" s="5" t="s">
        <v>2282</v>
      </c>
      <c r="C1465" s="19" t="s">
        <v>255</v>
      </c>
      <c r="D1465" s="17">
        <v>1.0</v>
      </c>
      <c r="E1465" s="17">
        <v>35.0</v>
      </c>
      <c r="F1465" s="5">
        <v>50.0</v>
      </c>
      <c r="G1465" s="5">
        <v>50.0</v>
      </c>
      <c r="H1465" s="5">
        <v>50.0</v>
      </c>
      <c r="I1465" s="5">
        <v>15.0</v>
      </c>
      <c r="J1465" s="19" t="s">
        <v>31</v>
      </c>
      <c r="K1465" s="17">
        <v>353.0</v>
      </c>
      <c r="L1465" s="5" t="s">
        <v>4962</v>
      </c>
      <c r="M1465" s="5" t="s">
        <v>2230</v>
      </c>
    </row>
    <row r="1466" ht="22.5" customHeight="1">
      <c r="A1466" s="37">
        <v>46026.88503936343</v>
      </c>
      <c r="B1466" s="5" t="s">
        <v>2282</v>
      </c>
      <c r="C1466" s="19" t="s">
        <v>268</v>
      </c>
      <c r="D1466" s="17">
        <v>1.0</v>
      </c>
      <c r="E1466" s="17">
        <v>170.0</v>
      </c>
      <c r="F1466" s="5">
        <v>200.0</v>
      </c>
      <c r="G1466" s="5">
        <v>200.0</v>
      </c>
      <c r="H1466" s="5">
        <v>200.0</v>
      </c>
      <c r="I1466" s="5">
        <v>30.0</v>
      </c>
      <c r="J1466" s="19" t="s">
        <v>581</v>
      </c>
      <c r="K1466" s="17">
        <v>352.0</v>
      </c>
      <c r="L1466" s="5" t="s">
        <v>4963</v>
      </c>
      <c r="M1466" s="5" t="s">
        <v>2230</v>
      </c>
    </row>
    <row r="1467" ht="22.5" customHeight="1">
      <c r="A1467" s="37">
        <v>46026.885039050925</v>
      </c>
      <c r="B1467" s="5" t="s">
        <v>2282</v>
      </c>
      <c r="C1467" s="19" t="s">
        <v>452</v>
      </c>
      <c r="D1467" s="17">
        <v>1.0</v>
      </c>
      <c r="E1467" s="17">
        <v>16.0</v>
      </c>
      <c r="F1467" s="5">
        <v>20.0</v>
      </c>
      <c r="G1467" s="5">
        <v>20.0</v>
      </c>
      <c r="H1467" s="5">
        <v>20.0</v>
      </c>
      <c r="I1467" s="5">
        <v>4.0</v>
      </c>
      <c r="J1467" s="19" t="s">
        <v>31</v>
      </c>
      <c r="K1467" s="17">
        <v>351.0</v>
      </c>
      <c r="L1467" s="5" t="s">
        <v>4964</v>
      </c>
      <c r="M1467" s="5" t="s">
        <v>2230</v>
      </c>
    </row>
    <row r="1468" ht="22.5" customHeight="1">
      <c r="A1468" s="37">
        <v>46026.885038692126</v>
      </c>
      <c r="B1468" s="5" t="s">
        <v>2282</v>
      </c>
      <c r="C1468" s="19" t="s">
        <v>625</v>
      </c>
      <c r="D1468" s="17">
        <v>0.5</v>
      </c>
      <c r="E1468" s="17">
        <v>39.0</v>
      </c>
      <c r="F1468" s="5">
        <v>60.0</v>
      </c>
      <c r="G1468" s="5">
        <v>60.0</v>
      </c>
      <c r="H1468" s="5">
        <v>30.0</v>
      </c>
      <c r="I1468" s="5">
        <v>10.5</v>
      </c>
      <c r="J1468" s="19" t="s">
        <v>119</v>
      </c>
      <c r="K1468" s="17">
        <v>337.0</v>
      </c>
      <c r="L1468" s="5" t="s">
        <v>4965</v>
      </c>
      <c r="M1468" s="5" t="s">
        <v>2230</v>
      </c>
    </row>
    <row r="1469" ht="22.5" customHeight="1">
      <c r="A1469" s="37">
        <v>46023.94337673611</v>
      </c>
      <c r="B1469" s="5" t="s">
        <v>2282</v>
      </c>
      <c r="C1469" s="19" t="s">
        <v>567</v>
      </c>
      <c r="D1469" s="17">
        <v>1.0</v>
      </c>
      <c r="E1469" s="17">
        <v>51.0</v>
      </c>
      <c r="F1469" s="5">
        <v>75.0</v>
      </c>
      <c r="G1469" s="5">
        <v>75.0</v>
      </c>
      <c r="H1469" s="5">
        <v>75.0</v>
      </c>
      <c r="I1469" s="5">
        <v>24.0</v>
      </c>
      <c r="J1469" s="19" t="s">
        <v>119</v>
      </c>
      <c r="K1469" s="17">
        <v>350.0</v>
      </c>
      <c r="L1469" s="5" t="s">
        <v>4966</v>
      </c>
      <c r="M1469" s="5" t="s">
        <v>2230</v>
      </c>
    </row>
    <row r="1470" ht="22.5" customHeight="1">
      <c r="A1470" s="37">
        <v>46023.838586122685</v>
      </c>
      <c r="B1470" s="5" t="s">
        <v>2282</v>
      </c>
      <c r="C1470" s="19" t="s">
        <v>753</v>
      </c>
      <c r="D1470" s="17">
        <v>3.0</v>
      </c>
      <c r="E1470" s="17">
        <v>20.0</v>
      </c>
      <c r="F1470" s="5">
        <v>25.0</v>
      </c>
      <c r="G1470" s="5">
        <v>25.0</v>
      </c>
      <c r="H1470" s="5">
        <v>75.0</v>
      </c>
      <c r="I1470" s="5">
        <v>15.0</v>
      </c>
      <c r="J1470" s="19"/>
      <c r="K1470" s="17">
        <v>344.0</v>
      </c>
      <c r="L1470" s="5" t="s">
        <v>4967</v>
      </c>
      <c r="M1470" s="5" t="s">
        <v>2230</v>
      </c>
    </row>
    <row r="1471" ht="22.5" customHeight="1">
      <c r="A1471" s="37">
        <v>46023.83748534722</v>
      </c>
      <c r="B1471" s="5" t="s">
        <v>2282</v>
      </c>
      <c r="C1471" s="19" t="s">
        <v>505</v>
      </c>
      <c r="D1471" s="17">
        <v>1.0</v>
      </c>
      <c r="E1471" s="17">
        <v>165.0</v>
      </c>
      <c r="F1471" s="5">
        <v>175.0</v>
      </c>
      <c r="G1471" s="5">
        <v>175.0</v>
      </c>
      <c r="H1471" s="5">
        <v>175.0</v>
      </c>
      <c r="I1471" s="5">
        <v>10.0</v>
      </c>
      <c r="J1471" s="19" t="s">
        <v>576</v>
      </c>
      <c r="K1471" s="17">
        <v>349.0</v>
      </c>
      <c r="L1471" s="5" t="s">
        <v>4968</v>
      </c>
      <c r="M1471" s="5" t="s">
        <v>2230</v>
      </c>
    </row>
    <row r="1472" ht="22.5" customHeight="1">
      <c r="A1472" s="37">
        <v>46023.83748503472</v>
      </c>
      <c r="B1472" s="5" t="s">
        <v>2282</v>
      </c>
      <c r="C1472" s="19" t="s">
        <v>297</v>
      </c>
      <c r="D1472" s="17">
        <v>1.0</v>
      </c>
      <c r="E1472" s="17">
        <v>30.0</v>
      </c>
      <c r="F1472" s="5">
        <v>30.0</v>
      </c>
      <c r="G1472" s="5">
        <v>30.0</v>
      </c>
      <c r="H1472" s="5">
        <v>30.0</v>
      </c>
      <c r="I1472" s="5">
        <v>0.0</v>
      </c>
      <c r="J1472" s="19" t="s">
        <v>31</v>
      </c>
      <c r="K1472" s="17">
        <v>348.0</v>
      </c>
      <c r="L1472" s="5" t="s">
        <v>4969</v>
      </c>
      <c r="M1472" s="5" t="s">
        <v>2230</v>
      </c>
    </row>
    <row r="1473" ht="22.5" customHeight="1">
      <c r="A1473" s="37">
        <v>46023.83748476852</v>
      </c>
      <c r="B1473" s="5" t="s">
        <v>2282</v>
      </c>
      <c r="C1473" s="19" t="s">
        <v>357</v>
      </c>
      <c r="D1473" s="17">
        <v>1.0</v>
      </c>
      <c r="E1473" s="17">
        <v>225.0</v>
      </c>
      <c r="F1473" s="5">
        <v>350.0</v>
      </c>
      <c r="G1473" s="5">
        <v>350.0</v>
      </c>
      <c r="H1473" s="5">
        <v>350.0</v>
      </c>
      <c r="I1473" s="5">
        <v>125.0</v>
      </c>
      <c r="J1473" s="19" t="s">
        <v>31</v>
      </c>
      <c r="K1473" s="17">
        <v>347.0</v>
      </c>
      <c r="L1473" s="5" t="s">
        <v>4970</v>
      </c>
      <c r="M1473" s="5" t="s">
        <v>2230</v>
      </c>
    </row>
    <row r="1474" ht="22.5" customHeight="1">
      <c r="A1474" s="37">
        <v>46023.83748457176</v>
      </c>
      <c r="B1474" s="5" t="s">
        <v>2282</v>
      </c>
      <c r="C1474" s="19" t="s">
        <v>404</v>
      </c>
      <c r="D1474" s="17">
        <v>1.0</v>
      </c>
      <c r="E1474" s="17">
        <v>75.0</v>
      </c>
      <c r="F1474" s="5">
        <v>100.0</v>
      </c>
      <c r="G1474" s="5">
        <v>100.0</v>
      </c>
      <c r="H1474" s="5">
        <v>100.0</v>
      </c>
      <c r="I1474" s="5">
        <v>25.0</v>
      </c>
      <c r="J1474" s="19" t="s">
        <v>31</v>
      </c>
      <c r="K1474" s="17">
        <v>346.0</v>
      </c>
      <c r="L1474" s="5" t="s">
        <v>4971</v>
      </c>
      <c r="M1474" s="5" t="s">
        <v>2230</v>
      </c>
    </row>
    <row r="1475" ht="22.5" customHeight="1">
      <c r="A1475" s="37">
        <v>46023.837484386575</v>
      </c>
      <c r="B1475" s="5" t="s">
        <v>2282</v>
      </c>
      <c r="C1475" s="19" t="s">
        <v>172</v>
      </c>
      <c r="D1475" s="17">
        <v>2.0</v>
      </c>
      <c r="E1475" s="17">
        <v>28.2</v>
      </c>
      <c r="F1475" s="5">
        <v>40.0</v>
      </c>
      <c r="G1475" s="5">
        <v>40.0</v>
      </c>
      <c r="H1475" s="5">
        <v>80.0</v>
      </c>
      <c r="I1475" s="5">
        <v>23.6</v>
      </c>
      <c r="J1475" s="19" t="s">
        <v>31</v>
      </c>
      <c r="K1475" s="17">
        <v>345.0</v>
      </c>
      <c r="L1475" s="5" t="s">
        <v>4972</v>
      </c>
      <c r="M1475" s="5" t="s">
        <v>2230</v>
      </c>
    </row>
    <row r="1476" ht="22.5" customHeight="1">
      <c r="A1476" s="37">
        <v>46023.837484131946</v>
      </c>
      <c r="B1476" s="5" t="s">
        <v>2282</v>
      </c>
      <c r="C1476" s="19" t="s">
        <v>416</v>
      </c>
      <c r="D1476" s="17">
        <v>1.0</v>
      </c>
      <c r="E1476" s="17">
        <v>30.0</v>
      </c>
      <c r="F1476" s="5">
        <v>50.0</v>
      </c>
      <c r="G1476" s="5">
        <v>50.0</v>
      </c>
      <c r="H1476" s="5">
        <v>50.0</v>
      </c>
      <c r="I1476" s="5">
        <v>20.0</v>
      </c>
      <c r="J1476" s="19" t="s">
        <v>31</v>
      </c>
      <c r="K1476" s="17">
        <v>343.0</v>
      </c>
      <c r="L1476" s="5" t="s">
        <v>4973</v>
      </c>
      <c r="M1476" s="5" t="s">
        <v>2230</v>
      </c>
    </row>
    <row r="1477" ht="22.5" customHeight="1">
      <c r="A1477" s="37">
        <v>46023.83748394676</v>
      </c>
      <c r="B1477" s="5" t="s">
        <v>2282</v>
      </c>
      <c r="C1477" s="19" t="s">
        <v>412</v>
      </c>
      <c r="D1477" s="17">
        <v>1.0</v>
      </c>
      <c r="E1477" s="17">
        <v>195.0</v>
      </c>
      <c r="F1477" s="5">
        <v>250.0</v>
      </c>
      <c r="G1477" s="5">
        <v>250.0</v>
      </c>
      <c r="H1477" s="5">
        <v>250.0</v>
      </c>
      <c r="I1477" s="5">
        <v>55.0</v>
      </c>
      <c r="J1477" s="19" t="s">
        <v>31</v>
      </c>
      <c r="K1477" s="17">
        <v>342.0</v>
      </c>
      <c r="L1477" s="5" t="s">
        <v>4974</v>
      </c>
      <c r="M1477" s="5" t="s">
        <v>2230</v>
      </c>
    </row>
    <row r="1478" ht="22.5" customHeight="1">
      <c r="A1478" s="37">
        <v>46023.83748375</v>
      </c>
      <c r="B1478" s="5" t="s">
        <v>2282</v>
      </c>
      <c r="C1478" s="19" t="s">
        <v>470</v>
      </c>
      <c r="D1478" s="17">
        <v>1.0</v>
      </c>
      <c r="E1478" s="17">
        <v>75.0</v>
      </c>
      <c r="F1478" s="5">
        <v>90.0</v>
      </c>
      <c r="G1478" s="5">
        <v>90.0</v>
      </c>
      <c r="H1478" s="5">
        <v>90.0</v>
      </c>
      <c r="I1478" s="5">
        <v>15.0</v>
      </c>
      <c r="J1478" s="19" t="s">
        <v>31</v>
      </c>
      <c r="K1478" s="17">
        <v>341.0</v>
      </c>
      <c r="L1478" s="5" t="s">
        <v>4975</v>
      </c>
      <c r="M1478" s="5" t="s">
        <v>2230</v>
      </c>
    </row>
    <row r="1479" ht="22.5" customHeight="1">
      <c r="A1479" s="37">
        <v>46023.83748298611</v>
      </c>
      <c r="B1479" s="5" t="s">
        <v>2282</v>
      </c>
      <c r="C1479" s="19" t="s">
        <v>496</v>
      </c>
      <c r="D1479" s="17">
        <v>1.0</v>
      </c>
      <c r="E1479" s="17">
        <v>44.25</v>
      </c>
      <c r="F1479" s="5">
        <v>75.0</v>
      </c>
      <c r="G1479" s="5">
        <v>75.0</v>
      </c>
      <c r="H1479" s="5">
        <v>75.0</v>
      </c>
      <c r="I1479" s="5">
        <v>30.75</v>
      </c>
      <c r="J1479" s="19" t="s">
        <v>119</v>
      </c>
      <c r="K1479" s="17">
        <v>208.0</v>
      </c>
      <c r="L1479" s="5" t="s">
        <v>4976</v>
      </c>
      <c r="M1479" s="5" t="s">
        <v>2230</v>
      </c>
    </row>
    <row r="1480" ht="22.5" customHeight="1">
      <c r="A1480" s="37">
        <v>46023.760024143514</v>
      </c>
      <c r="B1480" s="5" t="s">
        <v>2282</v>
      </c>
      <c r="C1480" s="19" t="s">
        <v>633</v>
      </c>
      <c r="D1480" s="17">
        <v>1.0</v>
      </c>
      <c r="E1480" s="17">
        <v>128.0</v>
      </c>
      <c r="F1480" s="5">
        <v>170.0</v>
      </c>
      <c r="G1480" s="5">
        <v>170.0</v>
      </c>
      <c r="H1480" s="5">
        <v>170.0</v>
      </c>
      <c r="I1480" s="5">
        <v>42.0</v>
      </c>
      <c r="J1480" s="19" t="s">
        <v>119</v>
      </c>
      <c r="K1480" s="17">
        <v>341.0</v>
      </c>
      <c r="L1480" s="5" t="s">
        <v>4977</v>
      </c>
      <c r="M1480" s="5" t="s">
        <v>2230</v>
      </c>
    </row>
    <row r="1481" ht="22.5" customHeight="1">
      <c r="A1481" s="37">
        <v>46023.76002369213</v>
      </c>
      <c r="B1481" s="5" t="s">
        <v>2282</v>
      </c>
      <c r="C1481" s="19" t="s">
        <v>630</v>
      </c>
      <c r="D1481" s="17">
        <v>1.0</v>
      </c>
      <c r="E1481" s="17">
        <v>160.0</v>
      </c>
      <c r="F1481" s="5">
        <v>200.0</v>
      </c>
      <c r="G1481" s="5">
        <v>200.0</v>
      </c>
      <c r="H1481" s="5">
        <v>200.0</v>
      </c>
      <c r="I1481" s="5">
        <v>40.0</v>
      </c>
      <c r="J1481" s="19" t="s">
        <v>119</v>
      </c>
      <c r="K1481" s="17">
        <v>340.0</v>
      </c>
      <c r="L1481" s="5" t="s">
        <v>4978</v>
      </c>
      <c r="M1481" s="5" t="s">
        <v>2230</v>
      </c>
    </row>
    <row r="1482" ht="22.5" customHeight="1">
      <c r="A1482" s="37">
        <v>46023.76002318287</v>
      </c>
      <c r="B1482" s="5" t="s">
        <v>2282</v>
      </c>
      <c r="C1482" s="19" t="s">
        <v>584</v>
      </c>
      <c r="D1482" s="17">
        <v>3.0</v>
      </c>
      <c r="E1482" s="17">
        <v>5.0</v>
      </c>
      <c r="F1482" s="5">
        <v>10.0</v>
      </c>
      <c r="G1482" s="5">
        <v>10.0</v>
      </c>
      <c r="H1482" s="5">
        <v>30.0</v>
      </c>
      <c r="I1482" s="5">
        <v>15.0</v>
      </c>
      <c r="J1482" s="19" t="s">
        <v>119</v>
      </c>
      <c r="K1482" s="17">
        <v>339.0</v>
      </c>
      <c r="L1482" s="5" t="s">
        <v>4979</v>
      </c>
      <c r="M1482" s="5" t="s">
        <v>2230</v>
      </c>
    </row>
    <row r="1483" ht="22.5" customHeight="1">
      <c r="A1483" s="37">
        <v>46021.864271620376</v>
      </c>
      <c r="B1483" s="5" t="s">
        <v>2282</v>
      </c>
      <c r="C1483" s="19" t="s">
        <v>452</v>
      </c>
      <c r="D1483" s="17">
        <v>2.0</v>
      </c>
      <c r="E1483" s="17">
        <v>16.0</v>
      </c>
      <c r="F1483" s="5">
        <v>20.0</v>
      </c>
      <c r="G1483" s="5">
        <v>20.0</v>
      </c>
      <c r="H1483" s="5">
        <v>40.0</v>
      </c>
      <c r="I1483" s="5">
        <v>8.0</v>
      </c>
      <c r="J1483" s="19" t="s">
        <v>31</v>
      </c>
      <c r="K1483" s="17">
        <v>338.0</v>
      </c>
      <c r="L1483" s="5" t="s">
        <v>4980</v>
      </c>
      <c r="M1483" s="5" t="s">
        <v>2230</v>
      </c>
    </row>
    <row r="1484" ht="22.5" customHeight="1">
      <c r="A1484" s="37">
        <v>46021.678586354166</v>
      </c>
      <c r="B1484" s="5" t="s">
        <v>2282</v>
      </c>
      <c r="C1484" s="19" t="s">
        <v>270</v>
      </c>
      <c r="D1484" s="17">
        <v>1.0</v>
      </c>
      <c r="E1484" s="17">
        <v>112.5</v>
      </c>
      <c r="F1484" s="5">
        <v>150.0</v>
      </c>
      <c r="G1484" s="5">
        <v>150.0</v>
      </c>
      <c r="H1484" s="5">
        <v>150.0</v>
      </c>
      <c r="I1484" s="5">
        <v>37.5</v>
      </c>
      <c r="J1484" s="19" t="s">
        <v>31</v>
      </c>
      <c r="K1484" s="17">
        <v>329.0</v>
      </c>
      <c r="L1484" s="5" t="s">
        <v>4981</v>
      </c>
      <c r="M1484" s="5" t="s">
        <v>2230</v>
      </c>
    </row>
    <row r="1485" ht="22.5" customHeight="1">
      <c r="A1485" s="37">
        <v>46021.67684892361</v>
      </c>
      <c r="B1485" s="5" t="s">
        <v>2282</v>
      </c>
      <c r="C1485" s="19" t="s">
        <v>618</v>
      </c>
      <c r="D1485" s="17">
        <v>1.0</v>
      </c>
      <c r="E1485" s="17">
        <v>141.0</v>
      </c>
      <c r="F1485" s="5">
        <v>180.0</v>
      </c>
      <c r="G1485" s="5">
        <v>180.0</v>
      </c>
      <c r="H1485" s="5">
        <v>180.0</v>
      </c>
      <c r="I1485" s="5">
        <v>39.0</v>
      </c>
      <c r="J1485" s="19" t="s">
        <v>119</v>
      </c>
      <c r="K1485" s="17">
        <v>337.0</v>
      </c>
      <c r="L1485" s="5" t="s">
        <v>4982</v>
      </c>
      <c r="M1485" s="5" t="s">
        <v>2230</v>
      </c>
    </row>
    <row r="1486" ht="22.5" customHeight="1">
      <c r="A1486" s="37">
        <v>46021.67684866898</v>
      </c>
      <c r="B1486" s="5" t="s">
        <v>2282</v>
      </c>
      <c r="C1486" s="19" t="s">
        <v>74</v>
      </c>
      <c r="D1486" s="17">
        <v>1.0</v>
      </c>
      <c r="E1486" s="17">
        <v>120.0</v>
      </c>
      <c r="F1486" s="5">
        <v>150.0</v>
      </c>
      <c r="G1486" s="5">
        <v>150.0</v>
      </c>
      <c r="H1486" s="5">
        <v>150.0</v>
      </c>
      <c r="I1486" s="5">
        <v>30.0</v>
      </c>
      <c r="J1486" s="19" t="s">
        <v>31</v>
      </c>
      <c r="K1486" s="17">
        <v>336.0</v>
      </c>
      <c r="L1486" s="5" t="s">
        <v>4983</v>
      </c>
      <c r="M1486" s="5" t="s">
        <v>2230</v>
      </c>
    </row>
    <row r="1487" ht="22.5" customHeight="1">
      <c r="A1487" s="37">
        <v>46021.676848449075</v>
      </c>
      <c r="B1487" s="5" t="s">
        <v>2282</v>
      </c>
      <c r="C1487" s="19" t="s">
        <v>452</v>
      </c>
      <c r="D1487" s="17">
        <v>3.0</v>
      </c>
      <c r="E1487" s="17">
        <v>16.0</v>
      </c>
      <c r="F1487" s="5">
        <v>20.0</v>
      </c>
      <c r="G1487" s="5">
        <v>20.0</v>
      </c>
      <c r="H1487" s="5">
        <v>60.0</v>
      </c>
      <c r="I1487" s="5">
        <v>12.0</v>
      </c>
      <c r="J1487" s="19" t="s">
        <v>31</v>
      </c>
      <c r="K1487" s="17">
        <v>335.0</v>
      </c>
      <c r="L1487" s="5" t="s">
        <v>4984</v>
      </c>
      <c r="M1487" s="5" t="s">
        <v>2230</v>
      </c>
    </row>
    <row r="1488" ht="22.5" customHeight="1">
      <c r="A1488" s="37">
        <v>46021.676848229166</v>
      </c>
      <c r="B1488" s="5" t="s">
        <v>2282</v>
      </c>
      <c r="C1488" s="19" t="s">
        <v>172</v>
      </c>
      <c r="D1488" s="17">
        <v>1.0</v>
      </c>
      <c r="E1488" s="17">
        <v>28.2</v>
      </c>
      <c r="F1488" s="5">
        <v>40.0</v>
      </c>
      <c r="G1488" s="5">
        <v>40.0</v>
      </c>
      <c r="H1488" s="5">
        <v>40.0</v>
      </c>
      <c r="I1488" s="5">
        <v>11.8</v>
      </c>
      <c r="J1488" s="19" t="s">
        <v>31</v>
      </c>
      <c r="K1488" s="17">
        <v>334.0</v>
      </c>
      <c r="L1488" s="5" t="s">
        <v>4985</v>
      </c>
      <c r="M1488" s="5" t="s">
        <v>2230</v>
      </c>
    </row>
    <row r="1489" ht="22.5" customHeight="1">
      <c r="A1489" s="37">
        <v>46021.67684796297</v>
      </c>
      <c r="B1489" s="5" t="s">
        <v>2282</v>
      </c>
      <c r="C1489" s="19" t="s">
        <v>48</v>
      </c>
      <c r="D1489" s="17">
        <v>2.0</v>
      </c>
      <c r="E1489" s="17">
        <v>31.5</v>
      </c>
      <c r="F1489" s="5">
        <v>50.0</v>
      </c>
      <c r="G1489" s="5">
        <v>50.0</v>
      </c>
      <c r="H1489" s="5">
        <v>100.0</v>
      </c>
      <c r="I1489" s="5">
        <v>37.0</v>
      </c>
      <c r="J1489" s="19" t="s">
        <v>31</v>
      </c>
      <c r="K1489" s="17">
        <v>333.0</v>
      </c>
      <c r="L1489" s="5" t="s">
        <v>4986</v>
      </c>
      <c r="M1489" s="5" t="s">
        <v>2230</v>
      </c>
    </row>
    <row r="1490" ht="22.5" customHeight="1">
      <c r="A1490" s="37">
        <v>46021.676847731476</v>
      </c>
      <c r="B1490" s="5" t="s">
        <v>2282</v>
      </c>
      <c r="C1490" s="19" t="s">
        <v>614</v>
      </c>
      <c r="D1490" s="17">
        <v>1.0</v>
      </c>
      <c r="E1490" s="17">
        <v>78.0</v>
      </c>
      <c r="F1490" s="5">
        <v>100.0</v>
      </c>
      <c r="G1490" s="5">
        <v>100.0</v>
      </c>
      <c r="H1490" s="5">
        <v>100.0</v>
      </c>
      <c r="I1490" s="5">
        <v>22.0</v>
      </c>
      <c r="J1490" s="19" t="s">
        <v>119</v>
      </c>
      <c r="K1490" s="17">
        <v>332.0</v>
      </c>
      <c r="L1490" s="5" t="s">
        <v>4987</v>
      </c>
      <c r="M1490" s="5" t="s">
        <v>2230</v>
      </c>
    </row>
    <row r="1491" ht="22.5" customHeight="1">
      <c r="A1491" s="37">
        <v>46021.676847511575</v>
      </c>
      <c r="B1491" s="5" t="s">
        <v>2282</v>
      </c>
      <c r="C1491" s="19" t="s">
        <v>611</v>
      </c>
      <c r="D1491" s="17">
        <v>1.0</v>
      </c>
      <c r="E1491" s="17">
        <v>29.0</v>
      </c>
      <c r="F1491" s="5">
        <v>50.0</v>
      </c>
      <c r="G1491" s="5">
        <v>50.0</v>
      </c>
      <c r="H1491" s="5">
        <v>50.0</v>
      </c>
      <c r="I1491" s="5">
        <v>21.0</v>
      </c>
      <c r="J1491" s="19" t="s">
        <v>119</v>
      </c>
      <c r="K1491" s="17">
        <v>331.0</v>
      </c>
      <c r="L1491" s="5" t="s">
        <v>4988</v>
      </c>
      <c r="M1491" s="5" t="s">
        <v>2230</v>
      </c>
    </row>
    <row r="1492" ht="22.5" customHeight="1">
      <c r="A1492" s="37">
        <v>46020.92448518518</v>
      </c>
      <c r="B1492" s="5" t="s">
        <v>2282</v>
      </c>
      <c r="C1492" s="19" t="s">
        <v>452</v>
      </c>
      <c r="D1492" s="17">
        <v>1.0</v>
      </c>
      <c r="E1492" s="17">
        <v>16.0</v>
      </c>
      <c r="F1492" s="5">
        <v>20.0</v>
      </c>
      <c r="G1492" s="5">
        <v>20.0</v>
      </c>
      <c r="H1492" s="5">
        <v>20.0</v>
      </c>
      <c r="I1492" s="5">
        <v>4.0</v>
      </c>
      <c r="J1492" s="19" t="s">
        <v>31</v>
      </c>
      <c r="K1492" s="17">
        <v>327.0</v>
      </c>
      <c r="L1492" s="5" t="s">
        <v>4989</v>
      </c>
      <c r="M1492" s="5" t="s">
        <v>2230</v>
      </c>
    </row>
    <row r="1493" ht="22.5" customHeight="1">
      <c r="A1493" s="37">
        <v>46020.924484930554</v>
      </c>
      <c r="B1493" s="5" t="s">
        <v>2282</v>
      </c>
      <c r="C1493" s="19" t="s">
        <v>601</v>
      </c>
      <c r="D1493" s="17">
        <v>1.0</v>
      </c>
      <c r="E1493" s="17">
        <v>17.92</v>
      </c>
      <c r="F1493" s="5">
        <v>30.0</v>
      </c>
      <c r="G1493" s="5">
        <v>30.0</v>
      </c>
      <c r="H1493" s="5">
        <v>30.0</v>
      </c>
      <c r="I1493" s="5">
        <v>12.08</v>
      </c>
      <c r="J1493" s="19" t="s">
        <v>119</v>
      </c>
      <c r="K1493" s="17">
        <v>326.0</v>
      </c>
      <c r="L1493" s="5" t="s">
        <v>4990</v>
      </c>
      <c r="M1493" s="5" t="s">
        <v>2230</v>
      </c>
    </row>
    <row r="1494" ht="22.5" customHeight="1">
      <c r="A1494" s="37">
        <v>46020.924484675925</v>
      </c>
      <c r="B1494" s="5" t="s">
        <v>2282</v>
      </c>
      <c r="C1494" s="19" t="s">
        <v>596</v>
      </c>
      <c r="D1494" s="17">
        <v>1.0</v>
      </c>
      <c r="E1494" s="17">
        <v>17.92</v>
      </c>
      <c r="F1494" s="5">
        <v>25.0</v>
      </c>
      <c r="G1494" s="5">
        <v>25.0</v>
      </c>
      <c r="H1494" s="5">
        <v>25.0</v>
      </c>
      <c r="I1494" s="5">
        <v>7.08</v>
      </c>
      <c r="J1494" s="19" t="s">
        <v>119</v>
      </c>
      <c r="K1494" s="17">
        <v>325.0</v>
      </c>
      <c r="L1494" s="5" t="s">
        <v>4991</v>
      </c>
      <c r="M1494" s="5" t="s">
        <v>2230</v>
      </c>
    </row>
    <row r="1495" ht="22.5" customHeight="1">
      <c r="A1495" s="37">
        <v>46020.924484421295</v>
      </c>
      <c r="B1495" s="5" t="s">
        <v>2282</v>
      </c>
      <c r="C1495" s="19" t="s">
        <v>497</v>
      </c>
      <c r="D1495" s="17">
        <v>2.0</v>
      </c>
      <c r="E1495" s="17">
        <v>195.0</v>
      </c>
      <c r="F1495" s="5">
        <v>230.0</v>
      </c>
      <c r="G1495" s="5">
        <v>230.0</v>
      </c>
      <c r="H1495" s="5">
        <v>460.0</v>
      </c>
      <c r="I1495" s="5">
        <v>70.0</v>
      </c>
      <c r="J1495" s="19" t="s">
        <v>119</v>
      </c>
      <c r="K1495" s="17">
        <v>324.0</v>
      </c>
      <c r="L1495" s="5" t="s">
        <v>4992</v>
      </c>
      <c r="M1495" s="5" t="s">
        <v>2230</v>
      </c>
    </row>
    <row r="1496" ht="22.5" customHeight="1">
      <c r="A1496" s="37">
        <v>46020.92448407407</v>
      </c>
      <c r="B1496" s="5" t="s">
        <v>2282</v>
      </c>
      <c r="C1496" s="19" t="s">
        <v>588</v>
      </c>
      <c r="D1496" s="17">
        <v>1.0</v>
      </c>
      <c r="E1496" s="17">
        <v>115.0</v>
      </c>
      <c r="F1496" s="5">
        <v>140.0</v>
      </c>
      <c r="G1496" s="5">
        <v>140.0</v>
      </c>
      <c r="H1496" s="5">
        <v>140.0</v>
      </c>
      <c r="I1496" s="5">
        <v>25.0</v>
      </c>
      <c r="J1496" s="19" t="s">
        <v>119</v>
      </c>
      <c r="K1496" s="17">
        <v>323.0</v>
      </c>
      <c r="L1496" s="5" t="s">
        <v>4993</v>
      </c>
      <c r="M1496" s="5" t="s">
        <v>2230</v>
      </c>
    </row>
    <row r="1497" ht="22.5" customHeight="1">
      <c r="A1497" s="37">
        <v>46016.84011039352</v>
      </c>
      <c r="B1497" s="5" t="s">
        <v>2282</v>
      </c>
      <c r="C1497" s="19" t="s">
        <v>584</v>
      </c>
      <c r="D1497" s="17">
        <v>2.0</v>
      </c>
      <c r="E1497" s="17">
        <v>5.0</v>
      </c>
      <c r="F1497" s="5">
        <v>10.0</v>
      </c>
      <c r="G1497" s="5">
        <v>10.0</v>
      </c>
      <c r="H1497" s="5">
        <v>20.0</v>
      </c>
      <c r="I1497" s="5">
        <v>10.0</v>
      </c>
      <c r="J1497" s="19" t="s">
        <v>119</v>
      </c>
      <c r="K1497" s="17">
        <v>322.0</v>
      </c>
      <c r="L1497" s="5" t="s">
        <v>4994</v>
      </c>
      <c r="M1497" s="5" t="s">
        <v>2230</v>
      </c>
    </row>
    <row r="1498" ht="22.5" customHeight="1">
      <c r="A1498" s="37">
        <v>46016.46856026621</v>
      </c>
      <c r="B1498" s="5" t="s">
        <v>2282</v>
      </c>
      <c r="C1498" s="19" t="s">
        <v>306</v>
      </c>
      <c r="D1498" s="17">
        <v>1.0</v>
      </c>
      <c r="E1498" s="17">
        <v>12.0</v>
      </c>
      <c r="F1498" s="5">
        <v>25.0</v>
      </c>
      <c r="G1498" s="5">
        <v>25.0</v>
      </c>
      <c r="H1498" s="5">
        <v>25.0</v>
      </c>
      <c r="I1498" s="5">
        <v>13.0</v>
      </c>
      <c r="J1498" s="19" t="s">
        <v>31</v>
      </c>
      <c r="K1498" s="17">
        <v>321.0</v>
      </c>
      <c r="L1498" s="5" t="s">
        <v>4995</v>
      </c>
      <c r="M1498" s="5" t="s">
        <v>2230</v>
      </c>
    </row>
    <row r="1499" ht="22.5" customHeight="1">
      <c r="A1499" s="37">
        <v>46016.468559988425</v>
      </c>
      <c r="B1499" s="5" t="s">
        <v>2282</v>
      </c>
      <c r="C1499" s="19" t="s">
        <v>165</v>
      </c>
      <c r="D1499" s="17">
        <v>1.0</v>
      </c>
      <c r="E1499" s="17">
        <v>89.07</v>
      </c>
      <c r="F1499" s="5">
        <v>120.0</v>
      </c>
      <c r="G1499" s="5">
        <v>120.0</v>
      </c>
      <c r="H1499" s="5">
        <v>120.0</v>
      </c>
      <c r="I1499" s="5">
        <v>30.93</v>
      </c>
      <c r="J1499" s="19" t="s">
        <v>31</v>
      </c>
      <c r="K1499" s="17">
        <v>320.0</v>
      </c>
      <c r="L1499" s="5" t="s">
        <v>4996</v>
      </c>
      <c r="M1499" s="5" t="s">
        <v>2230</v>
      </c>
    </row>
    <row r="1500" ht="22.5" customHeight="1">
      <c r="A1500" s="37">
        <v>46016.46855975695</v>
      </c>
      <c r="B1500" s="5" t="s">
        <v>2282</v>
      </c>
      <c r="C1500" s="19" t="s">
        <v>250</v>
      </c>
      <c r="D1500" s="17">
        <v>1.0</v>
      </c>
      <c r="E1500" s="17">
        <v>145.0</v>
      </c>
      <c r="F1500" s="5">
        <v>190.0</v>
      </c>
      <c r="G1500" s="5">
        <v>190.0</v>
      </c>
      <c r="H1500" s="5">
        <v>190.0</v>
      </c>
      <c r="I1500" s="5">
        <v>45.0</v>
      </c>
      <c r="J1500" s="19" t="s">
        <v>31</v>
      </c>
      <c r="K1500" s="17">
        <v>319.0</v>
      </c>
      <c r="L1500" s="5" t="s">
        <v>4997</v>
      </c>
      <c r="M1500" s="5" t="s">
        <v>2230</v>
      </c>
    </row>
    <row r="1501" ht="22.5" customHeight="1">
      <c r="A1501" s="37">
        <v>46016.46855953704</v>
      </c>
      <c r="B1501" s="5" t="s">
        <v>2282</v>
      </c>
      <c r="C1501" s="19" t="s">
        <v>575</v>
      </c>
      <c r="D1501" s="17">
        <v>1.0</v>
      </c>
      <c r="E1501" s="17">
        <v>4.5</v>
      </c>
      <c r="F1501" s="5">
        <v>10.0</v>
      </c>
      <c r="G1501" s="5">
        <v>10.0</v>
      </c>
      <c r="H1501" s="5">
        <v>10.0</v>
      </c>
      <c r="I1501" s="5">
        <v>5.5</v>
      </c>
      <c r="J1501" s="19" t="s">
        <v>119</v>
      </c>
      <c r="K1501" s="17">
        <v>318.0</v>
      </c>
      <c r="L1501" s="5" t="s">
        <v>4998</v>
      </c>
      <c r="M1501" s="5" t="s">
        <v>2230</v>
      </c>
    </row>
    <row r="1502" ht="22.5" customHeight="1">
      <c r="A1502" s="37">
        <v>46016.468559201385</v>
      </c>
      <c r="B1502" s="5" t="s">
        <v>2282</v>
      </c>
      <c r="C1502" s="19" t="s">
        <v>580</v>
      </c>
      <c r="D1502" s="17">
        <v>1.0</v>
      </c>
      <c r="E1502" s="17">
        <v>43.75</v>
      </c>
      <c r="F1502" s="5">
        <v>75.0</v>
      </c>
      <c r="G1502" s="5">
        <v>75.0</v>
      </c>
      <c r="H1502" s="5">
        <v>75.0</v>
      </c>
      <c r="I1502" s="5">
        <v>31.25</v>
      </c>
      <c r="J1502" s="19" t="s">
        <v>119</v>
      </c>
      <c r="K1502" s="17">
        <v>317.0</v>
      </c>
      <c r="L1502" s="5" t="s">
        <v>4999</v>
      </c>
      <c r="M1502" s="5" t="s">
        <v>2230</v>
      </c>
    </row>
    <row r="1503" ht="22.5" customHeight="1">
      <c r="A1503" s="37">
        <v>46014.81306518518</v>
      </c>
      <c r="B1503" s="5" t="s">
        <v>2282</v>
      </c>
      <c r="C1503" s="19" t="s">
        <v>540</v>
      </c>
      <c r="D1503" s="17">
        <v>2.0</v>
      </c>
      <c r="E1503" s="17">
        <v>11.13</v>
      </c>
      <c r="F1503" s="5">
        <v>20.0</v>
      </c>
      <c r="G1503" s="5">
        <v>20.0</v>
      </c>
      <c r="H1503" s="5">
        <v>40.0</v>
      </c>
      <c r="I1503" s="5">
        <v>17.74</v>
      </c>
      <c r="J1503" s="19" t="s">
        <v>119</v>
      </c>
      <c r="K1503" s="17">
        <v>315.0</v>
      </c>
      <c r="L1503" s="5" t="s">
        <v>5000</v>
      </c>
      <c r="M1503" s="5" t="s">
        <v>2230</v>
      </c>
    </row>
    <row r="1504" ht="22.5" customHeight="1">
      <c r="A1504" s="37">
        <v>46014.81306490741</v>
      </c>
      <c r="B1504" s="5" t="s">
        <v>2282</v>
      </c>
      <c r="C1504" s="19" t="s">
        <v>575</v>
      </c>
      <c r="D1504" s="17">
        <v>3.0</v>
      </c>
      <c r="E1504" s="17">
        <v>4.5</v>
      </c>
      <c r="F1504" s="5">
        <v>10.0</v>
      </c>
      <c r="G1504" s="5">
        <v>10.0</v>
      </c>
      <c r="H1504" s="5">
        <v>30.0</v>
      </c>
      <c r="I1504" s="5">
        <v>16.5</v>
      </c>
      <c r="J1504" s="19" t="s">
        <v>119</v>
      </c>
      <c r="K1504" s="17">
        <v>314.0</v>
      </c>
      <c r="L1504" s="5" t="s">
        <v>5001</v>
      </c>
      <c r="M1504" s="5" t="s">
        <v>2230</v>
      </c>
    </row>
    <row r="1505" ht="22.5" customHeight="1">
      <c r="A1505" s="37">
        <v>46014.813064560185</v>
      </c>
      <c r="B1505" s="5" t="s">
        <v>2282</v>
      </c>
      <c r="C1505" s="19" t="s">
        <v>572</v>
      </c>
      <c r="D1505" s="17">
        <v>1.0</v>
      </c>
      <c r="E1505" s="17">
        <v>4.38</v>
      </c>
      <c r="F1505" s="5">
        <v>10.0</v>
      </c>
      <c r="G1505" s="5">
        <v>10.0</v>
      </c>
      <c r="H1505" s="5">
        <v>10.0</v>
      </c>
      <c r="I1505" s="5">
        <v>5.62</v>
      </c>
      <c r="J1505" s="19" t="s">
        <v>119</v>
      </c>
      <c r="K1505" s="17">
        <v>313.0</v>
      </c>
      <c r="L1505" s="5" t="s">
        <v>5002</v>
      </c>
      <c r="M1505" s="5" t="s">
        <v>2230</v>
      </c>
    </row>
    <row r="1506" ht="22.5" customHeight="1">
      <c r="A1506" s="37">
        <v>46013.783466678244</v>
      </c>
      <c r="B1506" s="5" t="s">
        <v>2282</v>
      </c>
      <c r="C1506" s="19" t="s">
        <v>572</v>
      </c>
      <c r="D1506" s="17">
        <v>2.0</v>
      </c>
      <c r="E1506" s="17">
        <v>4.38</v>
      </c>
      <c r="F1506" s="5">
        <v>10.0</v>
      </c>
      <c r="G1506" s="5">
        <v>10.0</v>
      </c>
      <c r="H1506" s="5">
        <v>20.0</v>
      </c>
      <c r="I1506" s="5">
        <v>11.24</v>
      </c>
      <c r="J1506" s="19" t="s">
        <v>119</v>
      </c>
      <c r="K1506" s="17">
        <v>312.0</v>
      </c>
      <c r="L1506" s="5" t="s">
        <v>5003</v>
      </c>
      <c r="M1506" s="5" t="s">
        <v>2230</v>
      </c>
    </row>
    <row r="1507" ht="22.5" customHeight="1">
      <c r="A1507" s="37">
        <v>46013.78346652778</v>
      </c>
      <c r="B1507" s="5" t="s">
        <v>2282</v>
      </c>
      <c r="C1507" s="19" t="s">
        <v>540</v>
      </c>
      <c r="D1507" s="17">
        <v>4.0</v>
      </c>
      <c r="E1507" s="17">
        <v>11.13</v>
      </c>
      <c r="F1507" s="5">
        <v>20.0</v>
      </c>
      <c r="G1507" s="5">
        <v>20.0</v>
      </c>
      <c r="H1507" s="5">
        <v>80.0</v>
      </c>
      <c r="I1507" s="5">
        <v>35.48</v>
      </c>
      <c r="J1507" s="19" t="s">
        <v>119</v>
      </c>
      <c r="K1507" s="17">
        <v>311.0</v>
      </c>
      <c r="L1507" s="5" t="s">
        <v>5004</v>
      </c>
      <c r="M1507" s="5" t="s">
        <v>2230</v>
      </c>
    </row>
    <row r="1508" ht="22.5" customHeight="1">
      <c r="A1508" s="37">
        <v>46013.78346633102</v>
      </c>
      <c r="B1508" s="5" t="s">
        <v>2282</v>
      </c>
      <c r="C1508" s="19" t="s">
        <v>567</v>
      </c>
      <c r="D1508" s="17">
        <v>1.0</v>
      </c>
      <c r="E1508" s="17">
        <v>51.0</v>
      </c>
      <c r="F1508" s="5">
        <v>70.0</v>
      </c>
      <c r="G1508" s="5">
        <v>70.0</v>
      </c>
      <c r="H1508" s="5">
        <v>70.0</v>
      </c>
      <c r="I1508" s="5">
        <v>19.0</v>
      </c>
      <c r="J1508" s="19" t="s">
        <v>119</v>
      </c>
      <c r="K1508" s="17">
        <v>310.0</v>
      </c>
      <c r="L1508" s="5" t="s">
        <v>5005</v>
      </c>
      <c r="M1508" s="5" t="s">
        <v>2230</v>
      </c>
    </row>
    <row r="1509" ht="22.5" customHeight="1">
      <c r="A1509" s="37">
        <v>46011.92672607639</v>
      </c>
      <c r="B1509" s="5" t="s">
        <v>2282</v>
      </c>
      <c r="C1509" s="19" t="s">
        <v>268</v>
      </c>
      <c r="D1509" s="17">
        <v>1.0</v>
      </c>
      <c r="E1509" s="17">
        <v>170.0</v>
      </c>
      <c r="F1509" s="5">
        <v>200.0</v>
      </c>
      <c r="G1509" s="5">
        <v>200.0</v>
      </c>
      <c r="H1509" s="5">
        <v>200.0</v>
      </c>
      <c r="I1509" s="5">
        <v>30.0</v>
      </c>
      <c r="J1509" s="19" t="s">
        <v>581</v>
      </c>
      <c r="K1509" s="17">
        <v>309.0</v>
      </c>
      <c r="L1509" s="5" t="s">
        <v>5006</v>
      </c>
      <c r="M1509" s="5" t="s">
        <v>2230</v>
      </c>
    </row>
    <row r="1510" ht="22.5" customHeight="1">
      <c r="A1510" s="37">
        <v>46011.92672577546</v>
      </c>
      <c r="B1510" s="5" t="s">
        <v>2282</v>
      </c>
      <c r="C1510" s="19" t="s">
        <v>297</v>
      </c>
      <c r="D1510" s="17">
        <v>0.5</v>
      </c>
      <c r="E1510" s="17">
        <v>30.0</v>
      </c>
      <c r="F1510" s="5">
        <v>40.0</v>
      </c>
      <c r="G1510" s="5">
        <v>40.0</v>
      </c>
      <c r="H1510" s="5">
        <v>20.0</v>
      </c>
      <c r="I1510" s="5">
        <v>5.0</v>
      </c>
      <c r="J1510" s="19" t="s">
        <v>31</v>
      </c>
      <c r="K1510" s="17">
        <v>308.0</v>
      </c>
      <c r="L1510" s="5" t="s">
        <v>5007</v>
      </c>
      <c r="M1510" s="5" t="s">
        <v>2230</v>
      </c>
    </row>
    <row r="1511" ht="22.5" customHeight="1">
      <c r="A1511" s="37">
        <v>46011.92672546297</v>
      </c>
      <c r="B1511" s="5" t="s">
        <v>2282</v>
      </c>
      <c r="C1511" s="19" t="s">
        <v>255</v>
      </c>
      <c r="D1511" s="17">
        <v>1.0</v>
      </c>
      <c r="E1511" s="17">
        <v>35.0</v>
      </c>
      <c r="F1511" s="5">
        <v>40.0</v>
      </c>
      <c r="G1511" s="5">
        <v>40.0</v>
      </c>
      <c r="H1511" s="5">
        <v>40.0</v>
      </c>
      <c r="I1511" s="5">
        <v>5.0</v>
      </c>
      <c r="J1511" s="19" t="s">
        <v>31</v>
      </c>
      <c r="K1511" s="17">
        <v>307.0</v>
      </c>
      <c r="L1511" s="5" t="s">
        <v>5009</v>
      </c>
      <c r="M1511" s="5" t="s">
        <v>2230</v>
      </c>
    </row>
    <row r="1512" ht="22.5" customHeight="1">
      <c r="A1512" s="37">
        <v>46011.92672516203</v>
      </c>
      <c r="B1512" s="5" t="s">
        <v>2282</v>
      </c>
      <c r="C1512" s="19" t="s">
        <v>364</v>
      </c>
      <c r="D1512" s="17">
        <v>1.0</v>
      </c>
      <c r="E1512" s="17">
        <v>115.0</v>
      </c>
      <c r="F1512" s="5">
        <v>140.0</v>
      </c>
      <c r="G1512" s="5">
        <v>140.0</v>
      </c>
      <c r="H1512" s="5">
        <v>140.0</v>
      </c>
      <c r="I1512" s="5">
        <v>25.0</v>
      </c>
      <c r="J1512" s="19" t="s">
        <v>31</v>
      </c>
      <c r="K1512" s="17">
        <v>306.0</v>
      </c>
      <c r="L1512" s="5" t="s">
        <v>5012</v>
      </c>
      <c r="M1512" s="5" t="s">
        <v>2230</v>
      </c>
    </row>
    <row r="1513" ht="22.5" customHeight="1">
      <c r="A1513" s="37">
        <v>46011.92672482639</v>
      </c>
      <c r="B1513" s="5" t="s">
        <v>2282</v>
      </c>
      <c r="C1513" s="19" t="s">
        <v>401</v>
      </c>
      <c r="D1513" s="17">
        <v>1.0</v>
      </c>
      <c r="E1513" s="17">
        <v>195.0</v>
      </c>
      <c r="F1513" s="5">
        <v>200.0</v>
      </c>
      <c r="G1513" s="5">
        <v>200.0</v>
      </c>
      <c r="H1513" s="5">
        <v>200.0</v>
      </c>
      <c r="I1513" s="5">
        <v>5.0</v>
      </c>
      <c r="J1513" s="19" t="s">
        <v>31</v>
      </c>
      <c r="K1513" s="17">
        <v>305.0</v>
      </c>
      <c r="L1513" s="5" t="s">
        <v>5013</v>
      </c>
      <c r="M1513" s="5" t="s">
        <v>2230</v>
      </c>
    </row>
    <row r="1514" ht="22.5" customHeight="1">
      <c r="A1514" s="37">
        <v>46009.915401273145</v>
      </c>
      <c r="B1514" s="5" t="s">
        <v>2282</v>
      </c>
      <c r="C1514" s="19" t="s">
        <v>172</v>
      </c>
      <c r="D1514" s="17">
        <v>2.0</v>
      </c>
      <c r="E1514" s="17">
        <v>28.2</v>
      </c>
      <c r="F1514" s="17">
        <v>40.0</v>
      </c>
      <c r="G1514" s="5">
        <v>40.0</v>
      </c>
      <c r="H1514" s="5">
        <v>80.0</v>
      </c>
      <c r="I1514" s="5">
        <v>23.6</v>
      </c>
      <c r="J1514" s="19" t="s">
        <v>31</v>
      </c>
      <c r="K1514" s="17">
        <v>304.0</v>
      </c>
      <c r="L1514" s="5" t="s">
        <v>5014</v>
      </c>
      <c r="M1514" s="5" t="s">
        <v>2230</v>
      </c>
    </row>
    <row r="1515" ht="22.5" customHeight="1">
      <c r="A1515" s="37">
        <v>46009.91540091435</v>
      </c>
      <c r="B1515" s="5" t="s">
        <v>2282</v>
      </c>
      <c r="C1515" s="19" t="s">
        <v>558</v>
      </c>
      <c r="D1515" s="17">
        <v>3.0</v>
      </c>
      <c r="E1515" s="17">
        <v>125.0</v>
      </c>
      <c r="F1515" s="17">
        <v>150.0</v>
      </c>
      <c r="G1515" s="5">
        <v>150.0</v>
      </c>
      <c r="H1515" s="5">
        <v>450.0</v>
      </c>
      <c r="I1515" s="5">
        <v>75.0</v>
      </c>
      <c r="J1515" s="19" t="s">
        <v>119</v>
      </c>
      <c r="K1515" s="17">
        <v>303.0</v>
      </c>
      <c r="L1515" s="5" t="s">
        <v>5015</v>
      </c>
      <c r="M1515" s="5" t="s">
        <v>2230</v>
      </c>
    </row>
    <row r="1516" ht="22.5" customHeight="1">
      <c r="A1516" s="37">
        <v>46009.9154005787</v>
      </c>
      <c r="B1516" s="5" t="s">
        <v>2282</v>
      </c>
      <c r="C1516" s="19" t="s">
        <v>555</v>
      </c>
      <c r="D1516" s="17">
        <v>1.0</v>
      </c>
      <c r="E1516" s="17">
        <v>151.0</v>
      </c>
      <c r="F1516" s="17">
        <v>180.0</v>
      </c>
      <c r="G1516" s="5">
        <v>180.0</v>
      </c>
      <c r="H1516" s="5">
        <v>180.0</v>
      </c>
      <c r="I1516" s="5">
        <v>29.0</v>
      </c>
      <c r="J1516" s="19" t="s">
        <v>119</v>
      </c>
      <c r="K1516" s="17">
        <v>302.0</v>
      </c>
      <c r="L1516" s="5" t="s">
        <v>5016</v>
      </c>
      <c r="M1516" s="5" t="s">
        <v>2230</v>
      </c>
    </row>
    <row r="1517" ht="22.5" customHeight="1">
      <c r="A1517" s="37">
        <v>46009.88340172454</v>
      </c>
      <c r="B1517" s="5" t="s">
        <v>2282</v>
      </c>
      <c r="C1517" s="19" t="s">
        <v>172</v>
      </c>
      <c r="D1517" s="17">
        <v>1.0</v>
      </c>
      <c r="E1517" s="17">
        <v>28.2</v>
      </c>
      <c r="F1517" s="17">
        <v>40.0</v>
      </c>
      <c r="G1517" s="5">
        <v>40.0</v>
      </c>
      <c r="H1517" s="5">
        <v>40.0</v>
      </c>
      <c r="I1517" s="5">
        <v>11.8</v>
      </c>
      <c r="J1517" s="19" t="s">
        <v>31</v>
      </c>
      <c r="K1517" s="17">
        <v>301.0</v>
      </c>
      <c r="L1517" s="5" t="s">
        <v>5017</v>
      </c>
      <c r="M1517" s="5" t="s">
        <v>2230</v>
      </c>
    </row>
    <row r="1518" ht="22.5" customHeight="1">
      <c r="A1518" s="37">
        <v>46009.8828071412</v>
      </c>
      <c r="B1518" s="5" t="s">
        <v>2282</v>
      </c>
      <c r="C1518" s="19" t="s">
        <v>172</v>
      </c>
      <c r="D1518" s="17">
        <v>1.0</v>
      </c>
      <c r="E1518" s="17">
        <v>28.2</v>
      </c>
      <c r="F1518" s="17">
        <v>40.0</v>
      </c>
      <c r="G1518" s="5">
        <v>40.0</v>
      </c>
      <c r="H1518" s="5">
        <v>40.0</v>
      </c>
      <c r="I1518" s="5">
        <v>11.8</v>
      </c>
      <c r="J1518" s="19" t="s">
        <v>31</v>
      </c>
      <c r="K1518" s="17">
        <v>300.0</v>
      </c>
      <c r="L1518" s="5" t="s">
        <v>5019</v>
      </c>
      <c r="M1518" s="5" t="s">
        <v>2230</v>
      </c>
    </row>
    <row r="1519" ht="22.5" customHeight="1">
      <c r="A1519" s="37">
        <v>46009.881875</v>
      </c>
      <c r="B1519" s="5" t="s">
        <v>2282</v>
      </c>
      <c r="C1519" s="19" t="s">
        <v>505</v>
      </c>
      <c r="D1519" s="17">
        <v>1.0</v>
      </c>
      <c r="E1519" s="17">
        <v>165.0</v>
      </c>
      <c r="F1519" s="17">
        <v>175.0</v>
      </c>
      <c r="G1519" s="5">
        <v>175.0</v>
      </c>
      <c r="H1519" s="5">
        <v>175.0</v>
      </c>
      <c r="I1519" s="5">
        <v>10.0</v>
      </c>
      <c r="J1519" s="19" t="s">
        <v>576</v>
      </c>
      <c r="K1519" s="17">
        <v>299.0</v>
      </c>
      <c r="L1519" s="5" t="s">
        <v>5020</v>
      </c>
      <c r="M1519" s="5" t="s">
        <v>2230</v>
      </c>
    </row>
    <row r="1520" ht="22.5" customHeight="1">
      <c r="A1520" s="37">
        <v>46009.88187466435</v>
      </c>
      <c r="B1520" s="5" t="s">
        <v>2282</v>
      </c>
      <c r="C1520" s="19" t="s">
        <v>540</v>
      </c>
      <c r="D1520" s="17">
        <v>1.0</v>
      </c>
      <c r="E1520" s="17">
        <v>11.13</v>
      </c>
      <c r="F1520" s="17">
        <v>20.0</v>
      </c>
      <c r="G1520" s="5">
        <v>20.0</v>
      </c>
      <c r="H1520" s="5">
        <v>20.0</v>
      </c>
      <c r="I1520" s="5">
        <v>8.87</v>
      </c>
      <c r="J1520" s="19" t="s">
        <v>119</v>
      </c>
      <c r="K1520" s="17">
        <v>298.0</v>
      </c>
      <c r="L1520" s="5" t="s">
        <v>5021</v>
      </c>
      <c r="M1520" s="5" t="s">
        <v>2230</v>
      </c>
    </row>
    <row r="1521" ht="22.5" customHeight="1">
      <c r="A1521" s="37">
        <v>46009.881874375</v>
      </c>
      <c r="B1521" s="5" t="s">
        <v>2282</v>
      </c>
      <c r="C1521" s="19" t="s">
        <v>172</v>
      </c>
      <c r="D1521" s="17">
        <v>2.0</v>
      </c>
      <c r="E1521" s="17">
        <v>28.2</v>
      </c>
      <c r="F1521" s="17">
        <v>40.0</v>
      </c>
      <c r="G1521" s="5">
        <v>40.0</v>
      </c>
      <c r="H1521" s="5">
        <v>80.0</v>
      </c>
      <c r="I1521" s="5">
        <v>23.6</v>
      </c>
      <c r="J1521" s="19" t="s">
        <v>31</v>
      </c>
      <c r="K1521" s="17">
        <v>297.0</v>
      </c>
      <c r="L1521" s="5" t="s">
        <v>5022</v>
      </c>
      <c r="M1521" s="5" t="s">
        <v>2230</v>
      </c>
    </row>
    <row r="1522" ht="22.5" customHeight="1">
      <c r="A1522" s="37">
        <v>46008.856955787036</v>
      </c>
      <c r="B1522" s="5" t="s">
        <v>2282</v>
      </c>
      <c r="C1522" s="19" t="s">
        <v>540</v>
      </c>
      <c r="D1522" s="17">
        <v>1.0</v>
      </c>
      <c r="E1522" s="17">
        <v>11.13</v>
      </c>
      <c r="F1522" s="17">
        <v>20.0</v>
      </c>
      <c r="G1522" s="5">
        <v>20.0</v>
      </c>
      <c r="H1522" s="5">
        <v>20.0</v>
      </c>
      <c r="I1522" s="5">
        <v>8.87</v>
      </c>
      <c r="J1522" s="19" t="s">
        <v>119</v>
      </c>
      <c r="K1522" s="17">
        <v>296.0</v>
      </c>
      <c r="L1522" s="5" t="s">
        <v>5023</v>
      </c>
      <c r="M1522" s="5" t="s">
        <v>2230</v>
      </c>
    </row>
    <row r="1523" ht="22.5" customHeight="1">
      <c r="A1523" s="37">
        <v>46008.85695552084</v>
      </c>
      <c r="B1523" s="5" t="s">
        <v>2282</v>
      </c>
      <c r="C1523" s="19" t="s">
        <v>172</v>
      </c>
      <c r="D1523" s="17">
        <v>1.0</v>
      </c>
      <c r="E1523" s="17">
        <v>28.2</v>
      </c>
      <c r="F1523" s="17">
        <v>40.0</v>
      </c>
      <c r="G1523" s="5">
        <v>40.0</v>
      </c>
      <c r="H1523" s="5">
        <v>40.0</v>
      </c>
      <c r="I1523" s="5">
        <v>11.8</v>
      </c>
      <c r="J1523" s="19" t="s">
        <v>31</v>
      </c>
      <c r="K1523" s="17">
        <v>295.0</v>
      </c>
      <c r="L1523" s="5" t="s">
        <v>5024</v>
      </c>
      <c r="M1523" s="5" t="s">
        <v>2230</v>
      </c>
    </row>
    <row r="1524" ht="22.5" customHeight="1">
      <c r="A1524" s="37">
        <v>46008.856955254625</v>
      </c>
      <c r="B1524" s="5" t="s">
        <v>2282</v>
      </c>
      <c r="C1524" s="19" t="s">
        <v>235</v>
      </c>
      <c r="D1524" s="17">
        <v>1.0</v>
      </c>
      <c r="E1524" s="17">
        <v>75.0</v>
      </c>
      <c r="F1524" s="17">
        <v>90.0</v>
      </c>
      <c r="G1524" s="5">
        <v>90.0</v>
      </c>
      <c r="H1524" s="5">
        <v>90.0</v>
      </c>
      <c r="I1524" s="5">
        <v>15.0</v>
      </c>
      <c r="J1524" s="19" t="s">
        <v>31</v>
      </c>
      <c r="K1524" s="17">
        <v>294.0</v>
      </c>
      <c r="L1524" s="5" t="s">
        <v>5028</v>
      </c>
      <c r="M1524" s="5" t="s">
        <v>2230</v>
      </c>
    </row>
    <row r="1525" ht="22.5" customHeight="1">
      <c r="A1525" s="37">
        <v>46008.856954999996</v>
      </c>
      <c r="B1525" s="5" t="s">
        <v>2282</v>
      </c>
      <c r="C1525" s="19" t="s">
        <v>255</v>
      </c>
      <c r="D1525" s="17">
        <v>1.0</v>
      </c>
      <c r="E1525" s="17">
        <v>35.0</v>
      </c>
      <c r="F1525" s="17">
        <v>50.0</v>
      </c>
      <c r="G1525" s="5">
        <v>50.0</v>
      </c>
      <c r="H1525" s="5">
        <v>50.0</v>
      </c>
      <c r="I1525" s="5">
        <v>15.0</v>
      </c>
      <c r="J1525" s="19" t="s">
        <v>31</v>
      </c>
      <c r="K1525" s="17">
        <v>293.0</v>
      </c>
      <c r="L1525" s="5" t="s">
        <v>5029</v>
      </c>
      <c r="M1525" s="5" t="s">
        <v>2230</v>
      </c>
    </row>
    <row r="1526" ht="22.5" customHeight="1">
      <c r="A1526" s="37">
        <v>46008.8569547338</v>
      </c>
      <c r="B1526" s="5" t="s">
        <v>2282</v>
      </c>
      <c r="C1526" s="19" t="s">
        <v>467</v>
      </c>
      <c r="D1526" s="17">
        <v>1.0</v>
      </c>
      <c r="E1526" s="17">
        <v>105.0</v>
      </c>
      <c r="F1526" s="17">
        <v>125.0</v>
      </c>
      <c r="G1526" s="5">
        <v>125.0</v>
      </c>
      <c r="H1526" s="5">
        <v>125.0</v>
      </c>
      <c r="I1526" s="5">
        <v>20.0</v>
      </c>
      <c r="J1526" s="19" t="s">
        <v>31</v>
      </c>
      <c r="K1526" s="17">
        <v>292.0</v>
      </c>
      <c r="L1526" s="5" t="s">
        <v>5030</v>
      </c>
      <c r="M1526" s="5" t="s">
        <v>2230</v>
      </c>
    </row>
    <row r="1527" ht="22.5" customHeight="1">
      <c r="A1527" s="37">
        <v>46008.856954375005</v>
      </c>
      <c r="B1527" s="5" t="s">
        <v>2282</v>
      </c>
      <c r="C1527" s="19" t="s">
        <v>392</v>
      </c>
      <c r="D1527" s="17">
        <v>1.0</v>
      </c>
      <c r="E1527" s="17">
        <v>65.0</v>
      </c>
      <c r="F1527" s="17">
        <v>95.0</v>
      </c>
      <c r="G1527" s="5">
        <v>95.0</v>
      </c>
      <c r="H1527" s="5">
        <v>95.0</v>
      </c>
      <c r="I1527" s="5">
        <v>30.0</v>
      </c>
      <c r="J1527" s="19" t="s">
        <v>31</v>
      </c>
      <c r="K1527" s="17">
        <v>291.0</v>
      </c>
      <c r="L1527" s="5" t="s">
        <v>5031</v>
      </c>
      <c r="M1527" s="5" t="s">
        <v>2230</v>
      </c>
    </row>
    <row r="1528" ht="22.5" customHeight="1">
      <c r="A1528" s="37">
        <v>46008.85695402778</v>
      </c>
      <c r="B1528" s="5" t="s">
        <v>2282</v>
      </c>
      <c r="C1528" s="19" t="s">
        <v>302</v>
      </c>
      <c r="D1528" s="17">
        <v>5.0</v>
      </c>
      <c r="E1528" s="17">
        <v>18.0</v>
      </c>
      <c r="F1528" s="17">
        <v>25.0</v>
      </c>
      <c r="G1528" s="5">
        <v>25.0</v>
      </c>
      <c r="H1528" s="5">
        <v>125.0</v>
      </c>
      <c r="I1528" s="5">
        <v>35.0</v>
      </c>
      <c r="J1528" s="19" t="s">
        <v>31</v>
      </c>
      <c r="K1528" s="17">
        <v>290.0</v>
      </c>
      <c r="L1528" s="5" t="s">
        <v>5032</v>
      </c>
      <c r="M1528" s="5" t="s">
        <v>2230</v>
      </c>
    </row>
    <row r="1529" ht="22.5" customHeight="1">
      <c r="A1529" s="37">
        <v>46008.85695366898</v>
      </c>
      <c r="B1529" s="5" t="s">
        <v>2282</v>
      </c>
      <c r="C1529" s="19" t="s">
        <v>302</v>
      </c>
      <c r="D1529" s="17">
        <v>3.0</v>
      </c>
      <c r="E1529" s="17">
        <v>18.0</v>
      </c>
      <c r="F1529" s="17">
        <v>25.0</v>
      </c>
      <c r="G1529" s="5">
        <v>25.0</v>
      </c>
      <c r="H1529" s="5">
        <v>75.0</v>
      </c>
      <c r="I1529" s="5">
        <v>21.0</v>
      </c>
      <c r="J1529" s="19" t="s">
        <v>31</v>
      </c>
      <c r="K1529" s="17">
        <v>289.0</v>
      </c>
      <c r="L1529" s="5" t="s">
        <v>5033</v>
      </c>
      <c r="M1529" s="5" t="s">
        <v>2230</v>
      </c>
    </row>
    <row r="1530" ht="22.5" customHeight="1">
      <c r="A1530" s="37">
        <v>46006.85612384259</v>
      </c>
      <c r="B1530" s="5" t="s">
        <v>2282</v>
      </c>
      <c r="C1530" s="19" t="s">
        <v>452</v>
      </c>
      <c r="D1530" s="17">
        <v>3.0</v>
      </c>
      <c r="E1530" s="17">
        <v>16.0</v>
      </c>
      <c r="F1530" s="17">
        <v>20.0</v>
      </c>
      <c r="G1530" s="5">
        <v>20.0</v>
      </c>
      <c r="H1530" s="5">
        <v>60.0</v>
      </c>
      <c r="I1530" s="5">
        <v>12.0</v>
      </c>
      <c r="J1530" s="19" t="s">
        <v>31</v>
      </c>
      <c r="K1530" s="17">
        <v>288.0</v>
      </c>
      <c r="L1530" s="5" t="s">
        <v>5034</v>
      </c>
      <c r="M1530" s="5" t="s">
        <v>2230</v>
      </c>
    </row>
    <row r="1531" ht="22.5" customHeight="1">
      <c r="A1531" s="37">
        <v>46006.85612351852</v>
      </c>
      <c r="B1531" s="5" t="s">
        <v>2282</v>
      </c>
      <c r="C1531" s="19" t="s">
        <v>172</v>
      </c>
      <c r="D1531" s="17">
        <v>1.0</v>
      </c>
      <c r="E1531" s="17">
        <v>28.2</v>
      </c>
      <c r="F1531" s="17">
        <v>40.0</v>
      </c>
      <c r="G1531" s="5">
        <v>40.0</v>
      </c>
      <c r="H1531" s="5">
        <v>40.0</v>
      </c>
      <c r="I1531" s="5">
        <v>11.8</v>
      </c>
      <c r="J1531" s="19" t="s">
        <v>31</v>
      </c>
      <c r="K1531" s="17">
        <v>287.0</v>
      </c>
      <c r="L1531" s="5" t="s">
        <v>5035</v>
      </c>
      <c r="M1531" s="5" t="s">
        <v>2230</v>
      </c>
    </row>
    <row r="1532" ht="22.5" customHeight="1">
      <c r="A1532" s="37">
        <v>46006.85612321759</v>
      </c>
      <c r="B1532" s="5" t="s">
        <v>2282</v>
      </c>
      <c r="C1532" s="19" t="s">
        <v>540</v>
      </c>
      <c r="D1532" s="17">
        <v>1.0</v>
      </c>
      <c r="E1532" s="17">
        <v>11.13</v>
      </c>
      <c r="F1532" s="17">
        <v>20.0</v>
      </c>
      <c r="G1532" s="5">
        <v>20.0</v>
      </c>
      <c r="H1532" s="5">
        <v>20.0</v>
      </c>
      <c r="I1532" s="5">
        <v>8.87</v>
      </c>
      <c r="J1532" s="19" t="s">
        <v>119</v>
      </c>
      <c r="K1532" s="17">
        <v>286.0</v>
      </c>
      <c r="L1532" s="5" t="s">
        <v>5036</v>
      </c>
      <c r="M1532" s="5" t="s">
        <v>2230</v>
      </c>
    </row>
    <row r="1533" ht="22.5" customHeight="1">
      <c r="A1533" s="37">
        <v>46006.85612282407</v>
      </c>
      <c r="B1533" s="5" t="s">
        <v>2282</v>
      </c>
      <c r="C1533" s="19" t="s">
        <v>549</v>
      </c>
      <c r="D1533" s="17">
        <v>1.0</v>
      </c>
      <c r="E1533" s="17">
        <v>17.5</v>
      </c>
      <c r="F1533" s="17">
        <v>20.0</v>
      </c>
      <c r="G1533" s="5">
        <v>20.0</v>
      </c>
      <c r="H1533" s="5">
        <v>20.0</v>
      </c>
      <c r="I1533" s="5">
        <v>2.5</v>
      </c>
      <c r="J1533" s="19" t="s">
        <v>119</v>
      </c>
      <c r="K1533" s="17">
        <v>285.0</v>
      </c>
      <c r="L1533" s="5" t="s">
        <v>5037</v>
      </c>
      <c r="M1533" s="5" t="s">
        <v>2230</v>
      </c>
    </row>
    <row r="1534" ht="22.5" customHeight="1">
      <c r="A1534" s="37">
        <v>46006.8561225</v>
      </c>
      <c r="B1534" s="5" t="s">
        <v>2282</v>
      </c>
      <c r="C1534" s="19" t="s">
        <v>552</v>
      </c>
      <c r="D1534" s="17">
        <v>1.0</v>
      </c>
      <c r="E1534" s="17">
        <v>134.0</v>
      </c>
      <c r="F1534" s="17">
        <v>160.0</v>
      </c>
      <c r="G1534" s="5">
        <v>160.0</v>
      </c>
      <c r="H1534" s="5">
        <v>160.0</v>
      </c>
      <c r="I1534" s="5">
        <v>26.0</v>
      </c>
      <c r="J1534" s="19" t="s">
        <v>119</v>
      </c>
      <c r="K1534" s="17">
        <v>284.0</v>
      </c>
      <c r="L1534" s="5" t="s">
        <v>5038</v>
      </c>
      <c r="M1534" s="5" t="s">
        <v>2230</v>
      </c>
    </row>
    <row r="1535" ht="22.5" customHeight="1">
      <c r="A1535" s="37">
        <v>46006.6982431713</v>
      </c>
      <c r="B1535" s="5" t="s">
        <v>2282</v>
      </c>
      <c r="C1535" s="19" t="s">
        <v>536</v>
      </c>
      <c r="D1535" s="17">
        <v>3.0</v>
      </c>
      <c r="E1535" s="17">
        <v>11.25</v>
      </c>
      <c r="F1535" s="17">
        <v>20.0</v>
      </c>
      <c r="G1535" s="5">
        <v>20.0</v>
      </c>
      <c r="H1535" s="5">
        <v>60.0</v>
      </c>
      <c r="I1535" s="5">
        <v>26.25</v>
      </c>
      <c r="J1535" s="19" t="s">
        <v>119</v>
      </c>
      <c r="K1535" s="17">
        <v>283.0</v>
      </c>
      <c r="L1535" s="5" t="s">
        <v>5039</v>
      </c>
      <c r="M1535" s="5" t="s">
        <v>2230</v>
      </c>
    </row>
    <row r="1536" ht="22.5" customHeight="1">
      <c r="A1536" s="37">
        <v>46006.69824269676</v>
      </c>
      <c r="B1536" s="5" t="s">
        <v>2282</v>
      </c>
      <c r="C1536" s="19" t="s">
        <v>549</v>
      </c>
      <c r="D1536" s="17">
        <v>1.0</v>
      </c>
      <c r="E1536" s="17">
        <v>17.5</v>
      </c>
      <c r="F1536" s="17">
        <v>20.0</v>
      </c>
      <c r="G1536" s="5">
        <v>20.0</v>
      </c>
      <c r="H1536" s="5">
        <v>20.0</v>
      </c>
      <c r="I1536" s="5">
        <v>2.5</v>
      </c>
      <c r="J1536" s="19" t="s">
        <v>119</v>
      </c>
      <c r="K1536" s="17">
        <v>282.0</v>
      </c>
      <c r="L1536" s="5" t="s">
        <v>5040</v>
      </c>
      <c r="M1536" s="5" t="s">
        <v>2230</v>
      </c>
    </row>
    <row r="1537" ht="22.5" customHeight="1">
      <c r="A1537" s="37">
        <v>46005.85389212963</v>
      </c>
      <c r="B1537" s="5" t="s">
        <v>2282</v>
      </c>
      <c r="C1537" s="19" t="s">
        <v>545</v>
      </c>
      <c r="D1537" s="17">
        <v>1.0</v>
      </c>
      <c r="E1537" s="17">
        <v>85.0</v>
      </c>
      <c r="F1537" s="17">
        <v>130.0</v>
      </c>
      <c r="G1537" s="5">
        <v>130.0</v>
      </c>
      <c r="H1537" s="5">
        <v>130.0</v>
      </c>
      <c r="I1537" s="5">
        <v>45.0</v>
      </c>
      <c r="J1537" s="19" t="s">
        <v>914</v>
      </c>
      <c r="K1537" s="17">
        <v>280.0</v>
      </c>
      <c r="L1537" s="5" t="s">
        <v>5041</v>
      </c>
      <c r="M1537" s="5" t="s">
        <v>2230</v>
      </c>
    </row>
    <row r="1538" ht="22.5" customHeight="1">
      <c r="A1538" s="37">
        <v>46005.85306879629</v>
      </c>
      <c r="B1538" s="5" t="s">
        <v>2282</v>
      </c>
      <c r="C1538" s="19" t="s">
        <v>547</v>
      </c>
      <c r="D1538" s="17">
        <v>1.0</v>
      </c>
      <c r="E1538" s="17">
        <v>135.0</v>
      </c>
      <c r="F1538" s="17">
        <v>165.0</v>
      </c>
      <c r="G1538" s="5">
        <v>165.0</v>
      </c>
      <c r="H1538" s="5">
        <v>165.0</v>
      </c>
      <c r="I1538" s="5">
        <v>30.0</v>
      </c>
      <c r="J1538" s="19" t="s">
        <v>119</v>
      </c>
      <c r="K1538" s="17">
        <v>281.0</v>
      </c>
      <c r="L1538" s="5" t="s">
        <v>5042</v>
      </c>
      <c r="M1538" s="5" t="s">
        <v>2230</v>
      </c>
    </row>
    <row r="1539" ht="22.5" customHeight="1">
      <c r="A1539" s="37">
        <v>46005.85306851852</v>
      </c>
      <c r="B1539" s="5" t="s">
        <v>2282</v>
      </c>
      <c r="C1539" s="19" t="s">
        <v>210</v>
      </c>
      <c r="D1539" s="17">
        <v>1.0</v>
      </c>
      <c r="E1539" s="17">
        <v>130.0</v>
      </c>
      <c r="F1539" s="17">
        <v>165.0</v>
      </c>
      <c r="G1539" s="5">
        <v>165.0</v>
      </c>
      <c r="H1539" s="5">
        <v>165.0</v>
      </c>
      <c r="I1539" s="5">
        <v>35.0</v>
      </c>
      <c r="J1539" s="19" t="s">
        <v>31</v>
      </c>
      <c r="K1539" s="17">
        <v>279.0</v>
      </c>
      <c r="L1539" s="5" t="s">
        <v>5043</v>
      </c>
      <c r="M1539" s="5" t="s">
        <v>2230</v>
      </c>
    </row>
    <row r="1540" ht="22.5" customHeight="1">
      <c r="A1540" s="37">
        <v>46005.85306822917</v>
      </c>
      <c r="B1540" s="5" t="s">
        <v>2282</v>
      </c>
      <c r="C1540" s="19" t="s">
        <v>165</v>
      </c>
      <c r="D1540" s="17">
        <v>1.0</v>
      </c>
      <c r="E1540" s="17">
        <v>89.07</v>
      </c>
      <c r="F1540" s="17">
        <v>165.0</v>
      </c>
      <c r="G1540" s="5">
        <v>165.0</v>
      </c>
      <c r="H1540" s="5">
        <v>165.0</v>
      </c>
      <c r="I1540" s="5">
        <v>75.93</v>
      </c>
      <c r="J1540" s="19" t="s">
        <v>31</v>
      </c>
      <c r="K1540" s="17">
        <v>278.0</v>
      </c>
      <c r="L1540" s="5" t="s">
        <v>5044</v>
      </c>
      <c r="M1540" s="5" t="s">
        <v>2230</v>
      </c>
    </row>
    <row r="1541" ht="22.5" customHeight="1">
      <c r="A1541" s="37">
        <v>46005.85306796296</v>
      </c>
      <c r="B1541" s="5" t="s">
        <v>2282</v>
      </c>
      <c r="C1541" s="19" t="s">
        <v>83</v>
      </c>
      <c r="D1541" s="17">
        <v>1.0</v>
      </c>
      <c r="E1541" s="17">
        <v>175.0</v>
      </c>
      <c r="F1541" s="17">
        <v>210.0</v>
      </c>
      <c r="G1541" s="5">
        <v>210.0</v>
      </c>
      <c r="H1541" s="5">
        <v>210.0</v>
      </c>
      <c r="I1541" s="5">
        <v>35.0</v>
      </c>
      <c r="J1541" s="19" t="s">
        <v>31</v>
      </c>
      <c r="K1541" s="17">
        <v>277.0</v>
      </c>
      <c r="L1541" s="5" t="s">
        <v>5045</v>
      </c>
      <c r="M1541" s="5" t="s">
        <v>2230</v>
      </c>
    </row>
    <row r="1542" ht="22.5" customHeight="1">
      <c r="A1542" s="37">
        <v>46005.85306775463</v>
      </c>
      <c r="B1542" s="5" t="s">
        <v>2282</v>
      </c>
      <c r="C1542" s="19" t="s">
        <v>540</v>
      </c>
      <c r="D1542" s="17">
        <v>3.0</v>
      </c>
      <c r="E1542" s="17">
        <v>11.13</v>
      </c>
      <c r="F1542" s="17">
        <v>20.0</v>
      </c>
      <c r="G1542" s="5">
        <v>20.0</v>
      </c>
      <c r="H1542" s="5">
        <v>60.0</v>
      </c>
      <c r="I1542" s="5">
        <v>26.61</v>
      </c>
      <c r="J1542" s="19" t="s">
        <v>119</v>
      </c>
      <c r="K1542" s="17">
        <v>276.0</v>
      </c>
      <c r="L1542" s="5" t="s">
        <v>5046</v>
      </c>
      <c r="M1542" s="5" t="s">
        <v>2230</v>
      </c>
    </row>
    <row r="1543" ht="22.5" customHeight="1">
      <c r="A1543" s="37">
        <v>46005.85306756945</v>
      </c>
      <c r="B1543" s="5" t="s">
        <v>2282</v>
      </c>
      <c r="C1543" s="19" t="s">
        <v>536</v>
      </c>
      <c r="D1543" s="17">
        <v>2.0</v>
      </c>
      <c r="E1543" s="17">
        <v>11.25</v>
      </c>
      <c r="F1543" s="17">
        <v>20.0</v>
      </c>
      <c r="G1543" s="5">
        <v>20.0</v>
      </c>
      <c r="H1543" s="5">
        <v>40.0</v>
      </c>
      <c r="I1543" s="5">
        <v>17.5</v>
      </c>
      <c r="J1543" s="19" t="s">
        <v>119</v>
      </c>
      <c r="K1543" s="17">
        <v>275.0</v>
      </c>
      <c r="L1543" s="5" t="s">
        <v>5047</v>
      </c>
      <c r="M1543" s="5" t="s">
        <v>2230</v>
      </c>
    </row>
    <row r="1544" ht="22.5" customHeight="1">
      <c r="A1544" s="37">
        <v>46005.85306739583</v>
      </c>
      <c r="B1544" s="5" t="s">
        <v>2282</v>
      </c>
      <c r="C1544" s="19" t="s">
        <v>48</v>
      </c>
      <c r="D1544" s="17">
        <v>2.0</v>
      </c>
      <c r="E1544" s="17">
        <v>31.5</v>
      </c>
      <c r="F1544" s="17">
        <v>50.0</v>
      </c>
      <c r="G1544" s="5">
        <v>50.0</v>
      </c>
      <c r="H1544" s="5">
        <v>100.0</v>
      </c>
      <c r="I1544" s="5">
        <v>37.0</v>
      </c>
      <c r="J1544" s="19" t="s">
        <v>31</v>
      </c>
      <c r="K1544" s="17">
        <v>274.0</v>
      </c>
      <c r="L1544" s="5" t="s">
        <v>5048</v>
      </c>
      <c r="M1544" s="5" t="s">
        <v>2230</v>
      </c>
    </row>
    <row r="1545" ht="22.5" customHeight="1">
      <c r="A1545" s="37">
        <v>46005.853067187505</v>
      </c>
      <c r="B1545" s="5" t="s">
        <v>2282</v>
      </c>
      <c r="C1545" s="19" t="s">
        <v>172</v>
      </c>
      <c r="D1545" s="17">
        <v>2.0</v>
      </c>
      <c r="E1545" s="17">
        <v>28.2</v>
      </c>
      <c r="F1545" s="17">
        <v>40.0</v>
      </c>
      <c r="G1545" s="5">
        <v>40.0</v>
      </c>
      <c r="H1545" s="5">
        <v>80.0</v>
      </c>
      <c r="I1545" s="5">
        <v>23.6</v>
      </c>
      <c r="J1545" s="19" t="s">
        <v>31</v>
      </c>
      <c r="K1545" s="17">
        <v>273.0</v>
      </c>
      <c r="L1545" s="5" t="s">
        <v>5049</v>
      </c>
      <c r="M1545" s="5" t="s">
        <v>2230</v>
      </c>
    </row>
    <row r="1546" ht="22.5" customHeight="1">
      <c r="A1546" s="37">
        <v>46005.85306702546</v>
      </c>
      <c r="B1546" s="5" t="s">
        <v>2282</v>
      </c>
      <c r="C1546" s="19" t="s">
        <v>255</v>
      </c>
      <c r="D1546" s="17">
        <v>1.0</v>
      </c>
      <c r="E1546" s="17">
        <v>35.0</v>
      </c>
      <c r="F1546" s="17">
        <v>50.0</v>
      </c>
      <c r="G1546" s="5">
        <v>50.0</v>
      </c>
      <c r="H1546" s="5">
        <v>50.0</v>
      </c>
      <c r="I1546" s="5">
        <v>15.0</v>
      </c>
      <c r="J1546" s="19" t="s">
        <v>31</v>
      </c>
      <c r="K1546" s="17">
        <v>272.0</v>
      </c>
      <c r="L1546" s="5" t="s">
        <v>5050</v>
      </c>
      <c r="M1546" s="5" t="s">
        <v>2230</v>
      </c>
    </row>
    <row r="1547" ht="22.5" customHeight="1">
      <c r="A1547" s="37">
        <v>46005.8530668287</v>
      </c>
      <c r="B1547" s="5" t="s">
        <v>2282</v>
      </c>
      <c r="C1547" s="19" t="s">
        <v>518</v>
      </c>
      <c r="D1547" s="17">
        <v>2.0</v>
      </c>
      <c r="E1547" s="17">
        <v>75.0</v>
      </c>
      <c r="F1547" s="17">
        <v>90.0</v>
      </c>
      <c r="G1547" s="5">
        <v>90.0</v>
      </c>
      <c r="H1547" s="5">
        <v>180.0</v>
      </c>
      <c r="I1547" s="5">
        <v>30.0</v>
      </c>
      <c r="J1547" s="19" t="s">
        <v>51</v>
      </c>
      <c r="K1547" s="17">
        <v>271.0</v>
      </c>
      <c r="L1547" s="5" t="s">
        <v>5051</v>
      </c>
      <c r="M1547" s="5" t="s">
        <v>2230</v>
      </c>
    </row>
    <row r="1548" ht="22.5" customHeight="1">
      <c r="A1548" s="37">
        <v>46005.85306662037</v>
      </c>
      <c r="B1548" s="5" t="s">
        <v>2282</v>
      </c>
      <c r="C1548" s="19" t="s">
        <v>268</v>
      </c>
      <c r="D1548" s="17">
        <v>1.0</v>
      </c>
      <c r="E1548" s="17">
        <v>170.0</v>
      </c>
      <c r="F1548" s="17">
        <v>200.0</v>
      </c>
      <c r="G1548" s="5">
        <v>200.0</v>
      </c>
      <c r="H1548" s="5">
        <v>200.0</v>
      </c>
      <c r="I1548" s="5">
        <v>30.0</v>
      </c>
      <c r="J1548" s="19" t="s">
        <v>581</v>
      </c>
      <c r="K1548" s="17">
        <v>270.0</v>
      </c>
      <c r="L1548" s="5" t="s">
        <v>5052</v>
      </c>
      <c r="M1548" s="5" t="s">
        <v>2230</v>
      </c>
    </row>
    <row r="1549" ht="22.5" customHeight="1">
      <c r="A1549" s="37">
        <v>46005.853066435186</v>
      </c>
      <c r="B1549" s="5" t="s">
        <v>2282</v>
      </c>
      <c r="C1549" s="19" t="s">
        <v>530</v>
      </c>
      <c r="D1549" s="17">
        <v>1.0</v>
      </c>
      <c r="E1549" s="17">
        <v>167.5</v>
      </c>
      <c r="F1549" s="17">
        <v>195.0</v>
      </c>
      <c r="G1549" s="5">
        <v>195.0</v>
      </c>
      <c r="H1549" s="5">
        <v>195.0</v>
      </c>
      <c r="I1549" s="5">
        <v>27.5</v>
      </c>
      <c r="J1549" s="19" t="s">
        <v>119</v>
      </c>
      <c r="K1549" s="17">
        <v>269.0</v>
      </c>
      <c r="L1549" s="5" t="s">
        <v>5053</v>
      </c>
      <c r="M1549" s="5" t="s">
        <v>2230</v>
      </c>
    </row>
    <row r="1550" ht="22.5" customHeight="1">
      <c r="A1550" s="37">
        <v>46005.84483267361</v>
      </c>
      <c r="B1550" s="5" t="s">
        <v>2282</v>
      </c>
      <c r="C1550" s="19" t="s">
        <v>830</v>
      </c>
      <c r="D1550" s="17">
        <v>4.0</v>
      </c>
      <c r="E1550" s="17">
        <v>10.0</v>
      </c>
      <c r="F1550" s="17">
        <v>10.0</v>
      </c>
      <c r="G1550" s="5">
        <v>10.0</v>
      </c>
      <c r="H1550" s="5">
        <v>40.0</v>
      </c>
      <c r="I1550" s="5">
        <v>0.0</v>
      </c>
      <c r="J1550" s="19" t="s">
        <v>51</v>
      </c>
      <c r="K1550" s="17">
        <v>269.0</v>
      </c>
      <c r="L1550" s="5" t="s">
        <v>5054</v>
      </c>
      <c r="M1550" s="5" t="s">
        <v>2230</v>
      </c>
    </row>
    <row r="1551" ht="22.5" customHeight="1">
      <c r="A1551" s="37">
        <v>46005.84483244213</v>
      </c>
      <c r="B1551" s="5" t="s">
        <v>2282</v>
      </c>
      <c r="C1551" s="19" t="s">
        <v>741</v>
      </c>
      <c r="D1551" s="17">
        <v>4.0</v>
      </c>
      <c r="E1551" s="17">
        <v>150.0</v>
      </c>
      <c r="F1551" s="17">
        <v>150.0</v>
      </c>
      <c r="G1551" s="5">
        <v>150.0</v>
      </c>
      <c r="H1551" s="5">
        <v>600.0</v>
      </c>
      <c r="I1551" s="5">
        <v>0.0</v>
      </c>
      <c r="J1551" s="19" t="s">
        <v>51</v>
      </c>
      <c r="K1551" s="17">
        <v>268.0</v>
      </c>
      <c r="L1551" s="5" t="s">
        <v>5055</v>
      </c>
      <c r="M1551" s="5" t="s">
        <v>2230</v>
      </c>
    </row>
    <row r="1552" ht="22.5" customHeight="1">
      <c r="A1552" s="37">
        <v>46000.60297252315</v>
      </c>
      <c r="B1552" s="5" t="s">
        <v>2282</v>
      </c>
      <c r="C1552" s="19" t="s">
        <v>83</v>
      </c>
      <c r="D1552" s="17">
        <v>1.0</v>
      </c>
      <c r="E1552" s="17">
        <v>175.0</v>
      </c>
      <c r="F1552" s="17">
        <v>270.0</v>
      </c>
      <c r="G1552" s="5">
        <v>245.0</v>
      </c>
      <c r="H1552" s="5">
        <v>245.0</v>
      </c>
      <c r="I1552" s="5">
        <v>60.0</v>
      </c>
      <c r="J1552" s="19" t="s">
        <v>31</v>
      </c>
      <c r="K1552" s="17">
        <v>262.0</v>
      </c>
      <c r="L1552" s="5" t="s">
        <v>5056</v>
      </c>
      <c r="M1552" s="5" t="s">
        <v>2230</v>
      </c>
    </row>
    <row r="1553" ht="22.5" customHeight="1">
      <c r="A1553" s="37">
        <v>46000.602971238426</v>
      </c>
      <c r="B1553" s="5" t="s">
        <v>2282</v>
      </c>
      <c r="C1553" s="19" t="s">
        <v>4398</v>
      </c>
      <c r="D1553" s="17">
        <v>1.0</v>
      </c>
      <c r="E1553" s="17">
        <v>135.0</v>
      </c>
      <c r="F1553" s="17">
        <v>180.0</v>
      </c>
      <c r="G1553" s="5">
        <v>179.87</v>
      </c>
      <c r="H1553" s="5">
        <v>179.87</v>
      </c>
      <c r="I1553" s="5">
        <v>44.87</v>
      </c>
      <c r="J1553" s="19"/>
      <c r="K1553" s="17">
        <v>164.0</v>
      </c>
      <c r="L1553" s="5" t="s">
        <v>5057</v>
      </c>
      <c r="M1553" s="5" t="s">
        <v>2230</v>
      </c>
    </row>
    <row r="1554" ht="22.5" customHeight="1">
      <c r="A1554" s="37">
        <v>45999.85998879629</v>
      </c>
      <c r="B1554" s="5" t="s">
        <v>2282</v>
      </c>
      <c r="C1554" s="19" t="s">
        <v>515</v>
      </c>
      <c r="D1554" s="17">
        <v>1.0</v>
      </c>
      <c r="E1554" s="17">
        <v>50.0</v>
      </c>
      <c r="F1554" s="17">
        <v>60.0</v>
      </c>
      <c r="G1554" s="5">
        <v>60.0</v>
      </c>
      <c r="H1554" s="5">
        <v>60.0</v>
      </c>
      <c r="I1554" s="5">
        <v>10.0</v>
      </c>
      <c r="J1554" s="19" t="s">
        <v>31</v>
      </c>
      <c r="K1554" s="17">
        <v>267.0</v>
      </c>
      <c r="L1554" s="5" t="s">
        <v>5058</v>
      </c>
      <c r="M1554" s="5" t="s">
        <v>2230</v>
      </c>
    </row>
    <row r="1555" ht="22.5" customHeight="1">
      <c r="A1555" s="37">
        <v>45999.859988553246</v>
      </c>
      <c r="B1555" s="5" t="s">
        <v>2282</v>
      </c>
      <c r="C1555" s="19" t="s">
        <v>464</v>
      </c>
      <c r="D1555" s="17">
        <v>3.0</v>
      </c>
      <c r="E1555" s="17">
        <v>135.0</v>
      </c>
      <c r="F1555" s="17">
        <v>150.0</v>
      </c>
      <c r="G1555" s="5">
        <v>150.0</v>
      </c>
      <c r="H1555" s="5">
        <v>450.0</v>
      </c>
      <c r="I1555" s="5">
        <v>45.0</v>
      </c>
      <c r="J1555" s="19" t="s">
        <v>31</v>
      </c>
      <c r="K1555" s="17">
        <v>264.0</v>
      </c>
      <c r="L1555" s="5" t="s">
        <v>5059</v>
      </c>
      <c r="M1555" s="5" t="s">
        <v>2230</v>
      </c>
    </row>
    <row r="1556" ht="22.5" customHeight="1">
      <c r="A1556" s="37">
        <v>45999.85651644676</v>
      </c>
      <c r="B1556" s="5" t="s">
        <v>2282</v>
      </c>
      <c r="C1556" s="19" t="s">
        <v>392</v>
      </c>
      <c r="D1556" s="17">
        <v>2.0</v>
      </c>
      <c r="E1556" s="17">
        <v>65.0</v>
      </c>
      <c r="F1556" s="17">
        <v>95.0</v>
      </c>
      <c r="G1556" s="5">
        <v>95.0</v>
      </c>
      <c r="H1556" s="5">
        <v>190.0</v>
      </c>
      <c r="I1556" s="5">
        <v>60.0</v>
      </c>
      <c r="J1556" s="19" t="s">
        <v>31</v>
      </c>
      <c r="K1556" s="17">
        <v>266.0</v>
      </c>
      <c r="L1556" s="5" t="s">
        <v>5060</v>
      </c>
      <c r="M1556" s="5" t="s">
        <v>2230</v>
      </c>
    </row>
    <row r="1557" ht="22.5" customHeight="1">
      <c r="A1557" s="37">
        <v>45999.85651627315</v>
      </c>
      <c r="B1557" s="5" t="s">
        <v>2282</v>
      </c>
      <c r="C1557" s="19" t="s">
        <v>255</v>
      </c>
      <c r="D1557" s="17">
        <v>1.0</v>
      </c>
      <c r="E1557" s="17">
        <v>35.0</v>
      </c>
      <c r="F1557" s="17">
        <v>50.0</v>
      </c>
      <c r="G1557" s="5">
        <v>50.0</v>
      </c>
      <c r="H1557" s="5">
        <v>50.0</v>
      </c>
      <c r="I1557" s="5">
        <v>15.0</v>
      </c>
      <c r="J1557" s="19" t="s">
        <v>31</v>
      </c>
      <c r="K1557" s="17">
        <v>265.0</v>
      </c>
      <c r="L1557" s="5" t="s">
        <v>5061</v>
      </c>
      <c r="M1557" s="5" t="s">
        <v>2230</v>
      </c>
    </row>
    <row r="1558" ht="22.5" customHeight="1">
      <c r="A1558" s="37">
        <v>45999.85651607639</v>
      </c>
      <c r="B1558" s="5" t="s">
        <v>2282</v>
      </c>
      <c r="C1558" s="19" t="s">
        <v>165</v>
      </c>
      <c r="D1558" s="17">
        <v>2.0</v>
      </c>
      <c r="E1558" s="17">
        <v>89.07</v>
      </c>
      <c r="F1558" s="17">
        <v>105.0</v>
      </c>
      <c r="G1558" s="5">
        <v>104.95</v>
      </c>
      <c r="H1558" s="5">
        <v>209.9</v>
      </c>
      <c r="I1558" s="5">
        <v>31.76</v>
      </c>
      <c r="J1558" s="19" t="s">
        <v>31</v>
      </c>
      <c r="K1558" s="17">
        <v>263.0</v>
      </c>
      <c r="L1558" s="5" t="s">
        <v>5062</v>
      </c>
      <c r="M1558" s="5" t="s">
        <v>2230</v>
      </c>
    </row>
    <row r="1559" ht="22.5" customHeight="1">
      <c r="A1559" s="37">
        <v>45999.85651563657</v>
      </c>
      <c r="B1559" s="5" t="s">
        <v>2282</v>
      </c>
      <c r="C1559" s="19" t="s">
        <v>212</v>
      </c>
      <c r="D1559" s="17">
        <v>1.0</v>
      </c>
      <c r="E1559" s="17">
        <v>325.0</v>
      </c>
      <c r="F1559" s="17">
        <v>390.0</v>
      </c>
      <c r="G1559" s="5">
        <v>390.0</v>
      </c>
      <c r="H1559" s="5">
        <v>390.0</v>
      </c>
      <c r="I1559" s="5">
        <v>65.0</v>
      </c>
      <c r="J1559" s="19" t="s">
        <v>31</v>
      </c>
      <c r="K1559" s="17">
        <v>261.0</v>
      </c>
      <c r="L1559" s="5" t="s">
        <v>5063</v>
      </c>
      <c r="M1559" s="5" t="s">
        <v>2230</v>
      </c>
    </row>
    <row r="1560" ht="22.5" customHeight="1">
      <c r="A1560" s="37">
        <v>45999.60259034722</v>
      </c>
      <c r="B1560" s="5" t="s">
        <v>2282</v>
      </c>
      <c r="C1560" s="19" t="s">
        <v>518</v>
      </c>
      <c r="D1560" s="17">
        <v>1.0</v>
      </c>
      <c r="E1560" s="17">
        <v>75.0</v>
      </c>
      <c r="F1560" s="17">
        <v>75.0</v>
      </c>
      <c r="G1560" s="5">
        <v>75.0</v>
      </c>
      <c r="H1560" s="5">
        <v>75.0</v>
      </c>
      <c r="I1560" s="5">
        <v>0.0</v>
      </c>
      <c r="J1560" s="19" t="s">
        <v>51</v>
      </c>
      <c r="K1560" s="17">
        <v>259.0</v>
      </c>
      <c r="L1560" s="5" t="s">
        <v>5064</v>
      </c>
      <c r="M1560" s="5" t="s">
        <v>2230</v>
      </c>
    </row>
    <row r="1561" ht="22.5" customHeight="1">
      <c r="A1561" s="37">
        <v>45999.60259012731</v>
      </c>
      <c r="B1561" s="5" t="s">
        <v>2282</v>
      </c>
      <c r="C1561" s="19" t="s">
        <v>255</v>
      </c>
      <c r="D1561" s="17">
        <v>3.0</v>
      </c>
      <c r="E1561" s="17">
        <v>35.0</v>
      </c>
      <c r="F1561" s="17">
        <v>35.0</v>
      </c>
      <c r="G1561" s="5">
        <v>35.0</v>
      </c>
      <c r="H1561" s="5">
        <v>105.0</v>
      </c>
      <c r="I1561" s="5">
        <v>0.0</v>
      </c>
      <c r="J1561" s="19" t="s">
        <v>31</v>
      </c>
      <c r="K1561" s="17">
        <v>258.0</v>
      </c>
      <c r="L1561" s="5" t="s">
        <v>5065</v>
      </c>
      <c r="M1561" s="5" t="s">
        <v>2230</v>
      </c>
    </row>
    <row r="1562" ht="22.5" customHeight="1">
      <c r="A1562" s="37">
        <v>45999.602589814815</v>
      </c>
      <c r="B1562" s="5" t="s">
        <v>2282</v>
      </c>
      <c r="C1562" s="19" t="s">
        <v>416</v>
      </c>
      <c r="D1562" s="17">
        <v>4.0</v>
      </c>
      <c r="E1562" s="17">
        <v>30.0</v>
      </c>
      <c r="F1562" s="17">
        <v>30.0</v>
      </c>
      <c r="G1562" s="5">
        <v>30.0</v>
      </c>
      <c r="H1562" s="5">
        <v>120.0</v>
      </c>
      <c r="I1562" s="5">
        <v>0.0</v>
      </c>
      <c r="J1562" s="19" t="s">
        <v>31</v>
      </c>
      <c r="K1562" s="17">
        <v>257.0</v>
      </c>
      <c r="L1562" s="5" t="s">
        <v>5066</v>
      </c>
      <c r="M1562" s="5" t="s">
        <v>2230</v>
      </c>
    </row>
    <row r="1563" ht="22.5" customHeight="1">
      <c r="A1563" s="37">
        <v>45998.01576980324</v>
      </c>
      <c r="B1563" s="5" t="s">
        <v>2282</v>
      </c>
      <c r="C1563" s="19" t="s">
        <v>753</v>
      </c>
      <c r="D1563" s="17">
        <v>5.0</v>
      </c>
      <c r="E1563" s="17">
        <v>20.0</v>
      </c>
      <c r="F1563" s="17">
        <v>25.0</v>
      </c>
      <c r="G1563" s="5">
        <v>24.98</v>
      </c>
      <c r="H1563" s="5">
        <v>124.9</v>
      </c>
      <c r="I1563" s="5">
        <v>24.9</v>
      </c>
      <c r="J1563" s="19"/>
      <c r="K1563" s="17">
        <v>207.0</v>
      </c>
      <c r="L1563" s="5" t="s">
        <v>5067</v>
      </c>
      <c r="M1563" s="5" t="s">
        <v>2230</v>
      </c>
    </row>
    <row r="1564" ht="22.5" customHeight="1">
      <c r="A1564" s="37">
        <v>45998.01576920139</v>
      </c>
      <c r="B1564" s="5" t="s">
        <v>2282</v>
      </c>
      <c r="C1564" s="19" t="s">
        <v>250</v>
      </c>
      <c r="D1564" s="17">
        <v>1.0</v>
      </c>
      <c r="E1564" s="17">
        <v>145.0</v>
      </c>
      <c r="F1564" s="17">
        <v>200.0</v>
      </c>
      <c r="G1564" s="5">
        <v>200.0</v>
      </c>
      <c r="H1564" s="5">
        <v>200.0</v>
      </c>
      <c r="I1564" s="5">
        <v>55.0</v>
      </c>
      <c r="J1564" s="19" t="s">
        <v>31</v>
      </c>
      <c r="K1564" s="17">
        <v>118.0</v>
      </c>
      <c r="L1564" s="5" t="s">
        <v>5068</v>
      </c>
      <c r="M1564" s="5" t="s">
        <v>2230</v>
      </c>
    </row>
    <row r="1565" ht="22.5" customHeight="1">
      <c r="A1565" s="37">
        <v>45998.01576891204</v>
      </c>
      <c r="B1565" s="5" t="s">
        <v>2282</v>
      </c>
      <c r="C1565" s="19" t="s">
        <v>250</v>
      </c>
      <c r="D1565" s="17">
        <v>1.0</v>
      </c>
      <c r="E1565" s="17">
        <v>145.0</v>
      </c>
      <c r="F1565" s="17">
        <v>175.0</v>
      </c>
      <c r="G1565" s="5">
        <v>175.0</v>
      </c>
      <c r="H1565" s="5">
        <v>175.0</v>
      </c>
      <c r="I1565" s="5">
        <v>30.0</v>
      </c>
      <c r="J1565" s="19" t="s">
        <v>31</v>
      </c>
      <c r="K1565" s="17">
        <v>89.0</v>
      </c>
      <c r="L1565" s="5" t="s">
        <v>5069</v>
      </c>
      <c r="M1565" s="5" t="s">
        <v>2230</v>
      </c>
    </row>
    <row r="1566" ht="22.5" customHeight="1">
      <c r="A1566" s="37">
        <v>45998.015768680554</v>
      </c>
      <c r="B1566" s="5" t="s">
        <v>2282</v>
      </c>
      <c r="C1566" s="19" t="s">
        <v>250</v>
      </c>
      <c r="D1566" s="17">
        <v>1.0</v>
      </c>
      <c r="E1566" s="17">
        <v>145.0</v>
      </c>
      <c r="F1566" s="17">
        <v>200.0</v>
      </c>
      <c r="G1566" s="5">
        <v>200.0</v>
      </c>
      <c r="H1566" s="5">
        <v>200.0</v>
      </c>
      <c r="I1566" s="5">
        <v>55.0</v>
      </c>
      <c r="J1566" s="19" t="s">
        <v>31</v>
      </c>
      <c r="K1566" s="17">
        <v>68.0</v>
      </c>
      <c r="L1566" s="5" t="s">
        <v>5070</v>
      </c>
      <c r="M1566" s="5" t="s">
        <v>2230</v>
      </c>
    </row>
    <row r="1567" ht="22.5" customHeight="1">
      <c r="A1567" s="37">
        <v>45998.01576844907</v>
      </c>
      <c r="B1567" s="5" t="s">
        <v>2282</v>
      </c>
      <c r="C1567" s="19" t="s">
        <v>106</v>
      </c>
      <c r="D1567" s="17">
        <v>2.0</v>
      </c>
      <c r="E1567" s="17">
        <v>189.29</v>
      </c>
      <c r="F1567" s="17">
        <v>245.0</v>
      </c>
      <c r="G1567" s="5">
        <v>245.0</v>
      </c>
      <c r="H1567" s="5">
        <v>490.0</v>
      </c>
      <c r="I1567" s="5">
        <v>111.42</v>
      </c>
      <c r="J1567" s="19" t="s">
        <v>31</v>
      </c>
      <c r="K1567" s="17">
        <v>23.0</v>
      </c>
      <c r="L1567" s="5" t="s">
        <v>5071</v>
      </c>
      <c r="M1567" s="5" t="s">
        <v>2230</v>
      </c>
    </row>
    <row r="1568" ht="22.5" customHeight="1">
      <c r="A1568" s="37">
        <v>45998.01104376157</v>
      </c>
      <c r="B1568" s="5" t="s">
        <v>2282</v>
      </c>
      <c r="C1568" s="19" t="s">
        <v>172</v>
      </c>
      <c r="D1568" s="17">
        <v>3.0</v>
      </c>
      <c r="E1568" s="17">
        <v>28.2</v>
      </c>
      <c r="F1568" s="17">
        <v>40.0</v>
      </c>
      <c r="G1568" s="5">
        <v>40.0</v>
      </c>
      <c r="H1568" s="5">
        <v>120.0</v>
      </c>
      <c r="I1568" s="5">
        <v>35.4</v>
      </c>
      <c r="J1568" s="19" t="s">
        <v>31</v>
      </c>
      <c r="K1568" s="17">
        <v>255.0</v>
      </c>
      <c r="L1568" s="5" t="s">
        <v>5072</v>
      </c>
      <c r="M1568" s="5" t="s">
        <v>2230</v>
      </c>
    </row>
    <row r="1569" ht="22.5" customHeight="1">
      <c r="A1569" s="37">
        <v>45998.011043391205</v>
      </c>
      <c r="B1569" s="5" t="s">
        <v>2282</v>
      </c>
      <c r="C1569" s="19" t="s">
        <v>487</v>
      </c>
      <c r="D1569" s="17">
        <v>1.0</v>
      </c>
      <c r="E1569" s="17">
        <v>95.0</v>
      </c>
      <c r="F1569" s="17">
        <v>120.0</v>
      </c>
      <c r="G1569" s="5">
        <v>120.0</v>
      </c>
      <c r="H1569" s="5">
        <v>120.0</v>
      </c>
      <c r="I1569" s="5">
        <v>25.0</v>
      </c>
      <c r="J1569" s="19" t="s">
        <v>581</v>
      </c>
      <c r="K1569" s="17">
        <v>253.0</v>
      </c>
      <c r="L1569" s="5" t="s">
        <v>5073</v>
      </c>
      <c r="M1569" s="5" t="s">
        <v>2230</v>
      </c>
    </row>
    <row r="1570" ht="22.5" customHeight="1">
      <c r="A1570" s="37">
        <v>45998.01104282407</v>
      </c>
      <c r="B1570" s="5" t="s">
        <v>2282</v>
      </c>
      <c r="C1570" s="19" t="s">
        <v>214</v>
      </c>
      <c r="D1570" s="17">
        <v>1.0</v>
      </c>
      <c r="E1570" s="17">
        <v>205.0</v>
      </c>
      <c r="F1570" s="17">
        <v>250.0</v>
      </c>
      <c r="G1570" s="5">
        <v>250.0</v>
      </c>
      <c r="H1570" s="5">
        <v>250.0</v>
      </c>
      <c r="I1570" s="5">
        <v>45.0</v>
      </c>
      <c r="J1570" s="19" t="s">
        <v>31</v>
      </c>
      <c r="K1570" s="17">
        <v>249.0</v>
      </c>
      <c r="L1570" s="5" t="s">
        <v>5074</v>
      </c>
      <c r="M1570" s="5" t="s">
        <v>2230</v>
      </c>
    </row>
    <row r="1571" ht="22.5" customHeight="1">
      <c r="A1571" s="37">
        <v>45998.01104247685</v>
      </c>
      <c r="B1571" s="5" t="s">
        <v>2282</v>
      </c>
      <c r="C1571" s="19" t="s">
        <v>206</v>
      </c>
      <c r="D1571" s="17">
        <v>1.0</v>
      </c>
      <c r="E1571" s="17">
        <v>155.0</v>
      </c>
      <c r="F1571" s="17">
        <v>190.0</v>
      </c>
      <c r="G1571" s="5">
        <v>190.0</v>
      </c>
      <c r="H1571" s="5">
        <v>190.0</v>
      </c>
      <c r="I1571" s="5">
        <v>35.0</v>
      </c>
      <c r="J1571" s="19" t="s">
        <v>31</v>
      </c>
      <c r="K1571" s="17">
        <v>248.0</v>
      </c>
      <c r="L1571" s="5" t="s">
        <v>5075</v>
      </c>
      <c r="M1571" s="5" t="s">
        <v>2230</v>
      </c>
    </row>
    <row r="1572" ht="22.5" customHeight="1">
      <c r="A1572" s="37">
        <v>45998.01104215278</v>
      </c>
      <c r="B1572" s="5" t="s">
        <v>2282</v>
      </c>
      <c r="C1572" s="19" t="s">
        <v>449</v>
      </c>
      <c r="D1572" s="17">
        <v>1.0</v>
      </c>
      <c r="E1572" s="17">
        <v>135.0</v>
      </c>
      <c r="F1572" s="17">
        <v>225.0</v>
      </c>
      <c r="G1572" s="5">
        <v>225.0</v>
      </c>
      <c r="H1572" s="5">
        <v>225.0</v>
      </c>
      <c r="I1572" s="5">
        <v>90.0</v>
      </c>
      <c r="J1572" s="19" t="s">
        <v>31</v>
      </c>
      <c r="K1572" s="17">
        <v>247.0</v>
      </c>
      <c r="L1572" s="5" t="s">
        <v>5076</v>
      </c>
      <c r="M1572" s="5" t="s">
        <v>2230</v>
      </c>
    </row>
    <row r="1573" ht="22.5" customHeight="1">
      <c r="A1573" s="37">
        <v>45998.011041736114</v>
      </c>
      <c r="B1573" s="5" t="s">
        <v>2282</v>
      </c>
      <c r="C1573" s="19" t="s">
        <v>392</v>
      </c>
      <c r="D1573" s="17">
        <v>1.0</v>
      </c>
      <c r="E1573" s="17">
        <v>65.0</v>
      </c>
      <c r="F1573" s="17">
        <v>95.0</v>
      </c>
      <c r="G1573" s="5">
        <v>95.0</v>
      </c>
      <c r="H1573" s="5">
        <v>95.0</v>
      </c>
      <c r="I1573" s="5">
        <v>30.0</v>
      </c>
      <c r="J1573" s="19" t="s">
        <v>31</v>
      </c>
      <c r="K1573" s="17">
        <v>246.0</v>
      </c>
      <c r="L1573" s="5" t="s">
        <v>5077</v>
      </c>
      <c r="M1573" s="5" t="s">
        <v>2230</v>
      </c>
    </row>
    <row r="1574" ht="22.5" customHeight="1">
      <c r="A1574" s="37">
        <v>45998.01104143518</v>
      </c>
      <c r="B1574" s="5" t="s">
        <v>2282</v>
      </c>
      <c r="C1574" s="19" t="s">
        <v>470</v>
      </c>
      <c r="D1574" s="17">
        <v>1.0</v>
      </c>
      <c r="E1574" s="17">
        <v>75.0</v>
      </c>
      <c r="F1574" s="17">
        <v>120.0</v>
      </c>
      <c r="G1574" s="5">
        <v>120.0</v>
      </c>
      <c r="H1574" s="5">
        <v>120.0</v>
      </c>
      <c r="I1574" s="5">
        <v>45.0</v>
      </c>
      <c r="J1574" s="19" t="s">
        <v>31</v>
      </c>
      <c r="K1574" s="17">
        <v>244.0</v>
      </c>
      <c r="L1574" s="5" t="s">
        <v>5078</v>
      </c>
      <c r="M1574" s="5" t="s">
        <v>2230</v>
      </c>
    </row>
    <row r="1575" ht="22.5" customHeight="1">
      <c r="A1575" s="37">
        <v>45998.01104118055</v>
      </c>
      <c r="B1575" s="5" t="s">
        <v>2282</v>
      </c>
      <c r="C1575" s="19" t="s">
        <v>287</v>
      </c>
      <c r="D1575" s="17">
        <v>1.0</v>
      </c>
      <c r="E1575" s="17">
        <v>45.0</v>
      </c>
      <c r="F1575" s="17">
        <v>55.0</v>
      </c>
      <c r="G1575" s="5">
        <v>55.0</v>
      </c>
      <c r="H1575" s="5">
        <v>55.0</v>
      </c>
      <c r="I1575" s="5">
        <v>10.0</v>
      </c>
      <c r="J1575" s="19" t="s">
        <v>31</v>
      </c>
      <c r="K1575" s="17">
        <v>243.0</v>
      </c>
      <c r="L1575" s="5" t="s">
        <v>5079</v>
      </c>
      <c r="M1575" s="5" t="s">
        <v>2230</v>
      </c>
    </row>
    <row r="1576" ht="22.5" customHeight="1">
      <c r="A1576" s="37">
        <v>45998.01104096065</v>
      </c>
      <c r="B1576" s="5" t="s">
        <v>2282</v>
      </c>
      <c r="C1576" s="19" t="s">
        <v>515</v>
      </c>
      <c r="D1576" s="17">
        <v>1.0</v>
      </c>
      <c r="E1576" s="17">
        <v>50.0</v>
      </c>
      <c r="F1576" s="17">
        <v>60.0</v>
      </c>
      <c r="G1576" s="5">
        <v>60.0</v>
      </c>
      <c r="H1576" s="5">
        <v>60.0</v>
      </c>
      <c r="I1576" s="5">
        <v>10.0</v>
      </c>
      <c r="J1576" s="19" t="s">
        <v>31</v>
      </c>
      <c r="K1576" s="17">
        <v>242.0</v>
      </c>
      <c r="L1576" s="5" t="s">
        <v>5080</v>
      </c>
      <c r="M1576" s="5" t="s">
        <v>2230</v>
      </c>
    </row>
    <row r="1577" ht="22.5" customHeight="1">
      <c r="A1577" s="37">
        <v>45998.01104059028</v>
      </c>
      <c r="B1577" s="5" t="s">
        <v>2282</v>
      </c>
      <c r="C1577" s="19" t="s">
        <v>404</v>
      </c>
      <c r="D1577" s="17">
        <v>1.0</v>
      </c>
      <c r="E1577" s="17">
        <v>75.0</v>
      </c>
      <c r="F1577" s="17">
        <v>100.0</v>
      </c>
      <c r="G1577" s="5">
        <v>100.0</v>
      </c>
      <c r="H1577" s="5">
        <v>100.0</v>
      </c>
      <c r="I1577" s="5">
        <v>25.0</v>
      </c>
      <c r="J1577" s="19" t="s">
        <v>31</v>
      </c>
      <c r="K1577" s="17">
        <v>241.0</v>
      </c>
      <c r="L1577" s="5" t="s">
        <v>5081</v>
      </c>
      <c r="M1577" s="5" t="s">
        <v>2230</v>
      </c>
    </row>
    <row r="1578" ht="22.5" customHeight="1">
      <c r="A1578" s="37">
        <v>45998.01104030093</v>
      </c>
      <c r="B1578" s="5" t="s">
        <v>2282</v>
      </c>
      <c r="C1578" s="19" t="s">
        <v>172</v>
      </c>
      <c r="D1578" s="17">
        <v>2.0</v>
      </c>
      <c r="E1578" s="17">
        <v>28.2</v>
      </c>
      <c r="F1578" s="17">
        <v>40.0</v>
      </c>
      <c r="G1578" s="5">
        <v>40.0</v>
      </c>
      <c r="H1578" s="5">
        <v>80.0</v>
      </c>
      <c r="I1578" s="5">
        <v>23.6</v>
      </c>
      <c r="J1578" s="19" t="s">
        <v>31</v>
      </c>
      <c r="K1578" s="17">
        <v>240.0</v>
      </c>
      <c r="L1578" s="5" t="s">
        <v>5082</v>
      </c>
      <c r="M1578" s="5" t="s">
        <v>2230</v>
      </c>
    </row>
    <row r="1579" ht="22.5" customHeight="1">
      <c r="A1579" s="37">
        <v>45998.01104006944</v>
      </c>
      <c r="B1579" s="5" t="s">
        <v>2282</v>
      </c>
      <c r="C1579" s="19" t="s">
        <v>48</v>
      </c>
      <c r="D1579" s="17">
        <v>3.0</v>
      </c>
      <c r="E1579" s="17">
        <v>31.5</v>
      </c>
      <c r="F1579" s="17">
        <v>45.0</v>
      </c>
      <c r="G1579" s="5">
        <v>45.0</v>
      </c>
      <c r="H1579" s="5">
        <v>135.0</v>
      </c>
      <c r="I1579" s="5">
        <v>40.5</v>
      </c>
      <c r="J1579" s="19" t="s">
        <v>31</v>
      </c>
      <c r="K1579" s="17">
        <v>239.0</v>
      </c>
      <c r="L1579" s="5" t="s">
        <v>5083</v>
      </c>
      <c r="M1579" s="5" t="s">
        <v>2230</v>
      </c>
    </row>
    <row r="1580" ht="22.5" customHeight="1">
      <c r="A1580" s="37">
        <v>45998.01103978009</v>
      </c>
      <c r="B1580" s="5" t="s">
        <v>2282</v>
      </c>
      <c r="C1580" s="19" t="s">
        <v>452</v>
      </c>
      <c r="D1580" s="17">
        <v>1.0</v>
      </c>
      <c r="E1580" s="17">
        <v>16.0</v>
      </c>
      <c r="F1580" s="17">
        <v>25.0</v>
      </c>
      <c r="G1580" s="5">
        <v>25.0</v>
      </c>
      <c r="H1580" s="5">
        <v>25.0</v>
      </c>
      <c r="I1580" s="5">
        <v>9.0</v>
      </c>
      <c r="J1580" s="19" t="s">
        <v>31</v>
      </c>
      <c r="K1580" s="17">
        <v>237.0</v>
      </c>
      <c r="L1580" s="5" t="s">
        <v>5084</v>
      </c>
      <c r="M1580" s="5" t="s">
        <v>2230</v>
      </c>
    </row>
    <row r="1581" ht="22.5" customHeight="1">
      <c r="A1581" s="37">
        <v>45998.01103951389</v>
      </c>
      <c r="B1581" s="5" t="s">
        <v>2282</v>
      </c>
      <c r="C1581" s="19" t="s">
        <v>172</v>
      </c>
      <c r="D1581" s="17">
        <v>1.0</v>
      </c>
      <c r="E1581" s="17">
        <v>28.2</v>
      </c>
      <c r="F1581" s="17">
        <v>40.0</v>
      </c>
      <c r="G1581" s="5">
        <v>40.0</v>
      </c>
      <c r="H1581" s="5">
        <v>40.0</v>
      </c>
      <c r="I1581" s="5">
        <v>11.8</v>
      </c>
      <c r="J1581" s="19" t="s">
        <v>31</v>
      </c>
      <c r="K1581" s="17">
        <v>236.0</v>
      </c>
      <c r="L1581" s="5" t="s">
        <v>5085</v>
      </c>
      <c r="M1581" s="5" t="s">
        <v>2230</v>
      </c>
    </row>
    <row r="1582" ht="22.5" customHeight="1">
      <c r="A1582" s="37">
        <v>45998.011039247685</v>
      </c>
      <c r="B1582" s="5" t="s">
        <v>2282</v>
      </c>
      <c r="C1582" s="19" t="s">
        <v>48</v>
      </c>
      <c r="D1582" s="17">
        <v>1.0</v>
      </c>
      <c r="E1582" s="17">
        <v>31.5</v>
      </c>
      <c r="F1582" s="17">
        <v>50.0</v>
      </c>
      <c r="G1582" s="5">
        <v>50.0</v>
      </c>
      <c r="H1582" s="5">
        <v>50.0</v>
      </c>
      <c r="I1582" s="5">
        <v>18.5</v>
      </c>
      <c r="J1582" s="19" t="s">
        <v>31</v>
      </c>
      <c r="K1582" s="17">
        <v>235.0</v>
      </c>
      <c r="L1582" s="5" t="s">
        <v>5086</v>
      </c>
      <c r="M1582" s="5" t="s">
        <v>2230</v>
      </c>
    </row>
    <row r="1583" ht="22.5" customHeight="1">
      <c r="A1583" s="37">
        <v>45998.01103891204</v>
      </c>
      <c r="B1583" s="5" t="s">
        <v>2282</v>
      </c>
      <c r="C1583" s="19" t="s">
        <v>454</v>
      </c>
      <c r="D1583" s="17">
        <v>0.5</v>
      </c>
      <c r="E1583" s="17">
        <v>210.0</v>
      </c>
      <c r="F1583" s="17">
        <v>290.0</v>
      </c>
      <c r="G1583" s="5">
        <v>290.0</v>
      </c>
      <c r="H1583" s="5">
        <v>145.0</v>
      </c>
      <c r="I1583" s="5">
        <v>40.0</v>
      </c>
      <c r="J1583" s="19" t="s">
        <v>31</v>
      </c>
      <c r="K1583" s="17">
        <v>233.0</v>
      </c>
      <c r="L1583" s="5" t="s">
        <v>5087</v>
      </c>
      <c r="M1583" s="5" t="s">
        <v>2230</v>
      </c>
    </row>
    <row r="1584" ht="22.5" customHeight="1">
      <c r="A1584" s="37">
        <v>45998.01103868056</v>
      </c>
      <c r="B1584" s="5" t="s">
        <v>2282</v>
      </c>
      <c r="C1584" s="19" t="s">
        <v>511</v>
      </c>
      <c r="D1584" s="17">
        <v>1.0</v>
      </c>
      <c r="E1584" s="17">
        <v>40.0</v>
      </c>
      <c r="F1584" s="17">
        <v>50.0</v>
      </c>
      <c r="G1584" s="5">
        <v>50.0</v>
      </c>
      <c r="H1584" s="5">
        <v>50.0</v>
      </c>
      <c r="I1584" s="5">
        <v>10.0</v>
      </c>
      <c r="J1584" s="19" t="s">
        <v>31</v>
      </c>
      <c r="K1584" s="17">
        <v>232.0</v>
      </c>
      <c r="L1584" s="5" t="s">
        <v>5088</v>
      </c>
      <c r="M1584" s="5" t="s">
        <v>2230</v>
      </c>
    </row>
    <row r="1585" ht="22.5" customHeight="1">
      <c r="A1585" s="37">
        <v>45998.01103844907</v>
      </c>
      <c r="B1585" s="5" t="s">
        <v>2282</v>
      </c>
      <c r="C1585" s="19" t="s">
        <v>392</v>
      </c>
      <c r="D1585" s="17">
        <v>1.0</v>
      </c>
      <c r="E1585" s="17">
        <v>65.0</v>
      </c>
      <c r="F1585" s="17">
        <v>95.0</v>
      </c>
      <c r="G1585" s="5">
        <v>95.0</v>
      </c>
      <c r="H1585" s="5">
        <v>95.0</v>
      </c>
      <c r="I1585" s="5">
        <v>30.0</v>
      </c>
      <c r="J1585" s="19" t="s">
        <v>31</v>
      </c>
      <c r="K1585" s="17">
        <v>231.0</v>
      </c>
      <c r="L1585" s="5" t="s">
        <v>5089</v>
      </c>
      <c r="M1585" s="5" t="s">
        <v>2230</v>
      </c>
    </row>
    <row r="1586" ht="22.5" customHeight="1">
      <c r="A1586" s="37">
        <v>45998.011038171295</v>
      </c>
      <c r="B1586" s="5" t="s">
        <v>2282</v>
      </c>
      <c r="C1586" s="19" t="s">
        <v>206</v>
      </c>
      <c r="D1586" s="17">
        <v>1.0</v>
      </c>
      <c r="E1586" s="17">
        <v>155.0</v>
      </c>
      <c r="F1586" s="17">
        <v>185.0</v>
      </c>
      <c r="G1586" s="5">
        <v>185.0</v>
      </c>
      <c r="H1586" s="5">
        <v>185.0</v>
      </c>
      <c r="I1586" s="5">
        <v>30.0</v>
      </c>
      <c r="J1586" s="19" t="s">
        <v>31</v>
      </c>
      <c r="K1586" s="17">
        <v>230.0</v>
      </c>
      <c r="L1586" s="5" t="s">
        <v>5090</v>
      </c>
      <c r="M1586" s="5" t="s">
        <v>2230</v>
      </c>
    </row>
    <row r="1587" ht="22.5" customHeight="1">
      <c r="A1587" s="37">
        <v>45998.01103787037</v>
      </c>
      <c r="B1587" s="5" t="s">
        <v>2282</v>
      </c>
      <c r="C1587" s="19" t="s">
        <v>255</v>
      </c>
      <c r="D1587" s="17">
        <v>1.0</v>
      </c>
      <c r="E1587" s="17">
        <v>35.0</v>
      </c>
      <c r="F1587" s="17">
        <v>50.0</v>
      </c>
      <c r="G1587" s="5">
        <v>50.0</v>
      </c>
      <c r="H1587" s="5">
        <v>50.0</v>
      </c>
      <c r="I1587" s="5">
        <v>15.0</v>
      </c>
      <c r="J1587" s="19" t="s">
        <v>31</v>
      </c>
      <c r="K1587" s="17">
        <v>229.0</v>
      </c>
      <c r="L1587" s="5" t="s">
        <v>5091</v>
      </c>
      <c r="M1587" s="5" t="s">
        <v>2230</v>
      </c>
    </row>
    <row r="1588" ht="22.5" customHeight="1">
      <c r="A1588" s="37">
        <v>45998.011037662036</v>
      </c>
      <c r="B1588" s="5" t="s">
        <v>2282</v>
      </c>
      <c r="C1588" s="19" t="s">
        <v>470</v>
      </c>
      <c r="D1588" s="17">
        <v>2.0</v>
      </c>
      <c r="E1588" s="17">
        <v>75.0</v>
      </c>
      <c r="F1588" s="17">
        <v>100.0</v>
      </c>
      <c r="G1588" s="5">
        <v>100.0</v>
      </c>
      <c r="H1588" s="5">
        <v>200.0</v>
      </c>
      <c r="I1588" s="5">
        <v>50.0</v>
      </c>
      <c r="J1588" s="19" t="s">
        <v>31</v>
      </c>
      <c r="K1588" s="17">
        <v>228.0</v>
      </c>
      <c r="L1588" s="5" t="s">
        <v>5092</v>
      </c>
      <c r="M1588" s="5" t="s">
        <v>2230</v>
      </c>
    </row>
    <row r="1589" ht="22.5" customHeight="1">
      <c r="A1589" s="37">
        <v>45998.01103733796</v>
      </c>
      <c r="B1589" s="5" t="s">
        <v>2282</v>
      </c>
      <c r="C1589" s="19" t="s">
        <v>225</v>
      </c>
      <c r="D1589" s="17">
        <v>1.0</v>
      </c>
      <c r="E1589" s="17">
        <v>160.0</v>
      </c>
      <c r="F1589" s="17">
        <v>200.0</v>
      </c>
      <c r="G1589" s="5">
        <v>200.0</v>
      </c>
      <c r="H1589" s="5">
        <v>200.0</v>
      </c>
      <c r="I1589" s="5">
        <v>40.0</v>
      </c>
      <c r="J1589" s="19" t="s">
        <v>31</v>
      </c>
      <c r="K1589" s="17">
        <v>225.0</v>
      </c>
      <c r="L1589" s="5" t="s">
        <v>5093</v>
      </c>
      <c r="M1589" s="5" t="s">
        <v>2230</v>
      </c>
    </row>
    <row r="1590" ht="22.5" customHeight="1">
      <c r="A1590" s="37">
        <v>45998.01103709491</v>
      </c>
      <c r="B1590" s="5" t="s">
        <v>2282</v>
      </c>
      <c r="C1590" s="19" t="s">
        <v>194</v>
      </c>
      <c r="D1590" s="17">
        <v>1.0</v>
      </c>
      <c r="E1590" s="17">
        <v>164.17</v>
      </c>
      <c r="F1590" s="17">
        <v>200.0</v>
      </c>
      <c r="G1590" s="5">
        <v>200.0</v>
      </c>
      <c r="H1590" s="5">
        <v>200.0</v>
      </c>
      <c r="I1590" s="5">
        <v>35.83</v>
      </c>
      <c r="J1590" s="19" t="s">
        <v>31</v>
      </c>
      <c r="K1590" s="17">
        <v>224.0</v>
      </c>
      <c r="L1590" s="5" t="s">
        <v>5094</v>
      </c>
      <c r="M1590" s="5" t="s">
        <v>2230</v>
      </c>
    </row>
    <row r="1591" ht="22.5" customHeight="1">
      <c r="A1591" s="37">
        <v>45998.01103681713</v>
      </c>
      <c r="B1591" s="5" t="s">
        <v>2282</v>
      </c>
      <c r="C1591" s="19" t="s">
        <v>470</v>
      </c>
      <c r="D1591" s="17">
        <v>1.0</v>
      </c>
      <c r="E1591" s="17">
        <v>75.0</v>
      </c>
      <c r="F1591" s="17">
        <v>120.0</v>
      </c>
      <c r="G1591" s="5">
        <v>120.0</v>
      </c>
      <c r="H1591" s="5">
        <v>120.0</v>
      </c>
      <c r="I1591" s="5">
        <v>45.0</v>
      </c>
      <c r="J1591" s="19" t="s">
        <v>31</v>
      </c>
      <c r="K1591" s="17">
        <v>222.0</v>
      </c>
      <c r="L1591" s="5" t="s">
        <v>5095</v>
      </c>
      <c r="M1591" s="5" t="s">
        <v>2230</v>
      </c>
    </row>
    <row r="1592" ht="22.5" customHeight="1">
      <c r="A1592" s="37">
        <v>45998.01103658565</v>
      </c>
      <c r="B1592" s="5" t="s">
        <v>2282</v>
      </c>
      <c r="C1592" s="19" t="s">
        <v>255</v>
      </c>
      <c r="D1592" s="17">
        <v>1.0</v>
      </c>
      <c r="E1592" s="17">
        <v>35.0</v>
      </c>
      <c r="F1592" s="17">
        <v>50.0</v>
      </c>
      <c r="G1592" s="5">
        <v>50.0</v>
      </c>
      <c r="H1592" s="5">
        <v>50.0</v>
      </c>
      <c r="I1592" s="5">
        <v>15.0</v>
      </c>
      <c r="J1592" s="19" t="s">
        <v>31</v>
      </c>
      <c r="K1592" s="17">
        <v>221.0</v>
      </c>
      <c r="L1592" s="5" t="s">
        <v>5096</v>
      </c>
      <c r="M1592" s="5" t="s">
        <v>2230</v>
      </c>
    </row>
    <row r="1593" ht="22.5" customHeight="1">
      <c r="A1593" s="37">
        <v>45998.011036365744</v>
      </c>
      <c r="B1593" s="5" t="s">
        <v>2282</v>
      </c>
      <c r="C1593" s="19" t="s">
        <v>470</v>
      </c>
      <c r="D1593" s="17">
        <v>2.0</v>
      </c>
      <c r="E1593" s="17">
        <v>75.0</v>
      </c>
      <c r="F1593" s="17">
        <v>100.0</v>
      </c>
      <c r="G1593" s="5">
        <v>100.0</v>
      </c>
      <c r="H1593" s="5">
        <v>200.0</v>
      </c>
      <c r="I1593" s="5">
        <v>50.0</v>
      </c>
      <c r="J1593" s="19" t="s">
        <v>31</v>
      </c>
      <c r="K1593" s="17">
        <v>220.0</v>
      </c>
      <c r="L1593" s="5" t="s">
        <v>5097</v>
      </c>
      <c r="M1593" s="5" t="s">
        <v>2230</v>
      </c>
    </row>
    <row r="1594" ht="22.5" customHeight="1">
      <c r="A1594" s="37">
        <v>45998.01103591435</v>
      </c>
      <c r="B1594" s="5" t="s">
        <v>2282</v>
      </c>
      <c r="C1594" s="19" t="s">
        <v>505</v>
      </c>
      <c r="D1594" s="17">
        <v>1.0</v>
      </c>
      <c r="E1594" s="17">
        <v>165.0</v>
      </c>
      <c r="F1594" s="17">
        <v>175.0</v>
      </c>
      <c r="G1594" s="5">
        <v>175.0</v>
      </c>
      <c r="H1594" s="5">
        <v>175.0</v>
      </c>
      <c r="I1594" s="5">
        <v>10.0</v>
      </c>
      <c r="J1594" s="19" t="s">
        <v>576</v>
      </c>
      <c r="K1594" s="17">
        <v>216.0</v>
      </c>
      <c r="L1594" s="5" t="s">
        <v>5098</v>
      </c>
      <c r="M1594" s="5" t="s">
        <v>2230</v>
      </c>
    </row>
    <row r="1595" ht="22.5" customHeight="1">
      <c r="A1595" s="37">
        <v>45998.01103543982</v>
      </c>
      <c r="B1595" s="5" t="s">
        <v>2282</v>
      </c>
      <c r="C1595" s="19" t="s">
        <v>297</v>
      </c>
      <c r="D1595" s="17">
        <v>0.5</v>
      </c>
      <c r="E1595" s="17">
        <v>30.0</v>
      </c>
      <c r="F1595" s="17">
        <v>60.0</v>
      </c>
      <c r="G1595" s="5">
        <v>60.0</v>
      </c>
      <c r="H1595" s="5">
        <v>30.0</v>
      </c>
      <c r="I1595" s="5">
        <v>15.0</v>
      </c>
      <c r="J1595" s="19" t="s">
        <v>31</v>
      </c>
      <c r="K1595" s="17">
        <v>215.0</v>
      </c>
      <c r="L1595" s="5" t="s">
        <v>5099</v>
      </c>
      <c r="M1595" s="5" t="s">
        <v>2230</v>
      </c>
    </row>
    <row r="1596" ht="22.5" customHeight="1">
      <c r="A1596" s="37">
        <v>45998.01103502315</v>
      </c>
      <c r="B1596" s="5" t="s">
        <v>2282</v>
      </c>
      <c r="C1596" s="19" t="s">
        <v>357</v>
      </c>
      <c r="D1596" s="17">
        <v>1.0</v>
      </c>
      <c r="E1596" s="17">
        <v>225.0</v>
      </c>
      <c r="F1596" s="17">
        <v>350.0</v>
      </c>
      <c r="G1596" s="5">
        <v>350.0</v>
      </c>
      <c r="H1596" s="5">
        <v>350.0</v>
      </c>
      <c r="I1596" s="5">
        <v>125.0</v>
      </c>
      <c r="J1596" s="19" t="s">
        <v>31</v>
      </c>
      <c r="K1596" s="17">
        <v>214.0</v>
      </c>
      <c r="L1596" s="5" t="s">
        <v>5100</v>
      </c>
      <c r="M1596" s="5" t="s">
        <v>2230</v>
      </c>
    </row>
    <row r="1597" ht="22.5" customHeight="1">
      <c r="A1597" s="37">
        <v>45998.01103466435</v>
      </c>
      <c r="B1597" s="5" t="s">
        <v>2282</v>
      </c>
      <c r="C1597" s="19" t="s">
        <v>404</v>
      </c>
      <c r="D1597" s="17">
        <v>1.0</v>
      </c>
      <c r="E1597" s="17">
        <v>75.0</v>
      </c>
      <c r="F1597" s="17">
        <v>100.0</v>
      </c>
      <c r="G1597" s="5">
        <v>100.0</v>
      </c>
      <c r="H1597" s="5">
        <v>100.0</v>
      </c>
      <c r="I1597" s="5">
        <v>25.0</v>
      </c>
      <c r="J1597" s="19" t="s">
        <v>31</v>
      </c>
      <c r="K1597" s="17">
        <v>213.0</v>
      </c>
      <c r="L1597" s="5" t="s">
        <v>5101</v>
      </c>
      <c r="M1597" s="5" t="s">
        <v>2230</v>
      </c>
    </row>
    <row r="1598" ht="22.5" customHeight="1">
      <c r="A1598" s="37">
        <v>45998.011034317125</v>
      </c>
      <c r="B1598" s="5" t="s">
        <v>2282</v>
      </c>
      <c r="C1598" s="19" t="s">
        <v>172</v>
      </c>
      <c r="D1598" s="17">
        <v>2.0</v>
      </c>
      <c r="E1598" s="17">
        <v>28.2</v>
      </c>
      <c r="F1598" s="17">
        <v>40.0</v>
      </c>
      <c r="G1598" s="5">
        <v>40.0</v>
      </c>
      <c r="H1598" s="5">
        <v>80.0</v>
      </c>
      <c r="I1598" s="5">
        <v>23.6</v>
      </c>
      <c r="J1598" s="19" t="s">
        <v>31</v>
      </c>
      <c r="K1598" s="17">
        <v>212.0</v>
      </c>
      <c r="L1598" s="5" t="s">
        <v>5102</v>
      </c>
      <c r="M1598" s="5" t="s">
        <v>2230</v>
      </c>
    </row>
    <row r="1599" ht="22.5" customHeight="1">
      <c r="A1599" s="37">
        <v>45998.011033946765</v>
      </c>
      <c r="B1599" s="5" t="s">
        <v>2282</v>
      </c>
      <c r="C1599" s="19" t="s">
        <v>416</v>
      </c>
      <c r="D1599" s="17">
        <v>1.0</v>
      </c>
      <c r="E1599" s="17">
        <v>30.0</v>
      </c>
      <c r="F1599" s="17">
        <v>40.0</v>
      </c>
      <c r="G1599" s="5">
        <v>40.0</v>
      </c>
      <c r="H1599" s="5">
        <v>40.0</v>
      </c>
      <c r="I1599" s="5">
        <v>10.0</v>
      </c>
      <c r="J1599" s="19" t="s">
        <v>31</v>
      </c>
      <c r="K1599" s="17">
        <v>210.0</v>
      </c>
      <c r="L1599" s="5" t="s">
        <v>5103</v>
      </c>
      <c r="M1599" s="5" t="s">
        <v>2230</v>
      </c>
    </row>
    <row r="1600" ht="22.5" customHeight="1">
      <c r="A1600" s="37">
        <v>45998.01103359954</v>
      </c>
      <c r="B1600" s="5" t="s">
        <v>2282</v>
      </c>
      <c r="C1600" s="19" t="s">
        <v>412</v>
      </c>
      <c r="D1600" s="17">
        <v>1.0</v>
      </c>
      <c r="E1600" s="17">
        <v>195.0</v>
      </c>
      <c r="F1600" s="17">
        <v>240.0</v>
      </c>
      <c r="G1600" s="5">
        <v>240.0</v>
      </c>
      <c r="H1600" s="5">
        <v>240.0</v>
      </c>
      <c r="I1600" s="5">
        <v>45.0</v>
      </c>
      <c r="J1600" s="19" t="s">
        <v>31</v>
      </c>
      <c r="K1600" s="17">
        <v>209.0</v>
      </c>
      <c r="L1600" s="5" t="s">
        <v>5104</v>
      </c>
      <c r="M1600" s="5" t="s">
        <v>2230</v>
      </c>
    </row>
    <row r="1601" ht="22.5" customHeight="1">
      <c r="A1601" s="37">
        <v>45998.011033229166</v>
      </c>
      <c r="B1601" s="5" t="s">
        <v>2282</v>
      </c>
      <c r="C1601" s="19" t="s">
        <v>489</v>
      </c>
      <c r="D1601" s="17">
        <v>1.0</v>
      </c>
      <c r="E1601" s="17">
        <v>175.0</v>
      </c>
      <c r="F1601" s="17">
        <v>200.0</v>
      </c>
      <c r="G1601" s="5">
        <v>199.86</v>
      </c>
      <c r="H1601" s="5">
        <v>199.86</v>
      </c>
      <c r="I1601" s="5">
        <v>24.86</v>
      </c>
      <c r="J1601" s="19" t="s">
        <v>31</v>
      </c>
      <c r="K1601" s="17">
        <v>206.0</v>
      </c>
      <c r="L1601" s="5" t="s">
        <v>5108</v>
      </c>
      <c r="M1601" s="5" t="s">
        <v>2230</v>
      </c>
    </row>
    <row r="1602" ht="22.5" customHeight="1">
      <c r="A1602" s="37">
        <v>45998.011032939816</v>
      </c>
      <c r="B1602" s="5" t="s">
        <v>2282</v>
      </c>
      <c r="C1602" s="19" t="s">
        <v>268</v>
      </c>
      <c r="D1602" s="17">
        <v>1.0</v>
      </c>
      <c r="E1602" s="17">
        <v>170.0</v>
      </c>
      <c r="F1602" s="17">
        <v>200.0</v>
      </c>
      <c r="G1602" s="5">
        <v>199.86</v>
      </c>
      <c r="H1602" s="5">
        <v>199.86</v>
      </c>
      <c r="I1602" s="5">
        <v>29.86</v>
      </c>
      <c r="J1602" s="19" t="s">
        <v>581</v>
      </c>
      <c r="K1602" s="17">
        <v>204.0</v>
      </c>
      <c r="L1602" s="5" t="s">
        <v>5109</v>
      </c>
      <c r="M1602" s="5" t="s">
        <v>2230</v>
      </c>
    </row>
    <row r="1603" ht="22.5" customHeight="1">
      <c r="A1603" s="37">
        <v>45998.01103262731</v>
      </c>
      <c r="B1603" s="5" t="s">
        <v>2282</v>
      </c>
      <c r="C1603" s="19" t="s">
        <v>250</v>
      </c>
      <c r="D1603" s="17">
        <v>1.0</v>
      </c>
      <c r="E1603" s="17">
        <v>145.0</v>
      </c>
      <c r="F1603" s="17">
        <v>175.0</v>
      </c>
      <c r="G1603" s="5">
        <v>174.88</v>
      </c>
      <c r="H1603" s="5">
        <v>174.88</v>
      </c>
      <c r="I1603" s="5">
        <v>29.88</v>
      </c>
      <c r="J1603" s="19" t="s">
        <v>31</v>
      </c>
      <c r="K1603" s="17">
        <v>202.0</v>
      </c>
      <c r="L1603" s="5" t="s">
        <v>5110</v>
      </c>
      <c r="M1603" s="5" t="s">
        <v>2230</v>
      </c>
    </row>
    <row r="1604" ht="22.5" customHeight="1">
      <c r="A1604" s="37">
        <v>45998.01103238426</v>
      </c>
      <c r="B1604" s="5" t="s">
        <v>2282</v>
      </c>
      <c r="C1604" s="19" t="s">
        <v>194</v>
      </c>
      <c r="D1604" s="17">
        <v>1.0</v>
      </c>
      <c r="E1604" s="17">
        <v>164.17</v>
      </c>
      <c r="F1604" s="17">
        <v>200.0</v>
      </c>
      <c r="G1604" s="5">
        <v>199.86</v>
      </c>
      <c r="H1604" s="5">
        <v>199.86</v>
      </c>
      <c r="I1604" s="5">
        <v>35.69</v>
      </c>
      <c r="J1604" s="19" t="s">
        <v>31</v>
      </c>
      <c r="K1604" s="17">
        <v>201.0</v>
      </c>
      <c r="L1604" s="5" t="s">
        <v>5111</v>
      </c>
      <c r="M1604" s="5" t="s">
        <v>2230</v>
      </c>
    </row>
    <row r="1605" ht="22.5" customHeight="1">
      <c r="A1605" s="37">
        <v>45998.011032118055</v>
      </c>
      <c r="B1605" s="5" t="s">
        <v>2282</v>
      </c>
      <c r="C1605" s="19" t="s">
        <v>487</v>
      </c>
      <c r="D1605" s="17">
        <v>1.0</v>
      </c>
      <c r="E1605" s="17">
        <v>95.0</v>
      </c>
      <c r="F1605" s="17">
        <v>120.0</v>
      </c>
      <c r="G1605" s="5">
        <v>119.94</v>
      </c>
      <c r="H1605" s="5">
        <v>119.94</v>
      </c>
      <c r="I1605" s="5">
        <v>24.94</v>
      </c>
      <c r="J1605" s="19" t="s">
        <v>581</v>
      </c>
      <c r="K1605" s="17">
        <v>199.0</v>
      </c>
      <c r="L1605" s="5" t="s">
        <v>5112</v>
      </c>
      <c r="M1605" s="5" t="s">
        <v>2230</v>
      </c>
    </row>
    <row r="1606" ht="22.5" customHeight="1">
      <c r="A1606" s="37">
        <v>45998.011031863425</v>
      </c>
      <c r="B1606" s="5" t="s">
        <v>2282</v>
      </c>
      <c r="C1606" s="19" t="s">
        <v>397</v>
      </c>
      <c r="D1606" s="17">
        <v>1.0</v>
      </c>
      <c r="E1606" s="17">
        <v>215.0</v>
      </c>
      <c r="F1606" s="17">
        <v>280.0</v>
      </c>
      <c r="G1606" s="5">
        <v>279.86</v>
      </c>
      <c r="H1606" s="5">
        <v>279.86</v>
      </c>
      <c r="I1606" s="5">
        <v>64.86</v>
      </c>
      <c r="J1606" s="19" t="s">
        <v>31</v>
      </c>
      <c r="K1606" s="17">
        <v>198.0</v>
      </c>
      <c r="L1606" s="5" t="s">
        <v>5113</v>
      </c>
      <c r="M1606" s="5" t="s">
        <v>2230</v>
      </c>
    </row>
    <row r="1607" ht="22.5" customHeight="1">
      <c r="A1607" s="37">
        <v>45998.0110315625</v>
      </c>
      <c r="B1607" s="5" t="s">
        <v>2282</v>
      </c>
      <c r="C1607" s="19" t="s">
        <v>478</v>
      </c>
      <c r="D1607" s="17">
        <v>1.0</v>
      </c>
      <c r="E1607" s="17">
        <v>90.0</v>
      </c>
      <c r="F1607" s="17">
        <v>135.0</v>
      </c>
      <c r="G1607" s="5">
        <v>134.93</v>
      </c>
      <c r="H1607" s="5">
        <v>134.93</v>
      </c>
      <c r="I1607" s="5">
        <v>44.93</v>
      </c>
      <c r="J1607" s="19" t="s">
        <v>31</v>
      </c>
      <c r="K1607" s="17">
        <v>196.0</v>
      </c>
      <c r="L1607" s="5" t="s">
        <v>5114</v>
      </c>
      <c r="M1607" s="5" t="s">
        <v>2230</v>
      </c>
    </row>
    <row r="1608" ht="22.5" customHeight="1">
      <c r="A1608" s="37">
        <v>45998.01103130787</v>
      </c>
      <c r="B1608" s="5" t="s">
        <v>2282</v>
      </c>
      <c r="C1608" s="19" t="s">
        <v>194</v>
      </c>
      <c r="D1608" s="17">
        <v>2.0</v>
      </c>
      <c r="E1608" s="17">
        <v>164.17</v>
      </c>
      <c r="F1608" s="17">
        <v>200.0</v>
      </c>
      <c r="G1608" s="5">
        <v>199.9</v>
      </c>
      <c r="H1608" s="5">
        <v>399.8</v>
      </c>
      <c r="I1608" s="5">
        <v>71.46</v>
      </c>
      <c r="J1608" s="19" t="s">
        <v>31</v>
      </c>
      <c r="K1608" s="17">
        <v>195.0</v>
      </c>
      <c r="L1608" s="5" t="s">
        <v>5115</v>
      </c>
      <c r="M1608" s="5" t="s">
        <v>2230</v>
      </c>
    </row>
    <row r="1609" ht="22.5" customHeight="1">
      <c r="A1609" s="37">
        <v>45998.01103101852</v>
      </c>
      <c r="B1609" s="5" t="s">
        <v>2282</v>
      </c>
      <c r="C1609" s="19" t="s">
        <v>374</v>
      </c>
      <c r="D1609" s="17">
        <v>1.0</v>
      </c>
      <c r="E1609" s="17">
        <v>235.0</v>
      </c>
      <c r="F1609" s="17">
        <v>285.0</v>
      </c>
      <c r="G1609" s="5">
        <v>284.86</v>
      </c>
      <c r="H1609" s="5">
        <v>284.86</v>
      </c>
      <c r="I1609" s="5">
        <v>49.86</v>
      </c>
      <c r="J1609" s="19" t="s">
        <v>31</v>
      </c>
      <c r="K1609" s="17">
        <v>193.0</v>
      </c>
      <c r="L1609" s="5" t="s">
        <v>5116</v>
      </c>
      <c r="M1609" s="5" t="s">
        <v>2230</v>
      </c>
    </row>
    <row r="1610" ht="22.5" customHeight="1">
      <c r="A1610" s="37">
        <v>45998.011030787035</v>
      </c>
      <c r="B1610" s="5" t="s">
        <v>2282</v>
      </c>
      <c r="C1610" s="19" t="s">
        <v>255</v>
      </c>
      <c r="D1610" s="17">
        <v>1.0</v>
      </c>
      <c r="E1610" s="17">
        <v>35.0</v>
      </c>
      <c r="F1610" s="17">
        <v>50.0</v>
      </c>
      <c r="G1610" s="5">
        <v>49.98</v>
      </c>
      <c r="H1610" s="5">
        <v>49.98</v>
      </c>
      <c r="I1610" s="5">
        <v>14.98</v>
      </c>
      <c r="J1610" s="19" t="s">
        <v>31</v>
      </c>
      <c r="K1610" s="17">
        <v>192.0</v>
      </c>
      <c r="L1610" s="5" t="s">
        <v>5117</v>
      </c>
      <c r="M1610" s="5" t="s">
        <v>2230</v>
      </c>
    </row>
    <row r="1611" ht="22.5" customHeight="1">
      <c r="A1611" s="37">
        <v>45998.01103054398</v>
      </c>
      <c r="B1611" s="5" t="s">
        <v>2282</v>
      </c>
      <c r="C1611" s="19" t="s">
        <v>470</v>
      </c>
      <c r="D1611" s="17">
        <v>2.0</v>
      </c>
      <c r="E1611" s="17">
        <v>75.0</v>
      </c>
      <c r="F1611" s="17">
        <v>100.0</v>
      </c>
      <c r="G1611" s="5">
        <v>99.95</v>
      </c>
      <c r="H1611" s="5">
        <v>199.9</v>
      </c>
      <c r="I1611" s="5">
        <v>49.9</v>
      </c>
      <c r="J1611" s="19" t="s">
        <v>31</v>
      </c>
      <c r="K1611" s="17">
        <v>191.0</v>
      </c>
      <c r="L1611" s="5" t="s">
        <v>5118</v>
      </c>
      <c r="M1611" s="5" t="s">
        <v>2230</v>
      </c>
    </row>
    <row r="1612" ht="22.5" customHeight="1">
      <c r="A1612" s="37">
        <v>45998.011030127316</v>
      </c>
      <c r="B1612" s="5" t="s">
        <v>2282</v>
      </c>
      <c r="C1612" s="19" t="s">
        <v>255</v>
      </c>
      <c r="D1612" s="17">
        <v>1.0</v>
      </c>
      <c r="E1612" s="17">
        <v>35.0</v>
      </c>
      <c r="F1612" s="17">
        <v>50.0</v>
      </c>
      <c r="G1612" s="5">
        <v>50.0</v>
      </c>
      <c r="H1612" s="5">
        <v>50.0</v>
      </c>
      <c r="I1612" s="5">
        <v>15.0</v>
      </c>
      <c r="J1612" s="19" t="s">
        <v>31</v>
      </c>
      <c r="K1612" s="17">
        <v>189.0</v>
      </c>
      <c r="L1612" s="5" t="s">
        <v>5119</v>
      </c>
      <c r="M1612" s="5" t="s">
        <v>2230</v>
      </c>
    </row>
    <row r="1613" ht="22.5" customHeight="1">
      <c r="A1613" s="37">
        <v>45998.01102986111</v>
      </c>
      <c r="B1613" s="5" t="s">
        <v>2282</v>
      </c>
      <c r="C1613" s="19" t="s">
        <v>467</v>
      </c>
      <c r="D1613" s="17">
        <v>1.0</v>
      </c>
      <c r="E1613" s="17">
        <v>105.0</v>
      </c>
      <c r="F1613" s="17">
        <v>125.0</v>
      </c>
      <c r="G1613" s="5">
        <v>125.0</v>
      </c>
      <c r="H1613" s="5">
        <v>125.0</v>
      </c>
      <c r="I1613" s="5">
        <v>20.0</v>
      </c>
      <c r="J1613" s="19" t="s">
        <v>31</v>
      </c>
      <c r="K1613" s="17">
        <v>188.0</v>
      </c>
      <c r="L1613" s="5" t="s">
        <v>5120</v>
      </c>
      <c r="M1613" s="5" t="s">
        <v>2230</v>
      </c>
    </row>
    <row r="1614" ht="22.5" customHeight="1">
      <c r="A1614" s="37">
        <v>45998.0110296412</v>
      </c>
      <c r="B1614" s="5" t="s">
        <v>2282</v>
      </c>
      <c r="C1614" s="19" t="s">
        <v>452</v>
      </c>
      <c r="D1614" s="17">
        <v>5.0</v>
      </c>
      <c r="E1614" s="17">
        <v>16.0</v>
      </c>
      <c r="F1614" s="17">
        <v>20.0</v>
      </c>
      <c r="G1614" s="5">
        <v>20.0</v>
      </c>
      <c r="H1614" s="5">
        <v>100.0</v>
      </c>
      <c r="I1614" s="5">
        <v>20.0</v>
      </c>
      <c r="J1614" s="19" t="s">
        <v>31</v>
      </c>
      <c r="K1614" s="17">
        <v>187.0</v>
      </c>
      <c r="L1614" s="5" t="s">
        <v>5121</v>
      </c>
      <c r="M1614" s="5" t="s">
        <v>2230</v>
      </c>
    </row>
    <row r="1615" ht="22.5" customHeight="1">
      <c r="A1615" s="37">
        <v>45998.01102935185</v>
      </c>
      <c r="B1615" s="5" t="s">
        <v>2282</v>
      </c>
      <c r="C1615" s="19" t="s">
        <v>255</v>
      </c>
      <c r="D1615" s="17">
        <v>1.0</v>
      </c>
      <c r="E1615" s="17">
        <v>35.0</v>
      </c>
      <c r="F1615" s="17">
        <v>50.0</v>
      </c>
      <c r="G1615" s="5">
        <v>50.0</v>
      </c>
      <c r="H1615" s="5">
        <v>50.0</v>
      </c>
      <c r="I1615" s="5">
        <v>15.0</v>
      </c>
      <c r="J1615" s="19" t="s">
        <v>31</v>
      </c>
      <c r="K1615" s="17">
        <v>185.0</v>
      </c>
      <c r="L1615" s="5" t="s">
        <v>5122</v>
      </c>
      <c r="M1615" s="5" t="s">
        <v>2230</v>
      </c>
    </row>
    <row r="1616" ht="22.5" customHeight="1">
      <c r="A1616" s="37">
        <v>45998.01102898148</v>
      </c>
      <c r="B1616" s="5" t="s">
        <v>2282</v>
      </c>
      <c r="C1616" s="19" t="s">
        <v>464</v>
      </c>
      <c r="D1616" s="17">
        <v>1.0</v>
      </c>
      <c r="E1616" s="17">
        <v>135.0</v>
      </c>
      <c r="F1616" s="17">
        <v>180.0</v>
      </c>
      <c r="G1616" s="5">
        <v>180.0</v>
      </c>
      <c r="H1616" s="5">
        <v>180.0</v>
      </c>
      <c r="I1616" s="5">
        <v>45.0</v>
      </c>
      <c r="J1616" s="19" t="s">
        <v>31</v>
      </c>
      <c r="K1616" s="17">
        <v>184.0</v>
      </c>
      <c r="L1616" s="5" t="s">
        <v>5123</v>
      </c>
      <c r="M1616" s="5" t="s">
        <v>2230</v>
      </c>
    </row>
    <row r="1617" ht="22.5" customHeight="1">
      <c r="A1617" s="37">
        <v>45998.011028611116</v>
      </c>
      <c r="B1617" s="5" t="s">
        <v>2282</v>
      </c>
      <c r="C1617" s="19" t="s">
        <v>194</v>
      </c>
      <c r="D1617" s="17">
        <v>2.0</v>
      </c>
      <c r="E1617" s="17">
        <v>164.17</v>
      </c>
      <c r="F1617" s="17">
        <v>200.0</v>
      </c>
      <c r="G1617" s="5">
        <v>200.0</v>
      </c>
      <c r="H1617" s="5">
        <v>400.0</v>
      </c>
      <c r="I1617" s="5">
        <v>71.66</v>
      </c>
      <c r="J1617" s="19" t="s">
        <v>31</v>
      </c>
      <c r="K1617" s="17">
        <v>182.0</v>
      </c>
      <c r="L1617" s="5" t="s">
        <v>5124</v>
      </c>
      <c r="M1617" s="5" t="s">
        <v>2230</v>
      </c>
    </row>
    <row r="1618" ht="22.5" customHeight="1">
      <c r="A1618" s="37">
        <v>45998.011028356486</v>
      </c>
      <c r="B1618" s="5" t="s">
        <v>2282</v>
      </c>
      <c r="C1618" s="19" t="s">
        <v>306</v>
      </c>
      <c r="D1618" s="17">
        <v>1.0</v>
      </c>
      <c r="E1618" s="17">
        <v>12.0</v>
      </c>
      <c r="F1618" s="17">
        <v>25.0</v>
      </c>
      <c r="G1618" s="5">
        <v>25.0</v>
      </c>
      <c r="H1618" s="5">
        <v>25.0</v>
      </c>
      <c r="I1618" s="5">
        <v>13.0</v>
      </c>
      <c r="J1618" s="19" t="s">
        <v>31</v>
      </c>
      <c r="K1618" s="17">
        <v>180.0</v>
      </c>
      <c r="L1618" s="5" t="s">
        <v>5125</v>
      </c>
      <c r="M1618" s="5" t="s">
        <v>2230</v>
      </c>
    </row>
    <row r="1619" ht="22.5" customHeight="1">
      <c r="A1619" s="37">
        <v>45998.011028078705</v>
      </c>
      <c r="B1619" s="5" t="s">
        <v>2282</v>
      </c>
      <c r="C1619" s="19" t="s">
        <v>457</v>
      </c>
      <c r="D1619" s="17">
        <v>1.0</v>
      </c>
      <c r="E1619" s="17">
        <v>137.5</v>
      </c>
      <c r="F1619" s="17">
        <v>155.0</v>
      </c>
      <c r="G1619" s="5">
        <v>155.0</v>
      </c>
      <c r="H1619" s="5">
        <v>155.0</v>
      </c>
      <c r="I1619" s="5">
        <v>17.5</v>
      </c>
      <c r="J1619" s="19" t="s">
        <v>31</v>
      </c>
      <c r="K1619" s="17">
        <v>178.0</v>
      </c>
      <c r="L1619" s="5" t="s">
        <v>5126</v>
      </c>
      <c r="M1619" s="5" t="s">
        <v>2230</v>
      </c>
    </row>
    <row r="1620" ht="22.5" customHeight="1">
      <c r="A1620" s="37">
        <v>45998.01102774305</v>
      </c>
      <c r="B1620" s="5" t="s">
        <v>2282</v>
      </c>
      <c r="C1620" s="19" t="s">
        <v>457</v>
      </c>
      <c r="D1620" s="17">
        <v>1.0</v>
      </c>
      <c r="E1620" s="17">
        <v>137.5</v>
      </c>
      <c r="F1620" s="17">
        <v>160.0</v>
      </c>
      <c r="G1620" s="5">
        <v>160.0</v>
      </c>
      <c r="H1620" s="5">
        <v>160.0</v>
      </c>
      <c r="I1620" s="5">
        <v>22.5</v>
      </c>
      <c r="J1620" s="19" t="s">
        <v>31</v>
      </c>
      <c r="K1620" s="17">
        <v>177.0</v>
      </c>
      <c r="L1620" s="5" t="s">
        <v>5127</v>
      </c>
      <c r="M1620" s="5" t="s">
        <v>2230</v>
      </c>
    </row>
    <row r="1621" ht="22.5" customHeight="1">
      <c r="A1621" s="37">
        <v>45998.011027430555</v>
      </c>
      <c r="B1621" s="5" t="s">
        <v>2282</v>
      </c>
      <c r="C1621" s="19" t="s">
        <v>122</v>
      </c>
      <c r="D1621" s="17">
        <v>1.0</v>
      </c>
      <c r="E1621" s="17">
        <v>300.0</v>
      </c>
      <c r="F1621" s="17">
        <v>380.0</v>
      </c>
      <c r="G1621" s="5">
        <v>380.0</v>
      </c>
      <c r="H1621" s="5">
        <v>380.0</v>
      </c>
      <c r="I1621" s="5">
        <v>80.0</v>
      </c>
      <c r="J1621" s="19" t="s">
        <v>31</v>
      </c>
      <c r="K1621" s="17">
        <v>176.0</v>
      </c>
      <c r="L1621" s="5" t="s">
        <v>5128</v>
      </c>
      <c r="M1621" s="5" t="s">
        <v>2230</v>
      </c>
    </row>
    <row r="1622" ht="22.5" customHeight="1">
      <c r="A1622" s="37">
        <v>45998.01102712963</v>
      </c>
      <c r="B1622" s="5" t="s">
        <v>2282</v>
      </c>
      <c r="C1622" s="19" t="s">
        <v>172</v>
      </c>
      <c r="D1622" s="17">
        <v>2.0</v>
      </c>
      <c r="E1622" s="17">
        <v>28.2</v>
      </c>
      <c r="F1622" s="17">
        <v>40.0</v>
      </c>
      <c r="G1622" s="5">
        <v>40.0</v>
      </c>
      <c r="H1622" s="5">
        <v>80.0</v>
      </c>
      <c r="I1622" s="5">
        <v>23.6</v>
      </c>
      <c r="J1622" s="19" t="s">
        <v>31</v>
      </c>
      <c r="K1622" s="17">
        <v>175.0</v>
      </c>
      <c r="L1622" s="5" t="s">
        <v>5131</v>
      </c>
      <c r="M1622" s="5" t="s">
        <v>2230</v>
      </c>
    </row>
    <row r="1623" ht="22.5" customHeight="1">
      <c r="A1623" s="37">
        <v>45998.01102685185</v>
      </c>
      <c r="B1623" s="5" t="s">
        <v>2282</v>
      </c>
      <c r="C1623" s="19" t="s">
        <v>452</v>
      </c>
      <c r="D1623" s="17">
        <v>2.0</v>
      </c>
      <c r="E1623" s="17">
        <v>16.0</v>
      </c>
      <c r="F1623" s="17">
        <v>25.0</v>
      </c>
      <c r="G1623" s="5">
        <v>25.0</v>
      </c>
      <c r="H1623" s="5">
        <v>50.0</v>
      </c>
      <c r="I1623" s="5">
        <v>18.0</v>
      </c>
      <c r="J1623" s="19" t="s">
        <v>31</v>
      </c>
      <c r="K1623" s="17">
        <v>174.0</v>
      </c>
      <c r="L1623" s="5" t="s">
        <v>5132</v>
      </c>
      <c r="M1623" s="5" t="s">
        <v>2230</v>
      </c>
    </row>
    <row r="1624" ht="22.5" customHeight="1">
      <c r="A1624" s="37">
        <v>45998.0110266088</v>
      </c>
      <c r="B1624" s="5" t="s">
        <v>2282</v>
      </c>
      <c r="C1624" s="19" t="s">
        <v>452</v>
      </c>
      <c r="D1624" s="17">
        <v>2.0</v>
      </c>
      <c r="E1624" s="17">
        <v>16.0</v>
      </c>
      <c r="F1624" s="17">
        <v>20.0</v>
      </c>
      <c r="G1624" s="5">
        <v>20.0</v>
      </c>
      <c r="H1624" s="5">
        <v>40.0</v>
      </c>
      <c r="I1624" s="5">
        <v>8.0</v>
      </c>
      <c r="J1624" s="19" t="s">
        <v>31</v>
      </c>
      <c r="K1624" s="17">
        <v>173.0</v>
      </c>
      <c r="L1624" s="5" t="s">
        <v>5133</v>
      </c>
      <c r="M1624" s="5" t="s">
        <v>2230</v>
      </c>
    </row>
    <row r="1625" ht="22.5" customHeight="1">
      <c r="A1625" s="37">
        <v>45998.01102636574</v>
      </c>
      <c r="B1625" s="5" t="s">
        <v>2282</v>
      </c>
      <c r="C1625" s="19" t="s">
        <v>454</v>
      </c>
      <c r="D1625" s="17">
        <v>1.0</v>
      </c>
      <c r="E1625" s="17">
        <v>210.0</v>
      </c>
      <c r="F1625" s="17">
        <v>350.0</v>
      </c>
      <c r="G1625" s="5">
        <v>350.0</v>
      </c>
      <c r="H1625" s="5">
        <v>350.0</v>
      </c>
      <c r="I1625" s="5">
        <v>140.0</v>
      </c>
      <c r="J1625" s="19" t="s">
        <v>31</v>
      </c>
      <c r="K1625" s="17">
        <v>171.0</v>
      </c>
      <c r="L1625" s="5" t="s">
        <v>5134</v>
      </c>
      <c r="M1625" s="5" t="s">
        <v>2230</v>
      </c>
    </row>
    <row r="1626" ht="22.5" customHeight="1">
      <c r="A1626" s="37">
        <v>45998.01102605324</v>
      </c>
      <c r="B1626" s="5" t="s">
        <v>2282</v>
      </c>
      <c r="C1626" s="19" t="s">
        <v>452</v>
      </c>
      <c r="D1626" s="17">
        <v>3.0</v>
      </c>
      <c r="E1626" s="17">
        <v>16.0</v>
      </c>
      <c r="F1626" s="17">
        <v>20.0</v>
      </c>
      <c r="G1626" s="5">
        <v>20.0</v>
      </c>
      <c r="H1626" s="5">
        <v>60.0</v>
      </c>
      <c r="I1626" s="5">
        <v>12.0</v>
      </c>
      <c r="J1626" s="19" t="s">
        <v>31</v>
      </c>
      <c r="K1626" s="17">
        <v>170.0</v>
      </c>
      <c r="L1626" s="5" t="s">
        <v>5135</v>
      </c>
      <c r="M1626" s="5" t="s">
        <v>2230</v>
      </c>
    </row>
    <row r="1627" ht="22.5" customHeight="1">
      <c r="A1627" s="37">
        <v>45998.01102578704</v>
      </c>
      <c r="B1627" s="5" t="s">
        <v>2282</v>
      </c>
      <c r="C1627" s="19" t="s">
        <v>172</v>
      </c>
      <c r="D1627" s="17">
        <v>5.0</v>
      </c>
      <c r="E1627" s="17">
        <v>28.2</v>
      </c>
      <c r="F1627" s="17">
        <v>30.0</v>
      </c>
      <c r="G1627" s="5">
        <v>30.0</v>
      </c>
      <c r="H1627" s="5">
        <v>150.0</v>
      </c>
      <c r="I1627" s="5">
        <v>9.0</v>
      </c>
      <c r="J1627" s="19" t="s">
        <v>31</v>
      </c>
      <c r="K1627" s="17">
        <v>169.0</v>
      </c>
      <c r="L1627" s="5" t="s">
        <v>5136</v>
      </c>
      <c r="M1627" s="5" t="s">
        <v>2230</v>
      </c>
    </row>
    <row r="1628" ht="22.5" customHeight="1">
      <c r="A1628" s="37">
        <v>45998.01102533565</v>
      </c>
      <c r="B1628" s="5" t="s">
        <v>2282</v>
      </c>
      <c r="C1628" s="19" t="s">
        <v>144</v>
      </c>
      <c r="D1628" s="17">
        <v>1.0</v>
      </c>
      <c r="E1628" s="17">
        <v>140.0</v>
      </c>
      <c r="F1628" s="17">
        <v>175.0</v>
      </c>
      <c r="G1628" s="5">
        <v>175.0</v>
      </c>
      <c r="H1628" s="5">
        <v>175.0</v>
      </c>
      <c r="I1628" s="5">
        <v>35.0</v>
      </c>
      <c r="J1628" s="19"/>
      <c r="K1628" s="17">
        <v>168.0</v>
      </c>
      <c r="L1628" s="5" t="s">
        <v>5137</v>
      </c>
      <c r="M1628" s="5" t="s">
        <v>2230</v>
      </c>
    </row>
    <row r="1629" ht="22.5" customHeight="1">
      <c r="A1629" s="37">
        <v>45998.011025115746</v>
      </c>
      <c r="B1629" s="5" t="s">
        <v>2282</v>
      </c>
      <c r="C1629" s="19" t="s">
        <v>79</v>
      </c>
      <c r="D1629" s="17">
        <v>1.0</v>
      </c>
      <c r="E1629" s="17">
        <v>60.0</v>
      </c>
      <c r="F1629" s="17">
        <v>70.0</v>
      </c>
      <c r="G1629" s="5">
        <v>70.0</v>
      </c>
      <c r="H1629" s="5">
        <v>70.0</v>
      </c>
      <c r="I1629" s="5">
        <v>10.0</v>
      </c>
      <c r="J1629" s="19" t="s">
        <v>31</v>
      </c>
      <c r="K1629" s="17">
        <v>167.0</v>
      </c>
      <c r="L1629" s="5" t="s">
        <v>5138</v>
      </c>
      <c r="M1629" s="5" t="s">
        <v>2230</v>
      </c>
    </row>
    <row r="1630" ht="22.5" customHeight="1">
      <c r="A1630" s="37">
        <v>45998.01102489584</v>
      </c>
      <c r="B1630" s="5" t="s">
        <v>2282</v>
      </c>
      <c r="C1630" s="19" t="s">
        <v>449</v>
      </c>
      <c r="D1630" s="17">
        <v>1.0</v>
      </c>
      <c r="E1630" s="17">
        <v>135.0</v>
      </c>
      <c r="F1630" s="17">
        <v>162.0</v>
      </c>
      <c r="G1630" s="5">
        <v>162.0</v>
      </c>
      <c r="H1630" s="5">
        <v>162.0</v>
      </c>
      <c r="I1630" s="5">
        <v>27.0</v>
      </c>
      <c r="J1630" s="19" t="s">
        <v>31</v>
      </c>
      <c r="K1630" s="17">
        <v>166.0</v>
      </c>
      <c r="L1630" s="5" t="s">
        <v>5139</v>
      </c>
      <c r="M1630" s="5" t="s">
        <v>2230</v>
      </c>
    </row>
    <row r="1631" ht="22.5" customHeight="1">
      <c r="A1631" s="37">
        <v>45998.01102467593</v>
      </c>
      <c r="B1631" s="5" t="s">
        <v>2282</v>
      </c>
      <c r="C1631" s="19" t="s">
        <v>187</v>
      </c>
      <c r="D1631" s="17">
        <v>1.0</v>
      </c>
      <c r="E1631" s="17">
        <v>525.0</v>
      </c>
      <c r="F1631" s="17">
        <v>630.0</v>
      </c>
      <c r="G1631" s="5">
        <v>630.0</v>
      </c>
      <c r="H1631" s="5">
        <v>630.0</v>
      </c>
      <c r="I1631" s="5">
        <v>105.0</v>
      </c>
      <c r="J1631" s="19" t="s">
        <v>31</v>
      </c>
      <c r="K1631" s="17">
        <v>165.0</v>
      </c>
      <c r="L1631" s="5" t="s">
        <v>5140</v>
      </c>
      <c r="M1631" s="5" t="s">
        <v>2230</v>
      </c>
    </row>
    <row r="1632" ht="22.5" customHeight="1">
      <c r="A1632" s="37">
        <v>45998.011024374995</v>
      </c>
      <c r="B1632" s="5" t="s">
        <v>2282</v>
      </c>
      <c r="C1632" s="19" t="s">
        <v>297</v>
      </c>
      <c r="D1632" s="17">
        <v>0.5</v>
      </c>
      <c r="E1632" s="17">
        <v>30.0</v>
      </c>
      <c r="F1632" s="17">
        <v>40.0</v>
      </c>
      <c r="G1632" s="5">
        <v>39.97</v>
      </c>
      <c r="H1632" s="5">
        <v>19.99</v>
      </c>
      <c r="I1632" s="5">
        <v>4.99</v>
      </c>
      <c r="J1632" s="19" t="s">
        <v>31</v>
      </c>
      <c r="K1632" s="17">
        <v>163.0</v>
      </c>
      <c r="L1632" s="5" t="s">
        <v>5141</v>
      </c>
      <c r="M1632" s="5" t="s">
        <v>2230</v>
      </c>
    </row>
    <row r="1633" ht="22.5" customHeight="1">
      <c r="A1633" s="37">
        <v>45998.011024050924</v>
      </c>
      <c r="B1633" s="5" t="s">
        <v>2282</v>
      </c>
      <c r="C1633" s="19" t="s">
        <v>357</v>
      </c>
      <c r="D1633" s="17">
        <v>1.0</v>
      </c>
      <c r="E1633" s="17">
        <v>225.0</v>
      </c>
      <c r="F1633" s="17">
        <v>270.0</v>
      </c>
      <c r="G1633" s="5">
        <v>269.81</v>
      </c>
      <c r="H1633" s="5">
        <v>269.81</v>
      </c>
      <c r="I1633" s="5">
        <v>44.81</v>
      </c>
      <c r="J1633" s="19" t="s">
        <v>31</v>
      </c>
      <c r="K1633" s="17">
        <v>162.0</v>
      </c>
      <c r="L1633" s="5" t="s">
        <v>5142</v>
      </c>
      <c r="M1633" s="5" t="s">
        <v>2230</v>
      </c>
    </row>
    <row r="1634" ht="22.5" customHeight="1">
      <c r="A1634" s="37">
        <v>45998.01102381945</v>
      </c>
      <c r="B1634" s="5" t="s">
        <v>2282</v>
      </c>
      <c r="C1634" s="19" t="s">
        <v>255</v>
      </c>
      <c r="D1634" s="17">
        <v>2.0</v>
      </c>
      <c r="E1634" s="17">
        <v>35.0</v>
      </c>
      <c r="F1634" s="17">
        <v>50.0</v>
      </c>
      <c r="G1634" s="5">
        <v>49.97</v>
      </c>
      <c r="H1634" s="5">
        <v>99.94</v>
      </c>
      <c r="I1634" s="5">
        <v>29.94</v>
      </c>
      <c r="J1634" s="19" t="s">
        <v>31</v>
      </c>
      <c r="K1634" s="17">
        <v>161.0</v>
      </c>
      <c r="L1634" s="5" t="s">
        <v>5143</v>
      </c>
      <c r="M1634" s="5" t="s">
        <v>2230</v>
      </c>
    </row>
    <row r="1635" ht="22.5" customHeight="1">
      <c r="A1635" s="37">
        <v>45998.011023541665</v>
      </c>
      <c r="B1635" s="5" t="s">
        <v>2282</v>
      </c>
      <c r="C1635" s="19" t="s">
        <v>433</v>
      </c>
      <c r="D1635" s="17">
        <v>1.0</v>
      </c>
      <c r="E1635" s="17">
        <v>110.0</v>
      </c>
      <c r="F1635" s="17">
        <v>160.0</v>
      </c>
      <c r="G1635" s="5">
        <v>159.89</v>
      </c>
      <c r="H1635" s="5">
        <v>159.89</v>
      </c>
      <c r="I1635" s="5">
        <v>49.89</v>
      </c>
      <c r="J1635" s="19" t="s">
        <v>31</v>
      </c>
      <c r="K1635" s="17">
        <v>159.0</v>
      </c>
      <c r="L1635" s="5" t="s">
        <v>5144</v>
      </c>
      <c r="M1635" s="5" t="s">
        <v>2230</v>
      </c>
    </row>
    <row r="1636" ht="22.5" customHeight="1">
      <c r="A1636" s="37">
        <v>45998.011023287036</v>
      </c>
      <c r="B1636" s="5" t="s">
        <v>2282</v>
      </c>
      <c r="C1636" s="19" t="s">
        <v>144</v>
      </c>
      <c r="D1636" s="17">
        <v>1.0</v>
      </c>
      <c r="E1636" s="17">
        <v>140.0</v>
      </c>
      <c r="F1636" s="17">
        <v>175.0</v>
      </c>
      <c r="G1636" s="5">
        <v>174.88</v>
      </c>
      <c r="H1636" s="5">
        <v>174.88</v>
      </c>
      <c r="I1636" s="5">
        <v>34.88</v>
      </c>
      <c r="J1636" s="19"/>
      <c r="K1636" s="17">
        <v>158.0</v>
      </c>
      <c r="L1636" s="5" t="s">
        <v>5145</v>
      </c>
      <c r="M1636" s="5" t="s">
        <v>2230</v>
      </c>
    </row>
    <row r="1637" ht="22.5" customHeight="1">
      <c r="A1637" s="37">
        <v>45998.01102297453</v>
      </c>
      <c r="B1637" s="5" t="s">
        <v>2282</v>
      </c>
      <c r="C1637" s="19" t="s">
        <v>428</v>
      </c>
      <c r="D1637" s="17">
        <v>1.0</v>
      </c>
      <c r="E1637" s="17">
        <v>175.0</v>
      </c>
      <c r="F1637" s="17">
        <v>250.0</v>
      </c>
      <c r="G1637" s="5">
        <v>250.0</v>
      </c>
      <c r="H1637" s="5">
        <v>250.0</v>
      </c>
      <c r="I1637" s="5">
        <v>75.0</v>
      </c>
      <c r="J1637" s="19" t="s">
        <v>31</v>
      </c>
      <c r="K1637" s="17">
        <v>157.0</v>
      </c>
      <c r="L1637" s="5" t="s">
        <v>5146</v>
      </c>
      <c r="M1637" s="5" t="s">
        <v>2230</v>
      </c>
    </row>
    <row r="1638" ht="22.5" customHeight="1">
      <c r="A1638" s="37">
        <v>45998.011022754625</v>
      </c>
      <c r="B1638" s="5" t="s">
        <v>2282</v>
      </c>
      <c r="C1638" s="19" t="s">
        <v>294</v>
      </c>
      <c r="D1638" s="17">
        <v>1.0</v>
      </c>
      <c r="E1638" s="17">
        <v>80.0</v>
      </c>
      <c r="F1638" s="17">
        <v>100.0</v>
      </c>
      <c r="G1638" s="5">
        <v>100.0</v>
      </c>
      <c r="H1638" s="5">
        <v>100.0</v>
      </c>
      <c r="I1638" s="5">
        <v>20.0</v>
      </c>
      <c r="J1638" s="19" t="s">
        <v>31</v>
      </c>
      <c r="K1638" s="17">
        <v>156.0</v>
      </c>
      <c r="L1638" s="5" t="s">
        <v>5147</v>
      </c>
      <c r="M1638" s="5" t="s">
        <v>2230</v>
      </c>
    </row>
    <row r="1639" ht="22.5" customHeight="1">
      <c r="A1639" s="37">
        <v>45998.011022418985</v>
      </c>
      <c r="B1639" s="5" t="s">
        <v>2282</v>
      </c>
      <c r="C1639" s="19" t="s">
        <v>81</v>
      </c>
      <c r="D1639" s="17">
        <v>1.0</v>
      </c>
      <c r="E1639" s="17">
        <v>625.0</v>
      </c>
      <c r="F1639" s="17">
        <v>800.0</v>
      </c>
      <c r="G1639" s="5">
        <v>800.0</v>
      </c>
      <c r="H1639" s="5">
        <v>800.0</v>
      </c>
      <c r="I1639" s="5">
        <v>175.0</v>
      </c>
      <c r="J1639" s="19" t="s">
        <v>31</v>
      </c>
      <c r="K1639" s="17">
        <v>155.0</v>
      </c>
      <c r="L1639" s="5" t="s">
        <v>5148</v>
      </c>
      <c r="M1639" s="5" t="s">
        <v>2230</v>
      </c>
    </row>
    <row r="1640" ht="22.5" customHeight="1">
      <c r="A1640" s="37">
        <v>45998.0110221412</v>
      </c>
      <c r="B1640" s="5" t="s">
        <v>2282</v>
      </c>
      <c r="C1640" s="19" t="s">
        <v>255</v>
      </c>
      <c r="D1640" s="17">
        <v>1.0</v>
      </c>
      <c r="E1640" s="17">
        <v>35.0</v>
      </c>
      <c r="F1640" s="17">
        <v>50.0</v>
      </c>
      <c r="G1640" s="5">
        <v>50.0</v>
      </c>
      <c r="H1640" s="5">
        <v>50.0</v>
      </c>
      <c r="I1640" s="5">
        <v>15.0</v>
      </c>
      <c r="J1640" s="19" t="s">
        <v>31</v>
      </c>
      <c r="K1640" s="17">
        <v>154.0</v>
      </c>
      <c r="L1640" s="5" t="s">
        <v>5149</v>
      </c>
      <c r="M1640" s="5" t="s">
        <v>2230</v>
      </c>
    </row>
    <row r="1641" ht="22.5" customHeight="1">
      <c r="A1641" s="37">
        <v>45998.01102179398</v>
      </c>
      <c r="B1641" s="5" t="s">
        <v>2282</v>
      </c>
      <c r="C1641" s="19" t="s">
        <v>74</v>
      </c>
      <c r="D1641" s="17">
        <v>1.0</v>
      </c>
      <c r="E1641" s="17">
        <v>120.0</v>
      </c>
      <c r="F1641" s="17">
        <v>150.0</v>
      </c>
      <c r="G1641" s="5">
        <v>150.0</v>
      </c>
      <c r="H1641" s="5">
        <v>150.0</v>
      </c>
      <c r="I1641" s="5">
        <v>30.0</v>
      </c>
      <c r="J1641" s="19" t="s">
        <v>31</v>
      </c>
      <c r="K1641" s="17">
        <v>152.0</v>
      </c>
      <c r="L1641" s="5" t="s">
        <v>5152</v>
      </c>
      <c r="M1641" s="5" t="s">
        <v>2230</v>
      </c>
    </row>
    <row r="1642" ht="22.5" customHeight="1">
      <c r="A1642" s="37">
        <v>45998.0110215625</v>
      </c>
      <c r="B1642" s="5" t="s">
        <v>2282</v>
      </c>
      <c r="C1642" s="19" t="s">
        <v>416</v>
      </c>
      <c r="D1642" s="17">
        <v>1.0</v>
      </c>
      <c r="E1642" s="17">
        <v>30.0</v>
      </c>
      <c r="F1642" s="17">
        <v>35.0</v>
      </c>
      <c r="G1642" s="5">
        <v>35.0</v>
      </c>
      <c r="H1642" s="5">
        <v>35.0</v>
      </c>
      <c r="I1642" s="5">
        <v>5.0</v>
      </c>
      <c r="J1642" s="19" t="s">
        <v>31</v>
      </c>
      <c r="K1642" s="17">
        <v>151.0</v>
      </c>
      <c r="L1642" s="5" t="s">
        <v>5153</v>
      </c>
      <c r="M1642" s="5" t="s">
        <v>2230</v>
      </c>
    </row>
    <row r="1643" ht="22.5" customHeight="1">
      <c r="A1643" s="37">
        <v>45998.01102128472</v>
      </c>
      <c r="B1643" s="5" t="s">
        <v>2282</v>
      </c>
      <c r="C1643" s="19" t="s">
        <v>404</v>
      </c>
      <c r="D1643" s="17">
        <v>1.0</v>
      </c>
      <c r="E1643" s="17">
        <v>75.0</v>
      </c>
      <c r="F1643" s="17">
        <v>90.0</v>
      </c>
      <c r="G1643" s="5">
        <v>90.0</v>
      </c>
      <c r="H1643" s="5">
        <v>90.0</v>
      </c>
      <c r="I1643" s="5">
        <v>15.0</v>
      </c>
      <c r="J1643" s="19" t="s">
        <v>31</v>
      </c>
      <c r="K1643" s="17">
        <v>150.0</v>
      </c>
      <c r="L1643" s="5" t="s">
        <v>5154</v>
      </c>
      <c r="M1643" s="5" t="s">
        <v>2230</v>
      </c>
    </row>
    <row r="1644" ht="22.5" customHeight="1">
      <c r="A1644" s="37">
        <v>45998.011021053244</v>
      </c>
      <c r="B1644" s="5" t="s">
        <v>2282</v>
      </c>
      <c r="C1644" s="19" t="s">
        <v>153</v>
      </c>
      <c r="D1644" s="17">
        <v>1.0</v>
      </c>
      <c r="E1644" s="17">
        <v>211.67</v>
      </c>
      <c r="F1644" s="17">
        <v>260.0</v>
      </c>
      <c r="G1644" s="5">
        <v>260.0</v>
      </c>
      <c r="H1644" s="5">
        <v>260.0</v>
      </c>
      <c r="I1644" s="5">
        <v>48.33</v>
      </c>
      <c r="J1644" s="19" t="s">
        <v>31</v>
      </c>
      <c r="K1644" s="17">
        <v>149.0</v>
      </c>
      <c r="L1644" s="5" t="s">
        <v>5155</v>
      </c>
      <c r="M1644" s="5" t="s">
        <v>2230</v>
      </c>
    </row>
    <row r="1645" ht="22.5" customHeight="1">
      <c r="A1645" s="37">
        <v>45998.011020659724</v>
      </c>
      <c r="B1645" s="5" t="s">
        <v>2282</v>
      </c>
      <c r="C1645" s="19" t="s">
        <v>409</v>
      </c>
      <c r="D1645" s="17">
        <v>0.5</v>
      </c>
      <c r="E1645" s="17">
        <v>95.0</v>
      </c>
      <c r="F1645" s="17">
        <v>120.0</v>
      </c>
      <c r="G1645" s="5">
        <v>120.0</v>
      </c>
      <c r="H1645" s="5">
        <v>60.0</v>
      </c>
      <c r="I1645" s="5">
        <v>12.5</v>
      </c>
      <c r="J1645" s="19" t="s">
        <v>31</v>
      </c>
      <c r="K1645" s="17">
        <v>147.0</v>
      </c>
      <c r="L1645" s="5" t="s">
        <v>5156</v>
      </c>
      <c r="M1645" s="5" t="s">
        <v>2230</v>
      </c>
    </row>
    <row r="1646" ht="22.5" customHeight="1">
      <c r="A1646" s="37">
        <v>45998.01102041667</v>
      </c>
      <c r="B1646" s="5" t="s">
        <v>2282</v>
      </c>
      <c r="C1646" s="19" t="s">
        <v>404</v>
      </c>
      <c r="D1646" s="17">
        <v>1.0</v>
      </c>
      <c r="E1646" s="17">
        <v>75.0</v>
      </c>
      <c r="F1646" s="17">
        <v>90.0</v>
      </c>
      <c r="G1646" s="5">
        <v>90.0</v>
      </c>
      <c r="H1646" s="5">
        <v>90.0</v>
      </c>
      <c r="I1646" s="5">
        <v>15.0</v>
      </c>
      <c r="J1646" s="19" t="s">
        <v>31</v>
      </c>
      <c r="K1646" s="17">
        <v>146.0</v>
      </c>
      <c r="L1646" s="5" t="s">
        <v>5157</v>
      </c>
      <c r="M1646" s="5" t="s">
        <v>2230</v>
      </c>
    </row>
    <row r="1647" ht="22.5" customHeight="1">
      <c r="A1647" s="37">
        <v>45998.01102021991</v>
      </c>
      <c r="B1647" s="5" t="s">
        <v>2282</v>
      </c>
      <c r="C1647" s="19" t="s">
        <v>168</v>
      </c>
      <c r="D1647" s="17">
        <v>1.0</v>
      </c>
      <c r="E1647" s="17">
        <v>135.0</v>
      </c>
      <c r="F1647" s="17">
        <v>200.0</v>
      </c>
      <c r="G1647" s="5">
        <v>200.0</v>
      </c>
      <c r="H1647" s="5">
        <v>200.0</v>
      </c>
      <c r="I1647" s="5">
        <v>65.0</v>
      </c>
      <c r="J1647" s="19" t="s">
        <v>31</v>
      </c>
      <c r="K1647" s="17">
        <v>145.0</v>
      </c>
      <c r="L1647" s="5" t="s">
        <v>5158</v>
      </c>
      <c r="M1647" s="5" t="s">
        <v>2230</v>
      </c>
    </row>
    <row r="1648" ht="22.5" customHeight="1">
      <c r="A1648" s="37">
        <v>45998.011020011574</v>
      </c>
      <c r="B1648" s="5" t="s">
        <v>2282</v>
      </c>
      <c r="C1648" s="19" t="s">
        <v>153</v>
      </c>
      <c r="D1648" s="17">
        <v>1.0</v>
      </c>
      <c r="E1648" s="17">
        <v>211.67</v>
      </c>
      <c r="F1648" s="17">
        <v>260.0</v>
      </c>
      <c r="G1648" s="5">
        <v>260.0</v>
      </c>
      <c r="H1648" s="5">
        <v>260.0</v>
      </c>
      <c r="I1648" s="5">
        <v>48.33</v>
      </c>
      <c r="J1648" s="19" t="s">
        <v>31</v>
      </c>
      <c r="K1648" s="17">
        <v>144.0</v>
      </c>
      <c r="L1648" s="5" t="s">
        <v>5159</v>
      </c>
      <c r="M1648" s="5" t="s">
        <v>2230</v>
      </c>
    </row>
    <row r="1649" ht="22.5" customHeight="1">
      <c r="A1649" s="37">
        <v>45998.01101966435</v>
      </c>
      <c r="B1649" s="5" t="s">
        <v>2282</v>
      </c>
      <c r="C1649" s="19" t="s">
        <v>74</v>
      </c>
      <c r="D1649" s="17">
        <v>1.0</v>
      </c>
      <c r="E1649" s="17">
        <v>120.0</v>
      </c>
      <c r="F1649" s="17">
        <v>180.0</v>
      </c>
      <c r="G1649" s="5">
        <v>180.0</v>
      </c>
      <c r="H1649" s="5">
        <v>180.0</v>
      </c>
      <c r="I1649" s="5">
        <v>60.0</v>
      </c>
      <c r="J1649" s="19" t="s">
        <v>31</v>
      </c>
      <c r="K1649" s="17">
        <v>143.0</v>
      </c>
      <c r="L1649" s="5" t="s">
        <v>5160</v>
      </c>
      <c r="M1649" s="5" t="s">
        <v>2230</v>
      </c>
    </row>
    <row r="1650" ht="22.5" customHeight="1">
      <c r="A1650" s="37">
        <v>45998.01101938657</v>
      </c>
      <c r="B1650" s="5" t="s">
        <v>2282</v>
      </c>
      <c r="C1650" s="19" t="s">
        <v>366</v>
      </c>
      <c r="D1650" s="17">
        <v>1.0</v>
      </c>
      <c r="E1650" s="17">
        <v>140.0</v>
      </c>
      <c r="F1650" s="17">
        <v>180.0</v>
      </c>
      <c r="G1650" s="5">
        <v>180.0</v>
      </c>
      <c r="H1650" s="5">
        <v>180.0</v>
      </c>
      <c r="I1650" s="5">
        <v>40.0</v>
      </c>
      <c r="J1650" s="19" t="s">
        <v>31</v>
      </c>
      <c r="K1650" s="17">
        <v>142.0</v>
      </c>
      <c r="L1650" s="5" t="s">
        <v>5161</v>
      </c>
      <c r="M1650" s="5" t="s">
        <v>2230</v>
      </c>
    </row>
    <row r="1651" ht="22.5" customHeight="1">
      <c r="A1651" s="37">
        <v>45998.01101913194</v>
      </c>
      <c r="B1651" s="5" t="s">
        <v>2282</v>
      </c>
      <c r="C1651" s="19" t="s">
        <v>194</v>
      </c>
      <c r="D1651" s="17">
        <v>1.0</v>
      </c>
      <c r="E1651" s="17">
        <v>164.17</v>
      </c>
      <c r="F1651" s="17">
        <v>195.0</v>
      </c>
      <c r="G1651" s="5">
        <v>195.0</v>
      </c>
      <c r="H1651" s="5">
        <v>195.0</v>
      </c>
      <c r="I1651" s="5">
        <v>30.83</v>
      </c>
      <c r="J1651" s="19" t="s">
        <v>31</v>
      </c>
      <c r="K1651" s="17">
        <v>141.0</v>
      </c>
      <c r="L1651" s="5" t="s">
        <v>5162</v>
      </c>
      <c r="M1651" s="5" t="s">
        <v>2230</v>
      </c>
    </row>
    <row r="1652" ht="22.5" customHeight="1">
      <c r="A1652" s="37">
        <v>45998.011018715275</v>
      </c>
      <c r="B1652" s="5" t="s">
        <v>2282</v>
      </c>
      <c r="C1652" s="19" t="s">
        <v>282</v>
      </c>
      <c r="D1652" s="17">
        <v>1.0</v>
      </c>
      <c r="E1652" s="17">
        <v>195.0</v>
      </c>
      <c r="F1652" s="17">
        <v>235.0</v>
      </c>
      <c r="G1652" s="5">
        <v>235.0</v>
      </c>
      <c r="H1652" s="5">
        <v>235.0</v>
      </c>
      <c r="I1652" s="5">
        <v>40.0</v>
      </c>
      <c r="J1652" s="19" t="s">
        <v>31</v>
      </c>
      <c r="K1652" s="17">
        <v>140.0</v>
      </c>
      <c r="L1652" s="5" t="s">
        <v>5163</v>
      </c>
      <c r="M1652" s="5" t="s">
        <v>2230</v>
      </c>
    </row>
    <row r="1653" ht="22.5" customHeight="1">
      <c r="A1653" s="37">
        <v>45998.01101833333</v>
      </c>
      <c r="B1653" s="5" t="s">
        <v>2282</v>
      </c>
      <c r="C1653" s="19" t="s">
        <v>392</v>
      </c>
      <c r="D1653" s="17">
        <v>1.0</v>
      </c>
      <c r="E1653" s="17">
        <v>65.0</v>
      </c>
      <c r="F1653" s="17">
        <v>95.0</v>
      </c>
      <c r="G1653" s="5">
        <v>95.0</v>
      </c>
      <c r="H1653" s="5">
        <v>95.0</v>
      </c>
      <c r="I1653" s="5">
        <v>30.0</v>
      </c>
      <c r="J1653" s="19" t="s">
        <v>31</v>
      </c>
      <c r="K1653" s="17">
        <v>139.0</v>
      </c>
      <c r="L1653" s="5" t="s">
        <v>5164</v>
      </c>
      <c r="M1653" s="5" t="s">
        <v>2230</v>
      </c>
    </row>
    <row r="1654" ht="22.5" customHeight="1">
      <c r="A1654" s="37">
        <v>45998.011017997684</v>
      </c>
      <c r="B1654" s="5" t="s">
        <v>2282</v>
      </c>
      <c r="C1654" s="19" t="s">
        <v>173</v>
      </c>
      <c r="D1654" s="17">
        <v>1.0</v>
      </c>
      <c r="E1654" s="17">
        <v>45.0</v>
      </c>
      <c r="F1654" s="17">
        <v>60.0</v>
      </c>
      <c r="G1654" s="5">
        <v>60.0</v>
      </c>
      <c r="H1654" s="5">
        <v>60.0</v>
      </c>
      <c r="I1654" s="5">
        <v>15.0</v>
      </c>
      <c r="J1654" s="19" t="s">
        <v>31</v>
      </c>
      <c r="K1654" s="17">
        <v>138.0</v>
      </c>
      <c r="L1654" s="5" t="s">
        <v>5166</v>
      </c>
      <c r="M1654" s="5" t="s">
        <v>2230</v>
      </c>
    </row>
    <row r="1655" ht="22.5" customHeight="1">
      <c r="A1655" s="37">
        <v>45998.011017488425</v>
      </c>
      <c r="B1655" s="5" t="s">
        <v>2282</v>
      </c>
      <c r="C1655" s="19" t="s">
        <v>287</v>
      </c>
      <c r="D1655" s="17">
        <v>1.0</v>
      </c>
      <c r="E1655" s="17">
        <v>45.0</v>
      </c>
      <c r="F1655" s="17">
        <v>60.0</v>
      </c>
      <c r="G1655" s="5">
        <v>60.0</v>
      </c>
      <c r="H1655" s="5">
        <v>60.0</v>
      </c>
      <c r="I1655" s="5">
        <v>15.0</v>
      </c>
      <c r="J1655" s="19" t="s">
        <v>31</v>
      </c>
      <c r="K1655" s="17">
        <v>137.0</v>
      </c>
      <c r="L1655" s="5" t="s">
        <v>5167</v>
      </c>
      <c r="M1655" s="5" t="s">
        <v>2230</v>
      </c>
    </row>
    <row r="1656" ht="22.5" customHeight="1">
      <c r="A1656" s="37">
        <v>45998.011016874996</v>
      </c>
      <c r="B1656" s="5" t="s">
        <v>2282</v>
      </c>
      <c r="C1656" s="19" t="s">
        <v>144</v>
      </c>
      <c r="D1656" s="17">
        <v>1.0</v>
      </c>
      <c r="E1656" s="17">
        <v>140.0</v>
      </c>
      <c r="F1656" s="17">
        <v>200.0</v>
      </c>
      <c r="G1656" s="5">
        <v>200.0</v>
      </c>
      <c r="H1656" s="5">
        <v>200.0</v>
      </c>
      <c r="I1656" s="5">
        <v>60.0</v>
      </c>
      <c r="J1656" s="19"/>
      <c r="K1656" s="17">
        <v>136.0</v>
      </c>
      <c r="L1656" s="5" t="s">
        <v>5168</v>
      </c>
      <c r="M1656" s="5" t="s">
        <v>2230</v>
      </c>
    </row>
    <row r="1657" ht="22.5" customHeight="1">
      <c r="A1657" s="37">
        <v>45998.01101587963</v>
      </c>
      <c r="B1657" s="5" t="s">
        <v>2282</v>
      </c>
      <c r="C1657" s="19" t="s">
        <v>297</v>
      </c>
      <c r="D1657" s="17">
        <v>1.0</v>
      </c>
      <c r="E1657" s="17">
        <v>30.0</v>
      </c>
      <c r="F1657" s="17">
        <v>40.0</v>
      </c>
      <c r="G1657" s="5">
        <v>40.0</v>
      </c>
      <c r="H1657" s="5">
        <v>40.0</v>
      </c>
      <c r="I1657" s="5">
        <v>10.0</v>
      </c>
      <c r="J1657" s="19" t="s">
        <v>31</v>
      </c>
      <c r="K1657" s="17">
        <v>135.0</v>
      </c>
      <c r="L1657" s="5" t="s">
        <v>5169</v>
      </c>
      <c r="M1657" s="5" t="s">
        <v>2230</v>
      </c>
    </row>
    <row r="1658" ht="22.5" customHeight="1">
      <c r="A1658" s="37">
        <v>45998.011015254626</v>
      </c>
      <c r="B1658" s="5" t="s">
        <v>2282</v>
      </c>
      <c r="C1658" s="19" t="s">
        <v>246</v>
      </c>
      <c r="D1658" s="17">
        <v>1.0</v>
      </c>
      <c r="E1658" s="17">
        <v>325.0</v>
      </c>
      <c r="F1658" s="17">
        <v>350.0</v>
      </c>
      <c r="G1658" s="5">
        <v>350.0</v>
      </c>
      <c r="H1658" s="5">
        <v>350.0</v>
      </c>
      <c r="I1658" s="5">
        <v>25.0</v>
      </c>
      <c r="J1658" s="19" t="s">
        <v>31</v>
      </c>
      <c r="K1658" s="17">
        <v>134.0</v>
      </c>
      <c r="L1658" s="5" t="s">
        <v>5170</v>
      </c>
      <c r="M1658" s="5" t="s">
        <v>2230</v>
      </c>
    </row>
    <row r="1659" ht="22.5" customHeight="1">
      <c r="A1659" s="37">
        <v>45998.011014814816</v>
      </c>
      <c r="B1659" s="5" t="s">
        <v>2282</v>
      </c>
      <c r="C1659" s="19" t="s">
        <v>376</v>
      </c>
      <c r="D1659" s="17">
        <v>2.0</v>
      </c>
      <c r="E1659" s="17">
        <v>110.0</v>
      </c>
      <c r="F1659" s="17">
        <v>130.0</v>
      </c>
      <c r="G1659" s="5">
        <v>130.0</v>
      </c>
      <c r="H1659" s="5">
        <v>260.0</v>
      </c>
      <c r="I1659" s="5">
        <v>40.0</v>
      </c>
      <c r="J1659" s="19" t="s">
        <v>31</v>
      </c>
      <c r="K1659" s="17">
        <v>133.0</v>
      </c>
      <c r="L1659" s="5" t="s">
        <v>5171</v>
      </c>
      <c r="M1659" s="5" t="s">
        <v>2230</v>
      </c>
    </row>
    <row r="1660" ht="22.5" customHeight="1">
      <c r="A1660" s="37">
        <v>45998.01101453704</v>
      </c>
      <c r="B1660" s="5" t="s">
        <v>2282</v>
      </c>
      <c r="C1660" s="19" t="s">
        <v>379</v>
      </c>
      <c r="D1660" s="17">
        <v>1.0</v>
      </c>
      <c r="E1660" s="17">
        <v>155.0</v>
      </c>
      <c r="F1660" s="17">
        <v>200.0</v>
      </c>
      <c r="G1660" s="5">
        <v>200.0</v>
      </c>
      <c r="H1660" s="5">
        <v>200.0</v>
      </c>
      <c r="I1660" s="5">
        <v>45.0</v>
      </c>
      <c r="J1660" s="19" t="s">
        <v>31</v>
      </c>
      <c r="K1660" s="17">
        <v>132.0</v>
      </c>
      <c r="L1660" s="5" t="s">
        <v>5172</v>
      </c>
      <c r="M1660" s="5" t="s">
        <v>2230</v>
      </c>
    </row>
    <row r="1661" ht="22.5" customHeight="1">
      <c r="A1661" s="37">
        <v>45998.01101428241</v>
      </c>
      <c r="B1661" s="5" t="s">
        <v>2282</v>
      </c>
      <c r="C1661" s="19" t="s">
        <v>268</v>
      </c>
      <c r="D1661" s="17">
        <v>1.0</v>
      </c>
      <c r="E1661" s="17">
        <v>170.0</v>
      </c>
      <c r="F1661" s="17">
        <v>200.0</v>
      </c>
      <c r="G1661" s="5">
        <v>200.0</v>
      </c>
      <c r="H1661" s="5">
        <v>200.0</v>
      </c>
      <c r="I1661" s="5">
        <v>30.0</v>
      </c>
      <c r="J1661" s="19" t="s">
        <v>581</v>
      </c>
      <c r="K1661" s="17">
        <v>131.0</v>
      </c>
      <c r="L1661" s="5" t="s">
        <v>5173</v>
      </c>
      <c r="M1661" s="5" t="s">
        <v>2230</v>
      </c>
    </row>
    <row r="1662" ht="22.5" customHeight="1">
      <c r="A1662" s="37">
        <v>45998.011013842595</v>
      </c>
      <c r="B1662" s="5" t="s">
        <v>2282</v>
      </c>
      <c r="C1662" s="19" t="s">
        <v>319</v>
      </c>
      <c r="D1662" s="17">
        <v>1.0</v>
      </c>
      <c r="E1662" s="17">
        <v>275.0</v>
      </c>
      <c r="F1662" s="17">
        <v>400.0</v>
      </c>
      <c r="G1662" s="5">
        <v>400.0</v>
      </c>
      <c r="H1662" s="5">
        <v>400.0</v>
      </c>
      <c r="I1662" s="5">
        <v>125.0</v>
      </c>
      <c r="J1662" s="19" t="s">
        <v>31</v>
      </c>
      <c r="K1662" s="17">
        <v>130.0</v>
      </c>
      <c r="L1662" s="5" t="s">
        <v>5174</v>
      </c>
      <c r="M1662" s="5" t="s">
        <v>2230</v>
      </c>
    </row>
    <row r="1663" ht="22.5" customHeight="1">
      <c r="A1663" s="37">
        <v>45998.01101354166</v>
      </c>
      <c r="B1663" s="5" t="s">
        <v>2282</v>
      </c>
      <c r="C1663" s="19" t="s">
        <v>144</v>
      </c>
      <c r="D1663" s="17">
        <v>2.0</v>
      </c>
      <c r="E1663" s="17">
        <v>140.0</v>
      </c>
      <c r="F1663" s="17">
        <v>200.0</v>
      </c>
      <c r="G1663" s="5">
        <v>200.0</v>
      </c>
      <c r="H1663" s="5">
        <v>400.0</v>
      </c>
      <c r="I1663" s="5">
        <v>120.0</v>
      </c>
      <c r="J1663" s="19"/>
      <c r="K1663" s="17">
        <v>129.0</v>
      </c>
      <c r="L1663" s="5" t="s">
        <v>5175</v>
      </c>
      <c r="M1663" s="5" t="s">
        <v>2230</v>
      </c>
    </row>
    <row r="1664" ht="22.5" customHeight="1">
      <c r="A1664" s="37">
        <v>45998.01101321759</v>
      </c>
      <c r="B1664" s="5" t="s">
        <v>2282</v>
      </c>
      <c r="C1664" s="19" t="s">
        <v>322</v>
      </c>
      <c r="D1664" s="17">
        <v>1.0</v>
      </c>
      <c r="E1664" s="17">
        <v>75.0</v>
      </c>
      <c r="F1664" s="17">
        <v>100.0</v>
      </c>
      <c r="G1664" s="5">
        <v>100.0</v>
      </c>
      <c r="H1664" s="5">
        <v>100.0</v>
      </c>
      <c r="I1664" s="5">
        <v>25.0</v>
      </c>
      <c r="J1664" s="19" t="s">
        <v>31</v>
      </c>
      <c r="K1664" s="17">
        <v>128.0</v>
      </c>
      <c r="L1664" s="5" t="s">
        <v>5176</v>
      </c>
      <c r="M1664" s="5" t="s">
        <v>2230</v>
      </c>
    </row>
    <row r="1665" ht="22.5" customHeight="1">
      <c r="A1665" s="37">
        <v>45998.01101291667</v>
      </c>
      <c r="B1665" s="5" t="s">
        <v>2282</v>
      </c>
      <c r="C1665" s="19" t="s">
        <v>366</v>
      </c>
      <c r="D1665" s="17">
        <v>1.0</v>
      </c>
      <c r="E1665" s="17">
        <v>140.0</v>
      </c>
      <c r="F1665" s="17">
        <v>220.0</v>
      </c>
      <c r="G1665" s="5">
        <v>220.0</v>
      </c>
      <c r="H1665" s="5">
        <v>220.0</v>
      </c>
      <c r="I1665" s="5">
        <v>80.0</v>
      </c>
      <c r="J1665" s="19" t="s">
        <v>31</v>
      </c>
      <c r="K1665" s="17">
        <v>127.0</v>
      </c>
      <c r="L1665" s="5" t="s">
        <v>5177</v>
      </c>
      <c r="M1665" s="5" t="s">
        <v>2230</v>
      </c>
    </row>
    <row r="1666" ht="22.5" customHeight="1">
      <c r="A1666" s="37">
        <v>45998.011012546296</v>
      </c>
      <c r="B1666" s="5" t="s">
        <v>2282</v>
      </c>
      <c r="C1666" s="19" t="s">
        <v>221</v>
      </c>
      <c r="D1666" s="17">
        <v>1.0</v>
      </c>
      <c r="E1666" s="17">
        <v>235.0</v>
      </c>
      <c r="F1666" s="17">
        <v>350.0</v>
      </c>
      <c r="G1666" s="5">
        <v>350.0</v>
      </c>
      <c r="H1666" s="5">
        <v>350.0</v>
      </c>
      <c r="I1666" s="5">
        <v>115.0</v>
      </c>
      <c r="J1666" s="19" t="s">
        <v>31</v>
      </c>
      <c r="K1666" s="17">
        <v>126.0</v>
      </c>
      <c r="L1666" s="5" t="s">
        <v>5178</v>
      </c>
      <c r="M1666" s="5" t="s">
        <v>2230</v>
      </c>
    </row>
    <row r="1667" ht="22.5" customHeight="1">
      <c r="A1667" s="37">
        <v>45998.0110121412</v>
      </c>
      <c r="B1667" s="5" t="s">
        <v>2282</v>
      </c>
      <c r="C1667" s="19" t="s">
        <v>297</v>
      </c>
      <c r="D1667" s="17">
        <v>1.0</v>
      </c>
      <c r="E1667" s="17">
        <v>30.0</v>
      </c>
      <c r="F1667" s="17">
        <v>60.0</v>
      </c>
      <c r="G1667" s="5">
        <v>60.0</v>
      </c>
      <c r="H1667" s="5">
        <v>60.0</v>
      </c>
      <c r="I1667" s="5">
        <v>30.0</v>
      </c>
      <c r="J1667" s="19" t="s">
        <v>31</v>
      </c>
      <c r="K1667" s="17">
        <v>125.0</v>
      </c>
      <c r="L1667" s="5" t="s">
        <v>5179</v>
      </c>
      <c r="M1667" s="5" t="s">
        <v>2230</v>
      </c>
    </row>
    <row r="1668" ht="22.5" customHeight="1">
      <c r="A1668" s="37">
        <v>45998.011011932875</v>
      </c>
      <c r="B1668" s="5" t="s">
        <v>2282</v>
      </c>
      <c r="C1668" s="19" t="s">
        <v>357</v>
      </c>
      <c r="D1668" s="17">
        <v>1.0</v>
      </c>
      <c r="E1668" s="17">
        <v>225.0</v>
      </c>
      <c r="F1668" s="17">
        <v>290.0</v>
      </c>
      <c r="G1668" s="5">
        <v>290.0</v>
      </c>
      <c r="H1668" s="5">
        <v>290.0</v>
      </c>
      <c r="I1668" s="5">
        <v>65.0</v>
      </c>
      <c r="J1668" s="19" t="s">
        <v>31</v>
      </c>
      <c r="K1668" s="17">
        <v>124.0</v>
      </c>
      <c r="L1668" s="5" t="s">
        <v>5180</v>
      </c>
      <c r="M1668" s="5" t="s">
        <v>2230</v>
      </c>
    </row>
    <row r="1669" ht="22.5" customHeight="1">
      <c r="A1669" s="37">
        <v>45998.011011608796</v>
      </c>
      <c r="B1669" s="5" t="s">
        <v>2282</v>
      </c>
      <c r="C1669" s="19" t="s">
        <v>297</v>
      </c>
      <c r="D1669" s="17">
        <v>1.0</v>
      </c>
      <c r="E1669" s="17">
        <v>30.0</v>
      </c>
      <c r="F1669" s="17">
        <v>60.0</v>
      </c>
      <c r="G1669" s="5">
        <v>60.0</v>
      </c>
      <c r="H1669" s="5">
        <v>60.0</v>
      </c>
      <c r="I1669" s="5">
        <v>30.0</v>
      </c>
      <c r="J1669" s="19" t="s">
        <v>31</v>
      </c>
      <c r="K1669" s="17">
        <v>123.0</v>
      </c>
      <c r="L1669" s="5" t="s">
        <v>5181</v>
      </c>
      <c r="M1669" s="5" t="s">
        <v>2230</v>
      </c>
    </row>
    <row r="1670" ht="22.5" customHeight="1">
      <c r="A1670" s="37">
        <v>45998.01101135417</v>
      </c>
      <c r="B1670" s="5" t="s">
        <v>2282</v>
      </c>
      <c r="C1670" s="19" t="s">
        <v>357</v>
      </c>
      <c r="D1670" s="17">
        <v>1.0</v>
      </c>
      <c r="E1670" s="17">
        <v>225.0</v>
      </c>
      <c r="F1670" s="17">
        <v>290.0</v>
      </c>
      <c r="G1670" s="5">
        <v>290.0</v>
      </c>
      <c r="H1670" s="5">
        <v>290.0</v>
      </c>
      <c r="I1670" s="5">
        <v>65.0</v>
      </c>
      <c r="J1670" s="19" t="s">
        <v>31</v>
      </c>
      <c r="K1670" s="17">
        <v>122.0</v>
      </c>
      <c r="L1670" s="5" t="s">
        <v>5182</v>
      </c>
      <c r="M1670" s="5" t="s">
        <v>2230</v>
      </c>
    </row>
    <row r="1671" ht="22.5" customHeight="1">
      <c r="A1671" s="37">
        <v>45998.01101104167</v>
      </c>
      <c r="B1671" s="5" t="s">
        <v>2282</v>
      </c>
      <c r="C1671" s="19" t="s">
        <v>79</v>
      </c>
      <c r="D1671" s="17">
        <v>1.0</v>
      </c>
      <c r="E1671" s="17">
        <v>60.0</v>
      </c>
      <c r="F1671" s="17">
        <v>95.0</v>
      </c>
      <c r="G1671" s="5">
        <v>94.91</v>
      </c>
      <c r="H1671" s="5">
        <v>94.91</v>
      </c>
      <c r="I1671" s="5">
        <v>34.91</v>
      </c>
      <c r="J1671" s="19" t="s">
        <v>31</v>
      </c>
      <c r="K1671" s="17">
        <v>121.0</v>
      </c>
      <c r="L1671" s="5" t="s">
        <v>5183</v>
      </c>
      <c r="M1671" s="5" t="s">
        <v>2230</v>
      </c>
    </row>
    <row r="1672" ht="22.5" customHeight="1">
      <c r="A1672" s="37">
        <v>45998.01101077546</v>
      </c>
      <c r="B1672" s="5" t="s">
        <v>2282</v>
      </c>
      <c r="C1672" s="19" t="s">
        <v>144</v>
      </c>
      <c r="D1672" s="17">
        <v>3.0</v>
      </c>
      <c r="E1672" s="17">
        <v>140.0</v>
      </c>
      <c r="F1672" s="17">
        <v>200.0</v>
      </c>
      <c r="G1672" s="5">
        <v>199.8</v>
      </c>
      <c r="H1672" s="5">
        <v>599.4</v>
      </c>
      <c r="I1672" s="5">
        <v>179.4</v>
      </c>
      <c r="J1672" s="19"/>
      <c r="K1672" s="17">
        <v>120.0</v>
      </c>
      <c r="L1672" s="5" t="s">
        <v>5184</v>
      </c>
      <c r="M1672" s="5" t="s">
        <v>2230</v>
      </c>
    </row>
    <row r="1673" ht="22.5" customHeight="1">
      <c r="A1673" s="37">
        <v>45998.011010312504</v>
      </c>
      <c r="B1673" s="5" t="s">
        <v>2282</v>
      </c>
      <c r="C1673" s="19" t="s">
        <v>255</v>
      </c>
      <c r="D1673" s="17">
        <v>1.0</v>
      </c>
      <c r="E1673" s="17">
        <v>35.0</v>
      </c>
      <c r="F1673" s="17">
        <v>45.0</v>
      </c>
      <c r="G1673" s="5">
        <v>45.0</v>
      </c>
      <c r="H1673" s="5">
        <v>45.0</v>
      </c>
      <c r="I1673" s="5">
        <v>10.0</v>
      </c>
      <c r="J1673" s="19" t="s">
        <v>31</v>
      </c>
      <c r="K1673" s="17">
        <v>119.0</v>
      </c>
      <c r="L1673" s="5" t="s">
        <v>5185</v>
      </c>
      <c r="M1673" s="5" t="s">
        <v>2230</v>
      </c>
    </row>
    <row r="1674" ht="22.5" customHeight="1">
      <c r="A1674" s="37">
        <v>45998.01100991898</v>
      </c>
      <c r="B1674" s="5" t="s">
        <v>2282</v>
      </c>
      <c r="C1674" s="19" t="s">
        <v>351</v>
      </c>
      <c r="D1674" s="17">
        <v>2.0</v>
      </c>
      <c r="E1674" s="17">
        <v>120.0</v>
      </c>
      <c r="F1674" s="17">
        <v>180.0</v>
      </c>
      <c r="G1674" s="5">
        <v>179.82</v>
      </c>
      <c r="H1674" s="5">
        <v>359.64</v>
      </c>
      <c r="I1674" s="5">
        <v>119.64</v>
      </c>
      <c r="J1674" s="19" t="s">
        <v>31</v>
      </c>
      <c r="K1674" s="17">
        <v>117.0</v>
      </c>
      <c r="L1674" s="5" t="s">
        <v>5186</v>
      </c>
      <c r="M1674" s="5" t="s">
        <v>2230</v>
      </c>
    </row>
    <row r="1675" ht="22.5" customHeight="1">
      <c r="A1675" s="37">
        <v>45998.011009548616</v>
      </c>
      <c r="B1675" s="5" t="s">
        <v>2282</v>
      </c>
      <c r="C1675" s="19" t="s">
        <v>214</v>
      </c>
      <c r="D1675" s="17">
        <v>1.0</v>
      </c>
      <c r="E1675" s="17">
        <v>205.0</v>
      </c>
      <c r="F1675" s="17">
        <v>275.0</v>
      </c>
      <c r="G1675" s="5">
        <v>274.73</v>
      </c>
      <c r="H1675" s="5">
        <v>274.73</v>
      </c>
      <c r="I1675" s="5">
        <v>69.73</v>
      </c>
      <c r="J1675" s="19" t="s">
        <v>31</v>
      </c>
      <c r="K1675" s="17">
        <v>116.0</v>
      </c>
      <c r="L1675" s="5" t="s">
        <v>5187</v>
      </c>
      <c r="M1675" s="5" t="s">
        <v>2230</v>
      </c>
    </row>
    <row r="1676" ht="22.5" customHeight="1">
      <c r="A1676" s="37">
        <v>45998.01100929399</v>
      </c>
      <c r="B1676" s="5" t="s">
        <v>2282</v>
      </c>
      <c r="C1676" s="19" t="s">
        <v>194</v>
      </c>
      <c r="D1676" s="17">
        <v>1.0</v>
      </c>
      <c r="E1676" s="17">
        <v>164.17</v>
      </c>
      <c r="F1676" s="17">
        <v>210.0</v>
      </c>
      <c r="G1676" s="5">
        <v>210.0</v>
      </c>
      <c r="H1676" s="5">
        <v>210.0</v>
      </c>
      <c r="I1676" s="5">
        <v>45.83</v>
      </c>
      <c r="J1676" s="19" t="s">
        <v>31</v>
      </c>
      <c r="K1676" s="17">
        <v>115.0</v>
      </c>
      <c r="L1676" s="5" t="s">
        <v>5188</v>
      </c>
      <c r="M1676" s="5" t="s">
        <v>2230</v>
      </c>
    </row>
    <row r="1677" ht="22.5" customHeight="1">
      <c r="A1677" s="37">
        <v>45998.01100890046</v>
      </c>
      <c r="B1677" s="5" t="s">
        <v>2282</v>
      </c>
      <c r="C1677" s="19" t="s">
        <v>158</v>
      </c>
      <c r="D1677" s="17">
        <v>1.0</v>
      </c>
      <c r="E1677" s="17">
        <v>400.0</v>
      </c>
      <c r="F1677" s="17">
        <v>480.0</v>
      </c>
      <c r="G1677" s="5">
        <v>480.0</v>
      </c>
      <c r="H1677" s="5">
        <v>480.0</v>
      </c>
      <c r="I1677" s="5">
        <v>80.0</v>
      </c>
      <c r="J1677" s="19" t="s">
        <v>31</v>
      </c>
      <c r="K1677" s="17">
        <v>114.0</v>
      </c>
      <c r="L1677" s="5" t="s">
        <v>5189</v>
      </c>
      <c r="M1677" s="5" t="s">
        <v>2230</v>
      </c>
    </row>
    <row r="1678" ht="22.5" customHeight="1">
      <c r="A1678" s="37">
        <v>45998.01100857639</v>
      </c>
      <c r="B1678" s="5" t="s">
        <v>2282</v>
      </c>
      <c r="C1678" s="19" t="s">
        <v>194</v>
      </c>
      <c r="D1678" s="17">
        <v>1.0</v>
      </c>
      <c r="E1678" s="17">
        <v>164.17</v>
      </c>
      <c r="F1678" s="17">
        <v>210.0</v>
      </c>
      <c r="G1678" s="5">
        <v>209.85</v>
      </c>
      <c r="H1678" s="5">
        <v>209.85</v>
      </c>
      <c r="I1678" s="5">
        <v>45.68</v>
      </c>
      <c r="J1678" s="19" t="s">
        <v>31</v>
      </c>
      <c r="K1678" s="17">
        <v>113.0</v>
      </c>
      <c r="L1678" s="5" t="s">
        <v>5190</v>
      </c>
      <c r="M1678" s="5" t="s">
        <v>2230</v>
      </c>
    </row>
    <row r="1679" ht="22.5" customHeight="1">
      <c r="A1679" s="37">
        <v>45998.011008333335</v>
      </c>
      <c r="B1679" s="5" t="s">
        <v>2282</v>
      </c>
      <c r="C1679" s="19" t="s">
        <v>55</v>
      </c>
      <c r="D1679" s="17">
        <v>1.0</v>
      </c>
      <c r="E1679" s="17">
        <v>195.0</v>
      </c>
      <c r="F1679" s="17">
        <v>220.0</v>
      </c>
      <c r="G1679" s="5">
        <v>219.85</v>
      </c>
      <c r="H1679" s="5">
        <v>219.85</v>
      </c>
      <c r="I1679" s="5">
        <v>24.85</v>
      </c>
      <c r="J1679" s="19" t="s">
        <v>31</v>
      </c>
      <c r="K1679" s="17">
        <v>112.0</v>
      </c>
      <c r="L1679" s="5" t="s">
        <v>5191</v>
      </c>
      <c r="M1679" s="5" t="s">
        <v>2230</v>
      </c>
    </row>
    <row r="1680" ht="22.5" customHeight="1">
      <c r="A1680" s="37">
        <v>45998.01100805556</v>
      </c>
      <c r="B1680" s="5" t="s">
        <v>2282</v>
      </c>
      <c r="C1680" s="19" t="s">
        <v>194</v>
      </c>
      <c r="D1680" s="17">
        <v>1.0</v>
      </c>
      <c r="E1680" s="17">
        <v>164.17</v>
      </c>
      <c r="F1680" s="17">
        <v>220.0</v>
      </c>
      <c r="G1680" s="5">
        <v>219.85</v>
      </c>
      <c r="H1680" s="5">
        <v>219.85</v>
      </c>
      <c r="I1680" s="5">
        <v>55.68</v>
      </c>
      <c r="J1680" s="19" t="s">
        <v>31</v>
      </c>
      <c r="K1680" s="17">
        <v>111.0</v>
      </c>
      <c r="L1680" s="5" t="s">
        <v>5192</v>
      </c>
      <c r="M1680" s="5" t="s">
        <v>2230</v>
      </c>
    </row>
    <row r="1681" ht="22.5" customHeight="1">
      <c r="A1681" s="37">
        <v>45998.01100777778</v>
      </c>
      <c r="B1681" s="5" t="s">
        <v>2282</v>
      </c>
      <c r="C1681" s="19" t="s">
        <v>128</v>
      </c>
      <c r="D1681" s="17">
        <v>1.0</v>
      </c>
      <c r="E1681" s="17">
        <v>275.0</v>
      </c>
      <c r="F1681" s="17">
        <v>330.0</v>
      </c>
      <c r="G1681" s="5">
        <v>329.77</v>
      </c>
      <c r="H1681" s="5">
        <v>329.77</v>
      </c>
      <c r="I1681" s="5">
        <v>54.77</v>
      </c>
      <c r="J1681" s="19" t="s">
        <v>31</v>
      </c>
      <c r="K1681" s="17">
        <v>110.0</v>
      </c>
      <c r="L1681" s="5" t="s">
        <v>5193</v>
      </c>
      <c r="M1681" s="5" t="s">
        <v>2230</v>
      </c>
    </row>
    <row r="1682" ht="22.5" customHeight="1">
      <c r="A1682" s="37">
        <v>45998.01100748843</v>
      </c>
      <c r="B1682" s="5" t="s">
        <v>2282</v>
      </c>
      <c r="C1682" s="19" t="s">
        <v>104</v>
      </c>
      <c r="D1682" s="17">
        <v>1.0</v>
      </c>
      <c r="E1682" s="17">
        <v>180.0</v>
      </c>
      <c r="F1682" s="17">
        <v>235.0</v>
      </c>
      <c r="G1682" s="5">
        <v>234.84</v>
      </c>
      <c r="H1682" s="5">
        <v>234.84</v>
      </c>
      <c r="I1682" s="5">
        <v>54.84</v>
      </c>
      <c r="J1682" s="19" t="s">
        <v>31</v>
      </c>
      <c r="K1682" s="17">
        <v>107.0</v>
      </c>
      <c r="L1682" s="5" t="s">
        <v>5194</v>
      </c>
      <c r="M1682" s="5" t="s">
        <v>2230</v>
      </c>
    </row>
    <row r="1683" ht="22.5" customHeight="1">
      <c r="A1683" s="37">
        <v>45998.01100724537</v>
      </c>
      <c r="B1683" s="5" t="s">
        <v>2282</v>
      </c>
      <c r="C1683" s="19" t="s">
        <v>172</v>
      </c>
      <c r="D1683" s="17">
        <v>1.0</v>
      </c>
      <c r="E1683" s="17">
        <v>28.2</v>
      </c>
      <c r="F1683" s="17">
        <v>40.0</v>
      </c>
      <c r="G1683" s="5">
        <v>40.0</v>
      </c>
      <c r="H1683" s="5">
        <v>40.0</v>
      </c>
      <c r="I1683" s="5">
        <v>11.8</v>
      </c>
      <c r="J1683" s="19" t="s">
        <v>31</v>
      </c>
      <c r="K1683" s="17">
        <v>106.0</v>
      </c>
      <c r="L1683" s="5" t="s">
        <v>5195</v>
      </c>
      <c r="M1683" s="5" t="s">
        <v>2230</v>
      </c>
    </row>
    <row r="1684" ht="22.5" customHeight="1">
      <c r="A1684" s="37">
        <v>45998.011006863424</v>
      </c>
      <c r="B1684" s="5" t="s">
        <v>2282</v>
      </c>
      <c r="C1684" s="19" t="s">
        <v>48</v>
      </c>
      <c r="D1684" s="17">
        <v>1.0</v>
      </c>
      <c r="E1684" s="17">
        <v>31.5</v>
      </c>
      <c r="F1684" s="17">
        <v>50.0</v>
      </c>
      <c r="G1684" s="5">
        <v>50.0</v>
      </c>
      <c r="H1684" s="5">
        <v>50.0</v>
      </c>
      <c r="I1684" s="5">
        <v>18.5</v>
      </c>
      <c r="J1684" s="19" t="s">
        <v>31</v>
      </c>
      <c r="K1684" s="17">
        <v>105.0</v>
      </c>
      <c r="L1684" s="5" t="s">
        <v>5196</v>
      </c>
      <c r="M1684" s="5" t="s">
        <v>2230</v>
      </c>
    </row>
    <row r="1685" ht="22.5" customHeight="1">
      <c r="A1685" s="37">
        <v>45998.01100663195</v>
      </c>
      <c r="B1685" s="5" t="s">
        <v>2282</v>
      </c>
      <c r="C1685" s="19" t="s">
        <v>329</v>
      </c>
      <c r="D1685" s="17">
        <v>1.0</v>
      </c>
      <c r="E1685" s="17">
        <v>110.0</v>
      </c>
      <c r="F1685" s="17">
        <v>190.0</v>
      </c>
      <c r="G1685" s="5">
        <v>190.0</v>
      </c>
      <c r="H1685" s="5">
        <v>190.0</v>
      </c>
      <c r="I1685" s="5">
        <v>80.0</v>
      </c>
      <c r="J1685" s="19" t="s">
        <v>31</v>
      </c>
      <c r="K1685" s="17">
        <v>104.0</v>
      </c>
      <c r="L1685" s="5" t="s">
        <v>5197</v>
      </c>
      <c r="M1685" s="5" t="s">
        <v>2230</v>
      </c>
    </row>
    <row r="1686" ht="22.5" customHeight="1">
      <c r="A1686" s="37">
        <v>45998.01100637732</v>
      </c>
      <c r="B1686" s="5" t="s">
        <v>2282</v>
      </c>
      <c r="C1686" s="19" t="s">
        <v>255</v>
      </c>
      <c r="D1686" s="17">
        <v>2.0</v>
      </c>
      <c r="E1686" s="17">
        <v>35.0</v>
      </c>
      <c r="F1686" s="17">
        <v>50.0</v>
      </c>
      <c r="G1686" s="5">
        <v>50.0</v>
      </c>
      <c r="H1686" s="5">
        <v>100.0</v>
      </c>
      <c r="I1686" s="5">
        <v>30.0</v>
      </c>
      <c r="J1686" s="19" t="s">
        <v>31</v>
      </c>
      <c r="K1686" s="17">
        <v>103.0</v>
      </c>
      <c r="L1686" s="5" t="s">
        <v>5198</v>
      </c>
      <c r="M1686" s="5" t="s">
        <v>2230</v>
      </c>
    </row>
    <row r="1687" ht="22.5" customHeight="1">
      <c r="A1687" s="37">
        <v>45998.01100607638</v>
      </c>
      <c r="B1687" s="5" t="s">
        <v>2282</v>
      </c>
      <c r="C1687" s="19" t="s">
        <v>186</v>
      </c>
      <c r="D1687" s="17">
        <v>2.0</v>
      </c>
      <c r="E1687" s="17">
        <v>84.0</v>
      </c>
      <c r="F1687" s="17">
        <v>110.0</v>
      </c>
      <c r="G1687" s="5">
        <v>110.0</v>
      </c>
      <c r="H1687" s="5">
        <v>220.0</v>
      </c>
      <c r="I1687" s="5">
        <v>52.0</v>
      </c>
      <c r="J1687" s="19" t="s">
        <v>31</v>
      </c>
      <c r="K1687" s="17">
        <v>102.0</v>
      </c>
      <c r="L1687" s="5" t="s">
        <v>5199</v>
      </c>
      <c r="M1687" s="5" t="s">
        <v>2230</v>
      </c>
    </row>
    <row r="1688" ht="22.5" customHeight="1">
      <c r="A1688" s="37">
        <v>45998.01100569444</v>
      </c>
      <c r="B1688" s="5" t="s">
        <v>2282</v>
      </c>
      <c r="C1688" s="19" t="s">
        <v>317</v>
      </c>
      <c r="D1688" s="17">
        <v>1.0</v>
      </c>
      <c r="E1688" s="17">
        <v>125.0</v>
      </c>
      <c r="F1688" s="17">
        <v>220.0</v>
      </c>
      <c r="G1688" s="5">
        <v>220.0</v>
      </c>
      <c r="H1688" s="5">
        <v>220.0</v>
      </c>
      <c r="I1688" s="5">
        <v>95.0</v>
      </c>
      <c r="J1688" s="19" t="s">
        <v>31</v>
      </c>
      <c r="K1688" s="17">
        <v>101.0</v>
      </c>
      <c r="L1688" s="5" t="s">
        <v>5200</v>
      </c>
      <c r="M1688" s="5" t="s">
        <v>2230</v>
      </c>
    </row>
    <row r="1689" ht="22.5" customHeight="1">
      <c r="A1689" s="37">
        <v>45998.01100530093</v>
      </c>
      <c r="B1689" s="5" t="s">
        <v>2282</v>
      </c>
      <c r="C1689" s="19" t="s">
        <v>48</v>
      </c>
      <c r="D1689" s="17">
        <v>2.0</v>
      </c>
      <c r="E1689" s="17">
        <v>31.5</v>
      </c>
      <c r="F1689" s="17">
        <v>50.0</v>
      </c>
      <c r="G1689" s="5">
        <v>50.0</v>
      </c>
      <c r="H1689" s="5">
        <v>100.0</v>
      </c>
      <c r="I1689" s="5">
        <v>37.0</v>
      </c>
      <c r="J1689" s="19" t="s">
        <v>31</v>
      </c>
      <c r="K1689" s="17">
        <v>100.0</v>
      </c>
      <c r="L1689" s="5" t="s">
        <v>5201</v>
      </c>
      <c r="M1689" s="5" t="s">
        <v>2230</v>
      </c>
    </row>
    <row r="1690" ht="22.5" customHeight="1">
      <c r="A1690" s="37">
        <v>45998.011004942135</v>
      </c>
      <c r="B1690" s="5" t="s">
        <v>2282</v>
      </c>
      <c r="C1690" s="19" t="s">
        <v>198</v>
      </c>
      <c r="D1690" s="17">
        <v>1.0</v>
      </c>
      <c r="E1690" s="17">
        <v>55.0</v>
      </c>
      <c r="F1690" s="17">
        <v>70.0</v>
      </c>
      <c r="G1690" s="5">
        <v>70.0</v>
      </c>
      <c r="H1690" s="5">
        <v>70.0</v>
      </c>
      <c r="I1690" s="5">
        <v>15.0</v>
      </c>
      <c r="J1690" s="19" t="s">
        <v>31</v>
      </c>
      <c r="K1690" s="17">
        <v>99.0</v>
      </c>
      <c r="L1690" s="5" t="s">
        <v>5202</v>
      </c>
      <c r="M1690" s="5" t="s">
        <v>2230</v>
      </c>
    </row>
    <row r="1691" ht="22.5" customHeight="1">
      <c r="A1691" s="37">
        <v>45998.0110044676</v>
      </c>
      <c r="B1691" s="5" t="s">
        <v>2282</v>
      </c>
      <c r="C1691" s="19" t="s">
        <v>311</v>
      </c>
      <c r="D1691" s="17">
        <v>1.0</v>
      </c>
      <c r="E1691" s="17">
        <v>150.0</v>
      </c>
      <c r="F1691" s="17">
        <v>170.0</v>
      </c>
      <c r="G1691" s="5">
        <v>170.0</v>
      </c>
      <c r="H1691" s="5">
        <v>170.0</v>
      </c>
      <c r="I1691" s="5">
        <v>20.0</v>
      </c>
      <c r="J1691" s="19" t="s">
        <v>31</v>
      </c>
      <c r="K1691" s="17">
        <v>98.0</v>
      </c>
      <c r="L1691" s="5" t="s">
        <v>5203</v>
      </c>
      <c r="M1691" s="5" t="s">
        <v>2230</v>
      </c>
    </row>
    <row r="1692" ht="22.5" customHeight="1">
      <c r="A1692" s="37">
        <v>45998.01100403935</v>
      </c>
      <c r="B1692" s="5" t="s">
        <v>2282</v>
      </c>
      <c r="C1692" s="19" t="s">
        <v>306</v>
      </c>
      <c r="D1692" s="17">
        <v>2.0</v>
      </c>
      <c r="E1692" s="17">
        <v>12.0</v>
      </c>
      <c r="F1692" s="17">
        <v>25.0</v>
      </c>
      <c r="G1692" s="5">
        <v>25.0</v>
      </c>
      <c r="H1692" s="5">
        <v>50.0</v>
      </c>
      <c r="I1692" s="5">
        <v>26.0</v>
      </c>
      <c r="J1692" s="19" t="s">
        <v>31</v>
      </c>
      <c r="K1692" s="17">
        <v>97.0</v>
      </c>
      <c r="L1692" s="5" t="s">
        <v>5204</v>
      </c>
      <c r="M1692" s="5" t="s">
        <v>2230</v>
      </c>
    </row>
    <row r="1693" ht="22.5" customHeight="1">
      <c r="A1693" s="37">
        <v>45998.011003796295</v>
      </c>
      <c r="B1693" s="5" t="s">
        <v>2282</v>
      </c>
      <c r="C1693" s="19" t="s">
        <v>302</v>
      </c>
      <c r="D1693" s="17">
        <v>3.0</v>
      </c>
      <c r="E1693" s="17">
        <v>18.0</v>
      </c>
      <c r="F1693" s="17">
        <v>25.0</v>
      </c>
      <c r="G1693" s="5">
        <v>25.0</v>
      </c>
      <c r="H1693" s="5">
        <v>75.0</v>
      </c>
      <c r="I1693" s="5">
        <v>21.0</v>
      </c>
      <c r="J1693" s="19" t="s">
        <v>31</v>
      </c>
      <c r="K1693" s="17">
        <v>96.0</v>
      </c>
      <c r="L1693" s="5" t="s">
        <v>5205</v>
      </c>
      <c r="M1693" s="5" t="s">
        <v>2230</v>
      </c>
    </row>
    <row r="1694" ht="22.5" customHeight="1">
      <c r="A1694" s="37">
        <v>45998.011003391206</v>
      </c>
      <c r="B1694" s="5" t="s">
        <v>2282</v>
      </c>
      <c r="C1694" s="19" t="s">
        <v>235</v>
      </c>
      <c r="D1694" s="17">
        <v>1.0</v>
      </c>
      <c r="E1694" s="17">
        <v>75.0</v>
      </c>
      <c r="F1694" s="17">
        <v>95.0</v>
      </c>
      <c r="G1694" s="5">
        <v>95.0</v>
      </c>
      <c r="H1694" s="5">
        <v>95.0</v>
      </c>
      <c r="I1694" s="5">
        <v>20.0</v>
      </c>
      <c r="J1694" s="19" t="s">
        <v>31</v>
      </c>
      <c r="K1694" s="17">
        <v>95.0</v>
      </c>
      <c r="L1694" s="5" t="s">
        <v>5206</v>
      </c>
      <c r="M1694" s="5" t="s">
        <v>2230</v>
      </c>
    </row>
    <row r="1695" ht="22.5" customHeight="1">
      <c r="A1695" s="37">
        <v>45998.011003067135</v>
      </c>
      <c r="B1695" s="5" t="s">
        <v>2282</v>
      </c>
      <c r="C1695" s="19" t="s">
        <v>294</v>
      </c>
      <c r="D1695" s="17">
        <v>1.0</v>
      </c>
      <c r="E1695" s="17">
        <v>80.0</v>
      </c>
      <c r="F1695" s="17">
        <v>120.0</v>
      </c>
      <c r="G1695" s="5">
        <v>120.0</v>
      </c>
      <c r="H1695" s="5">
        <v>120.0</v>
      </c>
      <c r="I1695" s="5">
        <v>40.0</v>
      </c>
      <c r="J1695" s="19" t="s">
        <v>31</v>
      </c>
      <c r="K1695" s="17">
        <v>94.0</v>
      </c>
      <c r="L1695" s="5" t="s">
        <v>5207</v>
      </c>
      <c r="M1695" s="5" t="s">
        <v>2230</v>
      </c>
    </row>
    <row r="1696" ht="22.5" customHeight="1">
      <c r="A1696" s="37">
        <v>45998.011002893516</v>
      </c>
      <c r="B1696" s="5" t="s">
        <v>2282</v>
      </c>
      <c r="C1696" s="19" t="s">
        <v>79</v>
      </c>
      <c r="D1696" s="17">
        <v>1.0</v>
      </c>
      <c r="E1696" s="17">
        <v>60.0</v>
      </c>
      <c r="F1696" s="17">
        <v>95.0</v>
      </c>
      <c r="G1696" s="5">
        <v>95.0</v>
      </c>
      <c r="H1696" s="5">
        <v>95.0</v>
      </c>
      <c r="I1696" s="5">
        <v>35.0</v>
      </c>
      <c r="J1696" s="19" t="s">
        <v>31</v>
      </c>
      <c r="K1696" s="17">
        <v>93.0</v>
      </c>
      <c r="L1696" s="5" t="s">
        <v>5208</v>
      </c>
      <c r="M1696" s="5" t="s">
        <v>2230</v>
      </c>
    </row>
    <row r="1697" ht="22.5" customHeight="1">
      <c r="A1697" s="37">
        <v>45998.01100265046</v>
      </c>
      <c r="B1697" s="5" t="s">
        <v>2282</v>
      </c>
      <c r="C1697" s="19" t="s">
        <v>48</v>
      </c>
      <c r="D1697" s="17">
        <v>2.0</v>
      </c>
      <c r="E1697" s="17">
        <v>31.5</v>
      </c>
      <c r="F1697" s="17">
        <v>50.0</v>
      </c>
      <c r="G1697" s="5">
        <v>50.0</v>
      </c>
      <c r="H1697" s="5">
        <v>100.0</v>
      </c>
      <c r="I1697" s="5">
        <v>37.0</v>
      </c>
      <c r="J1697" s="19" t="s">
        <v>31</v>
      </c>
      <c r="K1697" s="17">
        <v>92.0</v>
      </c>
      <c r="L1697" s="5" t="s">
        <v>5209</v>
      </c>
      <c r="M1697" s="5" t="s">
        <v>2230</v>
      </c>
    </row>
    <row r="1698" ht="22.5" customHeight="1">
      <c r="A1698" s="37">
        <v>45998.01100219907</v>
      </c>
      <c r="B1698" s="5" t="s">
        <v>2282</v>
      </c>
      <c r="C1698" s="19" t="s">
        <v>172</v>
      </c>
      <c r="D1698" s="17">
        <v>1.0</v>
      </c>
      <c r="E1698" s="17">
        <v>28.2</v>
      </c>
      <c r="F1698" s="17">
        <v>40.0</v>
      </c>
      <c r="G1698" s="5">
        <v>40.0</v>
      </c>
      <c r="H1698" s="5">
        <v>40.0</v>
      </c>
      <c r="I1698" s="5">
        <v>11.8</v>
      </c>
      <c r="J1698" s="19" t="s">
        <v>31</v>
      </c>
      <c r="K1698" s="17">
        <v>91.0</v>
      </c>
      <c r="L1698" s="5" t="s">
        <v>5210</v>
      </c>
      <c r="M1698" s="5" t="s">
        <v>2230</v>
      </c>
    </row>
    <row r="1699" ht="22.5" customHeight="1">
      <c r="A1699" s="37">
        <v>45998.011001817125</v>
      </c>
      <c r="B1699" s="5" t="s">
        <v>2282</v>
      </c>
      <c r="C1699" s="19" t="s">
        <v>165</v>
      </c>
      <c r="D1699" s="17">
        <v>1.0</v>
      </c>
      <c r="E1699" s="17">
        <v>89.07</v>
      </c>
      <c r="F1699" s="17">
        <v>115.0</v>
      </c>
      <c r="G1699" s="5">
        <v>115.0</v>
      </c>
      <c r="H1699" s="5">
        <v>115.0</v>
      </c>
      <c r="I1699" s="5">
        <v>25.93</v>
      </c>
      <c r="J1699" s="19" t="s">
        <v>31</v>
      </c>
      <c r="K1699" s="17">
        <v>90.0</v>
      </c>
      <c r="L1699" s="5" t="s">
        <v>5211</v>
      </c>
      <c r="M1699" s="5" t="s">
        <v>2230</v>
      </c>
    </row>
    <row r="1700" ht="22.5" customHeight="1">
      <c r="A1700" s="37">
        <v>45998.011001562496</v>
      </c>
      <c r="B1700" s="5" t="s">
        <v>2282</v>
      </c>
      <c r="C1700" s="19" t="s">
        <v>194</v>
      </c>
      <c r="D1700" s="17">
        <v>1.0</v>
      </c>
      <c r="E1700" s="17">
        <v>164.17</v>
      </c>
      <c r="F1700" s="17">
        <v>210.0</v>
      </c>
      <c r="G1700" s="5">
        <v>210.0</v>
      </c>
      <c r="H1700" s="5">
        <v>210.0</v>
      </c>
      <c r="I1700" s="5">
        <v>45.83</v>
      </c>
      <c r="J1700" s="19" t="s">
        <v>31</v>
      </c>
      <c r="K1700" s="17">
        <v>88.0</v>
      </c>
      <c r="L1700" s="5" t="s">
        <v>5212</v>
      </c>
      <c r="M1700" s="5" t="s">
        <v>2230</v>
      </c>
    </row>
    <row r="1701" ht="22.5" customHeight="1">
      <c r="A1701" s="37">
        <v>45998.01100121527</v>
      </c>
      <c r="B1701" s="5" t="s">
        <v>2282</v>
      </c>
      <c r="C1701" s="19" t="s">
        <v>55</v>
      </c>
      <c r="D1701" s="17">
        <v>1.0</v>
      </c>
      <c r="E1701" s="17">
        <v>195.0</v>
      </c>
      <c r="F1701" s="17">
        <v>210.0</v>
      </c>
      <c r="G1701" s="5">
        <v>210.0</v>
      </c>
      <c r="H1701" s="5">
        <v>210.0</v>
      </c>
      <c r="I1701" s="5">
        <v>15.0</v>
      </c>
      <c r="J1701" s="19" t="s">
        <v>31</v>
      </c>
      <c r="K1701" s="17">
        <v>87.0</v>
      </c>
      <c r="L1701" s="5" t="s">
        <v>5213</v>
      </c>
      <c r="M1701" s="5" t="s">
        <v>2230</v>
      </c>
    </row>
    <row r="1702" ht="22.5" customHeight="1">
      <c r="A1702" s="37">
        <v>45998.011000914354</v>
      </c>
      <c r="B1702" s="5" t="s">
        <v>2282</v>
      </c>
      <c r="C1702" s="19" t="s">
        <v>171</v>
      </c>
      <c r="D1702" s="17">
        <v>1.0</v>
      </c>
      <c r="E1702" s="17">
        <v>385.0</v>
      </c>
      <c r="F1702" s="17">
        <v>490.0</v>
      </c>
      <c r="G1702" s="5">
        <v>490.0</v>
      </c>
      <c r="H1702" s="5">
        <v>490.0</v>
      </c>
      <c r="I1702" s="5">
        <v>105.0</v>
      </c>
      <c r="J1702" s="19" t="s">
        <v>31</v>
      </c>
      <c r="K1702" s="17">
        <v>86.0</v>
      </c>
      <c r="L1702" s="5" t="s">
        <v>5214</v>
      </c>
      <c r="M1702" s="5" t="s">
        <v>2230</v>
      </c>
    </row>
    <row r="1703" ht="22.5" customHeight="1">
      <c r="A1703" s="37">
        <v>45998.011000405095</v>
      </c>
      <c r="B1703" s="5" t="s">
        <v>2282</v>
      </c>
      <c r="C1703" s="19" t="s">
        <v>287</v>
      </c>
      <c r="D1703" s="17">
        <v>2.0</v>
      </c>
      <c r="E1703" s="17">
        <v>45.0</v>
      </c>
      <c r="F1703" s="17">
        <v>70.0</v>
      </c>
      <c r="G1703" s="5">
        <v>70.0</v>
      </c>
      <c r="H1703" s="5">
        <v>140.0</v>
      </c>
      <c r="I1703" s="5">
        <v>50.0</v>
      </c>
      <c r="J1703" s="19" t="s">
        <v>31</v>
      </c>
      <c r="K1703" s="17">
        <v>85.0</v>
      </c>
      <c r="L1703" s="5" t="s">
        <v>5215</v>
      </c>
      <c r="M1703" s="5" t="s">
        <v>2230</v>
      </c>
    </row>
    <row r="1704" ht="22.5" customHeight="1">
      <c r="A1704" s="37">
        <v>45998.01099976852</v>
      </c>
      <c r="B1704" s="5" t="s">
        <v>2282</v>
      </c>
      <c r="C1704" s="19" t="s">
        <v>48</v>
      </c>
      <c r="D1704" s="17">
        <v>2.0</v>
      </c>
      <c r="E1704" s="17">
        <v>31.5</v>
      </c>
      <c r="F1704" s="17">
        <v>50.0</v>
      </c>
      <c r="G1704" s="5">
        <v>50.0</v>
      </c>
      <c r="H1704" s="5">
        <v>100.0</v>
      </c>
      <c r="I1704" s="5">
        <v>37.0</v>
      </c>
      <c r="J1704" s="19" t="s">
        <v>31</v>
      </c>
      <c r="K1704" s="17">
        <v>84.0</v>
      </c>
      <c r="L1704" s="5" t="s">
        <v>5216</v>
      </c>
      <c r="M1704" s="5" t="s">
        <v>2230</v>
      </c>
    </row>
    <row r="1705" ht="22.5" customHeight="1">
      <c r="A1705" s="37">
        <v>45998.01099914352</v>
      </c>
      <c r="B1705" s="5" t="s">
        <v>2282</v>
      </c>
      <c r="C1705" s="19" t="s">
        <v>133</v>
      </c>
      <c r="D1705" s="17">
        <v>1.0</v>
      </c>
      <c r="E1705" s="17">
        <v>135.0</v>
      </c>
      <c r="F1705" s="17">
        <v>160.0</v>
      </c>
      <c r="G1705" s="5">
        <v>159.89</v>
      </c>
      <c r="H1705" s="5">
        <v>159.89</v>
      </c>
      <c r="I1705" s="5">
        <v>24.89</v>
      </c>
      <c r="J1705" s="19" t="s">
        <v>31</v>
      </c>
      <c r="K1705" s="17">
        <v>83.0</v>
      </c>
      <c r="L1705" s="5" t="s">
        <v>5217</v>
      </c>
      <c r="M1705" s="5" t="s">
        <v>2230</v>
      </c>
    </row>
    <row r="1706" ht="22.5" customHeight="1">
      <c r="A1706" s="37">
        <v>45998.01099851852</v>
      </c>
      <c r="B1706" s="5" t="s">
        <v>2282</v>
      </c>
      <c r="C1706" s="19" t="s">
        <v>165</v>
      </c>
      <c r="D1706" s="17">
        <v>1.0</v>
      </c>
      <c r="E1706" s="17">
        <v>89.07</v>
      </c>
      <c r="F1706" s="17">
        <v>150.0</v>
      </c>
      <c r="G1706" s="5">
        <v>149.89</v>
      </c>
      <c r="H1706" s="5">
        <v>149.89</v>
      </c>
      <c r="I1706" s="5">
        <v>60.82</v>
      </c>
      <c r="J1706" s="19" t="s">
        <v>31</v>
      </c>
      <c r="K1706" s="17">
        <v>82.0</v>
      </c>
      <c r="L1706" s="5" t="s">
        <v>5218</v>
      </c>
      <c r="M1706" s="5" t="s">
        <v>2230</v>
      </c>
    </row>
    <row r="1707" ht="22.5" customHeight="1">
      <c r="A1707" s="37">
        <v>45998.010997708334</v>
      </c>
      <c r="B1707" s="5" t="s">
        <v>2282</v>
      </c>
      <c r="C1707" s="19" t="s">
        <v>232</v>
      </c>
      <c r="D1707" s="17">
        <v>1.0</v>
      </c>
      <c r="E1707" s="17">
        <v>325.0</v>
      </c>
      <c r="F1707" s="17">
        <v>390.0</v>
      </c>
      <c r="G1707" s="5">
        <v>389.73</v>
      </c>
      <c r="H1707" s="5">
        <v>389.73</v>
      </c>
      <c r="I1707" s="5">
        <v>64.73</v>
      </c>
      <c r="J1707" s="19" t="s">
        <v>31</v>
      </c>
      <c r="K1707" s="17">
        <v>81.0</v>
      </c>
      <c r="L1707" s="5" t="s">
        <v>5219</v>
      </c>
      <c r="M1707" s="5" t="s">
        <v>2230</v>
      </c>
    </row>
    <row r="1708" ht="22.5" customHeight="1">
      <c r="A1708" s="37">
        <v>45998.01099708333</v>
      </c>
      <c r="B1708" s="5" t="s">
        <v>2282</v>
      </c>
      <c r="C1708" s="19" t="s">
        <v>274</v>
      </c>
      <c r="D1708" s="17">
        <v>1.0</v>
      </c>
      <c r="E1708" s="17">
        <v>250.0</v>
      </c>
      <c r="F1708" s="17">
        <v>300.0</v>
      </c>
      <c r="G1708" s="5">
        <v>299.79</v>
      </c>
      <c r="H1708" s="5">
        <v>299.79</v>
      </c>
      <c r="I1708" s="5">
        <v>49.79</v>
      </c>
      <c r="J1708" s="19" t="s">
        <v>31</v>
      </c>
      <c r="K1708" s="17">
        <v>80.0</v>
      </c>
      <c r="L1708" s="5" t="s">
        <v>5220</v>
      </c>
      <c r="M1708" s="5" t="s">
        <v>2230</v>
      </c>
    </row>
    <row r="1709" ht="22.5" customHeight="1">
      <c r="A1709" s="37">
        <v>45998.01099646991</v>
      </c>
      <c r="B1709" s="5" t="s">
        <v>2282</v>
      </c>
      <c r="C1709" s="19" t="s">
        <v>144</v>
      </c>
      <c r="D1709" s="17">
        <v>2.0</v>
      </c>
      <c r="E1709" s="17">
        <v>165.0</v>
      </c>
      <c r="F1709" s="17">
        <v>210.0</v>
      </c>
      <c r="G1709" s="5">
        <v>209.85</v>
      </c>
      <c r="H1709" s="5">
        <v>419.7</v>
      </c>
      <c r="I1709" s="5">
        <v>89.7</v>
      </c>
      <c r="J1709" s="19" t="s">
        <v>31</v>
      </c>
      <c r="K1709" s="17">
        <v>78.0</v>
      </c>
      <c r="L1709" s="5" t="s">
        <v>5221</v>
      </c>
      <c r="M1709" s="5" t="s">
        <v>2230</v>
      </c>
    </row>
    <row r="1710" ht="22.5" customHeight="1">
      <c r="A1710" s="37">
        <v>45998.010996111116</v>
      </c>
      <c r="B1710" s="5" t="s">
        <v>2282</v>
      </c>
      <c r="C1710" s="19" t="s">
        <v>264</v>
      </c>
      <c r="D1710" s="17">
        <v>1.0</v>
      </c>
      <c r="E1710" s="17">
        <v>310.0</v>
      </c>
      <c r="F1710" s="17">
        <v>375.0</v>
      </c>
      <c r="G1710" s="5">
        <v>374.74</v>
      </c>
      <c r="H1710" s="5">
        <v>374.74</v>
      </c>
      <c r="I1710" s="5">
        <v>64.74</v>
      </c>
      <c r="J1710" s="19" t="s">
        <v>31</v>
      </c>
      <c r="K1710" s="17">
        <v>77.0</v>
      </c>
      <c r="L1710" s="5" t="s">
        <v>5222</v>
      </c>
      <c r="M1710" s="5" t="s">
        <v>2230</v>
      </c>
    </row>
    <row r="1711" ht="22.5" customHeight="1">
      <c r="A1711" s="37">
        <v>45998.01099575232</v>
      </c>
      <c r="B1711" s="5" t="s">
        <v>2282</v>
      </c>
      <c r="C1711" s="19" t="s">
        <v>144</v>
      </c>
      <c r="D1711" s="17">
        <v>2.0</v>
      </c>
      <c r="E1711" s="17">
        <v>165.0</v>
      </c>
      <c r="F1711" s="17">
        <v>210.0</v>
      </c>
      <c r="G1711" s="5">
        <v>210.0</v>
      </c>
      <c r="H1711" s="5">
        <v>420.0</v>
      </c>
      <c r="I1711" s="5">
        <v>90.0</v>
      </c>
      <c r="J1711" s="19" t="s">
        <v>31</v>
      </c>
      <c r="K1711" s="17">
        <v>76.0</v>
      </c>
      <c r="L1711" s="5" t="s">
        <v>5223</v>
      </c>
      <c r="M1711" s="5" t="s">
        <v>2230</v>
      </c>
    </row>
    <row r="1712" ht="22.5" customHeight="1">
      <c r="A1712" s="37">
        <v>45998.0109953125</v>
      </c>
      <c r="B1712" s="5" t="s">
        <v>2282</v>
      </c>
      <c r="C1712" s="19" t="s">
        <v>101</v>
      </c>
      <c r="D1712" s="17">
        <v>2.0</v>
      </c>
      <c r="E1712" s="17">
        <v>175.0</v>
      </c>
      <c r="F1712" s="17">
        <v>210.0</v>
      </c>
      <c r="G1712" s="5">
        <v>210.0</v>
      </c>
      <c r="H1712" s="5">
        <v>420.0</v>
      </c>
      <c r="I1712" s="5">
        <v>70.0</v>
      </c>
      <c r="J1712" s="19" t="s">
        <v>31</v>
      </c>
      <c r="K1712" s="17">
        <v>75.0</v>
      </c>
      <c r="L1712" s="5" t="s">
        <v>5224</v>
      </c>
      <c r="M1712" s="5" t="s">
        <v>2230</v>
      </c>
    </row>
    <row r="1713" ht="22.5" customHeight="1">
      <c r="A1713" s="37">
        <v>45998.01099481482</v>
      </c>
      <c r="B1713" s="5" t="s">
        <v>2282</v>
      </c>
      <c r="C1713" s="19" t="s">
        <v>268</v>
      </c>
      <c r="D1713" s="17">
        <v>1.0</v>
      </c>
      <c r="E1713" s="17">
        <v>170.0</v>
      </c>
      <c r="F1713" s="17">
        <v>205.0</v>
      </c>
      <c r="G1713" s="5">
        <v>205.0</v>
      </c>
      <c r="H1713" s="5">
        <v>205.0</v>
      </c>
      <c r="I1713" s="5">
        <v>35.0</v>
      </c>
      <c r="J1713" s="19" t="s">
        <v>581</v>
      </c>
      <c r="K1713" s="17">
        <v>74.0</v>
      </c>
      <c r="L1713" s="5" t="s">
        <v>5225</v>
      </c>
      <c r="M1713" s="5" t="s">
        <v>2230</v>
      </c>
    </row>
    <row r="1714" ht="22.5" customHeight="1">
      <c r="A1714" s="37">
        <v>45998.01099439815</v>
      </c>
      <c r="B1714" s="5" t="s">
        <v>2282</v>
      </c>
      <c r="C1714" s="19" t="s">
        <v>88</v>
      </c>
      <c r="D1714" s="17">
        <v>1.0</v>
      </c>
      <c r="E1714" s="17">
        <v>575.0</v>
      </c>
      <c r="F1714" s="17">
        <v>700.0</v>
      </c>
      <c r="G1714" s="5">
        <v>700.0</v>
      </c>
      <c r="H1714" s="5">
        <v>700.0</v>
      </c>
      <c r="I1714" s="5">
        <v>125.0</v>
      </c>
      <c r="J1714" s="19" t="s">
        <v>31</v>
      </c>
      <c r="K1714" s="17">
        <v>73.0</v>
      </c>
      <c r="L1714" s="5" t="s">
        <v>5226</v>
      </c>
      <c r="M1714" s="5" t="s">
        <v>2230</v>
      </c>
    </row>
    <row r="1715" ht="22.5" customHeight="1">
      <c r="A1715" s="37">
        <v>45998.010993958334</v>
      </c>
      <c r="B1715" s="5" t="s">
        <v>2282</v>
      </c>
      <c r="C1715" s="19" t="s">
        <v>260</v>
      </c>
      <c r="D1715" s="17">
        <v>1.0</v>
      </c>
      <c r="E1715" s="17">
        <v>170.0</v>
      </c>
      <c r="F1715" s="17">
        <v>230.0</v>
      </c>
      <c r="G1715" s="5">
        <v>230.0</v>
      </c>
      <c r="H1715" s="5">
        <v>230.0</v>
      </c>
      <c r="I1715" s="5">
        <v>60.0</v>
      </c>
      <c r="J1715" s="19" t="s">
        <v>31</v>
      </c>
      <c r="K1715" s="17">
        <v>72.0</v>
      </c>
      <c r="L1715" s="5" t="s">
        <v>5227</v>
      </c>
      <c r="M1715" s="5" t="s">
        <v>2230</v>
      </c>
    </row>
    <row r="1716" ht="22.5" customHeight="1">
      <c r="A1716" s="37">
        <v>45998.01099354167</v>
      </c>
      <c r="B1716" s="5" t="s">
        <v>2282</v>
      </c>
      <c r="C1716" s="19" t="s">
        <v>172</v>
      </c>
      <c r="D1716" s="17">
        <v>1.0</v>
      </c>
      <c r="E1716" s="17">
        <v>28.2</v>
      </c>
      <c r="F1716" s="17">
        <v>40.0</v>
      </c>
      <c r="G1716" s="5">
        <v>40.0</v>
      </c>
      <c r="H1716" s="5">
        <v>40.0</v>
      </c>
      <c r="I1716" s="5">
        <v>11.8</v>
      </c>
      <c r="J1716" s="19" t="s">
        <v>31</v>
      </c>
      <c r="K1716" s="17">
        <v>71.0</v>
      </c>
      <c r="L1716" s="5" t="s">
        <v>5228</v>
      </c>
      <c r="M1716" s="5" t="s">
        <v>2230</v>
      </c>
    </row>
    <row r="1717" ht="22.5" customHeight="1">
      <c r="A1717" s="37">
        <v>45998.01099310185</v>
      </c>
      <c r="B1717" s="5" t="s">
        <v>2282</v>
      </c>
      <c r="C1717" s="19" t="s">
        <v>48</v>
      </c>
      <c r="D1717" s="17">
        <v>3.0</v>
      </c>
      <c r="E1717" s="17">
        <v>31.5</v>
      </c>
      <c r="F1717" s="17">
        <v>50.0</v>
      </c>
      <c r="G1717" s="5">
        <v>50.0</v>
      </c>
      <c r="H1717" s="5">
        <v>150.0</v>
      </c>
      <c r="I1717" s="5">
        <v>55.5</v>
      </c>
      <c r="J1717" s="19" t="s">
        <v>31</v>
      </c>
      <c r="K1717" s="17">
        <v>70.0</v>
      </c>
      <c r="L1717" s="5" t="s">
        <v>5229</v>
      </c>
      <c r="M1717" s="5" t="s">
        <v>2230</v>
      </c>
    </row>
    <row r="1718" ht="22.5" customHeight="1">
      <c r="A1718" s="37">
        <v>45998.01099277778</v>
      </c>
      <c r="B1718" s="5" t="s">
        <v>2282</v>
      </c>
      <c r="C1718" s="19" t="s">
        <v>255</v>
      </c>
      <c r="D1718" s="17">
        <v>1.0</v>
      </c>
      <c r="E1718" s="17">
        <v>35.0</v>
      </c>
      <c r="F1718" s="17">
        <v>50.0</v>
      </c>
      <c r="G1718" s="5">
        <v>50.0</v>
      </c>
      <c r="H1718" s="5">
        <v>50.0</v>
      </c>
      <c r="I1718" s="5">
        <v>15.0</v>
      </c>
      <c r="J1718" s="19" t="s">
        <v>31</v>
      </c>
      <c r="K1718" s="17">
        <v>69.0</v>
      </c>
      <c r="L1718" s="5" t="s">
        <v>5230</v>
      </c>
      <c r="M1718" s="5" t="s">
        <v>2230</v>
      </c>
    </row>
    <row r="1719" ht="22.5" customHeight="1">
      <c r="A1719" s="37">
        <v>45998.01099219907</v>
      </c>
      <c r="B1719" s="5" t="s">
        <v>2282</v>
      </c>
      <c r="C1719" s="19" t="s">
        <v>133</v>
      </c>
      <c r="D1719" s="17">
        <v>1.0</v>
      </c>
      <c r="E1719" s="17">
        <v>135.0</v>
      </c>
      <c r="F1719" s="17">
        <v>175.0</v>
      </c>
      <c r="G1719" s="5">
        <v>175.0</v>
      </c>
      <c r="H1719" s="5">
        <v>175.0</v>
      </c>
      <c r="I1719" s="5">
        <v>40.0</v>
      </c>
      <c r="J1719" s="19" t="s">
        <v>31</v>
      </c>
      <c r="K1719" s="17">
        <v>67.0</v>
      </c>
      <c r="L1719" s="5" t="s">
        <v>5231</v>
      </c>
      <c r="M1719" s="5" t="s">
        <v>2230</v>
      </c>
    </row>
    <row r="1720" ht="22.5" customHeight="1">
      <c r="A1720" s="37">
        <v>45998.01099148148</v>
      </c>
      <c r="B1720" s="5" t="s">
        <v>2282</v>
      </c>
      <c r="C1720" s="19" t="s">
        <v>244</v>
      </c>
      <c r="D1720" s="17">
        <v>1.0</v>
      </c>
      <c r="E1720" s="17">
        <v>210.0</v>
      </c>
      <c r="F1720" s="17">
        <v>264.0</v>
      </c>
      <c r="G1720" s="5">
        <v>264.0</v>
      </c>
      <c r="H1720" s="5">
        <v>264.0</v>
      </c>
      <c r="I1720" s="5">
        <v>54.0</v>
      </c>
      <c r="J1720" s="19" t="s">
        <v>31</v>
      </c>
      <c r="K1720" s="17">
        <v>66.0</v>
      </c>
      <c r="L1720" s="5" t="s">
        <v>5232</v>
      </c>
      <c r="M1720" s="5" t="s">
        <v>2230</v>
      </c>
    </row>
    <row r="1721" ht="22.5" customHeight="1">
      <c r="A1721" s="37">
        <v>45998.01099068287</v>
      </c>
      <c r="B1721" s="5" t="s">
        <v>2282</v>
      </c>
      <c r="C1721" s="19" t="s">
        <v>241</v>
      </c>
      <c r="D1721" s="17">
        <v>1.0</v>
      </c>
      <c r="E1721" s="17">
        <v>225.0</v>
      </c>
      <c r="F1721" s="17">
        <v>300.0</v>
      </c>
      <c r="G1721" s="5">
        <v>300.0</v>
      </c>
      <c r="H1721" s="5">
        <v>300.0</v>
      </c>
      <c r="I1721" s="5">
        <v>75.0</v>
      </c>
      <c r="J1721" s="19" t="s">
        <v>31</v>
      </c>
      <c r="K1721" s="17">
        <v>65.0</v>
      </c>
      <c r="L1721" s="5" t="s">
        <v>5233</v>
      </c>
      <c r="M1721" s="5" t="s">
        <v>2230</v>
      </c>
    </row>
    <row r="1722" ht="22.5" customHeight="1">
      <c r="A1722" s="37">
        <v>45998.010989999995</v>
      </c>
      <c r="B1722" s="5" t="s">
        <v>2282</v>
      </c>
      <c r="C1722" s="19" t="s">
        <v>234</v>
      </c>
      <c r="D1722" s="17">
        <v>1.0</v>
      </c>
      <c r="E1722" s="17">
        <v>165.0</v>
      </c>
      <c r="F1722" s="17">
        <v>335.0</v>
      </c>
      <c r="G1722" s="5">
        <v>335.0</v>
      </c>
      <c r="H1722" s="5">
        <v>335.0</v>
      </c>
      <c r="I1722" s="5">
        <v>170.0</v>
      </c>
      <c r="J1722" s="19" t="s">
        <v>31</v>
      </c>
      <c r="K1722" s="17">
        <v>64.0</v>
      </c>
      <c r="L1722" s="5" t="s">
        <v>5234</v>
      </c>
      <c r="M1722" s="5" t="s">
        <v>2230</v>
      </c>
    </row>
    <row r="1723" ht="22.5" customHeight="1">
      <c r="A1723" s="37">
        <v>45998.01098950232</v>
      </c>
      <c r="B1723" s="5" t="s">
        <v>2282</v>
      </c>
      <c r="C1723" s="19" t="s">
        <v>194</v>
      </c>
      <c r="D1723" s="17">
        <v>2.0</v>
      </c>
      <c r="E1723" s="17">
        <v>164.17</v>
      </c>
      <c r="F1723" s="17">
        <v>220.0</v>
      </c>
      <c r="G1723" s="5">
        <v>220.0</v>
      </c>
      <c r="H1723" s="5">
        <v>440.0</v>
      </c>
      <c r="I1723" s="5">
        <v>111.66</v>
      </c>
      <c r="J1723" s="19" t="s">
        <v>31</v>
      </c>
      <c r="K1723" s="17">
        <v>63.0</v>
      </c>
      <c r="L1723" s="5" t="s">
        <v>5235</v>
      </c>
      <c r="M1723" s="5" t="s">
        <v>2230</v>
      </c>
    </row>
    <row r="1724" ht="22.5" customHeight="1">
      <c r="A1724" s="37">
        <v>45998.01098910879</v>
      </c>
      <c r="B1724" s="5" t="s">
        <v>2282</v>
      </c>
      <c r="C1724" s="19" t="s">
        <v>230</v>
      </c>
      <c r="D1724" s="17">
        <v>1.0</v>
      </c>
      <c r="E1724" s="17">
        <v>310.0</v>
      </c>
      <c r="F1724" s="17">
        <v>450.0</v>
      </c>
      <c r="G1724" s="5">
        <v>450.0</v>
      </c>
      <c r="H1724" s="5">
        <v>450.0</v>
      </c>
      <c r="I1724" s="5">
        <v>140.0</v>
      </c>
      <c r="J1724" s="19" t="s">
        <v>31</v>
      </c>
      <c r="K1724" s="17">
        <v>62.0</v>
      </c>
      <c r="L1724" s="5" t="s">
        <v>5236</v>
      </c>
      <c r="M1724" s="5" t="s">
        <v>2230</v>
      </c>
    </row>
    <row r="1725" ht="22.5" customHeight="1">
      <c r="A1725" s="37">
        <v>45998.010988634254</v>
      </c>
      <c r="B1725" s="5" t="s">
        <v>2282</v>
      </c>
      <c r="C1725" s="19" t="s">
        <v>225</v>
      </c>
      <c r="D1725" s="17">
        <v>1.0</v>
      </c>
      <c r="E1725" s="17">
        <v>160.0</v>
      </c>
      <c r="F1725" s="17">
        <v>200.0</v>
      </c>
      <c r="G1725" s="5">
        <v>200.0</v>
      </c>
      <c r="H1725" s="5">
        <v>200.0</v>
      </c>
      <c r="I1725" s="5">
        <v>40.0</v>
      </c>
      <c r="J1725" s="19" t="s">
        <v>31</v>
      </c>
      <c r="K1725" s="17">
        <v>61.0</v>
      </c>
      <c r="L1725" s="5" t="s">
        <v>5237</v>
      </c>
      <c r="M1725" s="5" t="s">
        <v>2230</v>
      </c>
    </row>
    <row r="1726" ht="22.5" customHeight="1">
      <c r="A1726" s="37">
        <v>45998.01098802083</v>
      </c>
      <c r="B1726" s="5" t="s">
        <v>2282</v>
      </c>
      <c r="C1726" s="19" t="s">
        <v>221</v>
      </c>
      <c r="D1726" s="17">
        <v>1.0</v>
      </c>
      <c r="E1726" s="17">
        <v>235.0</v>
      </c>
      <c r="F1726" s="17">
        <v>350.0</v>
      </c>
      <c r="G1726" s="5">
        <v>349.65</v>
      </c>
      <c r="H1726" s="5">
        <v>349.65</v>
      </c>
      <c r="I1726" s="5">
        <v>114.65</v>
      </c>
      <c r="J1726" s="19" t="s">
        <v>31</v>
      </c>
      <c r="K1726" s="17">
        <v>60.0</v>
      </c>
      <c r="L1726" s="5" t="s">
        <v>5238</v>
      </c>
      <c r="M1726" s="5" t="s">
        <v>2230</v>
      </c>
    </row>
    <row r="1727" ht="22.5" customHeight="1">
      <c r="A1727" s="37">
        <v>45998.01098734954</v>
      </c>
      <c r="B1727" s="5" t="s">
        <v>2282</v>
      </c>
      <c r="C1727" s="19" t="s">
        <v>102</v>
      </c>
      <c r="D1727" s="17">
        <v>1.0</v>
      </c>
      <c r="E1727" s="17">
        <v>562.5</v>
      </c>
      <c r="F1727" s="17">
        <v>715.0</v>
      </c>
      <c r="G1727" s="5">
        <v>714.29</v>
      </c>
      <c r="H1727" s="5">
        <v>714.29</v>
      </c>
      <c r="I1727" s="5">
        <v>151.79</v>
      </c>
      <c r="J1727" s="19" t="s">
        <v>31</v>
      </c>
      <c r="K1727" s="17">
        <v>59.0</v>
      </c>
      <c r="L1727" s="5" t="s">
        <v>5239</v>
      </c>
      <c r="M1727" s="5" t="s">
        <v>2230</v>
      </c>
    </row>
    <row r="1728" ht="22.5" customHeight="1">
      <c r="A1728" s="37">
        <v>45998.01098662037</v>
      </c>
      <c r="B1728" s="5" t="s">
        <v>2282</v>
      </c>
      <c r="C1728" s="19" t="s">
        <v>212</v>
      </c>
      <c r="D1728" s="17">
        <v>1.0</v>
      </c>
      <c r="E1728" s="17">
        <v>325.0</v>
      </c>
      <c r="F1728" s="17">
        <v>425.0</v>
      </c>
      <c r="G1728" s="5">
        <v>424.58</v>
      </c>
      <c r="H1728" s="5">
        <v>424.58</v>
      </c>
      <c r="I1728" s="5">
        <v>99.58</v>
      </c>
      <c r="J1728" s="19" t="s">
        <v>31</v>
      </c>
      <c r="K1728" s="17">
        <v>58.0</v>
      </c>
      <c r="L1728" s="5" t="s">
        <v>5240</v>
      </c>
      <c r="M1728" s="5" t="s">
        <v>2230</v>
      </c>
    </row>
    <row r="1729" ht="22.5" customHeight="1">
      <c r="A1729" s="37">
        <v>45998.010985925925</v>
      </c>
      <c r="B1729" s="5" t="s">
        <v>2282</v>
      </c>
      <c r="C1729" s="19" t="s">
        <v>194</v>
      </c>
      <c r="D1729" s="17">
        <v>2.0</v>
      </c>
      <c r="E1729" s="17">
        <v>164.17</v>
      </c>
      <c r="F1729" s="17">
        <v>220.0</v>
      </c>
      <c r="G1729" s="5">
        <v>219.78</v>
      </c>
      <c r="H1729" s="5">
        <v>439.56</v>
      </c>
      <c r="I1729" s="5">
        <v>111.22</v>
      </c>
      <c r="J1729" s="19" t="s">
        <v>31</v>
      </c>
      <c r="K1729" s="17">
        <v>57.0</v>
      </c>
      <c r="L1729" s="5" t="s">
        <v>5241</v>
      </c>
      <c r="M1729" s="5" t="s">
        <v>2230</v>
      </c>
    </row>
    <row r="1730" ht="22.5" customHeight="1">
      <c r="A1730" s="37">
        <v>45998.01098523148</v>
      </c>
      <c r="B1730" s="5" t="s">
        <v>2282</v>
      </c>
      <c r="C1730" s="19" t="s">
        <v>144</v>
      </c>
      <c r="D1730" s="17">
        <v>1.0</v>
      </c>
      <c r="E1730" s="17">
        <v>165.0</v>
      </c>
      <c r="F1730" s="17">
        <v>220.0</v>
      </c>
      <c r="G1730" s="5">
        <v>219.78</v>
      </c>
      <c r="H1730" s="5">
        <v>219.78</v>
      </c>
      <c r="I1730" s="5">
        <v>54.78</v>
      </c>
      <c r="J1730" s="19" t="s">
        <v>31</v>
      </c>
      <c r="K1730" s="17">
        <v>56.0</v>
      </c>
      <c r="L1730" s="5" t="s">
        <v>5242</v>
      </c>
      <c r="M1730" s="5" t="s">
        <v>2230</v>
      </c>
    </row>
    <row r="1731" ht="22.5" customHeight="1">
      <c r="A1731" s="37">
        <v>45998.010984733795</v>
      </c>
      <c r="B1731" s="5" t="s">
        <v>2282</v>
      </c>
      <c r="C1731" s="19" t="s">
        <v>204</v>
      </c>
      <c r="D1731" s="17">
        <v>1.0</v>
      </c>
      <c r="E1731" s="17">
        <v>110.0</v>
      </c>
      <c r="F1731" s="17">
        <v>210.0</v>
      </c>
      <c r="G1731" s="5">
        <v>209.79</v>
      </c>
      <c r="H1731" s="5">
        <v>209.79</v>
      </c>
      <c r="I1731" s="5">
        <v>99.79</v>
      </c>
      <c r="J1731" s="19" t="s">
        <v>31</v>
      </c>
      <c r="K1731" s="17">
        <v>55.0</v>
      </c>
      <c r="L1731" s="5" t="s">
        <v>5243</v>
      </c>
      <c r="M1731" s="5" t="s">
        <v>2230</v>
      </c>
    </row>
    <row r="1732" ht="22.5" customHeight="1">
      <c r="A1732" s="37">
        <v>45998.01098432871</v>
      </c>
      <c r="B1732" s="5" t="s">
        <v>2282</v>
      </c>
      <c r="C1732" s="19" t="s">
        <v>48</v>
      </c>
      <c r="D1732" s="17">
        <v>3.0</v>
      </c>
      <c r="E1732" s="17">
        <v>31.5</v>
      </c>
      <c r="F1732" s="17">
        <v>50.0</v>
      </c>
      <c r="G1732" s="5">
        <v>49.95</v>
      </c>
      <c r="H1732" s="5">
        <v>149.85</v>
      </c>
      <c r="I1732" s="5">
        <v>55.35</v>
      </c>
      <c r="J1732" s="19" t="s">
        <v>31</v>
      </c>
      <c r="K1732" s="17">
        <v>54.0</v>
      </c>
      <c r="L1732" s="5" t="s">
        <v>5244</v>
      </c>
      <c r="M1732" s="5" t="s">
        <v>2230</v>
      </c>
    </row>
    <row r="1733" ht="22.5" customHeight="1">
      <c r="A1733" s="37">
        <v>45998.010983217595</v>
      </c>
      <c r="B1733" s="5" t="s">
        <v>2282</v>
      </c>
      <c r="C1733" s="19" t="s">
        <v>198</v>
      </c>
      <c r="D1733" s="17">
        <v>3.0</v>
      </c>
      <c r="E1733" s="17">
        <v>55.0</v>
      </c>
      <c r="F1733" s="17">
        <v>75.0</v>
      </c>
      <c r="G1733" s="5">
        <v>74.93</v>
      </c>
      <c r="H1733" s="5">
        <v>224.79</v>
      </c>
      <c r="I1733" s="5">
        <v>59.79</v>
      </c>
      <c r="J1733" s="19" t="s">
        <v>31</v>
      </c>
      <c r="K1733" s="17">
        <v>53.0</v>
      </c>
      <c r="L1733" s="5" t="s">
        <v>5245</v>
      </c>
      <c r="M1733" s="5" t="s">
        <v>2230</v>
      </c>
    </row>
    <row r="1734" ht="22.5" customHeight="1">
      <c r="A1734" s="37">
        <v>45998.010982395834</v>
      </c>
      <c r="B1734" s="5" t="s">
        <v>2282</v>
      </c>
      <c r="C1734" s="19" t="s">
        <v>194</v>
      </c>
      <c r="D1734" s="17">
        <v>1.0</v>
      </c>
      <c r="E1734" s="17">
        <v>164.17</v>
      </c>
      <c r="F1734" s="17">
        <v>220.0</v>
      </c>
      <c r="G1734" s="5">
        <v>219.78</v>
      </c>
      <c r="H1734" s="5">
        <v>219.78</v>
      </c>
      <c r="I1734" s="5">
        <v>55.61</v>
      </c>
      <c r="J1734" s="19" t="s">
        <v>31</v>
      </c>
      <c r="K1734" s="17">
        <v>52.0</v>
      </c>
      <c r="L1734" s="5" t="s">
        <v>5246</v>
      </c>
      <c r="M1734" s="5" t="s">
        <v>2230</v>
      </c>
    </row>
    <row r="1735" ht="22.5" customHeight="1">
      <c r="A1735" s="37">
        <v>45998.01098177083</v>
      </c>
      <c r="B1735" s="5" t="s">
        <v>2282</v>
      </c>
      <c r="C1735" s="19" t="s">
        <v>55</v>
      </c>
      <c r="D1735" s="17">
        <v>1.0</v>
      </c>
      <c r="E1735" s="17">
        <v>195.0</v>
      </c>
      <c r="F1735" s="17">
        <v>220.0</v>
      </c>
      <c r="G1735" s="5">
        <v>219.78</v>
      </c>
      <c r="H1735" s="5">
        <v>219.78</v>
      </c>
      <c r="I1735" s="5">
        <v>24.78</v>
      </c>
      <c r="J1735" s="19" t="s">
        <v>31</v>
      </c>
      <c r="K1735" s="17">
        <v>51.0</v>
      </c>
      <c r="L1735" s="5" t="s">
        <v>5247</v>
      </c>
      <c r="M1735" s="5" t="s">
        <v>2230</v>
      </c>
    </row>
    <row r="1736" ht="22.5" customHeight="1">
      <c r="A1736" s="37">
        <v>45998.01098136574</v>
      </c>
      <c r="B1736" s="5" t="s">
        <v>2282</v>
      </c>
      <c r="C1736" s="19" t="s">
        <v>48</v>
      </c>
      <c r="D1736" s="17">
        <v>1.0</v>
      </c>
      <c r="E1736" s="17">
        <v>31.5</v>
      </c>
      <c r="F1736" s="17">
        <v>50.0</v>
      </c>
      <c r="G1736" s="5">
        <v>50.0</v>
      </c>
      <c r="H1736" s="5">
        <v>50.0</v>
      </c>
      <c r="I1736" s="5">
        <v>18.5</v>
      </c>
      <c r="J1736" s="19" t="s">
        <v>31</v>
      </c>
      <c r="K1736" s="17">
        <v>50.0</v>
      </c>
      <c r="L1736" s="5" t="s">
        <v>5248</v>
      </c>
      <c r="M1736" s="5" t="s">
        <v>2230</v>
      </c>
    </row>
    <row r="1737" ht="22.5" customHeight="1">
      <c r="A1737" s="37">
        <v>45998.01098096065</v>
      </c>
      <c r="B1737" s="5" t="s">
        <v>2282</v>
      </c>
      <c r="C1737" s="19" t="s">
        <v>188</v>
      </c>
      <c r="D1737" s="17">
        <v>1.0</v>
      </c>
      <c r="E1737" s="17">
        <v>40.0</v>
      </c>
      <c r="F1737" s="17">
        <v>50.0</v>
      </c>
      <c r="G1737" s="5">
        <v>50.0</v>
      </c>
      <c r="H1737" s="5">
        <v>50.0</v>
      </c>
      <c r="I1737" s="5">
        <v>10.0</v>
      </c>
      <c r="J1737" s="19" t="s">
        <v>31</v>
      </c>
      <c r="K1737" s="17">
        <v>49.0</v>
      </c>
      <c r="L1737" s="5" t="s">
        <v>5249</v>
      </c>
      <c r="M1737" s="5" t="s">
        <v>2230</v>
      </c>
    </row>
    <row r="1738" ht="22.5" customHeight="1">
      <c r="A1738" s="37">
        <v>45998.01098064815</v>
      </c>
      <c r="B1738" s="5" t="s">
        <v>2282</v>
      </c>
      <c r="C1738" s="19" t="s">
        <v>133</v>
      </c>
      <c r="D1738" s="17">
        <v>1.0</v>
      </c>
      <c r="E1738" s="17">
        <v>135.0</v>
      </c>
      <c r="F1738" s="17">
        <v>175.0</v>
      </c>
      <c r="G1738" s="5">
        <v>175.0</v>
      </c>
      <c r="H1738" s="5">
        <v>175.0</v>
      </c>
      <c r="I1738" s="5">
        <v>40.0</v>
      </c>
      <c r="J1738" s="19" t="s">
        <v>31</v>
      </c>
      <c r="K1738" s="17">
        <v>48.0</v>
      </c>
      <c r="L1738" s="5" t="s">
        <v>5250</v>
      </c>
      <c r="M1738" s="5" t="s">
        <v>2230</v>
      </c>
    </row>
    <row r="1739" ht="22.5" customHeight="1">
      <c r="A1739" s="37">
        <v>45998.01098017361</v>
      </c>
      <c r="B1739" s="5" t="s">
        <v>2282</v>
      </c>
      <c r="C1739" s="19" t="s">
        <v>79</v>
      </c>
      <c r="D1739" s="17">
        <v>1.0</v>
      </c>
      <c r="E1739" s="17">
        <v>60.0</v>
      </c>
      <c r="F1739" s="17">
        <v>120.0</v>
      </c>
      <c r="G1739" s="5">
        <v>120.0</v>
      </c>
      <c r="H1739" s="5">
        <v>120.0</v>
      </c>
      <c r="I1739" s="5">
        <v>60.0</v>
      </c>
      <c r="J1739" s="19" t="s">
        <v>31</v>
      </c>
      <c r="K1739" s="17">
        <v>47.0</v>
      </c>
      <c r="L1739" s="5" t="s">
        <v>5251</v>
      </c>
      <c r="M1739" s="5" t="s">
        <v>2230</v>
      </c>
    </row>
    <row r="1740" ht="22.5" customHeight="1">
      <c r="A1740" s="37">
        <v>45998.010979803235</v>
      </c>
      <c r="B1740" s="5" t="s">
        <v>2282</v>
      </c>
      <c r="C1740" s="19" t="s">
        <v>178</v>
      </c>
      <c r="D1740" s="17">
        <v>1.0</v>
      </c>
      <c r="E1740" s="17">
        <v>195.0</v>
      </c>
      <c r="F1740" s="17">
        <v>220.0</v>
      </c>
      <c r="G1740" s="5">
        <v>220.0</v>
      </c>
      <c r="H1740" s="5">
        <v>220.0</v>
      </c>
      <c r="I1740" s="5">
        <v>25.0</v>
      </c>
      <c r="J1740" s="19" t="s">
        <v>31</v>
      </c>
      <c r="K1740" s="17">
        <v>46.0</v>
      </c>
      <c r="L1740" s="5" t="s">
        <v>5252</v>
      </c>
      <c r="M1740" s="5" t="s">
        <v>2230</v>
      </c>
    </row>
    <row r="1741" ht="22.5" customHeight="1">
      <c r="A1741" s="37">
        <v>45998.01097949074</v>
      </c>
      <c r="B1741" s="5" t="s">
        <v>2282</v>
      </c>
      <c r="C1741" s="19" t="s">
        <v>116</v>
      </c>
      <c r="D1741" s="17">
        <v>1.0</v>
      </c>
      <c r="E1741" s="17">
        <v>17.0</v>
      </c>
      <c r="F1741" s="17">
        <v>25.0</v>
      </c>
      <c r="G1741" s="5">
        <v>25.0</v>
      </c>
      <c r="H1741" s="5">
        <v>25.0</v>
      </c>
      <c r="I1741" s="5">
        <v>8.0</v>
      </c>
      <c r="J1741" s="19" t="s">
        <v>31</v>
      </c>
      <c r="K1741" s="17">
        <v>45.0</v>
      </c>
      <c r="L1741" s="5" t="s">
        <v>5253</v>
      </c>
      <c r="M1741" s="5" t="s">
        <v>2230</v>
      </c>
    </row>
    <row r="1742" ht="22.5" customHeight="1">
      <c r="A1742" s="37">
        <v>45998.01097909722</v>
      </c>
      <c r="B1742" s="5" t="s">
        <v>2282</v>
      </c>
      <c r="C1742" s="19" t="s">
        <v>172</v>
      </c>
      <c r="D1742" s="17">
        <v>1.0</v>
      </c>
      <c r="E1742" s="17">
        <v>28.2</v>
      </c>
      <c r="F1742" s="17">
        <v>40.0</v>
      </c>
      <c r="G1742" s="5">
        <v>40.0</v>
      </c>
      <c r="H1742" s="5">
        <v>40.0</v>
      </c>
      <c r="I1742" s="5">
        <v>11.8</v>
      </c>
      <c r="J1742" s="19" t="s">
        <v>31</v>
      </c>
      <c r="K1742" s="17">
        <v>44.0</v>
      </c>
      <c r="L1742" s="5" t="s">
        <v>5254</v>
      </c>
      <c r="M1742" s="5" t="s">
        <v>2230</v>
      </c>
    </row>
    <row r="1743" ht="22.5" customHeight="1">
      <c r="A1743" s="37">
        <v>45998.01097876157</v>
      </c>
      <c r="B1743" s="5" t="s">
        <v>2282</v>
      </c>
      <c r="C1743" s="19" t="s">
        <v>48</v>
      </c>
      <c r="D1743" s="17">
        <v>1.0</v>
      </c>
      <c r="E1743" s="17">
        <v>31.5</v>
      </c>
      <c r="F1743" s="17">
        <v>50.0</v>
      </c>
      <c r="G1743" s="5">
        <v>50.0</v>
      </c>
      <c r="H1743" s="5">
        <v>50.0</v>
      </c>
      <c r="I1743" s="5">
        <v>18.5</v>
      </c>
      <c r="J1743" s="19" t="s">
        <v>31</v>
      </c>
      <c r="K1743" s="17">
        <v>43.0</v>
      </c>
      <c r="L1743" s="5" t="s">
        <v>5255</v>
      </c>
      <c r="M1743" s="5" t="s">
        <v>2230</v>
      </c>
    </row>
    <row r="1744" ht="22.5" customHeight="1">
      <c r="A1744" s="37">
        <v>45998.010977893515</v>
      </c>
      <c r="B1744" s="5" t="s">
        <v>2282</v>
      </c>
      <c r="C1744" s="19" t="s">
        <v>144</v>
      </c>
      <c r="D1744" s="17">
        <v>1.0</v>
      </c>
      <c r="E1744" s="17">
        <v>165.0</v>
      </c>
      <c r="F1744" s="17">
        <v>220.0</v>
      </c>
      <c r="G1744" s="5">
        <v>220.0</v>
      </c>
      <c r="H1744" s="5">
        <v>220.0</v>
      </c>
      <c r="I1744" s="5">
        <v>55.0</v>
      </c>
      <c r="J1744" s="19" t="s">
        <v>31</v>
      </c>
      <c r="K1744" s="17">
        <v>42.0</v>
      </c>
      <c r="L1744" s="5" t="s">
        <v>5256</v>
      </c>
      <c r="M1744" s="5" t="s">
        <v>2230</v>
      </c>
    </row>
    <row r="1745" ht="22.5" customHeight="1">
      <c r="A1745" s="37">
        <v>45998.010977337966</v>
      </c>
      <c r="B1745" s="5" t="s">
        <v>2282</v>
      </c>
      <c r="C1745" s="19" t="s">
        <v>172</v>
      </c>
      <c r="D1745" s="17">
        <v>2.0</v>
      </c>
      <c r="E1745" s="17">
        <v>28.2</v>
      </c>
      <c r="F1745" s="17">
        <v>40.0</v>
      </c>
      <c r="G1745" s="5">
        <v>39.98</v>
      </c>
      <c r="H1745" s="5">
        <v>79.96</v>
      </c>
      <c r="I1745" s="5">
        <v>23.56</v>
      </c>
      <c r="J1745" s="19" t="s">
        <v>31</v>
      </c>
      <c r="K1745" s="17">
        <v>41.0</v>
      </c>
      <c r="L1745" s="5" t="s">
        <v>5257</v>
      </c>
      <c r="M1745" s="5" t="s">
        <v>2230</v>
      </c>
    </row>
    <row r="1746" ht="22.5" customHeight="1">
      <c r="A1746" s="37">
        <v>45998.0109769213</v>
      </c>
      <c r="B1746" s="5" t="s">
        <v>2282</v>
      </c>
      <c r="C1746" s="19" t="s">
        <v>48</v>
      </c>
      <c r="D1746" s="17">
        <v>5.0</v>
      </c>
      <c r="E1746" s="17">
        <v>31.5</v>
      </c>
      <c r="F1746" s="17">
        <v>50.0</v>
      </c>
      <c r="G1746" s="5">
        <v>49.98</v>
      </c>
      <c r="H1746" s="5">
        <v>249.9</v>
      </c>
      <c r="I1746" s="5">
        <v>92.4</v>
      </c>
      <c r="J1746" s="19" t="s">
        <v>31</v>
      </c>
      <c r="K1746" s="17">
        <v>40.0</v>
      </c>
      <c r="L1746" s="5" t="s">
        <v>5258</v>
      </c>
      <c r="M1746" s="5" t="s">
        <v>2230</v>
      </c>
    </row>
    <row r="1747" ht="22.5" customHeight="1">
      <c r="A1747" s="37">
        <v>45998.01097642361</v>
      </c>
      <c r="B1747" s="5" t="s">
        <v>2282</v>
      </c>
      <c r="C1747" s="19" t="s">
        <v>156</v>
      </c>
      <c r="D1747" s="17">
        <v>2.0</v>
      </c>
      <c r="E1747" s="17">
        <v>112.5</v>
      </c>
      <c r="F1747" s="17">
        <v>150.0</v>
      </c>
      <c r="G1747" s="5">
        <v>149.93</v>
      </c>
      <c r="H1747" s="5">
        <v>299.86</v>
      </c>
      <c r="I1747" s="5">
        <v>74.86</v>
      </c>
      <c r="J1747" s="19" t="s">
        <v>31</v>
      </c>
      <c r="K1747" s="17">
        <v>39.0</v>
      </c>
      <c r="L1747" s="5" t="s">
        <v>5259</v>
      </c>
      <c r="M1747" s="5" t="s">
        <v>2230</v>
      </c>
    </row>
    <row r="1748" ht="22.5" customHeight="1">
      <c r="A1748" s="37">
        <v>45998.01097613426</v>
      </c>
      <c r="B1748" s="5" t="s">
        <v>2282</v>
      </c>
      <c r="C1748" s="19" t="s">
        <v>157</v>
      </c>
      <c r="D1748" s="17">
        <v>1.0</v>
      </c>
      <c r="E1748" s="17">
        <v>120.0</v>
      </c>
      <c r="F1748" s="17">
        <v>170.0</v>
      </c>
      <c r="G1748" s="5">
        <v>169.92</v>
      </c>
      <c r="H1748" s="5">
        <v>169.92</v>
      </c>
      <c r="I1748" s="5">
        <v>49.92</v>
      </c>
      <c r="J1748" s="19" t="s">
        <v>31</v>
      </c>
      <c r="K1748" s="17">
        <v>38.0</v>
      </c>
      <c r="L1748" s="5" t="s">
        <v>5260</v>
      </c>
      <c r="M1748" s="5" t="s">
        <v>2230</v>
      </c>
    </row>
    <row r="1749" ht="22.5" customHeight="1">
      <c r="A1749" s="37">
        <v>45998.01097581019</v>
      </c>
      <c r="B1749" s="5" t="s">
        <v>2282</v>
      </c>
      <c r="C1749" s="19" t="s">
        <v>153</v>
      </c>
      <c r="D1749" s="17">
        <v>1.0</v>
      </c>
      <c r="E1749" s="17">
        <v>211.67</v>
      </c>
      <c r="F1749" s="17">
        <v>275.0</v>
      </c>
      <c r="G1749" s="5">
        <v>274.86</v>
      </c>
      <c r="H1749" s="5">
        <v>274.86</v>
      </c>
      <c r="I1749" s="5">
        <v>63.19</v>
      </c>
      <c r="J1749" s="19" t="s">
        <v>31</v>
      </c>
      <c r="K1749" s="17">
        <v>37.0</v>
      </c>
      <c r="L1749" s="5" t="s">
        <v>5261</v>
      </c>
      <c r="M1749" s="5" t="s">
        <v>2230</v>
      </c>
    </row>
    <row r="1750" ht="22.5" customHeight="1">
      <c r="A1750" s="37">
        <v>45998.01097539352</v>
      </c>
      <c r="B1750" s="5" t="s">
        <v>2282</v>
      </c>
      <c r="C1750" s="19" t="s">
        <v>148</v>
      </c>
      <c r="D1750" s="17">
        <v>1.0</v>
      </c>
      <c r="E1750" s="17">
        <v>365.0</v>
      </c>
      <c r="F1750" s="17">
        <v>790.0</v>
      </c>
      <c r="G1750" s="5">
        <v>789.61</v>
      </c>
      <c r="H1750" s="5">
        <v>789.61</v>
      </c>
      <c r="I1750" s="5">
        <v>424.61</v>
      </c>
      <c r="J1750" s="19" t="s">
        <v>31</v>
      </c>
      <c r="K1750" s="17">
        <v>36.0</v>
      </c>
      <c r="L1750" s="5" t="s">
        <v>5262</v>
      </c>
      <c r="M1750" s="5" t="s">
        <v>2230</v>
      </c>
    </row>
    <row r="1751" ht="22.5" customHeight="1">
      <c r="A1751" s="37">
        <v>45998.01097497685</v>
      </c>
      <c r="B1751" s="5" t="s">
        <v>2282</v>
      </c>
      <c r="C1751" s="19" t="s">
        <v>144</v>
      </c>
      <c r="D1751" s="17">
        <v>2.0</v>
      </c>
      <c r="E1751" s="17">
        <v>165.0</v>
      </c>
      <c r="F1751" s="17">
        <v>220.0</v>
      </c>
      <c r="G1751" s="5">
        <v>219.89</v>
      </c>
      <c r="H1751" s="5">
        <v>439.78</v>
      </c>
      <c r="I1751" s="5">
        <v>109.78</v>
      </c>
      <c r="J1751" s="19" t="s">
        <v>31</v>
      </c>
      <c r="K1751" s="17">
        <v>35.0</v>
      </c>
      <c r="L1751" s="5" t="s">
        <v>5263</v>
      </c>
      <c r="M1751" s="5" t="s">
        <v>2230</v>
      </c>
    </row>
    <row r="1752" ht="22.5" customHeight="1">
      <c r="A1752" s="37">
        <v>45998.010974675926</v>
      </c>
      <c r="B1752" s="5" t="s">
        <v>2282</v>
      </c>
      <c r="C1752" s="19" t="s">
        <v>139</v>
      </c>
      <c r="D1752" s="17">
        <v>1.0</v>
      </c>
      <c r="E1752" s="17">
        <v>110.0</v>
      </c>
      <c r="F1752" s="17">
        <v>150.0</v>
      </c>
      <c r="G1752" s="5">
        <v>149.93</v>
      </c>
      <c r="H1752" s="5">
        <v>149.93</v>
      </c>
      <c r="I1752" s="5">
        <v>39.93</v>
      </c>
      <c r="J1752" s="19" t="s">
        <v>31</v>
      </c>
      <c r="K1752" s="17">
        <v>34.0</v>
      </c>
      <c r="L1752" s="5" t="s">
        <v>5265</v>
      </c>
      <c r="M1752" s="5" t="s">
        <v>2230</v>
      </c>
    </row>
    <row r="1753" ht="22.5" customHeight="1">
      <c r="A1753" s="37">
        <v>45998.01097420139</v>
      </c>
      <c r="B1753" s="5" t="s">
        <v>2282</v>
      </c>
      <c r="C1753" s="19" t="s">
        <v>85</v>
      </c>
      <c r="D1753" s="17">
        <v>1.0</v>
      </c>
      <c r="E1753" s="17">
        <v>598.33</v>
      </c>
      <c r="F1753" s="17">
        <v>795.0</v>
      </c>
      <c r="G1753" s="5">
        <v>794.6</v>
      </c>
      <c r="H1753" s="5">
        <v>794.6</v>
      </c>
      <c r="I1753" s="5">
        <v>196.27</v>
      </c>
      <c r="J1753" s="19" t="s">
        <v>31</v>
      </c>
      <c r="K1753" s="17">
        <v>33.0</v>
      </c>
      <c r="L1753" s="5" t="s">
        <v>5266</v>
      </c>
      <c r="M1753" s="5" t="s">
        <v>2230</v>
      </c>
    </row>
    <row r="1754" ht="22.5" customHeight="1">
      <c r="A1754" s="37">
        <v>45998.01097369213</v>
      </c>
      <c r="B1754" s="5" t="s">
        <v>2282</v>
      </c>
      <c r="C1754" s="19" t="s">
        <v>75</v>
      </c>
      <c r="D1754" s="17">
        <v>1.0</v>
      </c>
      <c r="E1754" s="17">
        <v>725.0</v>
      </c>
      <c r="F1754" s="17">
        <v>935.0</v>
      </c>
      <c r="G1754" s="5">
        <v>934.53</v>
      </c>
      <c r="H1754" s="5">
        <v>934.53</v>
      </c>
      <c r="I1754" s="5">
        <v>209.53</v>
      </c>
      <c r="J1754" s="19" t="s">
        <v>31</v>
      </c>
      <c r="K1754" s="17">
        <v>32.0</v>
      </c>
      <c r="L1754" s="5" t="s">
        <v>5267</v>
      </c>
      <c r="M1754" s="5" t="s">
        <v>2230</v>
      </c>
    </row>
    <row r="1755" ht="22.5" customHeight="1">
      <c r="A1755" s="37">
        <v>45998.01097326389</v>
      </c>
      <c r="B1755" s="5" t="s">
        <v>2282</v>
      </c>
      <c r="C1755" s="19" t="s">
        <v>70</v>
      </c>
      <c r="D1755" s="17">
        <v>1.0</v>
      </c>
      <c r="E1755" s="17">
        <v>75.0</v>
      </c>
      <c r="F1755" s="17">
        <v>100.0</v>
      </c>
      <c r="G1755" s="5">
        <v>99.9</v>
      </c>
      <c r="H1755" s="5">
        <v>99.9</v>
      </c>
      <c r="I1755" s="5">
        <v>24.9</v>
      </c>
      <c r="J1755" s="19" t="s">
        <v>31</v>
      </c>
      <c r="K1755" s="17">
        <v>31.0</v>
      </c>
      <c r="L1755" s="5" t="s">
        <v>5268</v>
      </c>
      <c r="M1755" s="5" t="s">
        <v>2230</v>
      </c>
    </row>
    <row r="1756" ht="22.5" customHeight="1">
      <c r="A1756" s="37">
        <v>45998.01097292824</v>
      </c>
      <c r="B1756" s="5" t="s">
        <v>2282</v>
      </c>
      <c r="C1756" s="19" t="s">
        <v>122</v>
      </c>
      <c r="D1756" s="17">
        <v>1.0</v>
      </c>
      <c r="E1756" s="17">
        <v>300.0</v>
      </c>
      <c r="F1756" s="17">
        <v>400.0</v>
      </c>
      <c r="G1756" s="5">
        <v>399.6</v>
      </c>
      <c r="H1756" s="5">
        <v>399.6</v>
      </c>
      <c r="I1756" s="5">
        <v>99.6</v>
      </c>
      <c r="J1756" s="19" t="s">
        <v>31</v>
      </c>
      <c r="K1756" s="17">
        <v>30.0</v>
      </c>
      <c r="L1756" s="5" t="s">
        <v>5269</v>
      </c>
      <c r="M1756" s="5" t="s">
        <v>2230</v>
      </c>
    </row>
    <row r="1757" ht="22.5" customHeight="1">
      <c r="A1757" s="37">
        <v>45998.01097265046</v>
      </c>
      <c r="B1757" s="5" t="s">
        <v>2282</v>
      </c>
      <c r="C1757" s="19" t="s">
        <v>116</v>
      </c>
      <c r="D1757" s="17">
        <v>10.0</v>
      </c>
      <c r="E1757" s="17">
        <v>17.0</v>
      </c>
      <c r="F1757" s="17">
        <v>25.0</v>
      </c>
      <c r="G1757" s="5">
        <v>24.98</v>
      </c>
      <c r="H1757" s="5">
        <v>249.8</v>
      </c>
      <c r="I1757" s="5">
        <v>79.8</v>
      </c>
      <c r="J1757" s="19" t="s">
        <v>31</v>
      </c>
      <c r="K1757" s="17">
        <v>29.0</v>
      </c>
      <c r="L1757" s="5" t="s">
        <v>5270</v>
      </c>
      <c r="M1757" s="5" t="s">
        <v>2230</v>
      </c>
    </row>
    <row r="1758" ht="22.5" customHeight="1">
      <c r="A1758" s="37">
        <v>45998.01097238426</v>
      </c>
      <c r="B1758" s="5" t="s">
        <v>2282</v>
      </c>
      <c r="C1758" s="19" t="s">
        <v>48</v>
      </c>
      <c r="D1758" s="17">
        <v>2.0</v>
      </c>
      <c r="E1758" s="17">
        <v>31.5</v>
      </c>
      <c r="F1758" s="17">
        <v>50.0</v>
      </c>
      <c r="G1758" s="5">
        <v>49.95</v>
      </c>
      <c r="H1758" s="5">
        <v>99.9</v>
      </c>
      <c r="I1758" s="5">
        <v>36.9</v>
      </c>
      <c r="J1758" s="19" t="s">
        <v>31</v>
      </c>
      <c r="K1758" s="17">
        <v>28.0</v>
      </c>
      <c r="L1758" s="5" t="s">
        <v>5271</v>
      </c>
      <c r="M1758" s="5" t="s">
        <v>2230</v>
      </c>
    </row>
    <row r="1759" ht="22.5" customHeight="1">
      <c r="A1759" s="37">
        <v>45998.01097203704</v>
      </c>
      <c r="B1759" s="5" t="s">
        <v>2282</v>
      </c>
      <c r="C1759" s="19" t="s">
        <v>112</v>
      </c>
      <c r="D1759" s="17">
        <v>1.0</v>
      </c>
      <c r="E1759" s="17">
        <v>135.0</v>
      </c>
      <c r="F1759" s="17">
        <v>250.0</v>
      </c>
      <c r="G1759" s="5">
        <v>249.75</v>
      </c>
      <c r="H1759" s="5">
        <v>249.75</v>
      </c>
      <c r="I1759" s="5">
        <v>114.75</v>
      </c>
      <c r="J1759" s="19" t="s">
        <v>31</v>
      </c>
      <c r="K1759" s="17">
        <v>27.0</v>
      </c>
      <c r="L1759" s="5" t="s">
        <v>5272</v>
      </c>
      <c r="M1759" s="5" t="s">
        <v>2230</v>
      </c>
    </row>
    <row r="1760" ht="22.5" customHeight="1">
      <c r="A1760" s="37">
        <v>45998.01097178241</v>
      </c>
      <c r="B1760" s="5" t="s">
        <v>2282</v>
      </c>
      <c r="C1760" s="19" t="s">
        <v>48</v>
      </c>
      <c r="D1760" s="17">
        <v>3.0</v>
      </c>
      <c r="E1760" s="17">
        <v>31.5</v>
      </c>
      <c r="F1760" s="17">
        <v>50.0</v>
      </c>
      <c r="G1760" s="5">
        <v>50.0</v>
      </c>
      <c r="H1760" s="5">
        <v>150.0</v>
      </c>
      <c r="I1760" s="5">
        <v>55.5</v>
      </c>
      <c r="J1760" s="19" t="s">
        <v>31</v>
      </c>
      <c r="K1760" s="17">
        <v>26.0</v>
      </c>
      <c r="L1760" s="5" t="s">
        <v>5273</v>
      </c>
      <c r="M1760" s="5" t="s">
        <v>2230</v>
      </c>
    </row>
    <row r="1761" ht="22.5" customHeight="1">
      <c r="A1761" s="37">
        <v>45998.010971446754</v>
      </c>
      <c r="B1761" s="5" t="s">
        <v>2282</v>
      </c>
      <c r="C1761" s="19" t="s">
        <v>48</v>
      </c>
      <c r="D1761" s="17">
        <v>2.0</v>
      </c>
      <c r="E1761" s="17">
        <v>31.5</v>
      </c>
      <c r="F1761" s="17">
        <v>50.0</v>
      </c>
      <c r="G1761" s="5">
        <v>50.0</v>
      </c>
      <c r="H1761" s="5">
        <v>100.0</v>
      </c>
      <c r="I1761" s="5">
        <v>37.0</v>
      </c>
      <c r="J1761" s="19" t="s">
        <v>31</v>
      </c>
      <c r="K1761" s="17">
        <v>25.0</v>
      </c>
      <c r="L1761" s="5" t="s">
        <v>5274</v>
      </c>
      <c r="M1761" s="5" t="s">
        <v>2230</v>
      </c>
    </row>
    <row r="1762" ht="22.5" customHeight="1">
      <c r="A1762" s="37">
        <v>45998.010971157404</v>
      </c>
      <c r="B1762" s="5" t="s">
        <v>2282</v>
      </c>
      <c r="C1762" s="19" t="s">
        <v>179</v>
      </c>
      <c r="D1762" s="17">
        <v>2.0</v>
      </c>
      <c r="E1762" s="17">
        <v>105.0</v>
      </c>
      <c r="F1762" s="17">
        <v>135.0</v>
      </c>
      <c r="G1762" s="5">
        <v>135.0</v>
      </c>
      <c r="H1762" s="5">
        <v>270.0</v>
      </c>
      <c r="I1762" s="5">
        <v>60.0</v>
      </c>
      <c r="J1762" s="19" t="s">
        <v>31</v>
      </c>
      <c r="K1762" s="17">
        <v>24.0</v>
      </c>
      <c r="L1762" s="5" t="s">
        <v>5275</v>
      </c>
      <c r="M1762" s="5" t="s">
        <v>2230</v>
      </c>
    </row>
    <row r="1763" ht="22.5" customHeight="1">
      <c r="A1763" s="37">
        <v>45998.01097065972</v>
      </c>
      <c r="B1763" s="5" t="s">
        <v>2282</v>
      </c>
      <c r="C1763" s="19" t="s">
        <v>70</v>
      </c>
      <c r="D1763" s="17">
        <v>1.0</v>
      </c>
      <c r="E1763" s="17">
        <v>75.0</v>
      </c>
      <c r="F1763" s="17">
        <v>100.0</v>
      </c>
      <c r="G1763" s="5">
        <v>100.0</v>
      </c>
      <c r="H1763" s="5">
        <v>100.0</v>
      </c>
      <c r="I1763" s="5">
        <v>25.0</v>
      </c>
      <c r="J1763" s="19" t="s">
        <v>31</v>
      </c>
      <c r="K1763" s="17">
        <v>22.0</v>
      </c>
      <c r="L1763" s="5" t="s">
        <v>5276</v>
      </c>
      <c r="M1763" s="5" t="s">
        <v>2230</v>
      </c>
    </row>
    <row r="1764" ht="22.5" customHeight="1">
      <c r="A1764" s="37">
        <v>45998.01097019676</v>
      </c>
      <c r="B1764" s="5" t="s">
        <v>2282</v>
      </c>
      <c r="C1764" s="19" t="s">
        <v>48</v>
      </c>
      <c r="D1764" s="17">
        <v>1.0</v>
      </c>
      <c r="E1764" s="17">
        <v>31.5</v>
      </c>
      <c r="F1764" s="17">
        <v>50.0</v>
      </c>
      <c r="G1764" s="5">
        <v>50.0</v>
      </c>
      <c r="H1764" s="5">
        <v>50.0</v>
      </c>
      <c r="I1764" s="5">
        <v>18.5</v>
      </c>
      <c r="J1764" s="19" t="s">
        <v>31</v>
      </c>
      <c r="K1764" s="17">
        <v>21.0</v>
      </c>
      <c r="L1764" s="5" t="s">
        <v>5277</v>
      </c>
      <c r="M1764" s="5" t="s">
        <v>2230</v>
      </c>
    </row>
    <row r="1765" ht="22.5" customHeight="1">
      <c r="A1765" s="37">
        <v>45998.01096979166</v>
      </c>
      <c r="B1765" s="5" t="s">
        <v>2282</v>
      </c>
      <c r="C1765" s="19" t="s">
        <v>101</v>
      </c>
      <c r="D1765" s="17">
        <v>1.0</v>
      </c>
      <c r="E1765" s="17">
        <v>175.0</v>
      </c>
      <c r="F1765" s="17">
        <v>220.0</v>
      </c>
      <c r="G1765" s="5">
        <v>220.0</v>
      </c>
      <c r="H1765" s="5">
        <v>220.0</v>
      </c>
      <c r="I1765" s="5">
        <v>45.0</v>
      </c>
      <c r="J1765" s="19" t="s">
        <v>31</v>
      </c>
      <c r="K1765" s="17">
        <v>20.0</v>
      </c>
      <c r="L1765" s="5" t="s">
        <v>5278</v>
      </c>
      <c r="M1765" s="5" t="s">
        <v>2230</v>
      </c>
    </row>
    <row r="1766" ht="22.5" customHeight="1">
      <c r="A1766" s="37">
        <v>45998.01096936343</v>
      </c>
      <c r="B1766" s="5" t="s">
        <v>2282</v>
      </c>
      <c r="C1766" s="19" t="s">
        <v>96</v>
      </c>
      <c r="D1766" s="17">
        <v>1.0</v>
      </c>
      <c r="E1766" s="17">
        <v>160.0</v>
      </c>
      <c r="F1766" s="17">
        <v>233.0</v>
      </c>
      <c r="G1766" s="5">
        <v>233.0</v>
      </c>
      <c r="H1766" s="5">
        <v>233.0</v>
      </c>
      <c r="I1766" s="5">
        <v>73.0</v>
      </c>
      <c r="J1766" s="19" t="s">
        <v>31</v>
      </c>
      <c r="K1766" s="17">
        <v>18.0</v>
      </c>
      <c r="L1766" s="5" t="s">
        <v>5279</v>
      </c>
      <c r="M1766" s="5" t="s">
        <v>2230</v>
      </c>
    </row>
    <row r="1767" ht="22.5" customHeight="1">
      <c r="A1767" s="37">
        <v>45998.010968993054</v>
      </c>
      <c r="B1767" s="5" t="s">
        <v>2282</v>
      </c>
      <c r="C1767" s="19" t="s">
        <v>89</v>
      </c>
      <c r="D1767" s="17">
        <v>1.0</v>
      </c>
      <c r="E1767" s="17">
        <v>175.0</v>
      </c>
      <c r="F1767" s="17">
        <v>290.0</v>
      </c>
      <c r="G1767" s="5">
        <v>290.0</v>
      </c>
      <c r="H1767" s="5">
        <v>290.0</v>
      </c>
      <c r="I1767" s="5">
        <v>115.0</v>
      </c>
      <c r="J1767" s="19" t="s">
        <v>31</v>
      </c>
      <c r="K1767" s="17">
        <v>17.0</v>
      </c>
      <c r="L1767" s="5" t="s">
        <v>5280</v>
      </c>
      <c r="M1767" s="5" t="s">
        <v>2230</v>
      </c>
    </row>
    <row r="1768" ht="22.5" customHeight="1">
      <c r="A1768" s="37">
        <v>45998.01096861111</v>
      </c>
      <c r="B1768" s="5" t="s">
        <v>2282</v>
      </c>
      <c r="C1768" s="19" t="s">
        <v>84</v>
      </c>
      <c r="D1768" s="17">
        <v>1.0</v>
      </c>
      <c r="E1768" s="17">
        <v>220.0</v>
      </c>
      <c r="F1768" s="17">
        <v>252.0</v>
      </c>
      <c r="G1768" s="5">
        <v>252.0</v>
      </c>
      <c r="H1768" s="5">
        <v>252.0</v>
      </c>
      <c r="I1768" s="5">
        <v>32.0</v>
      </c>
      <c r="J1768" s="19" t="s">
        <v>31</v>
      </c>
      <c r="K1768" s="17">
        <v>16.0</v>
      </c>
      <c r="L1768" s="5" t="s">
        <v>5281</v>
      </c>
      <c r="M1768" s="5" t="s">
        <v>2230</v>
      </c>
    </row>
    <row r="1769" ht="22.5" customHeight="1">
      <c r="A1769" s="37">
        <v>45998.01096824074</v>
      </c>
      <c r="B1769" s="5" t="s">
        <v>2282</v>
      </c>
      <c r="C1769" s="19" t="s">
        <v>48</v>
      </c>
      <c r="D1769" s="17">
        <v>3.0</v>
      </c>
      <c r="E1769" s="17">
        <v>31.5</v>
      </c>
      <c r="F1769" s="17">
        <v>50.0</v>
      </c>
      <c r="G1769" s="5">
        <v>50.0</v>
      </c>
      <c r="H1769" s="5">
        <v>150.0</v>
      </c>
      <c r="I1769" s="5">
        <v>55.5</v>
      </c>
      <c r="J1769" s="19" t="s">
        <v>31</v>
      </c>
      <c r="K1769" s="17">
        <v>15.0</v>
      </c>
      <c r="L1769" s="5" t="s">
        <v>5282</v>
      </c>
      <c r="M1769" s="5" t="s">
        <v>2230</v>
      </c>
    </row>
    <row r="1770" ht="22.5" customHeight="1">
      <c r="A1770" s="37">
        <v>45998.01096791666</v>
      </c>
      <c r="B1770" s="5" t="s">
        <v>2282</v>
      </c>
      <c r="C1770" s="19" t="s">
        <v>79</v>
      </c>
      <c r="D1770" s="17">
        <v>1.0</v>
      </c>
      <c r="E1770" s="17">
        <v>60.0</v>
      </c>
      <c r="F1770" s="17">
        <v>120.0</v>
      </c>
      <c r="G1770" s="5">
        <v>120.0</v>
      </c>
      <c r="H1770" s="5">
        <v>120.0</v>
      </c>
      <c r="I1770" s="5">
        <v>60.0</v>
      </c>
      <c r="J1770" s="19" t="s">
        <v>31</v>
      </c>
      <c r="K1770" s="17">
        <v>14.0</v>
      </c>
      <c r="L1770" s="5" t="s">
        <v>5283</v>
      </c>
      <c r="M1770" s="5" t="s">
        <v>2230</v>
      </c>
    </row>
    <row r="1771" ht="22.5" customHeight="1">
      <c r="A1771" s="37">
        <v>45998.01096758102</v>
      </c>
      <c r="B1771" s="5" t="s">
        <v>2282</v>
      </c>
      <c r="C1771" s="19" t="s">
        <v>179</v>
      </c>
      <c r="D1771" s="17">
        <v>1.0</v>
      </c>
      <c r="E1771" s="17">
        <v>105.0</v>
      </c>
      <c r="F1771" s="17">
        <v>140.0</v>
      </c>
      <c r="G1771" s="5">
        <v>140.0</v>
      </c>
      <c r="H1771" s="5">
        <v>140.0</v>
      </c>
      <c r="I1771" s="5">
        <v>35.0</v>
      </c>
      <c r="J1771" s="19" t="s">
        <v>31</v>
      </c>
      <c r="K1771" s="17">
        <v>13.0</v>
      </c>
      <c r="L1771" s="5" t="s">
        <v>5284</v>
      </c>
      <c r="M1771" s="5" t="s">
        <v>2230</v>
      </c>
    </row>
    <row r="1772" ht="22.5" customHeight="1">
      <c r="A1772" s="37">
        <v>45998.01096724537</v>
      </c>
      <c r="B1772" s="5" t="s">
        <v>2282</v>
      </c>
      <c r="C1772" s="19" t="s">
        <v>74</v>
      </c>
      <c r="D1772" s="17">
        <v>1.0</v>
      </c>
      <c r="E1772" s="17">
        <v>120.0</v>
      </c>
      <c r="F1772" s="17">
        <v>180.0</v>
      </c>
      <c r="G1772" s="5">
        <v>180.0</v>
      </c>
      <c r="H1772" s="5">
        <v>180.0</v>
      </c>
      <c r="I1772" s="5">
        <v>60.0</v>
      </c>
      <c r="J1772" s="19" t="s">
        <v>31</v>
      </c>
      <c r="K1772" s="17">
        <v>12.0</v>
      </c>
      <c r="L1772" s="5" t="s">
        <v>5285</v>
      </c>
      <c r="M1772" s="5" t="s">
        <v>2230</v>
      </c>
    </row>
    <row r="1773" ht="22.5" customHeight="1">
      <c r="A1773" s="37">
        <v>45998.01096694444</v>
      </c>
      <c r="B1773" s="5" t="s">
        <v>2282</v>
      </c>
      <c r="C1773" s="19" t="s">
        <v>43</v>
      </c>
      <c r="D1773" s="17">
        <v>1.0</v>
      </c>
      <c r="E1773" s="17">
        <v>135.0</v>
      </c>
      <c r="F1773" s="17">
        <v>195.0</v>
      </c>
      <c r="G1773" s="5">
        <v>195.0</v>
      </c>
      <c r="H1773" s="5">
        <v>195.0</v>
      </c>
      <c r="I1773" s="5">
        <v>60.0</v>
      </c>
      <c r="J1773" s="19" t="s">
        <v>31</v>
      </c>
      <c r="K1773" s="17">
        <v>11.0</v>
      </c>
      <c r="L1773" s="5" t="s">
        <v>5286</v>
      </c>
      <c r="M1773" s="5" t="s">
        <v>2230</v>
      </c>
    </row>
    <row r="1774" ht="22.5" customHeight="1">
      <c r="A1774" s="37">
        <v>45998.010966608796</v>
      </c>
      <c r="B1774" s="5" t="s">
        <v>2282</v>
      </c>
      <c r="C1774" s="19" t="s">
        <v>70</v>
      </c>
      <c r="D1774" s="17">
        <v>2.0</v>
      </c>
      <c r="E1774" s="17">
        <v>75.0</v>
      </c>
      <c r="F1774" s="17">
        <v>100.0</v>
      </c>
      <c r="G1774" s="5">
        <v>100.0</v>
      </c>
      <c r="H1774" s="5">
        <v>200.0</v>
      </c>
      <c r="I1774" s="5">
        <v>50.0</v>
      </c>
      <c r="J1774" s="19" t="s">
        <v>31</v>
      </c>
      <c r="K1774" s="17">
        <v>10.0</v>
      </c>
      <c r="L1774" s="5" t="s">
        <v>5287</v>
      </c>
      <c r="M1774" s="5" t="s">
        <v>2230</v>
      </c>
    </row>
    <row r="1775" ht="22.5" customHeight="1">
      <c r="A1775" s="37">
        <v>45998.01096623843</v>
      </c>
      <c r="B1775" s="5" t="s">
        <v>2282</v>
      </c>
      <c r="C1775" s="19" t="s">
        <v>66</v>
      </c>
      <c r="D1775" s="17">
        <v>1.0</v>
      </c>
      <c r="E1775" s="17">
        <v>170.0</v>
      </c>
      <c r="F1775" s="17">
        <v>220.0</v>
      </c>
      <c r="G1775" s="5">
        <v>220.0</v>
      </c>
      <c r="H1775" s="5">
        <v>220.0</v>
      </c>
      <c r="I1775" s="5">
        <v>50.0</v>
      </c>
      <c r="J1775" s="19" t="s">
        <v>31</v>
      </c>
      <c r="K1775" s="17">
        <v>9.0</v>
      </c>
      <c r="L1775" s="5" t="s">
        <v>5288</v>
      </c>
      <c r="M1775" s="5" t="s">
        <v>2230</v>
      </c>
    </row>
    <row r="1776" ht="22.5" customHeight="1">
      <c r="A1776" s="37">
        <v>45998.0109659375</v>
      </c>
      <c r="B1776" s="5" t="s">
        <v>2282</v>
      </c>
      <c r="C1776" s="19" t="s">
        <v>55</v>
      </c>
      <c r="D1776" s="17">
        <v>1.0</v>
      </c>
      <c r="E1776" s="17">
        <v>195.0</v>
      </c>
      <c r="F1776" s="17">
        <v>245.0</v>
      </c>
      <c r="G1776" s="5">
        <v>245.0</v>
      </c>
      <c r="H1776" s="5">
        <v>245.0</v>
      </c>
      <c r="I1776" s="5">
        <v>50.0</v>
      </c>
      <c r="J1776" s="19" t="s">
        <v>31</v>
      </c>
      <c r="K1776" s="17">
        <v>8.0</v>
      </c>
      <c r="L1776" s="5" t="s">
        <v>5289</v>
      </c>
      <c r="M1776" s="5" t="s">
        <v>2230</v>
      </c>
    </row>
    <row r="1777" ht="22.5" customHeight="1">
      <c r="A1777" s="37">
        <v>45998.01096555556</v>
      </c>
      <c r="B1777" s="5" t="s">
        <v>2282</v>
      </c>
      <c r="C1777" s="19" t="s">
        <v>48</v>
      </c>
      <c r="D1777" s="17">
        <v>2.0</v>
      </c>
      <c r="E1777" s="17">
        <v>31.5</v>
      </c>
      <c r="F1777" s="17">
        <v>50.0</v>
      </c>
      <c r="G1777" s="5">
        <v>50.0</v>
      </c>
      <c r="H1777" s="5">
        <v>100.0</v>
      </c>
      <c r="I1777" s="5">
        <v>37.0</v>
      </c>
      <c r="J1777" s="19" t="s">
        <v>31</v>
      </c>
      <c r="K1777" s="5">
        <v>7.0</v>
      </c>
      <c r="L1777" s="5" t="s">
        <v>5290</v>
      </c>
      <c r="M1777" s="5" t="s">
        <v>2230</v>
      </c>
    </row>
    <row r="1778" ht="22.5" customHeight="1">
      <c r="A1778" s="14">
        <v>45998.01096517361</v>
      </c>
      <c r="B1778" s="6" t="s">
        <v>2282</v>
      </c>
      <c r="C1778" s="10" t="s">
        <v>45</v>
      </c>
      <c r="D1778" s="13">
        <v>1.0</v>
      </c>
      <c r="E1778" s="13">
        <v>185.0</v>
      </c>
      <c r="F1778" s="13">
        <v>235.0</v>
      </c>
      <c r="G1778" s="6">
        <v>235.0</v>
      </c>
      <c r="H1778" s="6">
        <v>235.0</v>
      </c>
      <c r="I1778" s="6">
        <v>50.0</v>
      </c>
      <c r="J1778" s="10" t="s">
        <v>31</v>
      </c>
      <c r="K1778" s="6">
        <v>6.0</v>
      </c>
      <c r="L1778" s="6" t="s">
        <v>5292</v>
      </c>
      <c r="M1778" s="6" t="s">
        <v>2230</v>
      </c>
    </row>
    <row r="1779" ht="22.5" customHeight="1">
      <c r="A1779" s="14">
        <v>45998.01096487269</v>
      </c>
      <c r="B1779" s="6" t="s">
        <v>2282</v>
      </c>
      <c r="C1779" s="10" t="s">
        <v>43</v>
      </c>
      <c r="D1779" s="13">
        <v>1.0</v>
      </c>
      <c r="E1779" s="13">
        <v>135.0</v>
      </c>
      <c r="F1779" s="13">
        <v>195.0</v>
      </c>
      <c r="G1779" s="6">
        <v>195.0</v>
      </c>
      <c r="H1779" s="6">
        <v>195.0</v>
      </c>
      <c r="I1779" s="6">
        <v>60.0</v>
      </c>
      <c r="J1779" s="10" t="s">
        <v>31</v>
      </c>
      <c r="K1779" s="6">
        <v>5.0</v>
      </c>
      <c r="L1779" s="6" t="s">
        <v>5293</v>
      </c>
      <c r="M1779" s="6" t="s">
        <v>2230</v>
      </c>
    </row>
    <row r="1780" ht="22.5" customHeight="1">
      <c r="A1780" s="14">
        <v>45998.01096457176</v>
      </c>
      <c r="B1780" s="6" t="s">
        <v>2282</v>
      </c>
      <c r="C1780" s="10" t="s">
        <v>40</v>
      </c>
      <c r="D1780" s="13">
        <v>1.0</v>
      </c>
      <c r="E1780" s="13">
        <v>140.0</v>
      </c>
      <c r="F1780" s="13">
        <v>150.0</v>
      </c>
      <c r="G1780" s="6">
        <v>150.0</v>
      </c>
      <c r="H1780" s="6">
        <v>150.0</v>
      </c>
      <c r="I1780" s="6">
        <v>10.0</v>
      </c>
      <c r="J1780" s="10" t="s">
        <v>31</v>
      </c>
      <c r="K1780" s="6">
        <v>4.0</v>
      </c>
      <c r="L1780" s="6" t="s">
        <v>5294</v>
      </c>
      <c r="M1780" s="6" t="s">
        <v>2230</v>
      </c>
    </row>
    <row r="1781" ht="22.5" customHeight="1">
      <c r="A1781" s="14">
        <v>45998.01096413194</v>
      </c>
      <c r="B1781" s="6" t="s">
        <v>2282</v>
      </c>
      <c r="C1781" s="10" t="s">
        <v>36</v>
      </c>
      <c r="D1781" s="13">
        <v>2.0</v>
      </c>
      <c r="E1781" s="13">
        <v>95.0</v>
      </c>
      <c r="F1781" s="13">
        <v>75.0</v>
      </c>
      <c r="G1781" s="6">
        <v>75.0</v>
      </c>
      <c r="H1781" s="6">
        <v>150.0</v>
      </c>
      <c r="I1781" s="6">
        <v>-40.0</v>
      </c>
      <c r="J1781" s="10" t="s">
        <v>31</v>
      </c>
      <c r="K1781" s="6">
        <v>3.0</v>
      </c>
      <c r="L1781" s="6" t="s">
        <v>5295</v>
      </c>
      <c r="M1781" s="6" t="s">
        <v>2230</v>
      </c>
    </row>
    <row r="1782" ht="22.5" customHeight="1">
      <c r="A1782" s="14">
        <v>45998.01096380787</v>
      </c>
      <c r="B1782" s="6" t="s">
        <v>2282</v>
      </c>
      <c r="C1782" s="10" t="s">
        <v>179</v>
      </c>
      <c r="D1782" s="13">
        <v>2.0</v>
      </c>
      <c r="E1782" s="13">
        <v>105.0</v>
      </c>
      <c r="F1782" s="13">
        <v>120.0</v>
      </c>
      <c r="G1782" s="6">
        <v>120.0</v>
      </c>
      <c r="H1782" s="6">
        <v>240.0</v>
      </c>
      <c r="I1782" s="6">
        <v>30.0</v>
      </c>
      <c r="J1782" s="10" t="s">
        <v>31</v>
      </c>
      <c r="K1782" s="6">
        <v>2.0</v>
      </c>
      <c r="L1782" s="6" t="s">
        <v>5296</v>
      </c>
      <c r="M1782" s="6" t="s">
        <v>2230</v>
      </c>
    </row>
    <row r="1783" ht="22.5" hidden="1" customHeight="1">
      <c r="A1783" s="14">
        <v>46150.80803528935</v>
      </c>
      <c r="B1783" s="6" t="s">
        <v>3185</v>
      </c>
      <c r="C1783" s="10" t="s">
        <v>1163</v>
      </c>
      <c r="D1783" s="13">
        <v>1.0</v>
      </c>
      <c r="E1783" s="13">
        <v>173.0</v>
      </c>
      <c r="F1783" s="13"/>
      <c r="G1783" s="6"/>
      <c r="H1783" s="6">
        <v>173.0</v>
      </c>
      <c r="I1783" s="6"/>
      <c r="J1783" s="6" t="s">
        <v>54</v>
      </c>
      <c r="K1783" s="10" t="s">
        <v>2248</v>
      </c>
      <c r="L1783" s="6" t="s">
        <v>3187</v>
      </c>
      <c r="M1783" s="6" t="s">
        <v>2230</v>
      </c>
    </row>
    <row r="1784" ht="22.5" hidden="1" customHeight="1">
      <c r="A1784" s="14">
        <v>46150.78321849537</v>
      </c>
      <c r="B1784" s="6" t="s">
        <v>3185</v>
      </c>
      <c r="C1784" s="10" t="s">
        <v>46</v>
      </c>
      <c r="D1784" s="13">
        <v>1.0</v>
      </c>
      <c r="E1784" s="13">
        <v>96.88</v>
      </c>
      <c r="F1784" s="13"/>
      <c r="G1784" s="6"/>
      <c r="H1784" s="6">
        <v>96.88</v>
      </c>
      <c r="I1784" s="6"/>
      <c r="J1784" s="6" t="s">
        <v>54</v>
      </c>
      <c r="K1784" s="10" t="s">
        <v>2259</v>
      </c>
      <c r="L1784" s="6" t="s">
        <v>3187</v>
      </c>
      <c r="M1784" s="6" t="s">
        <v>2230</v>
      </c>
    </row>
    <row r="1785" ht="22.5" hidden="1" customHeight="1">
      <c r="A1785" s="14">
        <v>46150.729273379635</v>
      </c>
      <c r="B1785" s="6" t="s">
        <v>3185</v>
      </c>
      <c r="C1785" s="10" t="s">
        <v>1162</v>
      </c>
      <c r="D1785" s="13">
        <v>30.0</v>
      </c>
      <c r="E1785" s="13">
        <v>9.083333333333334</v>
      </c>
      <c r="F1785" s="13"/>
      <c r="G1785" s="6"/>
      <c r="H1785" s="6">
        <v>272.5</v>
      </c>
      <c r="I1785" s="6"/>
      <c r="J1785" s="6" t="s">
        <v>54</v>
      </c>
      <c r="K1785" s="10" t="s">
        <v>2272</v>
      </c>
      <c r="L1785" s="6" t="s">
        <v>3187</v>
      </c>
      <c r="M1785" s="6" t="s">
        <v>2230</v>
      </c>
    </row>
    <row r="1786" ht="22.5" hidden="1" customHeight="1">
      <c r="A1786" s="14">
        <v>46166.56362318287</v>
      </c>
      <c r="B1786" s="6" t="s">
        <v>2262</v>
      </c>
      <c r="C1786" s="10" t="s">
        <v>792</v>
      </c>
      <c r="D1786" s="13">
        <v>4.0</v>
      </c>
      <c r="E1786" s="13">
        <v>45.0</v>
      </c>
      <c r="F1786" s="13">
        <v>180.0</v>
      </c>
      <c r="G1786" s="10" t="s">
        <v>154</v>
      </c>
      <c r="H1786" s="6">
        <v>679.0</v>
      </c>
      <c r="I1786" s="6"/>
      <c r="J1786" s="6" t="s">
        <v>2962</v>
      </c>
      <c r="K1786" s="6" t="s">
        <v>2230</v>
      </c>
      <c r="L1786" s="6"/>
      <c r="M1786" s="6"/>
    </row>
    <row r="1787" ht="22.5" hidden="1" customHeight="1">
      <c r="A1787" s="14">
        <v>46166.5347615162</v>
      </c>
      <c r="B1787" s="6" t="s">
        <v>2262</v>
      </c>
      <c r="C1787" s="10" t="s">
        <v>756</v>
      </c>
      <c r="D1787" s="13">
        <v>12.0</v>
      </c>
      <c r="E1787" s="13">
        <v>60.0</v>
      </c>
      <c r="F1787" s="13">
        <v>720.0</v>
      </c>
      <c r="G1787" s="6"/>
      <c r="H1787" s="6">
        <v>678.0</v>
      </c>
      <c r="I1787" s="6"/>
      <c r="J1787" s="6" t="s">
        <v>2788</v>
      </c>
      <c r="K1787" s="6" t="s">
        <v>2230</v>
      </c>
      <c r="L1787" s="6"/>
      <c r="M1787" s="6"/>
    </row>
    <row r="1788" ht="22.5" hidden="1" customHeight="1">
      <c r="A1788" s="14">
        <v>46163.580056597224</v>
      </c>
      <c r="B1788" s="6" t="s">
        <v>2262</v>
      </c>
      <c r="C1788" s="10" t="s">
        <v>898</v>
      </c>
      <c r="D1788" s="13">
        <v>50.0</v>
      </c>
      <c r="E1788" s="13">
        <v>15.0</v>
      </c>
      <c r="F1788" s="10" t="s">
        <v>154</v>
      </c>
      <c r="G1788" s="6">
        <v>627.0</v>
      </c>
      <c r="H1788" s="6" t="s">
        <v>2522</v>
      </c>
      <c r="I1788" s="6"/>
      <c r="J1788" s="10"/>
      <c r="K1788" s="6"/>
      <c r="L1788" s="6"/>
      <c r="M1788" s="6"/>
    </row>
  </sheetData>
  <drawing ns1:id="rId1"/>
  <tableParts count="1">
    <tablePart ns1:id="rId3"/>
  </tableParts>
</worksheet>
</file>

<file path=xl/worksheets/sheet9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75"/>
    <col customWidth="1" min="3" max="3" width="50.5"/>
    <col customWidth="1" min="4" max="4" width="21.0"/>
  </cols>
  <sheetData>
    <row r="1" ht="22.5" customHeight="1">
      <c r="A1" s="6" t="s">
        <v>1679</v>
      </c>
      <c r="B1" s="6" t="s">
        <v>3982</v>
      </c>
      <c r="C1" s="6" t="s">
        <v>2222</v>
      </c>
      <c r="D1" s="6" t="s">
        <v>3983</v>
      </c>
    </row>
    <row r="2" ht="22.5" customHeight="1">
      <c r="A2" s="36">
        <v>45997.557397384255</v>
      </c>
      <c r="B2" s="6" t="s">
        <v>3984</v>
      </c>
      <c r="C2" s="6" t="s">
        <v>3985</v>
      </c>
      <c r="D2" s="13">
        <v>243.0</v>
      </c>
    </row>
    <row r="3" ht="22.5" customHeight="1">
      <c r="A3" s="36">
        <v>45997.5771665625</v>
      </c>
      <c r="B3" s="6" t="s">
        <v>1689</v>
      </c>
      <c r="C3" s="6" t="s">
        <v>3986</v>
      </c>
      <c r="D3" s="13">
        <v>157.0</v>
      </c>
    </row>
    <row r="4" ht="22.5" customHeight="1">
      <c r="A4" s="36">
        <v>45997.577172881945</v>
      </c>
      <c r="B4" s="6" t="s">
        <v>1689</v>
      </c>
      <c r="C4" s="10" t="s">
        <v>3988</v>
      </c>
      <c r="D4" s="13">
        <v>12.0</v>
      </c>
    </row>
    <row r="5" ht="22.5" customHeight="1">
      <c r="A5" s="36">
        <v>45997.579615740746</v>
      </c>
      <c r="B5" s="6" t="s">
        <v>1689</v>
      </c>
      <c r="C5" s="6" t="s">
        <v>3986</v>
      </c>
      <c r="D5" s="13">
        <v>0.0</v>
      </c>
    </row>
    <row r="6" ht="22.5" customHeight="1">
      <c r="A6" s="34">
        <v>45997.57961701389</v>
      </c>
      <c r="B6" s="5" t="s">
        <v>1689</v>
      </c>
      <c r="C6" s="19" t="s">
        <v>3988</v>
      </c>
      <c r="D6" s="17">
        <v>12.0</v>
      </c>
    </row>
    <row r="7" ht="22.5" customHeight="1">
      <c r="A7" s="34">
        <v>45997.58338229167</v>
      </c>
      <c r="B7" s="5" t="s">
        <v>1689</v>
      </c>
      <c r="C7" s="5" t="s">
        <v>3986</v>
      </c>
      <c r="D7" s="17">
        <v>5.0</v>
      </c>
    </row>
    <row r="8" ht="22.5" customHeight="1">
      <c r="A8" s="34">
        <v>45997.58338364583</v>
      </c>
      <c r="B8" s="5" t="s">
        <v>1689</v>
      </c>
      <c r="C8" s="19" t="s">
        <v>3988</v>
      </c>
      <c r="D8" s="17">
        <v>7.0</v>
      </c>
    </row>
    <row r="9" ht="22.5" customHeight="1">
      <c r="A9" s="34">
        <v>45997.98632189815</v>
      </c>
      <c r="B9" s="5" t="s">
        <v>3984</v>
      </c>
      <c r="C9" s="5" t="s">
        <v>3985</v>
      </c>
      <c r="D9" s="17">
        <v>243.0</v>
      </c>
    </row>
    <row r="10" ht="22.5" customHeight="1">
      <c r="A10" s="34">
        <v>45997.987216574074</v>
      </c>
      <c r="B10" s="5" t="s">
        <v>1689</v>
      </c>
      <c r="C10" s="5" t="s">
        <v>3986</v>
      </c>
      <c r="D10" s="17">
        <v>158.0</v>
      </c>
    </row>
    <row r="11" ht="22.5" customHeight="1">
      <c r="A11" s="34">
        <v>45997.98722225694</v>
      </c>
      <c r="B11" s="5" t="s">
        <v>1689</v>
      </c>
      <c r="C11" s="5" t="s">
        <v>3994</v>
      </c>
      <c r="D11" s="17">
        <v>11.0</v>
      </c>
    </row>
    <row r="12" ht="22.5" customHeight="1">
      <c r="A12" s="34">
        <v>45997.9903440162</v>
      </c>
      <c r="B12" s="5" t="s">
        <v>1689</v>
      </c>
      <c r="C12" s="5" t="s">
        <v>3986</v>
      </c>
      <c r="D12" s="17">
        <v>6.0</v>
      </c>
    </row>
    <row r="13" ht="22.5" customHeight="1">
      <c r="A13" s="34">
        <v>45997.990346481485</v>
      </c>
      <c r="B13" s="5" t="s">
        <v>1689</v>
      </c>
      <c r="C13" s="5" t="s">
        <v>3994</v>
      </c>
      <c r="D13" s="17">
        <v>12.0</v>
      </c>
    </row>
    <row r="14" ht="22.5" customHeight="1">
      <c r="A14" s="34">
        <v>45998.01105512731</v>
      </c>
      <c r="B14" s="5" t="s">
        <v>1689</v>
      </c>
      <c r="C14" s="5" t="s">
        <v>3986</v>
      </c>
      <c r="D14" s="17">
        <v>215.0</v>
      </c>
    </row>
    <row r="15" ht="22.5" customHeight="1">
      <c r="A15" s="34">
        <v>45998.01105912037</v>
      </c>
      <c r="B15" s="5" t="s">
        <v>1689</v>
      </c>
      <c r="C15" s="5" t="s">
        <v>3994</v>
      </c>
      <c r="D15" s="17">
        <v>20.0</v>
      </c>
    </row>
    <row r="16" ht="22.5" customHeight="1">
      <c r="A16" s="34">
        <v>45998.01112614584</v>
      </c>
      <c r="B16" s="5" t="s">
        <v>1689</v>
      </c>
      <c r="C16" s="5" t="s">
        <v>3986</v>
      </c>
      <c r="D16" s="17">
        <v>0.0</v>
      </c>
    </row>
    <row r="17" ht="22.5" customHeight="1">
      <c r="A17" s="34">
        <v>45998.01113028935</v>
      </c>
      <c r="B17" s="5" t="s">
        <v>1689</v>
      </c>
      <c r="C17" s="5" t="s">
        <v>3994</v>
      </c>
      <c r="D17" s="17">
        <v>20.0</v>
      </c>
    </row>
    <row r="18" ht="22.5" customHeight="1">
      <c r="A18" s="34">
        <v>45998.01577481482</v>
      </c>
      <c r="B18" s="5" t="s">
        <v>1689</v>
      </c>
      <c r="C18" s="5" t="s">
        <v>3986</v>
      </c>
      <c r="D18" s="17">
        <v>5.0</v>
      </c>
    </row>
    <row r="19" ht="22.5" customHeight="1">
      <c r="A19" s="34">
        <v>45998.015776203705</v>
      </c>
      <c r="B19" s="5" t="s">
        <v>1689</v>
      </c>
      <c r="C19" s="5" t="s">
        <v>4002</v>
      </c>
      <c r="D19" s="17">
        <v>15.0</v>
      </c>
    </row>
    <row r="20" ht="22.5" customHeight="1">
      <c r="A20" s="34">
        <v>45999.602603287036</v>
      </c>
      <c r="B20" s="5" t="s">
        <v>1689</v>
      </c>
      <c r="C20" s="5" t="s">
        <v>3986</v>
      </c>
      <c r="D20" s="17">
        <v>3.0</v>
      </c>
    </row>
    <row r="21" ht="22.5" customHeight="1">
      <c r="A21" s="34">
        <v>45999.60260532408</v>
      </c>
      <c r="B21" s="5" t="s">
        <v>1689</v>
      </c>
      <c r="C21" s="5" t="s">
        <v>4002</v>
      </c>
      <c r="D21" s="17">
        <v>15.0</v>
      </c>
    </row>
    <row r="22" ht="22.5" customHeight="1">
      <c r="A22" s="34">
        <v>45999.85652703704</v>
      </c>
      <c r="B22" s="5" t="s">
        <v>1689</v>
      </c>
      <c r="C22" s="5" t="s">
        <v>3986</v>
      </c>
      <c r="D22" s="17">
        <v>5.0</v>
      </c>
    </row>
    <row r="23" ht="22.5" customHeight="1">
      <c r="A23" s="34">
        <v>45999.85652855324</v>
      </c>
      <c r="B23" s="5" t="s">
        <v>1689</v>
      </c>
      <c r="C23" s="5" t="s">
        <v>4002</v>
      </c>
      <c r="D23" s="17">
        <v>17.0</v>
      </c>
    </row>
    <row r="24" ht="22.5" customHeight="1">
      <c r="A24" s="34">
        <v>45999.86000233796</v>
      </c>
      <c r="B24" s="5" t="s">
        <v>1689</v>
      </c>
      <c r="C24" s="5" t="s">
        <v>3986</v>
      </c>
      <c r="D24" s="17">
        <v>2.0</v>
      </c>
    </row>
    <row r="25" ht="22.5" customHeight="1">
      <c r="A25" s="34">
        <v>45999.86000354167</v>
      </c>
      <c r="B25" s="5" t="s">
        <v>1689</v>
      </c>
      <c r="C25" s="5" t="s">
        <v>4002</v>
      </c>
      <c r="D25" s="17">
        <v>15.0</v>
      </c>
    </row>
    <row r="26" ht="22.5" customHeight="1">
      <c r="A26" s="34">
        <v>46000.602984247686</v>
      </c>
      <c r="B26" s="5" t="s">
        <v>1689</v>
      </c>
      <c r="C26" s="5" t="s">
        <v>3986</v>
      </c>
      <c r="D26" s="17">
        <v>2.0</v>
      </c>
    </row>
    <row r="27" ht="22.5" customHeight="1">
      <c r="A27" s="34">
        <v>46000.60298565972</v>
      </c>
      <c r="B27" s="5" t="s">
        <v>1689</v>
      </c>
      <c r="C27" s="5" t="s">
        <v>4002</v>
      </c>
      <c r="D27" s="17">
        <v>14.0</v>
      </c>
    </row>
    <row r="28" ht="22.5" customHeight="1">
      <c r="A28" s="34">
        <v>46005.80339680555</v>
      </c>
      <c r="B28" s="5" t="s">
        <v>3984</v>
      </c>
      <c r="C28" s="5" t="s">
        <v>3985</v>
      </c>
      <c r="D28" s="17">
        <v>41.0</v>
      </c>
    </row>
    <row r="29" ht="22.5" customHeight="1">
      <c r="A29" s="34">
        <v>46005.844842199076</v>
      </c>
      <c r="B29" s="5" t="s">
        <v>1689</v>
      </c>
      <c r="C29" s="5" t="s">
        <v>3986</v>
      </c>
      <c r="D29" s="17">
        <v>2.0</v>
      </c>
    </row>
    <row r="30" ht="22.5" customHeight="1">
      <c r="A30" s="34">
        <v>46005.84484351852</v>
      </c>
      <c r="B30" s="5" t="s">
        <v>1689</v>
      </c>
      <c r="C30" s="5" t="s">
        <v>4002</v>
      </c>
      <c r="D30" s="17">
        <v>14.0</v>
      </c>
    </row>
    <row r="31" ht="22.5" customHeight="1">
      <c r="A31" s="34">
        <v>46005.851612569444</v>
      </c>
      <c r="B31" s="5" t="s">
        <v>3984</v>
      </c>
      <c r="C31" s="5" t="s">
        <v>3985</v>
      </c>
      <c r="D31" s="17">
        <v>1.0</v>
      </c>
    </row>
    <row r="32" ht="22.5" customHeight="1">
      <c r="A32" s="34">
        <v>46005.85307848379</v>
      </c>
      <c r="B32" s="5" t="s">
        <v>1689</v>
      </c>
      <c r="C32" s="5" t="s">
        <v>3986</v>
      </c>
      <c r="D32" s="17">
        <v>12.0</v>
      </c>
    </row>
    <row r="33" ht="22.5" customHeight="1">
      <c r="A33" s="34">
        <v>46005.85308017361</v>
      </c>
      <c r="B33" s="5" t="s">
        <v>1689</v>
      </c>
      <c r="C33" s="5" t="s">
        <v>4002</v>
      </c>
      <c r="D33" s="17">
        <v>14.0</v>
      </c>
    </row>
    <row r="34" ht="22.5" customHeight="1">
      <c r="A34" s="34">
        <v>46005.853908969904</v>
      </c>
      <c r="B34" s="5" t="s">
        <v>1689</v>
      </c>
      <c r="C34" s="5" t="s">
        <v>3986</v>
      </c>
      <c r="D34" s="17">
        <v>1.0</v>
      </c>
    </row>
    <row r="35" ht="22.5" customHeight="1">
      <c r="A35" s="34">
        <v>46005.85391032408</v>
      </c>
      <c r="B35" s="5" t="s">
        <v>1689</v>
      </c>
      <c r="C35" s="5" t="s">
        <v>4002</v>
      </c>
      <c r="D35" s="17">
        <v>14.0</v>
      </c>
    </row>
    <row r="36" ht="22.5" customHeight="1">
      <c r="A36" s="34">
        <v>46006.69825818287</v>
      </c>
      <c r="B36" s="5" t="s">
        <v>1689</v>
      </c>
      <c r="C36" s="5" t="s">
        <v>3986</v>
      </c>
      <c r="D36" s="17">
        <v>2.0</v>
      </c>
    </row>
    <row r="37" ht="22.5" customHeight="1">
      <c r="A37" s="34">
        <v>46006.69825983796</v>
      </c>
      <c r="B37" s="5" t="s">
        <v>1689</v>
      </c>
      <c r="C37" s="5" t="s">
        <v>4002</v>
      </c>
      <c r="D37" s="17">
        <v>14.0</v>
      </c>
    </row>
    <row r="38" ht="22.5" customHeight="1">
      <c r="A38" s="34">
        <v>46006.85614913194</v>
      </c>
      <c r="B38" s="5" t="s">
        <v>1689</v>
      </c>
      <c r="C38" s="5" t="s">
        <v>3986</v>
      </c>
      <c r="D38" s="17">
        <v>5.0</v>
      </c>
    </row>
    <row r="39" ht="22.5" customHeight="1">
      <c r="A39" s="34">
        <v>46006.856151747685</v>
      </c>
      <c r="B39" s="5" t="s">
        <v>1689</v>
      </c>
      <c r="C39" s="5" t="s">
        <v>4002</v>
      </c>
      <c r="D39" s="17">
        <v>14.0</v>
      </c>
    </row>
    <row r="40" ht="22.5" customHeight="1">
      <c r="A40" s="34">
        <v>46007.762693425924</v>
      </c>
      <c r="B40" s="5" t="s">
        <v>3984</v>
      </c>
      <c r="C40" s="5" t="s">
        <v>3985</v>
      </c>
      <c r="D40" s="17">
        <v>11.0</v>
      </c>
    </row>
    <row r="41" ht="22.5" customHeight="1">
      <c r="A41" s="34">
        <v>46008.85696913194</v>
      </c>
      <c r="B41" s="5" t="s">
        <v>1689</v>
      </c>
      <c r="C41" s="5" t="s">
        <v>3986</v>
      </c>
      <c r="D41" s="17">
        <v>8.0</v>
      </c>
    </row>
    <row r="42" ht="22.5" customHeight="1">
      <c r="A42" s="34">
        <v>46008.856976689814</v>
      </c>
      <c r="B42" s="5" t="s">
        <v>1689</v>
      </c>
      <c r="C42" s="5" t="s">
        <v>4002</v>
      </c>
      <c r="D42" s="17">
        <v>14.0</v>
      </c>
    </row>
    <row r="43" ht="22.5" customHeight="1">
      <c r="A43" s="34">
        <v>46009.882828437505</v>
      </c>
      <c r="B43" s="5" t="s">
        <v>1689</v>
      </c>
      <c r="C43" s="5" t="s">
        <v>3986</v>
      </c>
      <c r="D43" s="17">
        <v>1.0</v>
      </c>
    </row>
    <row r="44" ht="22.5" customHeight="1">
      <c r="A44" s="34">
        <v>46009.88283021991</v>
      </c>
      <c r="B44" s="5" t="s">
        <v>1689</v>
      </c>
      <c r="C44" s="5" t="s">
        <v>4002</v>
      </c>
      <c r="D44" s="17">
        <v>14.0</v>
      </c>
    </row>
    <row r="45" ht="22.5" customHeight="1">
      <c r="A45" s="34">
        <v>46009.88310060185</v>
      </c>
      <c r="B45" s="5" t="s">
        <v>1689</v>
      </c>
      <c r="C45" s="5" t="s">
        <v>3986</v>
      </c>
      <c r="D45" s="17">
        <v>0.0</v>
      </c>
    </row>
    <row r="46" ht="22.5" customHeight="1">
      <c r="A46" s="34">
        <v>46009.883102141204</v>
      </c>
      <c r="B46" s="5" t="s">
        <v>1689</v>
      </c>
      <c r="C46" s="5" t="s">
        <v>4002</v>
      </c>
      <c r="D46" s="17">
        <v>14.0</v>
      </c>
    </row>
    <row r="47" ht="22.5" customHeight="1">
      <c r="A47" s="34">
        <v>46009.88341571759</v>
      </c>
      <c r="B47" s="5" t="s">
        <v>1689</v>
      </c>
      <c r="C47" s="5" t="s">
        <v>3986</v>
      </c>
      <c r="D47" s="17">
        <v>1.0</v>
      </c>
    </row>
    <row r="48" ht="22.5" customHeight="1">
      <c r="A48" s="34">
        <v>46009.883418310186</v>
      </c>
      <c r="B48" s="5" t="s">
        <v>1689</v>
      </c>
      <c r="C48" s="5" t="s">
        <v>4002</v>
      </c>
      <c r="D48" s="17">
        <v>14.0</v>
      </c>
    </row>
    <row r="49" ht="22.5" customHeight="1">
      <c r="A49" s="34">
        <v>46009.91541392361</v>
      </c>
      <c r="B49" s="5" t="s">
        <v>1689</v>
      </c>
      <c r="C49" s="5" t="s">
        <v>3986</v>
      </c>
      <c r="D49" s="17">
        <v>3.0</v>
      </c>
    </row>
    <row r="50" ht="22.5" customHeight="1">
      <c r="A50" s="34">
        <v>46009.91541518518</v>
      </c>
      <c r="B50" s="5" t="s">
        <v>1689</v>
      </c>
      <c r="C50" s="5" t="s">
        <v>4002</v>
      </c>
      <c r="D50" s="17">
        <v>14.0</v>
      </c>
    </row>
    <row r="51" ht="22.5" customHeight="1">
      <c r="A51" s="34">
        <v>46011.92673571759</v>
      </c>
      <c r="B51" s="5" t="s">
        <v>1689</v>
      </c>
      <c r="C51" s="5" t="s">
        <v>3986</v>
      </c>
      <c r="D51" s="17">
        <v>5.0</v>
      </c>
    </row>
    <row r="52" ht="22.5" customHeight="1">
      <c r="A52" s="34">
        <v>46011.92673726851</v>
      </c>
      <c r="B52" s="5" t="s">
        <v>1689</v>
      </c>
      <c r="C52" s="5" t="s">
        <v>4002</v>
      </c>
      <c r="D52" s="17">
        <v>14.0</v>
      </c>
    </row>
    <row r="53" ht="22.5" customHeight="1">
      <c r="A53" s="34">
        <v>46013.78348012731</v>
      </c>
      <c r="B53" s="5" t="s">
        <v>1689</v>
      </c>
      <c r="C53" s="5" t="s">
        <v>3986</v>
      </c>
      <c r="D53" s="17">
        <v>3.0</v>
      </c>
    </row>
    <row r="54" ht="22.5" customHeight="1">
      <c r="A54" s="34">
        <v>46013.78348136574</v>
      </c>
      <c r="B54" s="5" t="s">
        <v>1689</v>
      </c>
      <c r="C54" s="5" t="s">
        <v>4002</v>
      </c>
      <c r="D54" s="17">
        <v>14.0</v>
      </c>
    </row>
    <row r="55" ht="22.5" customHeight="1">
      <c r="A55" s="34">
        <v>46014.81307474537</v>
      </c>
      <c r="B55" s="5" t="s">
        <v>1689</v>
      </c>
      <c r="C55" s="5" t="s">
        <v>3986</v>
      </c>
      <c r="D55" s="17">
        <v>3.0</v>
      </c>
    </row>
    <row r="56" ht="22.5" customHeight="1">
      <c r="A56" s="34">
        <v>46014.813075949074</v>
      </c>
      <c r="B56" s="5" t="s">
        <v>1689</v>
      </c>
      <c r="C56" s="5" t="s">
        <v>4002</v>
      </c>
      <c r="D56" s="17">
        <v>14.0</v>
      </c>
    </row>
    <row r="57" ht="22.5" customHeight="1">
      <c r="A57" s="34">
        <v>46016.46856944445</v>
      </c>
      <c r="B57" s="5" t="s">
        <v>1689</v>
      </c>
      <c r="C57" s="5" t="s">
        <v>3986</v>
      </c>
      <c r="D57" s="17">
        <v>5.0</v>
      </c>
    </row>
    <row r="58" ht="22.5" customHeight="1">
      <c r="A58" s="34">
        <v>46016.46857094907</v>
      </c>
      <c r="B58" s="5" t="s">
        <v>1689</v>
      </c>
      <c r="C58" s="5" t="s">
        <v>4002</v>
      </c>
      <c r="D58" s="17">
        <v>14.0</v>
      </c>
    </row>
    <row r="59" ht="22.5" customHeight="1">
      <c r="A59" s="34">
        <v>46016.840118113425</v>
      </c>
      <c r="B59" s="5" t="s">
        <v>1689</v>
      </c>
      <c r="C59" s="5" t="s">
        <v>3986</v>
      </c>
      <c r="D59" s="17">
        <v>1.0</v>
      </c>
    </row>
    <row r="60" ht="22.5" customHeight="1">
      <c r="A60" s="34">
        <v>46016.84011924769</v>
      </c>
      <c r="B60" s="5" t="s">
        <v>1689</v>
      </c>
      <c r="C60" s="5" t="s">
        <v>4002</v>
      </c>
      <c r="D60" s="17">
        <v>14.0</v>
      </c>
    </row>
    <row r="61" ht="22.5" customHeight="1">
      <c r="A61" s="34">
        <v>46020.92449958333</v>
      </c>
      <c r="B61" s="5" t="s">
        <v>1689</v>
      </c>
      <c r="C61" s="5" t="s">
        <v>3986</v>
      </c>
      <c r="D61" s="17">
        <v>5.0</v>
      </c>
    </row>
    <row r="62" ht="22.5" customHeight="1">
      <c r="A62" s="34">
        <v>46020.92450121528</v>
      </c>
      <c r="B62" s="5" t="s">
        <v>1689</v>
      </c>
      <c r="C62" s="5" t="s">
        <v>4002</v>
      </c>
      <c r="D62" s="17">
        <v>14.0</v>
      </c>
    </row>
    <row r="63" ht="22.5" customHeight="1">
      <c r="A63" s="34">
        <v>46021.676857025464</v>
      </c>
      <c r="B63" s="5" t="s">
        <v>1689</v>
      </c>
      <c r="C63" s="5" t="s">
        <v>3986</v>
      </c>
      <c r="D63" s="17">
        <v>7.0</v>
      </c>
    </row>
    <row r="64" ht="22.5" customHeight="1">
      <c r="A64" s="34">
        <v>46021.67685863426</v>
      </c>
      <c r="B64" s="5" t="s">
        <v>1689</v>
      </c>
      <c r="C64" s="5" t="s">
        <v>4002</v>
      </c>
      <c r="D64" s="17">
        <v>16.0</v>
      </c>
    </row>
    <row r="65" ht="22.5" customHeight="1">
      <c r="A65" s="34">
        <v>46021.678593969904</v>
      </c>
      <c r="B65" s="5" t="s">
        <v>1689</v>
      </c>
      <c r="C65" s="5" t="s">
        <v>3986</v>
      </c>
      <c r="D65" s="17">
        <v>1.0</v>
      </c>
    </row>
    <row r="66" ht="22.5" customHeight="1">
      <c r="A66" s="34">
        <v>46021.678595219906</v>
      </c>
      <c r="B66" s="5" t="s">
        <v>1689</v>
      </c>
      <c r="C66" s="5" t="s">
        <v>4002</v>
      </c>
      <c r="D66" s="17">
        <v>15.0</v>
      </c>
    </row>
    <row r="67" ht="22.5" customHeight="1">
      <c r="A67" s="34">
        <v>46021.678626180554</v>
      </c>
      <c r="B67" s="5" t="s">
        <v>1689</v>
      </c>
      <c r="C67" s="5" t="s">
        <v>3986</v>
      </c>
      <c r="D67" s="17">
        <v>0.0</v>
      </c>
    </row>
    <row r="68" ht="22.5" customHeight="1">
      <c r="A68" s="34">
        <v>46021.678627511574</v>
      </c>
      <c r="B68" s="5" t="s">
        <v>1689</v>
      </c>
      <c r="C68" s="5" t="s">
        <v>4002</v>
      </c>
      <c r="D68" s="17">
        <v>15.0</v>
      </c>
    </row>
    <row r="69" ht="22.5" customHeight="1">
      <c r="A69" s="34">
        <v>46021.864285</v>
      </c>
      <c r="B69" s="5" t="s">
        <v>1689</v>
      </c>
      <c r="C69" s="5" t="s">
        <v>3986</v>
      </c>
      <c r="D69" s="17">
        <v>1.0</v>
      </c>
    </row>
    <row r="70" ht="22.5" customHeight="1">
      <c r="A70" s="34">
        <v>46021.86428701389</v>
      </c>
      <c r="B70" s="5" t="s">
        <v>1689</v>
      </c>
      <c r="C70" s="5" t="s">
        <v>4002</v>
      </c>
      <c r="D70" s="17">
        <v>15.0</v>
      </c>
    </row>
    <row r="71" ht="22.5" customHeight="1">
      <c r="A71" s="34">
        <v>46023.76003491898</v>
      </c>
      <c r="B71" s="5" t="s">
        <v>1689</v>
      </c>
      <c r="C71" s="5" t="s">
        <v>3986</v>
      </c>
      <c r="D71" s="17">
        <v>3.0</v>
      </c>
    </row>
    <row r="72" ht="22.5" customHeight="1">
      <c r="A72" s="34">
        <v>46023.76003665509</v>
      </c>
      <c r="B72" s="5" t="s">
        <v>1689</v>
      </c>
      <c r="C72" s="5" t="s">
        <v>4002</v>
      </c>
      <c r="D72" s="17">
        <v>15.0</v>
      </c>
    </row>
    <row r="73" ht="22.5" customHeight="1">
      <c r="A73" s="34">
        <v>46023.837493506944</v>
      </c>
      <c r="B73" s="5" t="s">
        <v>1689</v>
      </c>
      <c r="C73" s="5" t="s">
        <v>3986</v>
      </c>
      <c r="D73" s="17">
        <v>9.0</v>
      </c>
    </row>
    <row r="74" ht="22.5" customHeight="1">
      <c r="A74" s="34">
        <v>46023.837495</v>
      </c>
      <c r="B74" s="5" t="s">
        <v>1689</v>
      </c>
      <c r="C74" s="5" t="s">
        <v>4002</v>
      </c>
      <c r="D74" s="17">
        <v>16.0</v>
      </c>
    </row>
    <row r="75" ht="22.5" customHeight="1">
      <c r="A75" s="34">
        <v>46023.838596643516</v>
      </c>
      <c r="B75" s="5" t="s">
        <v>1689</v>
      </c>
      <c r="C75" s="5" t="s">
        <v>3986</v>
      </c>
      <c r="D75" s="17">
        <v>1.0</v>
      </c>
    </row>
    <row r="76" ht="22.5" customHeight="1">
      <c r="A76" s="34">
        <v>46023.83859842592</v>
      </c>
      <c r="B76" s="5" t="s">
        <v>1689</v>
      </c>
      <c r="C76" s="5" t="s">
        <v>4002</v>
      </c>
      <c r="D76" s="17">
        <v>15.0</v>
      </c>
    </row>
    <row r="77" ht="22.5" customHeight="1">
      <c r="A77" s="34">
        <v>46023.943383101854</v>
      </c>
      <c r="B77" s="5" t="s">
        <v>1689</v>
      </c>
      <c r="C77" s="5" t="s">
        <v>3986</v>
      </c>
      <c r="D77" s="17">
        <v>1.0</v>
      </c>
    </row>
    <row r="78" ht="22.5" customHeight="1">
      <c r="A78" s="34">
        <v>46023.9433844213</v>
      </c>
      <c r="B78" s="5" t="s">
        <v>1689</v>
      </c>
      <c r="C78" s="5" t="s">
        <v>4002</v>
      </c>
      <c r="D78" s="17">
        <v>15.0</v>
      </c>
    </row>
    <row r="79" ht="22.5" customHeight="1">
      <c r="A79" s="34">
        <v>46026.8841878588</v>
      </c>
      <c r="B79" s="5" t="s">
        <v>3984</v>
      </c>
      <c r="C79" s="5" t="s">
        <v>3985</v>
      </c>
      <c r="D79" s="17">
        <v>11.0</v>
      </c>
    </row>
    <row r="80" ht="22.5" customHeight="1">
      <c r="A80" s="34">
        <v>46026.885048449076</v>
      </c>
      <c r="B80" s="5" t="s">
        <v>1689</v>
      </c>
      <c r="C80" s="5" t="s">
        <v>3986</v>
      </c>
      <c r="D80" s="17">
        <v>5.0</v>
      </c>
    </row>
    <row r="81" ht="22.5" customHeight="1">
      <c r="A81" s="34">
        <v>46026.885049756944</v>
      </c>
      <c r="B81" s="5" t="s">
        <v>1689</v>
      </c>
      <c r="C81" s="5" t="s">
        <v>4002</v>
      </c>
      <c r="D81" s="17">
        <v>15.0</v>
      </c>
    </row>
    <row r="82" ht="22.5" customHeight="1">
      <c r="A82" s="34">
        <v>46037.85652122685</v>
      </c>
      <c r="B82" s="5" t="s">
        <v>1689</v>
      </c>
      <c r="C82" s="5" t="s">
        <v>3986</v>
      </c>
      <c r="D82" s="17">
        <v>21.0</v>
      </c>
    </row>
    <row r="83" ht="22.5" customHeight="1">
      <c r="A83" s="34">
        <v>46037.85652310185</v>
      </c>
      <c r="B83" s="5" t="s">
        <v>1689</v>
      </c>
      <c r="C83" s="5" t="s">
        <v>4002</v>
      </c>
      <c r="D83" s="17">
        <v>16.0</v>
      </c>
    </row>
    <row r="84" ht="22.5" customHeight="1">
      <c r="A84" s="34">
        <v>46039.727945300925</v>
      </c>
      <c r="B84" s="5" t="s">
        <v>3984</v>
      </c>
      <c r="C84" s="5" t="s">
        <v>3985</v>
      </c>
      <c r="D84" s="17">
        <v>4.0</v>
      </c>
    </row>
    <row r="85" ht="22.5" customHeight="1">
      <c r="A85" s="34">
        <v>46041.756266076394</v>
      </c>
      <c r="B85" s="5" t="s">
        <v>1689</v>
      </c>
      <c r="C85" s="5" t="s">
        <v>3986</v>
      </c>
      <c r="D85" s="17">
        <v>3.0</v>
      </c>
    </row>
    <row r="86" ht="22.5" customHeight="1">
      <c r="A86" s="34">
        <v>46041.75626783565</v>
      </c>
      <c r="B86" s="5" t="s">
        <v>1689</v>
      </c>
      <c r="C86" s="5" t="s">
        <v>4002</v>
      </c>
      <c r="D86" s="17">
        <v>16.0</v>
      </c>
    </row>
    <row r="87" ht="22.5" customHeight="1">
      <c r="A87" s="34">
        <v>46041.76820814815</v>
      </c>
      <c r="B87" s="5" t="s">
        <v>1689</v>
      </c>
      <c r="C87" s="5" t="s">
        <v>3986</v>
      </c>
      <c r="D87" s="17">
        <v>1.0</v>
      </c>
    </row>
    <row r="88" ht="22.5" customHeight="1">
      <c r="A88" s="34">
        <v>46041.768209490736</v>
      </c>
      <c r="B88" s="5" t="s">
        <v>1689</v>
      </c>
      <c r="C88" s="5" t="s">
        <v>4002</v>
      </c>
      <c r="D88" s="17">
        <v>16.0</v>
      </c>
    </row>
    <row r="89" ht="22.5" customHeight="1">
      <c r="A89" s="34">
        <v>46041.773670486116</v>
      </c>
      <c r="B89" s="5" t="s">
        <v>1689</v>
      </c>
      <c r="C89" s="5" t="s">
        <v>3986</v>
      </c>
      <c r="D89" s="17">
        <v>5.0</v>
      </c>
    </row>
    <row r="90" ht="22.5" customHeight="1">
      <c r="A90" s="34">
        <v>46041.773672256946</v>
      </c>
      <c r="B90" s="5" t="s">
        <v>1689</v>
      </c>
      <c r="C90" s="5" t="s">
        <v>4002</v>
      </c>
      <c r="D90" s="17">
        <v>16.0</v>
      </c>
    </row>
    <row r="91" ht="22.5" customHeight="1">
      <c r="A91" s="34">
        <v>46042.89570167824</v>
      </c>
      <c r="B91" s="5" t="s">
        <v>1689</v>
      </c>
      <c r="C91" s="5" t="s">
        <v>3986</v>
      </c>
      <c r="D91" s="17">
        <v>2.0</v>
      </c>
    </row>
    <row r="92" ht="22.5" customHeight="1">
      <c r="A92" s="34">
        <v>46042.895703159724</v>
      </c>
      <c r="B92" s="5" t="s">
        <v>1689</v>
      </c>
      <c r="C92" s="5" t="s">
        <v>4002</v>
      </c>
      <c r="D92" s="17">
        <v>16.0</v>
      </c>
    </row>
    <row r="93" ht="22.5" customHeight="1">
      <c r="A93" s="34">
        <v>46043.53824649306</v>
      </c>
      <c r="B93" s="5" t="s">
        <v>3984</v>
      </c>
      <c r="C93" s="5" t="s">
        <v>3985</v>
      </c>
      <c r="D93" s="17">
        <v>2.0</v>
      </c>
    </row>
    <row r="94" ht="22.5" customHeight="1">
      <c r="A94" s="34">
        <v>46043.787711122684</v>
      </c>
      <c r="B94" s="5" t="s">
        <v>1689</v>
      </c>
      <c r="C94" s="5" t="s">
        <v>3986</v>
      </c>
      <c r="D94" s="17">
        <v>3.0</v>
      </c>
    </row>
    <row r="95" ht="22.5" customHeight="1">
      <c r="A95" s="34">
        <v>46043.787712777776</v>
      </c>
      <c r="B95" s="5" t="s">
        <v>1689</v>
      </c>
      <c r="C95" s="5" t="s">
        <v>4002</v>
      </c>
      <c r="D95" s="17">
        <v>16.0</v>
      </c>
    </row>
    <row r="96" ht="22.5" customHeight="1">
      <c r="A96" s="34">
        <v>46043.86514450231</v>
      </c>
      <c r="B96" s="5" t="s">
        <v>1689</v>
      </c>
      <c r="C96" s="5" t="s">
        <v>3986</v>
      </c>
      <c r="D96" s="17">
        <v>0.0</v>
      </c>
    </row>
    <row r="97" ht="22.5" customHeight="1">
      <c r="A97" s="34">
        <v>46043.865146192125</v>
      </c>
      <c r="B97" s="5" t="s">
        <v>1689</v>
      </c>
      <c r="C97" s="5" t="s">
        <v>4002</v>
      </c>
      <c r="D97" s="17">
        <v>16.0</v>
      </c>
    </row>
    <row r="98" ht="22.5" customHeight="1">
      <c r="A98" s="34">
        <v>46043.86526559028</v>
      </c>
      <c r="B98" s="5" t="s">
        <v>1689</v>
      </c>
      <c r="C98" s="5" t="s">
        <v>3986</v>
      </c>
      <c r="D98" s="17">
        <v>0.0</v>
      </c>
    </row>
    <row r="99" ht="22.5" customHeight="1">
      <c r="A99" s="34">
        <v>46043.86526759259</v>
      </c>
      <c r="B99" s="5" t="s">
        <v>1689</v>
      </c>
      <c r="C99" s="5" t="s">
        <v>4002</v>
      </c>
      <c r="D99" s="17">
        <v>16.0</v>
      </c>
    </row>
    <row r="100" ht="22.5" customHeight="1">
      <c r="A100" s="34">
        <v>46043.86604469907</v>
      </c>
      <c r="B100" s="5" t="s">
        <v>1689</v>
      </c>
      <c r="C100" s="5" t="s">
        <v>3986</v>
      </c>
      <c r="D100" s="17">
        <v>1.0</v>
      </c>
    </row>
    <row r="101" ht="22.5" customHeight="1">
      <c r="A101" s="34">
        <v>46043.86607729166</v>
      </c>
      <c r="B101" s="5" t="s">
        <v>1689</v>
      </c>
      <c r="C101" s="5" t="s">
        <v>4002</v>
      </c>
      <c r="D101" s="17">
        <v>15.0</v>
      </c>
    </row>
    <row r="102" ht="22.5" customHeight="1">
      <c r="A102" s="34">
        <v>46043.90636333333</v>
      </c>
      <c r="B102" s="5" t="s">
        <v>1689</v>
      </c>
      <c r="C102" s="5" t="s">
        <v>3986</v>
      </c>
      <c r="D102" s="17">
        <v>4.0</v>
      </c>
    </row>
    <row r="103" ht="22.5" customHeight="1">
      <c r="A103" s="34">
        <v>46043.90636502315</v>
      </c>
      <c r="B103" s="5" t="s">
        <v>1689</v>
      </c>
      <c r="C103" s="5" t="s">
        <v>4002</v>
      </c>
      <c r="D103" s="17">
        <v>15.0</v>
      </c>
    </row>
    <row r="104" ht="22.5" customHeight="1">
      <c r="A104" s="34">
        <v>46044.78637125</v>
      </c>
      <c r="B104" s="5" t="s">
        <v>1689</v>
      </c>
      <c r="C104" s="5" t="s">
        <v>3986</v>
      </c>
      <c r="D104" s="17">
        <v>1.0</v>
      </c>
    </row>
    <row r="105" ht="22.5" customHeight="1">
      <c r="A105" s="34">
        <v>46044.7863731713</v>
      </c>
      <c r="B105" s="5" t="s">
        <v>1689</v>
      </c>
      <c r="C105" s="5" t="s">
        <v>4002</v>
      </c>
      <c r="D105" s="17">
        <v>15.0</v>
      </c>
    </row>
    <row r="106" ht="22.5" customHeight="1">
      <c r="A106" s="34">
        <v>46047.77011518518</v>
      </c>
      <c r="B106" s="5" t="s">
        <v>1689</v>
      </c>
      <c r="C106" s="5" t="s">
        <v>3986</v>
      </c>
      <c r="D106" s="17">
        <v>1.0</v>
      </c>
    </row>
    <row r="107" ht="22.5" customHeight="1">
      <c r="A107" s="34">
        <v>46047.77011658565</v>
      </c>
      <c r="B107" s="5" t="s">
        <v>1689</v>
      </c>
      <c r="C107" s="5" t="s">
        <v>4002</v>
      </c>
      <c r="D107" s="17">
        <v>15.0</v>
      </c>
    </row>
    <row r="108" ht="22.5" customHeight="1">
      <c r="A108" s="34">
        <v>46047.78527790509</v>
      </c>
      <c r="B108" s="5" t="s">
        <v>1689</v>
      </c>
      <c r="C108" s="5" t="s">
        <v>3986</v>
      </c>
      <c r="D108" s="17">
        <v>3.0</v>
      </c>
    </row>
    <row r="109" ht="22.5" customHeight="1">
      <c r="A109" s="34">
        <v>46047.78528268519</v>
      </c>
      <c r="B109" s="5" t="s">
        <v>1689</v>
      </c>
      <c r="C109" s="5" t="s">
        <v>4002</v>
      </c>
      <c r="D109" s="17">
        <v>15.0</v>
      </c>
    </row>
    <row r="110" ht="22.5" customHeight="1">
      <c r="A110" s="34">
        <v>46047.84469150463</v>
      </c>
      <c r="B110" s="5" t="s">
        <v>1689</v>
      </c>
      <c r="C110" s="5" t="s">
        <v>3986</v>
      </c>
      <c r="D110" s="17">
        <v>5.0</v>
      </c>
    </row>
    <row r="111" ht="22.5" customHeight="1">
      <c r="A111" s="34">
        <v>46047.844693657404</v>
      </c>
      <c r="B111" s="5" t="s">
        <v>1689</v>
      </c>
      <c r="C111" s="5" t="s">
        <v>4002</v>
      </c>
      <c r="D111" s="17">
        <v>15.0</v>
      </c>
    </row>
    <row r="112" ht="22.5" customHeight="1">
      <c r="A112" s="34">
        <v>46047.8744384375</v>
      </c>
      <c r="B112" s="5" t="s">
        <v>1689</v>
      </c>
      <c r="C112" s="5" t="s">
        <v>3986</v>
      </c>
      <c r="D112" s="17">
        <v>3.0</v>
      </c>
    </row>
    <row r="113" ht="22.5" customHeight="1">
      <c r="A113" s="34">
        <v>46047.87443991898</v>
      </c>
      <c r="B113" s="5" t="s">
        <v>1689</v>
      </c>
      <c r="C113" s="5" t="s">
        <v>4002</v>
      </c>
      <c r="D113" s="17">
        <v>15.0</v>
      </c>
    </row>
    <row r="114" ht="22.5" customHeight="1">
      <c r="A114" s="34">
        <v>46047.94210854167</v>
      </c>
      <c r="B114" s="5" t="s">
        <v>1689</v>
      </c>
      <c r="C114" s="5" t="s">
        <v>3986</v>
      </c>
      <c r="D114" s="17">
        <v>1.0</v>
      </c>
    </row>
    <row r="115" ht="22.5" customHeight="1">
      <c r="A115" s="34">
        <v>46047.94211017361</v>
      </c>
      <c r="B115" s="5" t="s">
        <v>1689</v>
      </c>
      <c r="C115" s="5" t="s">
        <v>4002</v>
      </c>
      <c r="D115" s="17">
        <v>15.0</v>
      </c>
    </row>
    <row r="116" ht="22.5" customHeight="1">
      <c r="A116" s="34">
        <v>46051.35128708334</v>
      </c>
      <c r="B116" s="5" t="s">
        <v>1689</v>
      </c>
      <c r="C116" s="5" t="s">
        <v>3986</v>
      </c>
      <c r="D116" s="17">
        <v>1.0</v>
      </c>
    </row>
    <row r="117" ht="22.5" customHeight="1">
      <c r="A117" s="34">
        <v>46051.351288101854</v>
      </c>
      <c r="B117" s="5" t="s">
        <v>1689</v>
      </c>
      <c r="C117" s="5" t="s">
        <v>4002</v>
      </c>
      <c r="D117" s="17">
        <v>15.0</v>
      </c>
    </row>
    <row r="118" ht="22.5" customHeight="1">
      <c r="A118" s="34">
        <v>46052.95218414352</v>
      </c>
      <c r="B118" s="5" t="s">
        <v>1689</v>
      </c>
      <c r="C118" s="5" t="s">
        <v>3986</v>
      </c>
      <c r="D118" s="17">
        <v>14.0</v>
      </c>
    </row>
    <row r="119" ht="22.5" customHeight="1">
      <c r="A119" s="34">
        <v>46052.95218627315</v>
      </c>
      <c r="B119" s="5" t="s">
        <v>1689</v>
      </c>
      <c r="C119" s="5" t="s">
        <v>4002</v>
      </c>
      <c r="D119" s="17">
        <v>15.0</v>
      </c>
    </row>
    <row r="120" ht="22.5" customHeight="1">
      <c r="A120" s="34">
        <v>46052.955080960644</v>
      </c>
      <c r="B120" s="5" t="s">
        <v>1689</v>
      </c>
      <c r="C120" s="5" t="s">
        <v>3986</v>
      </c>
      <c r="D120" s="17">
        <v>1.0</v>
      </c>
    </row>
    <row r="121" ht="22.5" customHeight="1">
      <c r="A121" s="34">
        <v>46052.9550824537</v>
      </c>
      <c r="B121" s="5" t="s">
        <v>1689</v>
      </c>
      <c r="C121" s="5" t="s">
        <v>4002</v>
      </c>
      <c r="D121" s="17">
        <v>15.0</v>
      </c>
    </row>
    <row r="122" ht="22.5" customHeight="1">
      <c r="A122" s="34">
        <v>46053.73183527778</v>
      </c>
      <c r="B122" s="5" t="s">
        <v>1689</v>
      </c>
      <c r="C122" s="5" t="s">
        <v>3986</v>
      </c>
      <c r="D122" s="17">
        <v>2.0</v>
      </c>
    </row>
    <row r="123" ht="22.5" customHeight="1">
      <c r="A123" s="34">
        <v>46053.73183672453</v>
      </c>
      <c r="B123" s="5" t="s">
        <v>1689</v>
      </c>
      <c r="C123" s="5" t="s">
        <v>4002</v>
      </c>
      <c r="D123" s="17">
        <v>15.0</v>
      </c>
    </row>
    <row r="124" ht="22.5" customHeight="1">
      <c r="A124" s="34">
        <v>46053.855134259255</v>
      </c>
      <c r="B124" s="5" t="s">
        <v>1689</v>
      </c>
      <c r="C124" s="5" t="s">
        <v>3986</v>
      </c>
      <c r="D124" s="17">
        <v>1.0</v>
      </c>
    </row>
    <row r="125" ht="22.5" customHeight="1">
      <c r="A125" s="34">
        <v>46053.85513592593</v>
      </c>
      <c r="B125" s="5" t="s">
        <v>1689</v>
      </c>
      <c r="C125" s="5" t="s">
        <v>4002</v>
      </c>
      <c r="D125" s="17">
        <v>15.0</v>
      </c>
    </row>
    <row r="126" ht="22.5" customHeight="1">
      <c r="A126" s="34">
        <v>46053.883314756946</v>
      </c>
      <c r="B126" s="5" t="s">
        <v>1689</v>
      </c>
      <c r="C126" s="5" t="s">
        <v>3986</v>
      </c>
      <c r="D126" s="17">
        <v>1.0</v>
      </c>
    </row>
    <row r="127" ht="22.5" customHeight="1">
      <c r="A127" s="34">
        <v>46053.88331615741</v>
      </c>
      <c r="B127" s="5" t="s">
        <v>1689</v>
      </c>
      <c r="C127" s="5" t="s">
        <v>4002</v>
      </c>
      <c r="D127" s="17">
        <v>15.0</v>
      </c>
    </row>
    <row r="128" ht="22.5" customHeight="1">
      <c r="A128" s="34">
        <v>46056.78967534722</v>
      </c>
      <c r="B128" s="5" t="s">
        <v>1689</v>
      </c>
      <c r="C128" s="5" t="s">
        <v>3986</v>
      </c>
      <c r="D128" s="17">
        <v>4.0</v>
      </c>
    </row>
    <row r="129" ht="22.5" customHeight="1">
      <c r="A129" s="34">
        <v>46056.789676898145</v>
      </c>
      <c r="B129" s="5" t="s">
        <v>1689</v>
      </c>
      <c r="C129" s="5" t="s">
        <v>4002</v>
      </c>
      <c r="D129" s="17">
        <v>15.0</v>
      </c>
    </row>
    <row r="130" ht="22.5" customHeight="1">
      <c r="A130" s="34">
        <v>46057.70998008102</v>
      </c>
      <c r="B130" s="5" t="s">
        <v>1689</v>
      </c>
      <c r="C130" s="5" t="s">
        <v>3986</v>
      </c>
      <c r="D130" s="17">
        <v>3.0</v>
      </c>
    </row>
    <row r="131" ht="22.5" customHeight="1">
      <c r="A131" s="34">
        <v>46057.70998162037</v>
      </c>
      <c r="B131" s="5" t="s">
        <v>1689</v>
      </c>
      <c r="C131" s="5" t="s">
        <v>4002</v>
      </c>
      <c r="D131" s="17">
        <v>15.0</v>
      </c>
    </row>
    <row r="132" ht="22.5" customHeight="1">
      <c r="A132" s="34">
        <v>46057.75443832176</v>
      </c>
      <c r="B132" s="5" t="s">
        <v>1689</v>
      </c>
      <c r="C132" s="5" t="s">
        <v>3986</v>
      </c>
      <c r="D132" s="17">
        <v>2.0</v>
      </c>
    </row>
    <row r="133" ht="22.5" customHeight="1">
      <c r="A133" s="34">
        <v>46057.75444045139</v>
      </c>
      <c r="B133" s="5" t="s">
        <v>1689</v>
      </c>
      <c r="C133" s="5" t="s">
        <v>4002</v>
      </c>
      <c r="D133" s="17">
        <v>15.0</v>
      </c>
    </row>
    <row r="134" ht="22.5" customHeight="1">
      <c r="A134" s="34">
        <v>46057.784145046295</v>
      </c>
      <c r="B134" s="5" t="s">
        <v>1689</v>
      </c>
      <c r="C134" s="5" t="s">
        <v>3986</v>
      </c>
      <c r="D134" s="17">
        <v>1.0</v>
      </c>
    </row>
    <row r="135" ht="22.5" customHeight="1">
      <c r="A135" s="34">
        <v>46057.78414675926</v>
      </c>
      <c r="B135" s="5" t="s">
        <v>1689</v>
      </c>
      <c r="C135" s="5" t="s">
        <v>4002</v>
      </c>
      <c r="D135" s="17">
        <v>15.0</v>
      </c>
    </row>
    <row r="136" ht="22.5" customHeight="1">
      <c r="A136" s="34">
        <v>46057.84880032408</v>
      </c>
      <c r="B136" s="5" t="s">
        <v>1689</v>
      </c>
      <c r="C136" s="5" t="s">
        <v>3986</v>
      </c>
      <c r="D136" s="17">
        <v>6.0</v>
      </c>
    </row>
    <row r="137" ht="22.5" customHeight="1">
      <c r="A137" s="34">
        <v>46057.848801678236</v>
      </c>
      <c r="B137" s="5" t="s">
        <v>1689</v>
      </c>
      <c r="C137" s="5" t="s">
        <v>4002</v>
      </c>
      <c r="D137" s="17">
        <v>15.0</v>
      </c>
    </row>
    <row r="138" ht="22.5" customHeight="1">
      <c r="A138" s="34">
        <v>46058.815759861114</v>
      </c>
      <c r="B138" s="5" t="s">
        <v>1689</v>
      </c>
      <c r="C138" s="5" t="s">
        <v>3986</v>
      </c>
      <c r="D138" s="17">
        <v>3.0</v>
      </c>
    </row>
    <row r="139" ht="22.5" customHeight="1">
      <c r="A139" s="34">
        <v>46058.815761377315</v>
      </c>
      <c r="B139" s="5" t="s">
        <v>1689</v>
      </c>
      <c r="C139" s="5" t="s">
        <v>4002</v>
      </c>
      <c r="D139" s="17">
        <v>16.0</v>
      </c>
    </row>
    <row r="140" ht="22.5" customHeight="1">
      <c r="A140" s="34">
        <v>46058.81587171296</v>
      </c>
      <c r="B140" s="5" t="s">
        <v>1689</v>
      </c>
      <c r="C140" s="5" t="s">
        <v>3986</v>
      </c>
      <c r="D140" s="17">
        <v>0.0</v>
      </c>
    </row>
    <row r="141" ht="22.5" customHeight="1">
      <c r="A141" s="34">
        <v>46058.81587304398</v>
      </c>
      <c r="B141" s="5" t="s">
        <v>1689</v>
      </c>
      <c r="C141" s="5" t="s">
        <v>4002</v>
      </c>
      <c r="D141" s="17">
        <v>16.0</v>
      </c>
    </row>
    <row r="142" ht="22.5" customHeight="1">
      <c r="A142" s="34">
        <v>46058.81670939815</v>
      </c>
      <c r="B142" s="5" t="s">
        <v>1689</v>
      </c>
      <c r="C142" s="5" t="s">
        <v>3986</v>
      </c>
      <c r="D142" s="17">
        <v>1.0</v>
      </c>
    </row>
    <row r="143" ht="22.5" customHeight="1">
      <c r="A143" s="34">
        <v>46058.81671092592</v>
      </c>
      <c r="B143" s="5" t="s">
        <v>1689</v>
      </c>
      <c r="C143" s="5" t="s">
        <v>4002</v>
      </c>
      <c r="D143" s="17">
        <v>15.0</v>
      </c>
    </row>
    <row r="144" ht="22.5" customHeight="1">
      <c r="A144" s="34">
        <v>46058.82038590278</v>
      </c>
      <c r="B144" s="5" t="s">
        <v>3984</v>
      </c>
      <c r="C144" s="5" t="s">
        <v>3985</v>
      </c>
      <c r="D144" s="17">
        <v>4.0</v>
      </c>
    </row>
    <row r="145" ht="22.5" customHeight="1">
      <c r="A145" s="34">
        <v>46058.87710024306</v>
      </c>
      <c r="B145" s="5" t="s">
        <v>1689</v>
      </c>
      <c r="C145" s="5" t="s">
        <v>3986</v>
      </c>
      <c r="D145" s="17">
        <v>5.0</v>
      </c>
    </row>
    <row r="146" ht="22.5" customHeight="1">
      <c r="A146" s="34">
        <v>46058.87710170139</v>
      </c>
      <c r="B146" s="5" t="s">
        <v>1689</v>
      </c>
      <c r="C146" s="5" t="s">
        <v>4002</v>
      </c>
      <c r="D146" s="17">
        <v>15.0</v>
      </c>
    </row>
    <row r="147" ht="22.5" customHeight="1">
      <c r="A147" s="34">
        <v>46058.9235156713</v>
      </c>
      <c r="B147" s="5" t="s">
        <v>1689</v>
      </c>
      <c r="C147" s="5" t="s">
        <v>3986</v>
      </c>
      <c r="D147" s="17">
        <v>1.0</v>
      </c>
    </row>
    <row r="148" ht="22.5" customHeight="1">
      <c r="A148" s="34">
        <v>46058.9235178125</v>
      </c>
      <c r="B148" s="5" t="s">
        <v>1689</v>
      </c>
      <c r="C148" s="5" t="s">
        <v>4002</v>
      </c>
      <c r="D148" s="17">
        <v>15.0</v>
      </c>
    </row>
    <row r="149" ht="22.5" customHeight="1">
      <c r="A149" s="34">
        <v>46064.91453739583</v>
      </c>
      <c r="B149" s="5" t="s">
        <v>1689</v>
      </c>
      <c r="C149" s="5" t="s">
        <v>3986</v>
      </c>
      <c r="D149" s="17">
        <v>16.0</v>
      </c>
    </row>
    <row r="150" ht="22.5" customHeight="1">
      <c r="A150" s="34">
        <v>46064.91454153935</v>
      </c>
      <c r="B150" s="5" t="s">
        <v>1689</v>
      </c>
      <c r="C150" s="5" t="s">
        <v>4002</v>
      </c>
      <c r="D150" s="17">
        <v>15.0</v>
      </c>
    </row>
    <row r="151" ht="22.5" customHeight="1">
      <c r="A151" s="34">
        <v>46066.81584552083</v>
      </c>
      <c r="B151" s="5" t="s">
        <v>1689</v>
      </c>
      <c r="C151" s="5" t="s">
        <v>3986</v>
      </c>
      <c r="D151" s="17">
        <v>16.0</v>
      </c>
    </row>
    <row r="152" ht="22.5" customHeight="1">
      <c r="A152" s="34">
        <v>46066.815846944446</v>
      </c>
      <c r="B152" s="5" t="s">
        <v>1689</v>
      </c>
      <c r="C152" s="5" t="s">
        <v>4002</v>
      </c>
      <c r="D152" s="17">
        <v>15.0</v>
      </c>
    </row>
    <row r="153" ht="22.5" customHeight="1">
      <c r="A153" s="34">
        <v>46066.90289064815</v>
      </c>
      <c r="B153" s="5" t="s">
        <v>1689</v>
      </c>
      <c r="C153" s="5" t="s">
        <v>3986</v>
      </c>
      <c r="D153" s="17">
        <v>4.0</v>
      </c>
    </row>
    <row r="154" ht="22.5" customHeight="1">
      <c r="A154" s="34">
        <v>46066.90289224537</v>
      </c>
      <c r="B154" s="5" t="s">
        <v>1689</v>
      </c>
      <c r="C154" s="5" t="s">
        <v>4002</v>
      </c>
      <c r="D154" s="17">
        <v>16.0</v>
      </c>
    </row>
    <row r="155" ht="22.5" customHeight="1">
      <c r="A155" s="34">
        <v>46066.90711418982</v>
      </c>
      <c r="B155" s="5" t="s">
        <v>1689</v>
      </c>
      <c r="C155" s="5" t="s">
        <v>3986</v>
      </c>
      <c r="D155" s="17">
        <v>1.0</v>
      </c>
    </row>
    <row r="156" ht="22.5" customHeight="1">
      <c r="A156" s="34">
        <v>46066.90711540509</v>
      </c>
      <c r="B156" s="5" t="s">
        <v>1689</v>
      </c>
      <c r="C156" s="5" t="s">
        <v>4002</v>
      </c>
      <c r="D156" s="17">
        <v>15.0</v>
      </c>
    </row>
    <row r="157" ht="22.5" customHeight="1">
      <c r="A157" s="34">
        <v>46067.87267953704</v>
      </c>
      <c r="B157" s="5" t="s">
        <v>3984</v>
      </c>
      <c r="C157" s="5" t="s">
        <v>3985</v>
      </c>
      <c r="D157" s="17">
        <v>33.0</v>
      </c>
    </row>
    <row r="158" ht="22.5" customHeight="1">
      <c r="A158" s="34">
        <v>46069.88726033564</v>
      </c>
      <c r="B158" s="5" t="s">
        <v>3984</v>
      </c>
      <c r="C158" s="5" t="s">
        <v>3985</v>
      </c>
      <c r="D158" s="17">
        <v>3.0</v>
      </c>
    </row>
    <row r="159" ht="22.5" customHeight="1">
      <c r="A159" s="34">
        <v>46069.919235486115</v>
      </c>
      <c r="B159" s="5" t="s">
        <v>1689</v>
      </c>
      <c r="C159" s="5" t="s">
        <v>3986</v>
      </c>
      <c r="D159" s="17">
        <v>5.0</v>
      </c>
    </row>
    <row r="160" ht="22.5" customHeight="1">
      <c r="A160" s="34">
        <v>46069.91923663195</v>
      </c>
      <c r="B160" s="5" t="s">
        <v>1689</v>
      </c>
      <c r="C160" s="5" t="s">
        <v>4002</v>
      </c>
      <c r="D160" s="17">
        <v>16.0</v>
      </c>
    </row>
    <row r="161" ht="22.5" customHeight="1">
      <c r="A161" s="34">
        <v>46069.92370063657</v>
      </c>
      <c r="B161" s="5" t="s">
        <v>1689</v>
      </c>
      <c r="C161" s="5" t="s">
        <v>3986</v>
      </c>
      <c r="D161" s="17">
        <v>1.0</v>
      </c>
    </row>
    <row r="162" ht="22.5" customHeight="1">
      <c r="A162" s="34">
        <v>46069.923701782405</v>
      </c>
      <c r="B162" s="5" t="s">
        <v>1689</v>
      </c>
      <c r="C162" s="5" t="s">
        <v>4002</v>
      </c>
      <c r="D162" s="17">
        <v>15.0</v>
      </c>
    </row>
    <row r="163" ht="22.5" customHeight="1">
      <c r="A163" s="34">
        <v>46069.92604232639</v>
      </c>
      <c r="B163" s="5" t="s">
        <v>1689</v>
      </c>
      <c r="C163" s="5" t="s">
        <v>3986</v>
      </c>
      <c r="D163" s="17">
        <v>0.0</v>
      </c>
    </row>
    <row r="164" ht="22.5" customHeight="1">
      <c r="A164" s="34">
        <v>46069.926044155094</v>
      </c>
      <c r="B164" s="5" t="s">
        <v>1689</v>
      </c>
      <c r="C164" s="5" t="s">
        <v>4002</v>
      </c>
      <c r="D164" s="17">
        <v>15.0</v>
      </c>
    </row>
    <row r="165" ht="22.5" customHeight="1">
      <c r="A165" s="34">
        <v>46070.91038001157</v>
      </c>
      <c r="B165" s="5" t="s">
        <v>1689</v>
      </c>
      <c r="C165" s="5" t="s">
        <v>3986</v>
      </c>
      <c r="D165" s="17">
        <v>1.0</v>
      </c>
    </row>
    <row r="166" ht="22.5" customHeight="1">
      <c r="A166" s="34">
        <v>46070.910381608795</v>
      </c>
      <c r="B166" s="5" t="s">
        <v>1689</v>
      </c>
      <c r="C166" s="5" t="s">
        <v>4002</v>
      </c>
      <c r="D166" s="17">
        <v>15.0</v>
      </c>
    </row>
    <row r="167" ht="22.5" customHeight="1">
      <c r="A167" s="34">
        <v>46072.8649066088</v>
      </c>
      <c r="B167" s="5" t="s">
        <v>1689</v>
      </c>
      <c r="C167" s="5" t="s">
        <v>3986</v>
      </c>
      <c r="D167" s="17">
        <v>11.0</v>
      </c>
    </row>
    <row r="168" ht="22.5" customHeight="1">
      <c r="A168" s="34">
        <v>46072.86490818287</v>
      </c>
      <c r="B168" s="5" t="s">
        <v>1689</v>
      </c>
      <c r="C168" s="5" t="s">
        <v>4002</v>
      </c>
      <c r="D168" s="17">
        <v>15.0</v>
      </c>
    </row>
    <row r="169" ht="22.5" customHeight="1">
      <c r="A169" s="34">
        <v>46072.9432784838</v>
      </c>
      <c r="B169" s="5" t="s">
        <v>1689</v>
      </c>
      <c r="C169" s="5" t="s">
        <v>3986</v>
      </c>
      <c r="D169" s="17">
        <v>6.0</v>
      </c>
    </row>
    <row r="170" ht="22.5" customHeight="1">
      <c r="A170" s="34">
        <v>46072.943279837964</v>
      </c>
      <c r="B170" s="5" t="s">
        <v>1689</v>
      </c>
      <c r="C170" s="5" t="s">
        <v>4002</v>
      </c>
      <c r="D170" s="17">
        <v>15.0</v>
      </c>
    </row>
    <row r="171" ht="22.5" customHeight="1">
      <c r="A171" s="34">
        <v>46074.01757414352</v>
      </c>
      <c r="B171" s="5" t="s">
        <v>3984</v>
      </c>
      <c r="C171" s="5" t="s">
        <v>3985</v>
      </c>
      <c r="D171" s="17">
        <v>7.0</v>
      </c>
    </row>
    <row r="172" ht="22.5" customHeight="1">
      <c r="A172" s="34">
        <v>46074.01786600694</v>
      </c>
      <c r="B172" s="5" t="s">
        <v>1689</v>
      </c>
      <c r="C172" s="5" t="s">
        <v>3986</v>
      </c>
      <c r="D172" s="17">
        <v>2.0</v>
      </c>
    </row>
    <row r="173" ht="22.5" customHeight="1">
      <c r="A173" s="34">
        <v>46074.017868043986</v>
      </c>
      <c r="B173" s="5" t="s">
        <v>1689</v>
      </c>
      <c r="C173" s="5" t="s">
        <v>4002</v>
      </c>
      <c r="D173" s="17">
        <v>15.0</v>
      </c>
    </row>
    <row r="174" ht="22.5" customHeight="1">
      <c r="A174" s="34">
        <v>46075.020607025464</v>
      </c>
      <c r="B174" s="5" t="s">
        <v>1689</v>
      </c>
      <c r="C174" s="5" t="s">
        <v>3986</v>
      </c>
      <c r="D174" s="17">
        <v>0.0</v>
      </c>
    </row>
    <row r="175" ht="22.5" customHeight="1">
      <c r="A175" s="34">
        <v>46075.02060969907</v>
      </c>
      <c r="B175" s="5" t="s">
        <v>1689</v>
      </c>
      <c r="C175" s="5" t="s">
        <v>4002</v>
      </c>
      <c r="D175" s="17">
        <v>17.0</v>
      </c>
    </row>
    <row r="176" ht="22.5" customHeight="1">
      <c r="A176" s="34">
        <v>46075.02115325231</v>
      </c>
      <c r="B176" s="5" t="s">
        <v>1689</v>
      </c>
      <c r="C176" s="5" t="s">
        <v>3986</v>
      </c>
      <c r="D176" s="17">
        <v>0.0</v>
      </c>
    </row>
    <row r="177" ht="22.5" customHeight="1">
      <c r="A177" s="34">
        <v>46075.02115518518</v>
      </c>
      <c r="B177" s="5" t="s">
        <v>1689</v>
      </c>
      <c r="C177" s="5" t="s">
        <v>4002</v>
      </c>
      <c r="D177" s="17">
        <v>17.0</v>
      </c>
    </row>
    <row r="178" ht="22.5" customHeight="1">
      <c r="A178" s="34">
        <v>46075.02286212963</v>
      </c>
      <c r="B178" s="5" t="s">
        <v>1689</v>
      </c>
      <c r="C178" s="5" t="s">
        <v>3986</v>
      </c>
      <c r="D178" s="17">
        <v>1.0</v>
      </c>
    </row>
    <row r="179" ht="22.5" customHeight="1">
      <c r="A179" s="34">
        <v>46075.02286309028</v>
      </c>
      <c r="B179" s="5" t="s">
        <v>1689</v>
      </c>
      <c r="C179" s="5" t="s">
        <v>4002</v>
      </c>
      <c r="D179" s="17">
        <v>16.0</v>
      </c>
    </row>
    <row r="180" ht="22.5" customHeight="1">
      <c r="A180" s="34">
        <v>46075.0237049537</v>
      </c>
      <c r="B180" s="5" t="s">
        <v>1689</v>
      </c>
      <c r="C180" s="5" t="s">
        <v>3986</v>
      </c>
      <c r="D180" s="17">
        <v>0.0</v>
      </c>
    </row>
    <row r="181" ht="22.5" customHeight="1">
      <c r="A181" s="34">
        <v>46075.02370668981</v>
      </c>
      <c r="B181" s="5" t="s">
        <v>1689</v>
      </c>
      <c r="C181" s="5" t="s">
        <v>4002</v>
      </c>
      <c r="D181" s="17">
        <v>16.0</v>
      </c>
    </row>
    <row r="182" ht="22.5" customHeight="1">
      <c r="A182" s="34">
        <v>46075.02383365741</v>
      </c>
      <c r="B182" s="5" t="s">
        <v>1689</v>
      </c>
      <c r="C182" s="5" t="s">
        <v>3986</v>
      </c>
      <c r="D182" s="17">
        <v>0.0</v>
      </c>
    </row>
    <row r="183" ht="22.5" customHeight="1">
      <c r="A183" s="34">
        <v>46075.02383549769</v>
      </c>
      <c r="B183" s="5" t="s">
        <v>1689</v>
      </c>
      <c r="C183" s="5" t="s">
        <v>4002</v>
      </c>
      <c r="D183" s="17">
        <v>16.0</v>
      </c>
    </row>
    <row r="184" ht="22.5" customHeight="1">
      <c r="A184" s="34">
        <v>46075.02519813657</v>
      </c>
      <c r="B184" s="5" t="s">
        <v>1689</v>
      </c>
      <c r="C184" s="5" t="s">
        <v>3986</v>
      </c>
      <c r="D184" s="17">
        <v>1.0</v>
      </c>
    </row>
    <row r="185" ht="22.5" customHeight="1">
      <c r="A185" s="34">
        <v>46075.02519956019</v>
      </c>
      <c r="B185" s="5" t="s">
        <v>1689</v>
      </c>
      <c r="C185" s="5" t="s">
        <v>4002</v>
      </c>
      <c r="D185" s="17">
        <v>15.0</v>
      </c>
    </row>
    <row r="186" ht="22.5" customHeight="1">
      <c r="A186" s="34">
        <v>46075.98743836806</v>
      </c>
      <c r="B186" s="5" t="s">
        <v>1689</v>
      </c>
      <c r="C186" s="5" t="s">
        <v>3986</v>
      </c>
      <c r="D186" s="17">
        <v>3.0</v>
      </c>
    </row>
    <row r="187" ht="22.5" customHeight="1">
      <c r="A187" s="34">
        <v>46075.98743952546</v>
      </c>
      <c r="B187" s="5" t="s">
        <v>1689</v>
      </c>
      <c r="C187" s="5" t="s">
        <v>4002</v>
      </c>
      <c r="D187" s="17">
        <v>16.0</v>
      </c>
    </row>
    <row r="188" ht="22.5" customHeight="1">
      <c r="A188" s="34">
        <v>46075.9876353588</v>
      </c>
      <c r="B188" s="5" t="s">
        <v>1689</v>
      </c>
      <c r="C188" s="5" t="s">
        <v>3986</v>
      </c>
      <c r="D188" s="17">
        <v>1.0</v>
      </c>
    </row>
    <row r="189" ht="22.5" customHeight="1">
      <c r="A189" s="34">
        <v>46075.987637025464</v>
      </c>
      <c r="B189" s="5" t="s">
        <v>1689</v>
      </c>
      <c r="C189" s="5" t="s">
        <v>4002</v>
      </c>
      <c r="D189" s="17">
        <v>15.0</v>
      </c>
    </row>
    <row r="190" ht="22.5" customHeight="1">
      <c r="A190" s="34">
        <v>46077.92720893519</v>
      </c>
      <c r="B190" s="5" t="s">
        <v>1689</v>
      </c>
      <c r="C190" s="5" t="s">
        <v>3986</v>
      </c>
      <c r="D190" s="17">
        <v>1.0</v>
      </c>
    </row>
    <row r="191" ht="22.5" customHeight="1">
      <c r="A191" s="34">
        <v>46077.92721116898</v>
      </c>
      <c r="B191" s="5" t="s">
        <v>1689</v>
      </c>
      <c r="C191" s="5" t="s">
        <v>4002</v>
      </c>
      <c r="D191" s="17">
        <v>16.0</v>
      </c>
    </row>
    <row r="192" ht="22.5" customHeight="1">
      <c r="A192" s="34">
        <v>46077.92772983796</v>
      </c>
      <c r="B192" s="5" t="s">
        <v>1689</v>
      </c>
      <c r="C192" s="5" t="s">
        <v>3986</v>
      </c>
      <c r="D192" s="17">
        <v>1.0</v>
      </c>
    </row>
    <row r="193" ht="22.5" customHeight="1">
      <c r="A193" s="34">
        <v>46077.92773112269</v>
      </c>
      <c r="B193" s="5" t="s">
        <v>1689</v>
      </c>
      <c r="C193" s="5" t="s">
        <v>4002</v>
      </c>
      <c r="D193" s="17">
        <v>15.0</v>
      </c>
    </row>
    <row r="194" ht="22.5" customHeight="1">
      <c r="A194" s="34">
        <v>46079.740905555554</v>
      </c>
      <c r="B194" s="5" t="s">
        <v>1689</v>
      </c>
      <c r="C194" s="5" t="s">
        <v>3986</v>
      </c>
      <c r="D194" s="17">
        <v>4.0</v>
      </c>
    </row>
    <row r="195" ht="22.5" customHeight="1">
      <c r="A195" s="34">
        <v>46079.74091418981</v>
      </c>
      <c r="B195" s="5" t="s">
        <v>1689</v>
      </c>
      <c r="C195" s="5" t="s">
        <v>4002</v>
      </c>
      <c r="D195" s="17">
        <v>15.0</v>
      </c>
    </row>
    <row r="196" ht="22.5" customHeight="1">
      <c r="A196" s="34">
        <v>46081.93888290509</v>
      </c>
      <c r="B196" s="5" t="s">
        <v>1689</v>
      </c>
      <c r="C196" s="5" t="s">
        <v>3986</v>
      </c>
      <c r="D196" s="17">
        <v>6.0</v>
      </c>
    </row>
    <row r="197" ht="22.5" customHeight="1">
      <c r="A197" s="34">
        <v>46081.93888458333</v>
      </c>
      <c r="B197" s="5" t="s">
        <v>1689</v>
      </c>
      <c r="C197" s="5" t="s">
        <v>4002</v>
      </c>
      <c r="D197" s="17">
        <v>16.0</v>
      </c>
    </row>
    <row r="198" ht="22.5" customHeight="1">
      <c r="A198" s="34">
        <v>46081.948265150466</v>
      </c>
      <c r="B198" s="5" t="s">
        <v>1689</v>
      </c>
      <c r="C198" s="5" t="s">
        <v>3986</v>
      </c>
      <c r="D198" s="17">
        <v>0.0</v>
      </c>
    </row>
    <row r="199" ht="22.5" customHeight="1">
      <c r="A199" s="34">
        <v>46081.94826679398</v>
      </c>
      <c r="B199" s="5" t="s">
        <v>1689</v>
      </c>
      <c r="C199" s="5" t="s">
        <v>4002</v>
      </c>
      <c r="D199" s="17">
        <v>16.0</v>
      </c>
    </row>
    <row r="200" ht="22.5" customHeight="1">
      <c r="A200" s="34">
        <v>46081.952451377314</v>
      </c>
      <c r="B200" s="5" t="s">
        <v>1689</v>
      </c>
      <c r="C200" s="5" t="s">
        <v>3986</v>
      </c>
      <c r="D200" s="17">
        <v>0.0</v>
      </c>
    </row>
    <row r="201" ht="22.5" customHeight="1">
      <c r="A201" s="34">
        <v>46081.95245271991</v>
      </c>
      <c r="B201" s="5" t="s">
        <v>1689</v>
      </c>
      <c r="C201" s="5" t="s">
        <v>4002</v>
      </c>
      <c r="D201" s="17">
        <v>16.0</v>
      </c>
    </row>
    <row r="202" ht="22.5" customHeight="1">
      <c r="A202" s="34">
        <v>46081.95256737269</v>
      </c>
      <c r="B202" s="5" t="s">
        <v>1689</v>
      </c>
      <c r="C202" s="5" t="s">
        <v>3986</v>
      </c>
      <c r="D202" s="17">
        <v>0.0</v>
      </c>
    </row>
    <row r="203" ht="22.5" customHeight="1">
      <c r="A203" s="34">
        <v>46081.95256831018</v>
      </c>
      <c r="B203" s="5" t="s">
        <v>1689</v>
      </c>
      <c r="C203" s="5" t="s">
        <v>4002</v>
      </c>
      <c r="D203" s="17">
        <v>16.0</v>
      </c>
    </row>
    <row r="204" ht="22.5" customHeight="1">
      <c r="A204" s="34">
        <v>46081.95287959491</v>
      </c>
      <c r="B204" s="5" t="s">
        <v>1689</v>
      </c>
      <c r="C204" s="5" t="s">
        <v>3986</v>
      </c>
      <c r="D204" s="17">
        <v>0.0</v>
      </c>
    </row>
    <row r="205" ht="22.5" customHeight="1">
      <c r="A205" s="34">
        <v>46081.95288053241</v>
      </c>
      <c r="B205" s="5" t="s">
        <v>1689</v>
      </c>
      <c r="C205" s="5" t="s">
        <v>4002</v>
      </c>
      <c r="D205" s="17">
        <v>16.0</v>
      </c>
    </row>
    <row r="206" ht="22.5" customHeight="1">
      <c r="A206" s="34">
        <v>46081.953624999995</v>
      </c>
      <c r="B206" s="5" t="s">
        <v>1689</v>
      </c>
      <c r="C206" s="5" t="s">
        <v>3986</v>
      </c>
      <c r="D206" s="17">
        <v>1.0</v>
      </c>
    </row>
    <row r="207" ht="22.5" customHeight="1">
      <c r="A207" s="34">
        <v>46081.953640300926</v>
      </c>
      <c r="B207" s="5" t="s">
        <v>1689</v>
      </c>
      <c r="C207" s="5" t="s">
        <v>4002</v>
      </c>
      <c r="D207" s="17">
        <v>15.0</v>
      </c>
    </row>
    <row r="208" ht="22.5" customHeight="1">
      <c r="A208" s="34">
        <v>46083.00772673611</v>
      </c>
      <c r="B208" s="5" t="s">
        <v>1689</v>
      </c>
      <c r="C208" s="5" t="s">
        <v>3986</v>
      </c>
      <c r="D208" s="17">
        <v>10.0</v>
      </c>
    </row>
    <row r="209" ht="22.5" customHeight="1">
      <c r="A209" s="34">
        <v>46083.007728553246</v>
      </c>
      <c r="B209" s="5" t="s">
        <v>1689</v>
      </c>
      <c r="C209" s="5" t="s">
        <v>4002</v>
      </c>
      <c r="D209" s="17">
        <v>16.0</v>
      </c>
    </row>
    <row r="210" ht="22.5" customHeight="1">
      <c r="A210" s="34">
        <v>46083.00789390046</v>
      </c>
      <c r="B210" s="5" t="s">
        <v>1689</v>
      </c>
      <c r="C210" s="5" t="s">
        <v>3986</v>
      </c>
      <c r="D210" s="17">
        <v>0.0</v>
      </c>
    </row>
    <row r="211" ht="22.5" customHeight="1">
      <c r="A211" s="34">
        <v>46083.007895497685</v>
      </c>
      <c r="B211" s="5" t="s">
        <v>1689</v>
      </c>
      <c r="C211" s="5" t="s">
        <v>4002</v>
      </c>
      <c r="D211" s="17">
        <v>16.0</v>
      </c>
    </row>
    <row r="212" ht="22.5" customHeight="1">
      <c r="A212" s="34">
        <v>46083.00890190972</v>
      </c>
      <c r="B212" s="5" t="s">
        <v>1689</v>
      </c>
      <c r="C212" s="5" t="s">
        <v>3986</v>
      </c>
      <c r="D212" s="17">
        <v>1.0</v>
      </c>
    </row>
    <row r="213" ht="22.5" customHeight="1">
      <c r="A213" s="34">
        <v>46083.00890707176</v>
      </c>
      <c r="B213" s="5" t="s">
        <v>1689</v>
      </c>
      <c r="C213" s="5" t="s">
        <v>4002</v>
      </c>
      <c r="D213" s="17">
        <v>15.0</v>
      </c>
    </row>
    <row r="214" ht="22.5" customHeight="1">
      <c r="A214" s="34">
        <v>46085.95427440973</v>
      </c>
      <c r="B214" s="5" t="s">
        <v>1689</v>
      </c>
      <c r="C214" s="5" t="s">
        <v>3986</v>
      </c>
      <c r="D214" s="17">
        <v>8.0</v>
      </c>
    </row>
    <row r="215" ht="22.5" customHeight="1">
      <c r="A215" s="34">
        <v>46085.95427608796</v>
      </c>
      <c r="B215" s="5" t="s">
        <v>1689</v>
      </c>
      <c r="C215" s="5" t="s">
        <v>4002</v>
      </c>
      <c r="D215" s="17">
        <v>17.0</v>
      </c>
    </row>
    <row r="216" ht="22.5" customHeight="1">
      <c r="A216" s="34">
        <v>46085.95461267361</v>
      </c>
      <c r="B216" s="5" t="s">
        <v>1689</v>
      </c>
      <c r="C216" s="5" t="s">
        <v>3986</v>
      </c>
      <c r="D216" s="17">
        <v>0.0</v>
      </c>
    </row>
    <row r="217" ht="22.5" customHeight="1">
      <c r="A217" s="34">
        <v>46085.954614270835</v>
      </c>
      <c r="B217" s="5" t="s">
        <v>1689</v>
      </c>
      <c r="C217" s="5" t="s">
        <v>4002</v>
      </c>
      <c r="D217" s="17">
        <v>17.0</v>
      </c>
    </row>
    <row r="218" ht="22.5" customHeight="1">
      <c r="A218" s="34">
        <v>46085.955510775464</v>
      </c>
      <c r="B218" s="5" t="s">
        <v>1689</v>
      </c>
      <c r="C218" s="5" t="s">
        <v>3986</v>
      </c>
      <c r="D218" s="17">
        <v>1.0</v>
      </c>
    </row>
    <row r="219" ht="22.5" customHeight="1">
      <c r="A219" s="34">
        <v>46085.95551195602</v>
      </c>
      <c r="B219" s="5" t="s">
        <v>1689</v>
      </c>
      <c r="C219" s="5" t="s">
        <v>4002</v>
      </c>
      <c r="D219" s="17">
        <v>16.0</v>
      </c>
    </row>
    <row r="220" ht="22.5" customHeight="1">
      <c r="A220" s="34">
        <v>46085.95632054398</v>
      </c>
      <c r="B220" s="5" t="s">
        <v>1689</v>
      </c>
      <c r="C220" s="5" t="s">
        <v>3986</v>
      </c>
      <c r="D220" s="17">
        <v>1.0</v>
      </c>
    </row>
    <row r="221" ht="22.5" customHeight="1">
      <c r="A221" s="34">
        <v>46085.95632174768</v>
      </c>
      <c r="B221" s="5" t="s">
        <v>1689</v>
      </c>
      <c r="C221" s="5" t="s">
        <v>4002</v>
      </c>
      <c r="D221" s="17">
        <v>15.0</v>
      </c>
    </row>
    <row r="222" ht="22.5" customHeight="1">
      <c r="A222" s="34">
        <v>46088.876429282405</v>
      </c>
      <c r="B222" s="5" t="s">
        <v>1689</v>
      </c>
      <c r="C222" s="5" t="s">
        <v>3986</v>
      </c>
      <c r="D222" s="17">
        <v>9.0</v>
      </c>
    </row>
    <row r="223" ht="22.5" customHeight="1">
      <c r="A223" s="34">
        <v>46088.8764308449</v>
      </c>
      <c r="B223" s="5" t="s">
        <v>1689</v>
      </c>
      <c r="C223" s="5" t="s">
        <v>4002</v>
      </c>
      <c r="D223" s="17">
        <v>15.0</v>
      </c>
    </row>
    <row r="224" ht="22.5" customHeight="1">
      <c r="A224" s="34">
        <v>46088.87748510417</v>
      </c>
      <c r="B224" s="5" t="s">
        <v>1689</v>
      </c>
      <c r="C224" s="5" t="s">
        <v>3986</v>
      </c>
      <c r="D224" s="17">
        <v>3.0</v>
      </c>
    </row>
    <row r="225" ht="22.5" customHeight="1">
      <c r="A225" s="34">
        <v>46088.877486400466</v>
      </c>
      <c r="B225" s="5" t="s">
        <v>1689</v>
      </c>
      <c r="C225" s="5" t="s">
        <v>4002</v>
      </c>
      <c r="D225" s="17">
        <v>15.0</v>
      </c>
    </row>
    <row r="226" ht="22.5" customHeight="1">
      <c r="A226" s="34">
        <v>46089.912826307875</v>
      </c>
      <c r="B226" s="5" t="s">
        <v>1689</v>
      </c>
      <c r="C226" s="5" t="s">
        <v>3986</v>
      </c>
      <c r="D226" s="17">
        <v>16.0</v>
      </c>
    </row>
    <row r="227" ht="22.5" customHeight="1">
      <c r="A227" s="34">
        <v>46089.91282814815</v>
      </c>
      <c r="B227" s="5" t="s">
        <v>1689</v>
      </c>
      <c r="C227" s="5" t="s">
        <v>4002</v>
      </c>
      <c r="D227" s="17">
        <v>15.0</v>
      </c>
    </row>
    <row r="228" ht="22.5" customHeight="1">
      <c r="A228" s="34">
        <v>46091.73203774306</v>
      </c>
      <c r="B228" s="5" t="s">
        <v>1689</v>
      </c>
      <c r="C228" s="5" t="s">
        <v>3986</v>
      </c>
      <c r="D228" s="17">
        <v>20.0</v>
      </c>
    </row>
    <row r="229" ht="22.5" customHeight="1">
      <c r="A229" s="34">
        <v>46091.732039027775</v>
      </c>
      <c r="B229" s="5" t="s">
        <v>1689</v>
      </c>
      <c r="C229" s="5" t="s">
        <v>4002</v>
      </c>
      <c r="D229" s="17">
        <v>15.0</v>
      </c>
    </row>
    <row r="230" ht="22.5" customHeight="1">
      <c r="A230" s="34">
        <v>46091.90642321759</v>
      </c>
      <c r="B230" s="5" t="s">
        <v>1689</v>
      </c>
      <c r="C230" s="5" t="s">
        <v>3986</v>
      </c>
      <c r="D230" s="17">
        <v>8.0</v>
      </c>
    </row>
    <row r="231" ht="22.5" customHeight="1">
      <c r="A231" s="34">
        <v>46091.906424456014</v>
      </c>
      <c r="B231" s="5" t="s">
        <v>1689</v>
      </c>
      <c r="C231" s="5" t="s">
        <v>4002</v>
      </c>
      <c r="D231" s="17">
        <v>15.0</v>
      </c>
    </row>
    <row r="232" ht="22.5" customHeight="1">
      <c r="A232" s="34">
        <v>46095.93639128472</v>
      </c>
      <c r="B232" s="5" t="s">
        <v>1689</v>
      </c>
      <c r="C232" s="5" t="s">
        <v>3986</v>
      </c>
      <c r="D232" s="17">
        <v>88.0</v>
      </c>
    </row>
    <row r="233" ht="22.5" customHeight="1">
      <c r="A233" s="34">
        <v>46095.93639469908</v>
      </c>
      <c r="B233" s="5" t="s">
        <v>1689</v>
      </c>
      <c r="C233" s="5" t="s">
        <v>4002</v>
      </c>
      <c r="D233" s="17">
        <v>16.0</v>
      </c>
    </row>
    <row r="234" ht="22.5" customHeight="1">
      <c r="A234" s="34">
        <v>46095.937420462964</v>
      </c>
      <c r="B234" s="5" t="s">
        <v>1689</v>
      </c>
      <c r="C234" s="5" t="s">
        <v>3986</v>
      </c>
      <c r="D234" s="17">
        <v>0.0</v>
      </c>
    </row>
    <row r="235" ht="22.5" customHeight="1">
      <c r="A235" s="34">
        <v>46095.93742203704</v>
      </c>
      <c r="B235" s="5" t="s">
        <v>1689</v>
      </c>
      <c r="C235" s="5" t="s">
        <v>4002</v>
      </c>
      <c r="D235" s="17">
        <v>17.0</v>
      </c>
    </row>
    <row r="236" ht="22.5" customHeight="1">
      <c r="A236" s="34">
        <v>46096.001736631944</v>
      </c>
      <c r="B236" s="5" t="s">
        <v>1689</v>
      </c>
      <c r="C236" s="5" t="s">
        <v>3986</v>
      </c>
      <c r="D236" s="17">
        <v>4.0</v>
      </c>
    </row>
    <row r="237" ht="22.5" customHeight="1">
      <c r="A237" s="34">
        <v>46096.00173851852</v>
      </c>
      <c r="B237" s="5" t="s">
        <v>1689</v>
      </c>
      <c r="C237" s="5" t="s">
        <v>4002</v>
      </c>
      <c r="D237" s="17">
        <v>16.0</v>
      </c>
    </row>
    <row r="238" ht="22.5" customHeight="1">
      <c r="A238" s="34">
        <v>46096.001898946764</v>
      </c>
      <c r="B238" s="5" t="s">
        <v>1689</v>
      </c>
      <c r="C238" s="5" t="s">
        <v>3986</v>
      </c>
      <c r="D238" s="17">
        <v>0.0</v>
      </c>
    </row>
    <row r="239" ht="22.5" customHeight="1">
      <c r="A239" s="34">
        <v>46096.00190047454</v>
      </c>
      <c r="B239" s="5" t="s">
        <v>1689</v>
      </c>
      <c r="C239" s="5" t="s">
        <v>4002</v>
      </c>
      <c r="D239" s="17">
        <v>16.0</v>
      </c>
    </row>
    <row r="240" ht="22.5" customHeight="1">
      <c r="A240" s="34">
        <v>46096.00230927083</v>
      </c>
      <c r="B240" s="5" t="s">
        <v>1689</v>
      </c>
      <c r="C240" s="5" t="s">
        <v>3986</v>
      </c>
      <c r="D240" s="17">
        <v>0.0</v>
      </c>
    </row>
    <row r="241" ht="22.5" customHeight="1">
      <c r="A241" s="34">
        <v>46096.00231148148</v>
      </c>
      <c r="B241" s="5" t="s">
        <v>1689</v>
      </c>
      <c r="C241" s="5" t="s">
        <v>4002</v>
      </c>
      <c r="D241" s="17">
        <v>16.0</v>
      </c>
    </row>
    <row r="242" ht="22.5" customHeight="1">
      <c r="A242" s="34">
        <v>46096.003017361116</v>
      </c>
      <c r="B242" s="5" t="s">
        <v>1689</v>
      </c>
      <c r="C242" s="5" t="s">
        <v>3986</v>
      </c>
      <c r="D242" s="17">
        <v>1.0</v>
      </c>
    </row>
    <row r="243" ht="22.5" customHeight="1">
      <c r="A243" s="34">
        <v>46096.00301935185</v>
      </c>
      <c r="B243" s="5" t="s">
        <v>1689</v>
      </c>
      <c r="C243" s="5" t="s">
        <v>4002</v>
      </c>
      <c r="D243" s="17">
        <v>15.0</v>
      </c>
    </row>
    <row r="244" ht="22.5" customHeight="1">
      <c r="A244" s="34">
        <v>46106.87721443287</v>
      </c>
      <c r="B244" s="5" t="s">
        <v>3984</v>
      </c>
      <c r="C244" s="5" t="s">
        <v>3985</v>
      </c>
      <c r="D244" s="17">
        <v>0.0</v>
      </c>
    </row>
    <row r="245" ht="22.5" customHeight="1">
      <c r="A245" s="34">
        <v>46106.918894999995</v>
      </c>
      <c r="B245" s="5" t="s">
        <v>1689</v>
      </c>
      <c r="C245" s="5" t="s">
        <v>3986</v>
      </c>
      <c r="D245" s="17">
        <v>23.0</v>
      </c>
    </row>
    <row r="246" ht="22.5" customHeight="1">
      <c r="A246" s="34">
        <v>46106.91889645833</v>
      </c>
      <c r="B246" s="5" t="s">
        <v>1689</v>
      </c>
      <c r="C246" s="5" t="s">
        <v>4002</v>
      </c>
      <c r="D246" s="17">
        <v>18.0</v>
      </c>
    </row>
    <row r="247" ht="22.5" customHeight="1">
      <c r="A247" s="34">
        <v>46106.92212042824</v>
      </c>
      <c r="B247" s="5" t="s">
        <v>1689</v>
      </c>
      <c r="C247" s="5" t="s">
        <v>3986</v>
      </c>
      <c r="D247" s="17">
        <v>3.0</v>
      </c>
    </row>
    <row r="248" ht="22.5" customHeight="1">
      <c r="A248" s="34">
        <v>46106.922121678246</v>
      </c>
      <c r="B248" s="5" t="s">
        <v>1689</v>
      </c>
      <c r="C248" s="5" t="s">
        <v>4002</v>
      </c>
      <c r="D248" s="17">
        <v>15.0</v>
      </c>
    </row>
    <row r="249" ht="22.5" customHeight="1">
      <c r="A249" s="34">
        <v>46106.960399675925</v>
      </c>
      <c r="B249" s="5" t="s">
        <v>1689</v>
      </c>
      <c r="C249" s="5" t="s">
        <v>3986</v>
      </c>
      <c r="D249" s="17">
        <v>66.0</v>
      </c>
    </row>
    <row r="250" ht="22.5" customHeight="1">
      <c r="A250" s="34">
        <v>46106.96040149305</v>
      </c>
      <c r="B250" s="5" t="s">
        <v>1689</v>
      </c>
      <c r="C250" s="5" t="s">
        <v>4002</v>
      </c>
      <c r="D250" s="17">
        <v>13.0</v>
      </c>
    </row>
    <row r="251" ht="22.5" customHeight="1">
      <c r="A251" s="34">
        <v>46106.962266608796</v>
      </c>
      <c r="B251" s="5" t="s">
        <v>1689</v>
      </c>
      <c r="C251" s="5" t="s">
        <v>3986</v>
      </c>
      <c r="D251" s="17">
        <v>1.0</v>
      </c>
    </row>
    <row r="252" ht="22.5" customHeight="1">
      <c r="A252" s="34">
        <v>46106.962268125004</v>
      </c>
      <c r="B252" s="5" t="s">
        <v>1689</v>
      </c>
      <c r="C252" s="5" t="s">
        <v>4002</v>
      </c>
      <c r="D252" s="17">
        <v>12.0</v>
      </c>
    </row>
    <row r="253" ht="22.5" customHeight="1">
      <c r="A253" s="34">
        <v>46107.00103388889</v>
      </c>
      <c r="B253" s="5" t="s">
        <v>1689</v>
      </c>
      <c r="C253" s="5" t="s">
        <v>3986</v>
      </c>
      <c r="D253" s="17">
        <v>21.0</v>
      </c>
    </row>
    <row r="254" ht="22.5" customHeight="1">
      <c r="A254" s="34">
        <v>46107.001035995374</v>
      </c>
      <c r="B254" s="5" t="s">
        <v>1689</v>
      </c>
      <c r="C254" s="5" t="s">
        <v>4002</v>
      </c>
      <c r="D254" s="17">
        <v>13.0</v>
      </c>
    </row>
    <row r="255" ht="22.5" customHeight="1">
      <c r="A255" s="34">
        <v>46107.0040878125</v>
      </c>
      <c r="B255" s="5" t="s">
        <v>1689</v>
      </c>
      <c r="C255" s="5" t="s">
        <v>3986</v>
      </c>
      <c r="D255" s="17">
        <v>1.0</v>
      </c>
    </row>
    <row r="256" ht="22.5" customHeight="1">
      <c r="A256" s="34">
        <v>46107.004088981485</v>
      </c>
      <c r="B256" s="5" t="s">
        <v>1689</v>
      </c>
      <c r="C256" s="5" t="s">
        <v>4002</v>
      </c>
      <c r="D256" s="17">
        <v>12.0</v>
      </c>
    </row>
    <row r="257" ht="22.5" customHeight="1">
      <c r="A257" s="34">
        <v>46107.114436504635</v>
      </c>
      <c r="B257" s="5" t="s">
        <v>1689</v>
      </c>
      <c r="C257" s="5" t="s">
        <v>3986</v>
      </c>
      <c r="D257" s="17">
        <v>92.0</v>
      </c>
    </row>
    <row r="258" ht="22.5" customHeight="1">
      <c r="A258" s="34">
        <v>46107.11443957176</v>
      </c>
      <c r="B258" s="5" t="s">
        <v>1689</v>
      </c>
      <c r="C258" s="5" t="s">
        <v>4002</v>
      </c>
      <c r="D258" s="17">
        <v>36.0</v>
      </c>
    </row>
    <row r="259" ht="22.5" customHeight="1">
      <c r="A259" s="34">
        <v>46107.11656069444</v>
      </c>
      <c r="B259" s="5" t="s">
        <v>1689</v>
      </c>
      <c r="C259" s="5" t="s">
        <v>3986</v>
      </c>
      <c r="D259" s="17">
        <v>4.0</v>
      </c>
    </row>
    <row r="260" ht="22.5" customHeight="1">
      <c r="A260" s="34">
        <v>46107.116562083334</v>
      </c>
      <c r="B260" s="5" t="s">
        <v>1689</v>
      </c>
      <c r="C260" s="5" t="s">
        <v>4002</v>
      </c>
      <c r="D260" s="17">
        <v>32.0</v>
      </c>
    </row>
    <row r="261" ht="22.5" customHeight="1">
      <c r="A261" s="34">
        <v>46107.11707659722</v>
      </c>
      <c r="B261" s="5" t="s">
        <v>1689</v>
      </c>
      <c r="C261" s="5" t="s">
        <v>3986</v>
      </c>
      <c r="D261" s="17">
        <v>3.0</v>
      </c>
    </row>
    <row r="262" ht="22.5" customHeight="1">
      <c r="A262" s="34">
        <v>46107.11707798611</v>
      </c>
      <c r="B262" s="5" t="s">
        <v>1689</v>
      </c>
      <c r="C262" s="5" t="s">
        <v>4002</v>
      </c>
      <c r="D262" s="17">
        <v>29.0</v>
      </c>
    </row>
    <row r="263" ht="22.5" customHeight="1">
      <c r="A263" s="34">
        <v>46107.123264548616</v>
      </c>
      <c r="B263" s="5" t="s">
        <v>1689</v>
      </c>
      <c r="C263" s="5" t="s">
        <v>3986</v>
      </c>
      <c r="D263" s="17">
        <v>10.0</v>
      </c>
    </row>
    <row r="264" ht="22.5" customHeight="1">
      <c r="A264" s="34">
        <v>46107.12326583333</v>
      </c>
      <c r="B264" s="5" t="s">
        <v>1689</v>
      </c>
      <c r="C264" s="5" t="s">
        <v>4002</v>
      </c>
      <c r="D264" s="17">
        <v>19.0</v>
      </c>
    </row>
    <row r="265" ht="22.5" customHeight="1">
      <c r="A265" s="34">
        <v>46107.12658626157</v>
      </c>
      <c r="B265" s="5" t="s">
        <v>1689</v>
      </c>
      <c r="C265" s="5" t="s">
        <v>3986</v>
      </c>
      <c r="D265" s="17">
        <v>2.0</v>
      </c>
    </row>
    <row r="266" ht="22.5" customHeight="1">
      <c r="A266" s="34">
        <v>46107.126587499995</v>
      </c>
      <c r="B266" s="5" t="s">
        <v>1689</v>
      </c>
      <c r="C266" s="5" t="s">
        <v>4002</v>
      </c>
      <c r="D266" s="17">
        <v>17.0</v>
      </c>
    </row>
    <row r="267" ht="22.5" customHeight="1">
      <c r="A267" s="34">
        <v>46107.12716942129</v>
      </c>
      <c r="B267" s="5" t="s">
        <v>1689</v>
      </c>
      <c r="C267" s="5" t="s">
        <v>3986</v>
      </c>
      <c r="D267" s="17">
        <v>1.0</v>
      </c>
    </row>
    <row r="268" ht="22.5" customHeight="1">
      <c r="A268" s="34">
        <v>46107.12717086806</v>
      </c>
      <c r="B268" s="5" t="s">
        <v>1689</v>
      </c>
      <c r="C268" s="5" t="s">
        <v>4002</v>
      </c>
      <c r="D268" s="17">
        <v>16.0</v>
      </c>
    </row>
    <row r="269" ht="22.5" customHeight="1">
      <c r="A269" s="34">
        <v>46107.12808056713</v>
      </c>
      <c r="B269" s="5" t="s">
        <v>1689</v>
      </c>
      <c r="C269" s="5" t="s">
        <v>3986</v>
      </c>
      <c r="D269" s="17">
        <v>2.0</v>
      </c>
    </row>
    <row r="270" ht="22.5" customHeight="1">
      <c r="A270" s="34">
        <v>46107.12808210649</v>
      </c>
      <c r="B270" s="5" t="s">
        <v>1689</v>
      </c>
      <c r="C270" s="5" t="s">
        <v>4002</v>
      </c>
      <c r="D270" s="17">
        <v>14.0</v>
      </c>
    </row>
    <row r="271" ht="22.5" customHeight="1">
      <c r="A271" s="34">
        <v>46107.12879287037</v>
      </c>
      <c r="B271" s="5" t="s">
        <v>1689</v>
      </c>
      <c r="C271" s="5" t="s">
        <v>3986</v>
      </c>
      <c r="D271" s="17">
        <v>1.0</v>
      </c>
    </row>
    <row r="272" ht="22.5" customHeight="1">
      <c r="A272" s="34">
        <v>46107.12879447917</v>
      </c>
      <c r="B272" s="5" t="s">
        <v>1689</v>
      </c>
      <c r="C272" s="5" t="s">
        <v>4002</v>
      </c>
      <c r="D272" s="17">
        <v>13.0</v>
      </c>
    </row>
    <row r="273" ht="22.5" customHeight="1">
      <c r="A273" s="34">
        <v>46107.12919752314</v>
      </c>
      <c r="B273" s="5" t="s">
        <v>1689</v>
      </c>
      <c r="C273" s="5" t="s">
        <v>3986</v>
      </c>
      <c r="D273" s="17">
        <v>0.0</v>
      </c>
    </row>
    <row r="274" ht="22.5" customHeight="1">
      <c r="A274" s="34">
        <v>46107.12919903935</v>
      </c>
      <c r="B274" s="5" t="s">
        <v>1689</v>
      </c>
      <c r="C274" s="5" t="s">
        <v>4002</v>
      </c>
      <c r="D274" s="17">
        <v>13.0</v>
      </c>
    </row>
    <row r="275" ht="22.5" customHeight="1">
      <c r="A275" s="34">
        <v>46107.12955868056</v>
      </c>
      <c r="B275" s="5" t="s">
        <v>1689</v>
      </c>
      <c r="C275" s="5" t="s">
        <v>3986</v>
      </c>
      <c r="D275" s="17">
        <v>1.0</v>
      </c>
    </row>
    <row r="276" ht="22.5" customHeight="1">
      <c r="A276" s="34">
        <v>46107.12956056713</v>
      </c>
      <c r="B276" s="5" t="s">
        <v>1689</v>
      </c>
      <c r="C276" s="5" t="s">
        <v>4002</v>
      </c>
      <c r="D276" s="17">
        <v>12.0</v>
      </c>
    </row>
    <row r="277" ht="22.5" customHeight="1">
      <c r="A277" s="34">
        <v>46107.14401631945</v>
      </c>
      <c r="B277" s="5" t="s">
        <v>1689</v>
      </c>
      <c r="C277" s="5" t="s">
        <v>3986</v>
      </c>
      <c r="D277" s="17">
        <v>35.0</v>
      </c>
    </row>
    <row r="278" ht="22.5" customHeight="1">
      <c r="A278" s="34">
        <v>46107.144018321764</v>
      </c>
      <c r="B278" s="5" t="s">
        <v>1689</v>
      </c>
      <c r="C278" s="5" t="s">
        <v>4002</v>
      </c>
      <c r="D278" s="17">
        <v>16.0</v>
      </c>
    </row>
    <row r="279" ht="22.5" customHeight="1">
      <c r="A279" s="34">
        <v>46107.145270891204</v>
      </c>
      <c r="B279" s="5" t="s">
        <v>1689</v>
      </c>
      <c r="C279" s="5" t="s">
        <v>3986</v>
      </c>
      <c r="D279" s="17">
        <v>2.0</v>
      </c>
    </row>
    <row r="280" ht="22.5" customHeight="1">
      <c r="A280" s="34">
        <v>46107.14527252315</v>
      </c>
      <c r="B280" s="5" t="s">
        <v>1689</v>
      </c>
      <c r="C280" s="5" t="s">
        <v>4002</v>
      </c>
      <c r="D280" s="17">
        <v>14.0</v>
      </c>
    </row>
    <row r="281" ht="22.5" customHeight="1">
      <c r="A281" s="34">
        <v>46107.14937171296</v>
      </c>
      <c r="B281" s="5" t="s">
        <v>1689</v>
      </c>
      <c r="C281" s="5" t="s">
        <v>3986</v>
      </c>
      <c r="D281" s="17">
        <v>2.0</v>
      </c>
    </row>
    <row r="282" ht="22.5" customHeight="1">
      <c r="A282" s="34">
        <v>46107.14937341435</v>
      </c>
      <c r="B282" s="5" t="s">
        <v>1689</v>
      </c>
      <c r="C282" s="5" t="s">
        <v>4002</v>
      </c>
      <c r="D282" s="17">
        <v>12.0</v>
      </c>
    </row>
    <row r="283" ht="22.5" customHeight="1">
      <c r="A283" s="34">
        <v>46107.15002768519</v>
      </c>
      <c r="B283" s="5" t="s">
        <v>1689</v>
      </c>
      <c r="C283" s="5" t="s">
        <v>3986</v>
      </c>
      <c r="D283" s="17">
        <v>1.0</v>
      </c>
    </row>
    <row r="284" ht="22.5" customHeight="1">
      <c r="A284" s="34">
        <v>46107.15002927084</v>
      </c>
      <c r="B284" s="5" t="s">
        <v>1689</v>
      </c>
      <c r="C284" s="5" t="s">
        <v>4002</v>
      </c>
      <c r="D284" s="17">
        <v>12.0</v>
      </c>
    </row>
    <row r="285" ht="22.5" customHeight="1">
      <c r="A285" s="34">
        <v>46107.59068105324</v>
      </c>
      <c r="B285" s="5" t="s">
        <v>1689</v>
      </c>
      <c r="C285" s="5" t="s">
        <v>3986</v>
      </c>
      <c r="D285" s="17">
        <v>36.0</v>
      </c>
    </row>
    <row r="286" ht="22.5" customHeight="1">
      <c r="A286" s="34">
        <v>46107.59068263889</v>
      </c>
      <c r="B286" s="5" t="s">
        <v>1689</v>
      </c>
      <c r="C286" s="5" t="s">
        <v>4002</v>
      </c>
      <c r="D286" s="17">
        <v>17.0</v>
      </c>
    </row>
    <row r="287" ht="22.5" customHeight="1">
      <c r="A287" s="34">
        <v>46107.59192939815</v>
      </c>
      <c r="B287" s="5" t="s">
        <v>1689</v>
      </c>
      <c r="C287" s="5" t="s">
        <v>3986</v>
      </c>
      <c r="D287" s="17">
        <v>5.0</v>
      </c>
    </row>
    <row r="288" ht="22.5" customHeight="1">
      <c r="A288" s="34">
        <v>46107.5919312037</v>
      </c>
      <c r="B288" s="5" t="s">
        <v>1689</v>
      </c>
      <c r="C288" s="5" t="s">
        <v>4002</v>
      </c>
      <c r="D288" s="17">
        <v>12.0</v>
      </c>
    </row>
    <row r="289" ht="22.5" customHeight="1">
      <c r="A289" s="34">
        <v>46107.600173495375</v>
      </c>
      <c r="B289" s="5" t="s">
        <v>1689</v>
      </c>
      <c r="C289" s="5" t="s">
        <v>3986</v>
      </c>
      <c r="D289" s="17">
        <v>17.0</v>
      </c>
    </row>
    <row r="290" ht="22.5" customHeight="1">
      <c r="A290" s="34">
        <v>46107.60017510416</v>
      </c>
      <c r="B290" s="5" t="s">
        <v>1689</v>
      </c>
      <c r="C290" s="5" t="s">
        <v>4002</v>
      </c>
      <c r="D290" s="17">
        <v>12.0</v>
      </c>
    </row>
    <row r="291" ht="22.5" customHeight="1">
      <c r="A291" s="34">
        <v>46107.71900331019</v>
      </c>
      <c r="B291" s="5" t="s">
        <v>3984</v>
      </c>
      <c r="C291" s="5" t="s">
        <v>3985</v>
      </c>
      <c r="D291" s="17">
        <v>1.0</v>
      </c>
    </row>
    <row r="292" ht="22.5" customHeight="1">
      <c r="A292" s="34">
        <v>46142.87026570602</v>
      </c>
      <c r="B292" s="5" t="s">
        <v>1689</v>
      </c>
      <c r="C292" s="5" t="s">
        <v>3986</v>
      </c>
      <c r="D292" s="17">
        <v>15.0</v>
      </c>
    </row>
    <row r="293" ht="22.5" customHeight="1">
      <c r="A293" s="34">
        <v>46142.870268136576</v>
      </c>
      <c r="B293" s="5" t="s">
        <v>1689</v>
      </c>
      <c r="C293" s="5" t="s">
        <v>4002</v>
      </c>
      <c r="D293" s="17">
        <v>16.0</v>
      </c>
    </row>
    <row r="294" ht="22.5" customHeight="1">
      <c r="A294" s="34">
        <v>46142.87099738426</v>
      </c>
      <c r="B294" s="5" t="s">
        <v>1689</v>
      </c>
      <c r="C294" s="5" t="s">
        <v>3986</v>
      </c>
      <c r="D294" s="17">
        <v>1.0</v>
      </c>
    </row>
    <row r="295" ht="22.5" customHeight="1">
      <c r="A295" s="34">
        <v>46142.870999293984</v>
      </c>
      <c r="B295" s="5" t="s">
        <v>1689</v>
      </c>
      <c r="C295" s="5" t="s">
        <v>4002</v>
      </c>
      <c r="D295" s="17">
        <v>15.0</v>
      </c>
    </row>
    <row r="296" ht="22.5" customHeight="1">
      <c r="A296" s="34">
        <v>46142.87129362268</v>
      </c>
      <c r="B296" s="5" t="s">
        <v>1689</v>
      </c>
      <c r="C296" s="5" t="s">
        <v>3986</v>
      </c>
      <c r="D296" s="17">
        <v>2.0</v>
      </c>
    </row>
    <row r="297" ht="22.5" customHeight="1">
      <c r="A297" s="34">
        <v>46142.87129534722</v>
      </c>
      <c r="B297" s="5" t="s">
        <v>1689</v>
      </c>
      <c r="C297" s="5" t="s">
        <v>4002</v>
      </c>
      <c r="D297" s="17">
        <v>13.0</v>
      </c>
    </row>
    <row r="298" ht="22.5" customHeight="1">
      <c r="A298" s="34">
        <v>46142.87411774306</v>
      </c>
      <c r="B298" s="5" t="s">
        <v>1689</v>
      </c>
      <c r="C298" s="5" t="s">
        <v>3986</v>
      </c>
      <c r="D298" s="17">
        <v>6.0</v>
      </c>
    </row>
    <row r="299" ht="22.5" customHeight="1">
      <c r="A299" s="34">
        <v>46142.87411962963</v>
      </c>
      <c r="B299" s="5" t="s">
        <v>1689</v>
      </c>
      <c r="C299" s="5" t="s">
        <v>4002</v>
      </c>
      <c r="D299" s="17">
        <v>14.0</v>
      </c>
    </row>
    <row r="300" ht="22.5" customHeight="1">
      <c r="A300" s="34">
        <v>46142.87476423611</v>
      </c>
      <c r="B300" s="5" t="s">
        <v>1689</v>
      </c>
      <c r="C300" s="5" t="s">
        <v>3986</v>
      </c>
      <c r="D300" s="17">
        <v>1.0</v>
      </c>
    </row>
    <row r="301" ht="22.5" customHeight="1">
      <c r="A301" s="34">
        <v>46142.87476641204</v>
      </c>
      <c r="B301" s="5" t="s">
        <v>1689</v>
      </c>
      <c r="C301" s="5" t="s">
        <v>4002</v>
      </c>
      <c r="D301" s="17">
        <v>13.0</v>
      </c>
    </row>
    <row r="302" ht="22.5" customHeight="1">
      <c r="A302" s="34">
        <v>46142.880047071754</v>
      </c>
      <c r="B302" s="5" t="s">
        <v>1689</v>
      </c>
      <c r="C302" s="5" t="s">
        <v>3986</v>
      </c>
      <c r="D302" s="17">
        <v>9.0</v>
      </c>
    </row>
    <row r="303" ht="22.5" customHeight="1">
      <c r="A303" s="34">
        <v>46142.88004858796</v>
      </c>
      <c r="B303" s="5" t="s">
        <v>1689</v>
      </c>
      <c r="C303" s="5" t="s">
        <v>4002</v>
      </c>
      <c r="D303" s="17">
        <v>13.0</v>
      </c>
    </row>
    <row r="304" ht="22.5" customHeight="1">
      <c r="A304" s="34">
        <v>46142.90351365741</v>
      </c>
      <c r="B304" s="5" t="s">
        <v>1689</v>
      </c>
      <c r="C304" s="5" t="s">
        <v>3986</v>
      </c>
      <c r="D304" s="17">
        <v>15.0</v>
      </c>
    </row>
    <row r="305" ht="22.5" customHeight="1">
      <c r="A305" s="34">
        <v>46142.90351503472</v>
      </c>
      <c r="B305" s="5" t="s">
        <v>1689</v>
      </c>
      <c r="C305" s="5" t="s">
        <v>4002</v>
      </c>
      <c r="D305" s="17">
        <v>17.0</v>
      </c>
    </row>
    <row r="306" ht="22.5" customHeight="1">
      <c r="A306" s="34">
        <v>46142.90672738426</v>
      </c>
      <c r="B306" s="5" t="s">
        <v>1689</v>
      </c>
      <c r="C306" s="5" t="s">
        <v>3986</v>
      </c>
      <c r="D306" s="17">
        <v>7.0</v>
      </c>
    </row>
    <row r="307" ht="22.5" customHeight="1">
      <c r="A307" s="34">
        <v>46142.90673870371</v>
      </c>
      <c r="B307" s="5" t="s">
        <v>1689</v>
      </c>
      <c r="C307" s="5" t="s">
        <v>4002</v>
      </c>
      <c r="D307" s="17">
        <v>16.0</v>
      </c>
    </row>
    <row r="308" ht="22.5" customHeight="1">
      <c r="A308" s="34">
        <v>46142.90918785879</v>
      </c>
      <c r="B308" s="5" t="s">
        <v>1689</v>
      </c>
      <c r="C308" s="5" t="s">
        <v>3986</v>
      </c>
      <c r="D308" s="17">
        <v>3.0</v>
      </c>
    </row>
    <row r="309" ht="22.5" customHeight="1">
      <c r="A309" s="34">
        <v>46142.909189618054</v>
      </c>
      <c r="B309" s="5" t="s">
        <v>1689</v>
      </c>
      <c r="C309" s="5" t="s">
        <v>4002</v>
      </c>
      <c r="D309" s="17">
        <v>16.0</v>
      </c>
    </row>
    <row r="310" ht="22.5" customHeight="1">
      <c r="A310" s="34">
        <v>46142.91244921296</v>
      </c>
      <c r="B310" s="5" t="s">
        <v>1689</v>
      </c>
      <c r="C310" s="5" t="s">
        <v>3986</v>
      </c>
      <c r="D310" s="17">
        <v>3.0</v>
      </c>
    </row>
    <row r="311" ht="22.5" customHeight="1">
      <c r="A311" s="34">
        <v>46142.91245053241</v>
      </c>
      <c r="B311" s="5" t="s">
        <v>1689</v>
      </c>
      <c r="C311" s="5" t="s">
        <v>4002</v>
      </c>
      <c r="D311" s="17">
        <v>14.0</v>
      </c>
    </row>
    <row r="312" ht="22.5" customHeight="1">
      <c r="A312" s="34">
        <v>46142.975420567134</v>
      </c>
      <c r="B312" s="5" t="s">
        <v>1689</v>
      </c>
      <c r="C312" s="5" t="s">
        <v>3986</v>
      </c>
      <c r="D312" s="17">
        <v>54.0</v>
      </c>
    </row>
    <row r="313" ht="22.5" customHeight="1">
      <c r="A313" s="34">
        <v>46142.97542287037</v>
      </c>
      <c r="B313" s="5" t="s">
        <v>1689</v>
      </c>
      <c r="C313" s="5" t="s">
        <v>4002</v>
      </c>
      <c r="D313" s="17">
        <v>25.0</v>
      </c>
    </row>
    <row r="314" ht="22.5" customHeight="1">
      <c r="A314" s="34">
        <v>46143.671789733795</v>
      </c>
      <c r="B314" s="5" t="s">
        <v>1689</v>
      </c>
      <c r="C314" s="5" t="s">
        <v>3986</v>
      </c>
      <c r="D314" s="17">
        <v>1.0</v>
      </c>
    </row>
    <row r="315" ht="22.5" customHeight="1">
      <c r="A315" s="34">
        <v>46143.67179116898</v>
      </c>
      <c r="B315" s="5" t="s">
        <v>1689</v>
      </c>
      <c r="C315" s="5" t="s">
        <v>4002</v>
      </c>
      <c r="D315" s="17">
        <v>24.0</v>
      </c>
    </row>
    <row r="316" ht="22.5" customHeight="1">
      <c r="A316" s="34">
        <v>46149.50112509259</v>
      </c>
      <c r="B316" s="5" t="s">
        <v>1689</v>
      </c>
      <c r="C316" s="5" t="s">
        <v>3986</v>
      </c>
      <c r="D316" s="17">
        <v>12.0</v>
      </c>
    </row>
    <row r="317" ht="22.5" customHeight="1">
      <c r="A317" s="34">
        <v>46149.501126145835</v>
      </c>
      <c r="B317" s="5" t="s">
        <v>1689</v>
      </c>
      <c r="C317" s="5" t="s">
        <v>4002</v>
      </c>
      <c r="D317" s="17">
        <v>28.0</v>
      </c>
    </row>
    <row r="318" ht="22.5" customHeight="1">
      <c r="A318" s="34">
        <v>46149.50922741898</v>
      </c>
      <c r="B318" s="5" t="s">
        <v>1689</v>
      </c>
      <c r="C318" s="5" t="s">
        <v>3986</v>
      </c>
      <c r="D318" s="17">
        <v>4.0</v>
      </c>
    </row>
    <row r="319" ht="22.5" customHeight="1">
      <c r="A319" s="34">
        <v>46149.50922853009</v>
      </c>
      <c r="B319" s="5" t="s">
        <v>1689</v>
      </c>
      <c r="C319" s="5" t="s">
        <v>4002</v>
      </c>
      <c r="D319" s="17">
        <v>24.0</v>
      </c>
    </row>
    <row r="320" ht="22.5" customHeight="1">
      <c r="A320" s="34">
        <v>46150.79308509259</v>
      </c>
      <c r="B320" s="5" t="s">
        <v>1689</v>
      </c>
      <c r="C320" s="5" t="s">
        <v>3986</v>
      </c>
      <c r="D320" s="17">
        <v>19.0</v>
      </c>
    </row>
    <row r="321" ht="22.5" customHeight="1">
      <c r="A321" s="34">
        <v>46150.79308696759</v>
      </c>
      <c r="B321" s="5" t="s">
        <v>1689</v>
      </c>
      <c r="C321" s="5" t="s">
        <v>4002</v>
      </c>
      <c r="D321" s="17">
        <v>28.0</v>
      </c>
    </row>
    <row r="322" ht="22.5" customHeight="1">
      <c r="A322" s="34">
        <v>46150.81182611111</v>
      </c>
      <c r="B322" s="5" t="s">
        <v>1689</v>
      </c>
      <c r="C322" s="5" t="s">
        <v>3986</v>
      </c>
      <c r="D322" s="17">
        <v>12.0</v>
      </c>
    </row>
    <row r="323" ht="22.5" customHeight="1">
      <c r="A323" s="34">
        <v>46150.8118287963</v>
      </c>
      <c r="B323" s="5" t="s">
        <v>1689</v>
      </c>
      <c r="C323" s="5" t="s">
        <v>4002</v>
      </c>
      <c r="D323" s="17">
        <v>24.0</v>
      </c>
    </row>
    <row r="324" ht="22.5" customHeight="1">
      <c r="A324" s="34">
        <v>46166.53479525463</v>
      </c>
      <c r="B324" s="5" t="s">
        <v>3984</v>
      </c>
      <c r="C324" s="5" t="s">
        <v>3985</v>
      </c>
      <c r="D324" s="17">
        <v>1.0</v>
      </c>
    </row>
    <row r="325" ht="22.5" customHeight="1">
      <c r="A325" s="34">
        <v>46172.86410209491</v>
      </c>
      <c r="B325" s="5" t="s">
        <v>1689</v>
      </c>
      <c r="C325" s="5" t="s">
        <v>3986</v>
      </c>
      <c r="D325" s="17">
        <v>16.0</v>
      </c>
    </row>
    <row r="326" ht="22.5" customHeight="1">
      <c r="A326" s="34">
        <v>46172.86411743055</v>
      </c>
      <c r="B326" s="5" t="s">
        <v>1689</v>
      </c>
      <c r="C326" s="5" t="s">
        <v>4002</v>
      </c>
      <c r="D326" s="17">
        <v>18.0</v>
      </c>
    </row>
    <row r="327" ht="22.5" customHeight="1">
      <c r="A327" s="34">
        <v>46172.90227561342</v>
      </c>
      <c r="B327" s="5" t="s">
        <v>1689</v>
      </c>
      <c r="C327" s="5" t="s">
        <v>3986</v>
      </c>
      <c r="D327" s="17">
        <v>86.0</v>
      </c>
    </row>
    <row r="328" ht="22.5" customHeight="1">
      <c r="A328" s="34">
        <v>46172.902277615736</v>
      </c>
      <c r="B328" s="5" t="s">
        <v>1689</v>
      </c>
      <c r="C328" s="5" t="s">
        <v>4002</v>
      </c>
      <c r="D328" s="17">
        <v>23.0</v>
      </c>
    </row>
    <row r="329" ht="22.5" customHeight="1">
      <c r="A329" s="34">
        <v>46172.91282282407</v>
      </c>
      <c r="B329" s="5" t="s">
        <v>1689</v>
      </c>
      <c r="C329" s="5" t="s">
        <v>3986</v>
      </c>
      <c r="D329" s="17">
        <v>11.0</v>
      </c>
    </row>
    <row r="330" ht="22.5" customHeight="1">
      <c r="A330" s="34">
        <v>46172.91282409722</v>
      </c>
      <c r="B330" s="5" t="s">
        <v>1689</v>
      </c>
      <c r="C330" s="5" t="s">
        <v>4002</v>
      </c>
      <c r="D330" s="17">
        <v>12.0</v>
      </c>
    </row>
  </sheetData>
  <drawing ns1:id="rId1"/>
  <tableParts count="1">
    <tablePart ns1:id="rId3"/>
  </tableParts>
</worksheet>
</file>

<file path=xl/worksheets/sheet10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19.75"/>
    <col customWidth="1" min="3" max="3" width="19.25"/>
    <col customWidth="1" min="4" max="4" width="20.38"/>
  </cols>
  <sheetData>
    <row r="1" ht="22.5" customHeight="1">
      <c r="A1" s="6" t="s">
        <v>4255</v>
      </c>
      <c r="B1" s="6" t="s">
        <v>4256</v>
      </c>
      <c r="C1" s="6" t="s">
        <v>4257</v>
      </c>
      <c r="D1" s="6" t="s">
        <v>4259</v>
      </c>
      <c r="E1" s="6" t="s">
        <v>4260</v>
      </c>
      <c r="F1" s="6" t="s">
        <v>4261</v>
      </c>
    </row>
    <row r="2" ht="22.5" customHeight="1">
      <c r="A2" s="10" t="s">
        <v>987</v>
      </c>
      <c r="B2" s="10" t="s">
        <v>119</v>
      </c>
      <c r="C2" s="6">
        <v>19.0</v>
      </c>
      <c r="D2" s="13">
        <v>1.0</v>
      </c>
      <c r="E2" s="15"/>
      <c r="F2" s="17"/>
    </row>
    <row r="3" ht="22.5" customHeight="1">
      <c r="A3" s="10" t="s">
        <v>715</v>
      </c>
      <c r="B3" s="10" t="s">
        <v>119</v>
      </c>
      <c r="C3" s="6">
        <v>155.0</v>
      </c>
      <c r="D3" s="13">
        <v>1.0</v>
      </c>
      <c r="E3" s="17"/>
      <c r="F3" s="17"/>
    </row>
    <row r="4" ht="22.5" customHeight="1">
      <c r="A4" s="10" t="s">
        <v>711</v>
      </c>
      <c r="B4" s="10" t="s">
        <v>119</v>
      </c>
      <c r="C4" s="6">
        <v>155.0</v>
      </c>
      <c r="D4" s="6">
        <v>1.0</v>
      </c>
      <c r="E4" s="17"/>
      <c r="F4" s="17"/>
    </row>
    <row r="5" ht="22.5" customHeight="1">
      <c r="A5" s="19" t="s">
        <v>558</v>
      </c>
      <c r="B5" s="19" t="s">
        <v>119</v>
      </c>
      <c r="C5" s="5">
        <v>125.0</v>
      </c>
      <c r="D5" s="5">
        <v>8.0</v>
      </c>
      <c r="E5" s="244"/>
      <c r="F5" s="244"/>
    </row>
    <row r="6" ht="22.5" customHeight="1">
      <c r="A6" s="19" t="s">
        <v>689</v>
      </c>
      <c r="B6" s="19" t="s">
        <v>119</v>
      </c>
      <c r="C6" s="5">
        <v>130.0</v>
      </c>
      <c r="D6" s="5">
        <v>1.0</v>
      </c>
      <c r="E6" s="244"/>
      <c r="F6" s="244"/>
    </row>
    <row r="7" ht="22.5" customHeight="1">
      <c r="A7" s="19" t="s">
        <v>144</v>
      </c>
      <c r="B7" s="19" t="s">
        <v>620</v>
      </c>
      <c r="C7" s="5">
        <v>140.0</v>
      </c>
      <c r="D7" s="5">
        <v>5.0</v>
      </c>
      <c r="E7" s="244"/>
      <c r="F7" s="244"/>
    </row>
    <row r="8" ht="22.5" customHeight="1">
      <c r="A8" s="19" t="s">
        <v>1025</v>
      </c>
      <c r="B8" s="19" t="s">
        <v>125</v>
      </c>
      <c r="C8" s="5">
        <v>115.0</v>
      </c>
      <c r="D8" s="5">
        <v>2.0</v>
      </c>
      <c r="E8" s="244"/>
      <c r="F8" s="244"/>
    </row>
    <row r="9" ht="22.5" customHeight="1">
      <c r="A9" s="19" t="s">
        <v>74</v>
      </c>
      <c r="B9" s="19" t="s">
        <v>31</v>
      </c>
      <c r="C9" s="5">
        <v>120.0</v>
      </c>
      <c r="D9" s="5">
        <v>4.0</v>
      </c>
      <c r="E9" s="244"/>
      <c r="F9" s="244"/>
    </row>
    <row r="10" ht="22.5" customHeight="1">
      <c r="A10" s="19" t="s">
        <v>473</v>
      </c>
      <c r="B10" s="19" t="s">
        <v>31</v>
      </c>
      <c r="C10" s="5">
        <v>95.0</v>
      </c>
      <c r="D10" s="5">
        <v>2.0</v>
      </c>
      <c r="E10" s="244"/>
      <c r="F10" s="244"/>
    </row>
    <row r="11" ht="22.5" customHeight="1">
      <c r="A11" s="19" t="s">
        <v>227</v>
      </c>
      <c r="B11" s="19" t="s">
        <v>31</v>
      </c>
      <c r="C11" s="5">
        <v>75.0</v>
      </c>
      <c r="D11" s="5">
        <v>29.0</v>
      </c>
      <c r="E11" s="244"/>
      <c r="F11" s="244"/>
    </row>
    <row r="12" ht="22.5" customHeight="1">
      <c r="A12" s="19" t="s">
        <v>381</v>
      </c>
      <c r="B12" s="19" t="s">
        <v>31</v>
      </c>
      <c r="C12" s="5">
        <v>50.0</v>
      </c>
      <c r="D12" s="5">
        <v>5.0</v>
      </c>
      <c r="E12" s="244"/>
      <c r="F12" s="244"/>
    </row>
    <row r="13" ht="22.5" customHeight="1">
      <c r="A13" s="19" t="s">
        <v>1206</v>
      </c>
      <c r="B13" s="19" t="s">
        <v>119</v>
      </c>
      <c r="C13" s="5">
        <v>82.0</v>
      </c>
      <c r="D13" s="5">
        <v>1.0</v>
      </c>
      <c r="E13" s="244"/>
      <c r="F13" s="244"/>
    </row>
    <row r="14" ht="22.5" customHeight="1">
      <c r="A14" s="19" t="s">
        <v>1284</v>
      </c>
      <c r="B14" s="19" t="s">
        <v>119</v>
      </c>
      <c r="C14" s="5">
        <v>63.0</v>
      </c>
      <c r="D14" s="5">
        <v>1.0</v>
      </c>
      <c r="E14" s="244"/>
      <c r="F14" s="244"/>
    </row>
    <row r="15" ht="22.5" customHeight="1">
      <c r="A15" s="10" t="s">
        <v>1271</v>
      </c>
      <c r="B15" s="19" t="s">
        <v>119</v>
      </c>
      <c r="C15" s="5">
        <v>69.0</v>
      </c>
      <c r="D15" s="5">
        <v>1.0</v>
      </c>
      <c r="E15" s="244"/>
      <c r="F15" s="244"/>
    </row>
    <row r="16" ht="22.5" customHeight="1">
      <c r="A16" s="10" t="s">
        <v>1183</v>
      </c>
      <c r="B16" s="19" t="s">
        <v>119</v>
      </c>
      <c r="C16" s="5">
        <v>22.0</v>
      </c>
      <c r="D16" s="5">
        <v>2.0</v>
      </c>
      <c r="E16" s="244"/>
      <c r="F16" s="244"/>
    </row>
    <row r="17" ht="22.5" customHeight="1">
      <c r="A17" s="10" t="s">
        <v>1378</v>
      </c>
      <c r="B17" s="19" t="s">
        <v>125</v>
      </c>
      <c r="C17" s="5">
        <v>1.4</v>
      </c>
      <c r="D17" s="5">
        <v>150.0</v>
      </c>
      <c r="E17" s="244"/>
      <c r="F17" s="244"/>
    </row>
    <row r="18" ht="22.5" customHeight="1">
      <c r="A18" s="10" t="s">
        <v>1383</v>
      </c>
      <c r="B18" s="19" t="s">
        <v>125</v>
      </c>
      <c r="C18" s="5">
        <v>5.0</v>
      </c>
      <c r="D18" s="5">
        <v>12.0</v>
      </c>
      <c r="E18" s="244"/>
      <c r="F18" s="244"/>
    </row>
    <row r="19" ht="22.5" customHeight="1">
      <c r="A19" s="10" t="s">
        <v>1381</v>
      </c>
      <c r="B19" s="19" t="s">
        <v>125</v>
      </c>
      <c r="C19" s="5">
        <v>6.67</v>
      </c>
      <c r="D19" s="5">
        <v>12.0</v>
      </c>
      <c r="E19" s="244"/>
      <c r="F19" s="244"/>
    </row>
    <row r="20" ht="22.5" customHeight="1">
      <c r="A20" s="10" t="s">
        <v>802</v>
      </c>
      <c r="B20" s="5"/>
      <c r="C20" s="5">
        <v>53.33</v>
      </c>
      <c r="D20" s="5">
        <v>17.200000000000003</v>
      </c>
      <c r="E20" s="244"/>
      <c r="F20" s="244"/>
    </row>
    <row r="21" ht="22.5" customHeight="1">
      <c r="A21" s="10" t="s">
        <v>1096</v>
      </c>
      <c r="B21" s="15"/>
      <c r="C21" s="13">
        <v>34.17</v>
      </c>
      <c r="D21" s="13">
        <v>12.0</v>
      </c>
      <c r="E21" s="244"/>
      <c r="F21" s="244"/>
    </row>
    <row r="22" ht="22.5" customHeight="1">
      <c r="A22" s="10" t="s">
        <v>549</v>
      </c>
      <c r="B22" s="10" t="s">
        <v>119</v>
      </c>
      <c r="C22" s="13">
        <v>17.5</v>
      </c>
      <c r="D22" s="13">
        <v>20.0</v>
      </c>
      <c r="E22" s="244"/>
      <c r="F22" s="244"/>
    </row>
    <row r="23" ht="22.5" customHeight="1">
      <c r="A23" s="10" t="s">
        <v>800</v>
      </c>
      <c r="B23" s="10" t="s">
        <v>119</v>
      </c>
      <c r="C23" s="13">
        <v>11.25</v>
      </c>
      <c r="D23" s="13">
        <v>46.0</v>
      </c>
      <c r="E23" s="244"/>
      <c r="F23" s="244"/>
    </row>
    <row r="24" ht="22.5" customHeight="1">
      <c r="A24" s="10" t="s">
        <v>611</v>
      </c>
      <c r="B24" s="10" t="s">
        <v>119</v>
      </c>
      <c r="C24" s="13">
        <v>29.0</v>
      </c>
      <c r="D24" s="13">
        <v>3.0</v>
      </c>
      <c r="E24" s="244"/>
      <c r="F24" s="244"/>
    </row>
    <row r="25" ht="22.5" customHeight="1">
      <c r="A25" s="10" t="s">
        <v>988</v>
      </c>
      <c r="B25" s="10" t="s">
        <v>51</v>
      </c>
      <c r="C25" s="13">
        <v>75.0</v>
      </c>
      <c r="D25" s="13">
        <v>4.0</v>
      </c>
      <c r="E25" s="244"/>
      <c r="F25" s="244"/>
    </row>
    <row r="26" ht="22.5" customHeight="1">
      <c r="A26" s="10" t="s">
        <v>1043</v>
      </c>
      <c r="B26" s="10" t="s">
        <v>51</v>
      </c>
      <c r="C26" s="13">
        <v>85.0</v>
      </c>
      <c r="D26" s="13">
        <v>4.0</v>
      </c>
      <c r="E26" s="244"/>
      <c r="F26" s="244"/>
    </row>
    <row r="27" ht="22.5" customHeight="1">
      <c r="A27" s="10" t="s">
        <v>996</v>
      </c>
      <c r="B27" s="10" t="s">
        <v>51</v>
      </c>
      <c r="C27" s="13">
        <v>75.0</v>
      </c>
      <c r="D27" s="13">
        <v>9.0</v>
      </c>
      <c r="E27" s="244"/>
      <c r="F27" s="244"/>
    </row>
    <row r="28" ht="22.5" customHeight="1">
      <c r="A28" s="10" t="s">
        <v>991</v>
      </c>
      <c r="B28" s="10" t="s">
        <v>51</v>
      </c>
      <c r="C28" s="13">
        <v>50.0</v>
      </c>
      <c r="D28" s="13">
        <v>12.0</v>
      </c>
      <c r="E28" s="244"/>
      <c r="F28" s="244"/>
    </row>
    <row r="29" ht="22.5" customHeight="1">
      <c r="A29" s="10" t="s">
        <v>583</v>
      </c>
      <c r="B29" s="10" t="s">
        <v>51</v>
      </c>
      <c r="C29" s="13">
        <v>175.0</v>
      </c>
      <c r="D29" s="13">
        <v>3.0</v>
      </c>
      <c r="E29" s="244"/>
      <c r="F29" s="244"/>
    </row>
    <row r="30" ht="22.5" customHeight="1">
      <c r="A30" s="10" t="s">
        <v>830</v>
      </c>
      <c r="B30" s="10" t="s">
        <v>51</v>
      </c>
      <c r="C30" s="13">
        <v>10.0</v>
      </c>
      <c r="D30" s="13">
        <v>3.0</v>
      </c>
      <c r="E30" s="244"/>
      <c r="F30" s="244"/>
    </row>
    <row r="31" ht="22.5" customHeight="1">
      <c r="A31" s="10" t="s">
        <v>347</v>
      </c>
      <c r="B31" s="10" t="s">
        <v>51</v>
      </c>
      <c r="C31" s="13">
        <v>20.0</v>
      </c>
      <c r="D31" s="13">
        <v>9.0</v>
      </c>
      <c r="E31" s="244"/>
      <c r="F31" s="244"/>
    </row>
    <row r="32" ht="22.5" customHeight="1">
      <c r="A32" s="10" t="s">
        <v>906</v>
      </c>
      <c r="B32" s="10" t="s">
        <v>1052</v>
      </c>
      <c r="C32" s="13">
        <v>5.0</v>
      </c>
      <c r="D32" s="13">
        <v>18.0</v>
      </c>
      <c r="E32" s="244"/>
      <c r="F32" s="244"/>
    </row>
    <row r="33" ht="22.5" customHeight="1">
      <c r="A33" s="10" t="s">
        <v>1208</v>
      </c>
      <c r="B33" s="10" t="s">
        <v>154</v>
      </c>
      <c r="C33" s="13">
        <v>3.5</v>
      </c>
      <c r="D33" s="13">
        <v>195.0</v>
      </c>
      <c r="E33" s="244"/>
      <c r="F33" s="244"/>
    </row>
    <row r="34" ht="22.5" customHeight="1">
      <c r="A34" s="10" t="s">
        <v>1179</v>
      </c>
      <c r="B34" s="10" t="s">
        <v>119</v>
      </c>
      <c r="C34" s="13">
        <v>46.0</v>
      </c>
      <c r="D34" s="13">
        <v>2.0</v>
      </c>
      <c r="E34" s="244"/>
      <c r="F34" s="244"/>
    </row>
    <row r="35" ht="22.5" customHeight="1">
      <c r="A35" s="10" t="s">
        <v>220</v>
      </c>
      <c r="B35" s="10" t="s">
        <v>51</v>
      </c>
      <c r="C35" s="13">
        <v>85.0</v>
      </c>
      <c r="D35" s="13">
        <v>5.833333333333334</v>
      </c>
      <c r="E35" s="244"/>
      <c r="F35" s="244"/>
    </row>
    <row r="36" ht="22.5" customHeight="1">
      <c r="A36" s="10" t="s">
        <v>236</v>
      </c>
      <c r="B36" s="10" t="s">
        <v>154</v>
      </c>
      <c r="C36" s="13">
        <v>175.0</v>
      </c>
      <c r="D36" s="13">
        <v>6.0</v>
      </c>
      <c r="E36" s="244"/>
      <c r="F36" s="244"/>
    </row>
    <row r="37" ht="22.5" customHeight="1">
      <c r="A37" s="10" t="s">
        <v>769</v>
      </c>
      <c r="B37" s="10" t="s">
        <v>51</v>
      </c>
      <c r="C37" s="13">
        <v>150.0</v>
      </c>
      <c r="D37" s="13">
        <v>1.0</v>
      </c>
      <c r="E37" s="244"/>
      <c r="F37" s="244"/>
    </row>
    <row r="38" ht="22.5" customHeight="1">
      <c r="A38" s="10" t="s">
        <v>806</v>
      </c>
      <c r="B38" s="10" t="s">
        <v>51</v>
      </c>
      <c r="C38" s="13">
        <v>140.0</v>
      </c>
      <c r="D38" s="13">
        <v>9.857142857142714</v>
      </c>
      <c r="E38" s="244"/>
      <c r="F38" s="244"/>
    </row>
    <row r="39" ht="22.5" customHeight="1">
      <c r="A39" s="10" t="s">
        <v>980</v>
      </c>
      <c r="B39" s="10" t="s">
        <v>125</v>
      </c>
      <c r="C39" s="13">
        <v>125.0</v>
      </c>
      <c r="D39" s="13">
        <v>2.0</v>
      </c>
      <c r="E39" s="244"/>
      <c r="F39" s="244"/>
    </row>
    <row r="40" ht="22.5" customHeight="1">
      <c r="A40" s="10" t="s">
        <v>893</v>
      </c>
      <c r="B40" s="10" t="s">
        <v>119</v>
      </c>
      <c r="C40" s="13">
        <v>135.0</v>
      </c>
      <c r="D40" s="13">
        <v>1.0</v>
      </c>
      <c r="E40" s="244"/>
      <c r="F40" s="244"/>
    </row>
    <row r="41" ht="22.5" customHeight="1">
      <c r="A41" s="10" t="s">
        <v>754</v>
      </c>
      <c r="B41" s="10" t="s">
        <v>119</v>
      </c>
      <c r="C41" s="13">
        <v>150.0</v>
      </c>
      <c r="D41" s="13">
        <v>1.0</v>
      </c>
      <c r="E41" s="244"/>
      <c r="F41" s="244"/>
    </row>
    <row r="42" ht="22.5" customHeight="1">
      <c r="A42" s="10" t="s">
        <v>528</v>
      </c>
      <c r="B42" s="10" t="s">
        <v>119</v>
      </c>
      <c r="C42" s="13">
        <v>180.0</v>
      </c>
      <c r="D42" s="13">
        <v>1.0</v>
      </c>
      <c r="E42" s="244"/>
      <c r="F42" s="244"/>
    </row>
    <row r="43" ht="22.5" customHeight="1">
      <c r="A43" s="10" t="s">
        <v>1288</v>
      </c>
      <c r="B43" s="10" t="s">
        <v>51</v>
      </c>
      <c r="C43" s="13">
        <v>65.0</v>
      </c>
      <c r="D43" s="13">
        <v>2.0</v>
      </c>
      <c r="E43" s="244"/>
      <c r="F43" s="244"/>
    </row>
    <row r="44" ht="22.5" customHeight="1">
      <c r="A44" s="10" t="s">
        <v>1290</v>
      </c>
      <c r="B44" s="10" t="s">
        <v>51</v>
      </c>
      <c r="C44" s="13">
        <v>65.0</v>
      </c>
      <c r="D44" s="13">
        <v>1.5</v>
      </c>
      <c r="E44" s="244"/>
      <c r="F44" s="244"/>
    </row>
    <row r="45" ht="22.5" customHeight="1">
      <c r="A45" s="10" t="s">
        <v>1285</v>
      </c>
      <c r="B45" s="10" t="s">
        <v>51</v>
      </c>
      <c r="C45" s="13">
        <v>65.0</v>
      </c>
      <c r="D45" s="13">
        <v>4.0</v>
      </c>
      <c r="E45" s="244"/>
      <c r="F45" s="244"/>
    </row>
    <row r="46" ht="22.5" customHeight="1">
      <c r="A46" s="10" t="s">
        <v>978</v>
      </c>
      <c r="B46" s="10" t="s">
        <v>125</v>
      </c>
      <c r="C46" s="13">
        <v>125.0</v>
      </c>
      <c r="D46" s="13">
        <v>2.0</v>
      </c>
      <c r="E46" s="244"/>
      <c r="F46" s="244"/>
    </row>
    <row r="47" ht="22.5" customHeight="1">
      <c r="A47" s="10" t="s">
        <v>562</v>
      </c>
      <c r="B47" s="10" t="s">
        <v>31</v>
      </c>
      <c r="C47" s="13">
        <v>175.0</v>
      </c>
      <c r="D47" s="13">
        <v>1.0</v>
      </c>
      <c r="E47" s="244"/>
      <c r="F47" s="244"/>
    </row>
    <row r="48" ht="22.5" customHeight="1">
      <c r="A48" s="10" t="s">
        <v>194</v>
      </c>
      <c r="B48" s="10" t="s">
        <v>31</v>
      </c>
      <c r="C48" s="13">
        <v>164.17</v>
      </c>
      <c r="D48" s="13">
        <v>1.0</v>
      </c>
      <c r="E48" s="244"/>
      <c r="F48" s="244"/>
    </row>
    <row r="49" ht="22.5" customHeight="1">
      <c r="A49" s="10" t="s">
        <v>194</v>
      </c>
      <c r="B49" s="10" t="s">
        <v>154</v>
      </c>
      <c r="C49" s="13">
        <v>100.0</v>
      </c>
      <c r="D49" s="13">
        <v>21.0</v>
      </c>
      <c r="E49" s="244"/>
      <c r="F49" s="244"/>
    </row>
    <row r="50" ht="22.5" customHeight="1">
      <c r="A50" s="10" t="s">
        <v>179</v>
      </c>
      <c r="B50" s="10" t="s">
        <v>31</v>
      </c>
      <c r="C50" s="13">
        <v>105.0</v>
      </c>
      <c r="D50" s="13">
        <v>2.0</v>
      </c>
      <c r="E50" s="244"/>
      <c r="F50" s="244"/>
    </row>
    <row r="51" ht="22.5" customHeight="1">
      <c r="A51" s="10" t="s">
        <v>151</v>
      </c>
      <c r="B51" s="10" t="s">
        <v>436</v>
      </c>
      <c r="C51" s="13">
        <v>65.0</v>
      </c>
      <c r="D51" s="13">
        <v>14.0</v>
      </c>
      <c r="E51" s="244"/>
      <c r="F51" s="244"/>
    </row>
    <row r="52" ht="22.5" customHeight="1">
      <c r="A52" s="10" t="s">
        <v>120</v>
      </c>
      <c r="B52" s="10" t="s">
        <v>436</v>
      </c>
      <c r="C52" s="13">
        <v>175.0</v>
      </c>
      <c r="D52" s="13">
        <v>10.0</v>
      </c>
      <c r="E52" s="244"/>
      <c r="F52" s="244"/>
    </row>
    <row r="53" ht="22.5" customHeight="1">
      <c r="A53" s="10" t="s">
        <v>255</v>
      </c>
      <c r="B53" s="15"/>
      <c r="C53" s="13">
        <v>20.0</v>
      </c>
      <c r="D53" s="13">
        <v>24.0</v>
      </c>
      <c r="E53" s="244"/>
      <c r="F53" s="244"/>
    </row>
    <row r="54" ht="22.5" customHeight="1">
      <c r="A54" s="10" t="s">
        <v>255</v>
      </c>
      <c r="B54" s="6" t="s">
        <v>54</v>
      </c>
      <c r="C54" s="13">
        <v>22.75</v>
      </c>
      <c r="D54" s="13">
        <v>3.0</v>
      </c>
      <c r="E54" s="244"/>
      <c r="F54" s="244"/>
    </row>
    <row r="55" ht="22.5" customHeight="1">
      <c r="A55" s="10" t="s">
        <v>309</v>
      </c>
      <c r="B55" s="10" t="s">
        <v>154</v>
      </c>
      <c r="C55" s="13">
        <v>20.0</v>
      </c>
      <c r="D55" s="13">
        <v>1.0</v>
      </c>
      <c r="E55" s="244"/>
      <c r="F55" s="244"/>
    </row>
    <row r="56" ht="22.5" customHeight="1">
      <c r="A56" s="10" t="s">
        <v>852</v>
      </c>
      <c r="B56" s="15"/>
      <c r="C56" s="13">
        <v>10.0</v>
      </c>
      <c r="D56" s="13">
        <v>6.0</v>
      </c>
      <c r="E56" s="244"/>
      <c r="F56" s="244"/>
    </row>
    <row r="57" ht="22.5" customHeight="1">
      <c r="A57" s="10" t="s">
        <v>852</v>
      </c>
      <c r="B57" s="10" t="s">
        <v>154</v>
      </c>
      <c r="C57" s="13">
        <v>11.82</v>
      </c>
      <c r="D57" s="13">
        <v>40.0</v>
      </c>
      <c r="E57" s="244"/>
      <c r="F57" s="244"/>
    </row>
    <row r="58" ht="22.5" customHeight="1">
      <c r="A58" s="10" t="s">
        <v>221</v>
      </c>
      <c r="B58" s="10" t="s">
        <v>31</v>
      </c>
      <c r="C58" s="13">
        <v>235.0</v>
      </c>
      <c r="D58" s="13">
        <v>1.0</v>
      </c>
      <c r="E58" s="244"/>
      <c r="F58" s="244"/>
    </row>
    <row r="59" ht="22.5" customHeight="1">
      <c r="A59" s="10" t="s">
        <v>174</v>
      </c>
      <c r="B59" s="10" t="s">
        <v>31</v>
      </c>
      <c r="C59" s="13">
        <v>85.0</v>
      </c>
      <c r="D59" s="13">
        <v>3.0</v>
      </c>
      <c r="E59" s="244"/>
      <c r="F59" s="244"/>
    </row>
    <row r="60" ht="22.5" customHeight="1">
      <c r="A60" s="10" t="s">
        <v>133</v>
      </c>
      <c r="B60" s="10" t="s">
        <v>31</v>
      </c>
      <c r="C60" s="13">
        <v>135.0</v>
      </c>
      <c r="D60" s="13">
        <v>21.0</v>
      </c>
      <c r="E60" s="244"/>
      <c r="F60" s="244"/>
    </row>
    <row r="61" ht="22.5" customHeight="1">
      <c r="A61" s="10" t="s">
        <v>677</v>
      </c>
      <c r="B61" s="10" t="s">
        <v>31</v>
      </c>
      <c r="C61" s="13">
        <v>160.0</v>
      </c>
      <c r="D61" s="13">
        <v>2.0</v>
      </c>
      <c r="E61" s="244"/>
      <c r="F61" s="244"/>
    </row>
    <row r="62" ht="22.5" customHeight="1">
      <c r="A62" s="10" t="s">
        <v>143</v>
      </c>
      <c r="B62" s="10" t="s">
        <v>31</v>
      </c>
      <c r="C62" s="13">
        <v>425.0</v>
      </c>
      <c r="D62" s="13">
        <v>2.0</v>
      </c>
      <c r="E62" s="244"/>
      <c r="F62" s="244"/>
    </row>
    <row r="63" ht="22.5" customHeight="1">
      <c r="A63" s="10" t="s">
        <v>165</v>
      </c>
      <c r="B63" s="10" t="s">
        <v>31</v>
      </c>
      <c r="C63" s="13">
        <v>89.07</v>
      </c>
      <c r="D63" s="13">
        <v>17.0</v>
      </c>
      <c r="E63" s="244"/>
      <c r="F63" s="244"/>
    </row>
    <row r="64" ht="22.5" customHeight="1">
      <c r="A64" s="10" t="s">
        <v>91</v>
      </c>
      <c r="B64" s="10" t="s">
        <v>436</v>
      </c>
      <c r="C64" s="13">
        <v>35.0</v>
      </c>
      <c r="D64" s="13">
        <v>126.0</v>
      </c>
      <c r="E64" s="244"/>
      <c r="F64" s="244"/>
    </row>
    <row r="65" ht="22.5" customHeight="1">
      <c r="A65" s="10" t="s">
        <v>619</v>
      </c>
      <c r="B65" s="6" t="s">
        <v>54</v>
      </c>
      <c r="C65" s="13">
        <v>168.33333333333331</v>
      </c>
      <c r="D65" s="13">
        <v>1.0</v>
      </c>
      <c r="E65" s="244"/>
      <c r="F65" s="244"/>
    </row>
    <row r="66" ht="22.5" customHeight="1">
      <c r="A66" s="10" t="s">
        <v>756</v>
      </c>
      <c r="B66" s="10" t="s">
        <v>154</v>
      </c>
      <c r="C66" s="13">
        <v>30.0</v>
      </c>
      <c r="D66" s="13">
        <v>0.14285714285714313</v>
      </c>
      <c r="E66" s="244"/>
      <c r="F66" s="244"/>
    </row>
    <row r="67" ht="22.5" customHeight="1">
      <c r="A67" s="10" t="s">
        <v>756</v>
      </c>
      <c r="B67" s="10" t="s">
        <v>154</v>
      </c>
      <c r="C67" s="13">
        <v>30.0</v>
      </c>
      <c r="D67" s="13">
        <v>24.0</v>
      </c>
      <c r="E67" s="244"/>
      <c r="F67" s="244"/>
    </row>
    <row r="68" ht="22.5" customHeight="1">
      <c r="A68" s="10" t="s">
        <v>364</v>
      </c>
      <c r="B68" s="10" t="s">
        <v>31</v>
      </c>
      <c r="C68" s="13">
        <v>115.0</v>
      </c>
      <c r="D68" s="13">
        <v>1.0</v>
      </c>
      <c r="E68" s="244"/>
      <c r="F68" s="244"/>
    </row>
    <row r="69" ht="22.5" customHeight="1">
      <c r="A69" s="10" t="s">
        <v>379</v>
      </c>
      <c r="B69" s="10" t="s">
        <v>31</v>
      </c>
      <c r="C69" s="13">
        <v>155.0</v>
      </c>
      <c r="D69" s="13">
        <v>1.0</v>
      </c>
      <c r="E69" s="244"/>
      <c r="F69" s="244"/>
    </row>
    <row r="70" ht="22.5" customHeight="1">
      <c r="A70" s="10" t="s">
        <v>184</v>
      </c>
      <c r="B70" s="10" t="s">
        <v>31</v>
      </c>
      <c r="C70" s="13">
        <v>175.0</v>
      </c>
      <c r="D70" s="13">
        <v>2.0</v>
      </c>
      <c r="E70" s="244"/>
      <c r="F70" s="244"/>
    </row>
    <row r="71" ht="22.5" customHeight="1">
      <c r="A71" s="10" t="s">
        <v>134</v>
      </c>
      <c r="B71" s="10" t="s">
        <v>31</v>
      </c>
      <c r="C71" s="13">
        <v>155.0</v>
      </c>
      <c r="D71" s="13">
        <v>1.0</v>
      </c>
      <c r="E71" s="244"/>
      <c r="F71" s="244"/>
    </row>
    <row r="72" ht="22.5" customHeight="1">
      <c r="A72" s="10" t="s">
        <v>293</v>
      </c>
      <c r="B72" s="10" t="s">
        <v>31</v>
      </c>
      <c r="C72" s="13">
        <v>175.0</v>
      </c>
      <c r="D72" s="13">
        <v>3.0</v>
      </c>
      <c r="E72" s="244"/>
      <c r="F72" s="244"/>
    </row>
    <row r="73" ht="22.5" customHeight="1">
      <c r="A73" s="10" t="s">
        <v>671</v>
      </c>
      <c r="B73" s="10" t="s">
        <v>31</v>
      </c>
      <c r="C73" s="13">
        <v>160.0</v>
      </c>
      <c r="D73" s="13">
        <v>2.0</v>
      </c>
      <c r="E73" s="244"/>
      <c r="F73" s="244"/>
    </row>
    <row r="74" ht="22.5" customHeight="1">
      <c r="A74" s="10" t="s">
        <v>456</v>
      </c>
      <c r="B74" s="10" t="s">
        <v>31</v>
      </c>
      <c r="C74" s="13">
        <v>210.0</v>
      </c>
      <c r="D74" s="13">
        <v>3.0</v>
      </c>
      <c r="E74" s="244"/>
      <c r="F74" s="244"/>
    </row>
    <row r="75" ht="22.5" customHeight="1">
      <c r="A75" s="10" t="s">
        <v>283</v>
      </c>
      <c r="B75" s="10" t="s">
        <v>31</v>
      </c>
      <c r="C75" s="13">
        <v>140.0</v>
      </c>
      <c r="D75" s="13">
        <v>2.0</v>
      </c>
      <c r="E75" s="244"/>
      <c r="F75" s="244"/>
    </row>
    <row r="76" ht="22.5" customHeight="1">
      <c r="A76" s="10" t="s">
        <v>264</v>
      </c>
      <c r="B76" s="15"/>
      <c r="C76" s="13">
        <v>290.0</v>
      </c>
      <c r="D76" s="13">
        <v>1.0</v>
      </c>
      <c r="E76" s="244"/>
      <c r="F76" s="244"/>
    </row>
    <row r="77" ht="22.5" customHeight="1">
      <c r="A77" s="10" t="s">
        <v>112</v>
      </c>
      <c r="B77" s="10" t="s">
        <v>31</v>
      </c>
      <c r="C77" s="13">
        <v>135.0</v>
      </c>
      <c r="D77" s="13">
        <v>1.0</v>
      </c>
      <c r="E77" s="244"/>
      <c r="F77" s="244"/>
    </row>
    <row r="78" ht="22.5" customHeight="1">
      <c r="A78" s="10" t="s">
        <v>448</v>
      </c>
      <c r="B78" s="10" t="s">
        <v>31</v>
      </c>
      <c r="C78" s="13">
        <v>125.0</v>
      </c>
      <c r="D78" s="13">
        <v>1.0</v>
      </c>
      <c r="E78" s="244"/>
      <c r="F78" s="244"/>
    </row>
    <row r="79" ht="22.5" customHeight="1">
      <c r="A79" s="10" t="s">
        <v>463</v>
      </c>
      <c r="B79" s="10" t="s">
        <v>31</v>
      </c>
      <c r="C79" s="13">
        <v>110.0</v>
      </c>
      <c r="D79" s="13">
        <v>2.0</v>
      </c>
      <c r="E79" s="244"/>
      <c r="F79" s="244"/>
    </row>
    <row r="80" ht="22.5" customHeight="1">
      <c r="A80" s="10" t="s">
        <v>270</v>
      </c>
      <c r="B80" s="10" t="s">
        <v>31</v>
      </c>
      <c r="C80" s="13">
        <v>112.5</v>
      </c>
      <c r="D80" s="13">
        <v>1.0</v>
      </c>
      <c r="E80" s="244"/>
      <c r="F80" s="244"/>
    </row>
    <row r="81" ht="22.5" customHeight="1">
      <c r="A81" s="10" t="s">
        <v>470</v>
      </c>
      <c r="B81" s="10" t="s">
        <v>31</v>
      </c>
      <c r="C81" s="13">
        <v>75.0</v>
      </c>
      <c r="D81" s="13">
        <v>3.8</v>
      </c>
      <c r="E81" s="244"/>
      <c r="F81" s="244"/>
    </row>
    <row r="82" ht="22.5" customHeight="1">
      <c r="A82" s="10" t="s">
        <v>416</v>
      </c>
      <c r="B82" s="10" t="s">
        <v>31</v>
      </c>
      <c r="C82" s="13">
        <v>30.0</v>
      </c>
      <c r="D82" s="13">
        <v>6.0</v>
      </c>
      <c r="E82" s="244"/>
      <c r="F82" s="244"/>
    </row>
    <row r="83" ht="22.5" customHeight="1">
      <c r="A83" s="10" t="s">
        <v>1067</v>
      </c>
      <c r="B83" s="10" t="s">
        <v>154</v>
      </c>
      <c r="C83" s="13">
        <v>65.0</v>
      </c>
      <c r="D83" s="13">
        <v>2.0</v>
      </c>
      <c r="E83" s="244"/>
      <c r="F83" s="244"/>
    </row>
    <row r="84" ht="22.5" customHeight="1">
      <c r="A84" s="10" t="s">
        <v>40</v>
      </c>
      <c r="B84" s="10" t="s">
        <v>31</v>
      </c>
      <c r="C84" s="13">
        <v>140.0</v>
      </c>
      <c r="D84" s="13">
        <v>1.0</v>
      </c>
      <c r="E84" s="244"/>
      <c r="F84" s="244"/>
    </row>
    <row r="85" ht="22.5" customHeight="1">
      <c r="A85" s="10" t="s">
        <v>440</v>
      </c>
      <c r="B85" s="10" t="s">
        <v>31</v>
      </c>
      <c r="C85" s="13">
        <v>130.0</v>
      </c>
      <c r="D85" s="13">
        <v>2.0</v>
      </c>
      <c r="E85" s="244"/>
      <c r="F85" s="244"/>
    </row>
    <row r="86" ht="22.5" customHeight="1">
      <c r="A86" s="10" t="s">
        <v>405</v>
      </c>
      <c r="B86" s="10" t="s">
        <v>31</v>
      </c>
      <c r="C86" s="13">
        <v>105.0</v>
      </c>
      <c r="D86" s="13">
        <v>1.0</v>
      </c>
      <c r="E86" s="244"/>
      <c r="F86" s="244"/>
    </row>
    <row r="87" ht="22.5" customHeight="1">
      <c r="A87" s="10" t="s">
        <v>277</v>
      </c>
      <c r="B87" s="10" t="s">
        <v>31</v>
      </c>
      <c r="C87" s="13">
        <v>135.0</v>
      </c>
      <c r="D87" s="13">
        <v>2.0</v>
      </c>
      <c r="E87" s="244"/>
      <c r="F87" s="244"/>
    </row>
    <row r="88" ht="22.5" customHeight="1">
      <c r="A88" s="10" t="s">
        <v>732</v>
      </c>
      <c r="B88" s="10" t="s">
        <v>31</v>
      </c>
      <c r="C88" s="13">
        <v>125.0</v>
      </c>
      <c r="D88" s="13">
        <v>1.0</v>
      </c>
      <c r="E88" s="244"/>
      <c r="F88" s="244"/>
    </row>
    <row r="89" ht="22.5" customHeight="1">
      <c r="A89" s="10" t="s">
        <v>373</v>
      </c>
      <c r="B89" s="10" t="s">
        <v>31</v>
      </c>
      <c r="C89" s="13">
        <v>175.0</v>
      </c>
      <c r="D89" s="13">
        <v>3.0</v>
      </c>
      <c r="E89" s="244"/>
      <c r="F89" s="244"/>
    </row>
    <row r="90" ht="22.5" customHeight="1">
      <c r="A90" s="10" t="s">
        <v>680</v>
      </c>
      <c r="B90" s="10" t="s">
        <v>119</v>
      </c>
      <c r="C90" s="13">
        <v>160.0</v>
      </c>
      <c r="D90" s="13">
        <v>1.0</v>
      </c>
      <c r="E90" s="244"/>
      <c r="F90" s="244"/>
    </row>
    <row r="91" ht="22.5" customHeight="1">
      <c r="A91" s="10" t="s">
        <v>409</v>
      </c>
      <c r="B91" s="10" t="s">
        <v>31</v>
      </c>
      <c r="C91" s="13">
        <v>95.0</v>
      </c>
      <c r="D91" s="13">
        <v>10.5</v>
      </c>
      <c r="E91" s="244"/>
      <c r="F91" s="244"/>
    </row>
    <row r="92" ht="22.5" customHeight="1">
      <c r="A92" s="10" t="s">
        <v>608</v>
      </c>
      <c r="B92" s="10" t="s">
        <v>31</v>
      </c>
      <c r="C92" s="13">
        <v>90.0</v>
      </c>
      <c r="D92" s="13">
        <v>4.0</v>
      </c>
      <c r="E92" s="244"/>
      <c r="F92" s="244"/>
    </row>
    <row r="93" ht="22.5" customHeight="1">
      <c r="A93" s="10" t="s">
        <v>289</v>
      </c>
      <c r="B93" s="6" t="s">
        <v>54</v>
      </c>
      <c r="C93" s="13">
        <v>90.23809523809524</v>
      </c>
      <c r="D93" s="13">
        <v>1.0</v>
      </c>
      <c r="E93" s="244"/>
      <c r="F93" s="244"/>
    </row>
    <row r="94" ht="22.5" customHeight="1">
      <c r="A94" s="10" t="s">
        <v>146</v>
      </c>
      <c r="B94" s="10" t="s">
        <v>31</v>
      </c>
      <c r="C94" s="13">
        <v>510.0</v>
      </c>
      <c r="D94" s="13">
        <v>1.0</v>
      </c>
      <c r="E94" s="244"/>
      <c r="F94" s="244"/>
    </row>
    <row r="95" ht="22.5" customHeight="1">
      <c r="A95" s="10" t="s">
        <v>726</v>
      </c>
      <c r="B95" s="10" t="s">
        <v>31</v>
      </c>
      <c r="C95" s="13">
        <v>30.0</v>
      </c>
      <c r="D95" s="13">
        <v>6.0</v>
      </c>
      <c r="E95" s="244"/>
      <c r="F95" s="244"/>
    </row>
    <row r="96" ht="22.5" customHeight="1">
      <c r="A96" s="10" t="s">
        <v>480</v>
      </c>
      <c r="B96" s="10" t="s">
        <v>51</v>
      </c>
      <c r="C96" s="13">
        <v>45.0</v>
      </c>
      <c r="D96" s="13">
        <v>18.0</v>
      </c>
      <c r="E96" s="244"/>
      <c r="F96" s="244"/>
    </row>
    <row r="97" ht="22.5" customHeight="1">
      <c r="A97" s="10" t="s">
        <v>1011</v>
      </c>
      <c r="B97" s="10" t="s">
        <v>51</v>
      </c>
      <c r="C97" s="13">
        <v>65.0</v>
      </c>
      <c r="D97" s="13">
        <v>5.0</v>
      </c>
      <c r="E97" s="244"/>
      <c r="F97" s="244"/>
    </row>
    <row r="98" ht="22.5" customHeight="1">
      <c r="A98" s="10" t="s">
        <v>728</v>
      </c>
      <c r="B98" s="10" t="s">
        <v>31</v>
      </c>
      <c r="C98" s="13">
        <v>105.0</v>
      </c>
      <c r="D98" s="13">
        <v>1.0</v>
      </c>
      <c r="E98" s="244"/>
      <c r="F98" s="244"/>
    </row>
    <row r="99" ht="22.5" customHeight="1">
      <c r="A99" s="10" t="s">
        <v>794</v>
      </c>
      <c r="B99" s="10" t="s">
        <v>31</v>
      </c>
      <c r="C99" s="13">
        <v>145.0</v>
      </c>
      <c r="D99" s="13">
        <v>1.0</v>
      </c>
      <c r="E99" s="244"/>
      <c r="F99" s="244"/>
    </row>
    <row r="100" ht="22.5" customHeight="1">
      <c r="A100" s="10" t="s">
        <v>443</v>
      </c>
      <c r="B100" s="10" t="s">
        <v>31</v>
      </c>
      <c r="C100" s="13">
        <v>130.0</v>
      </c>
      <c r="D100" s="13">
        <v>1.0</v>
      </c>
      <c r="E100" s="244"/>
      <c r="F100" s="244"/>
    </row>
    <row r="101" ht="22.5" customHeight="1">
      <c r="A101" s="10" t="s">
        <v>414</v>
      </c>
      <c r="B101" s="10" t="s">
        <v>31</v>
      </c>
      <c r="C101" s="13">
        <v>180.0</v>
      </c>
      <c r="D101" s="13">
        <v>1.0</v>
      </c>
      <c r="E101" s="244"/>
      <c r="F101" s="244"/>
    </row>
    <row r="102" ht="22.5" customHeight="1">
      <c r="A102" s="10" t="s">
        <v>702</v>
      </c>
      <c r="B102" s="6" t="s">
        <v>54</v>
      </c>
      <c r="C102" s="13">
        <v>32.707142857142856</v>
      </c>
      <c r="D102" s="13">
        <v>3.0</v>
      </c>
      <c r="E102" s="244"/>
      <c r="F102" s="244"/>
    </row>
    <row r="103" ht="22.5" customHeight="1">
      <c r="A103" s="10" t="s">
        <v>418</v>
      </c>
      <c r="B103" s="10" t="s">
        <v>31</v>
      </c>
      <c r="C103" s="13">
        <v>185.0</v>
      </c>
      <c r="D103" s="13">
        <v>1.0</v>
      </c>
      <c r="E103" s="244"/>
      <c r="F103" s="244"/>
    </row>
    <row r="104" ht="22.5" customHeight="1">
      <c r="A104" s="10" t="s">
        <v>1155</v>
      </c>
      <c r="B104" s="10" t="s">
        <v>1052</v>
      </c>
      <c r="C104" s="13">
        <v>11.0</v>
      </c>
      <c r="D104" s="13">
        <v>3.0</v>
      </c>
      <c r="E104" s="244"/>
      <c r="F104" s="244"/>
    </row>
    <row r="105" ht="22.5" customHeight="1">
      <c r="A105" s="10" t="s">
        <v>1155</v>
      </c>
      <c r="B105" s="10" t="s">
        <v>154</v>
      </c>
      <c r="C105" s="13">
        <v>12.5</v>
      </c>
      <c r="D105" s="13">
        <v>40.0</v>
      </c>
      <c r="E105" s="244"/>
      <c r="F105" s="244"/>
    </row>
    <row r="106" ht="22.5" customHeight="1">
      <c r="A106" s="10" t="s">
        <v>1248</v>
      </c>
      <c r="B106" s="10" t="s">
        <v>154</v>
      </c>
      <c r="C106" s="13">
        <v>15.0</v>
      </c>
      <c r="D106" s="13">
        <v>30.0</v>
      </c>
      <c r="E106" s="244"/>
      <c r="F106" s="244"/>
    </row>
    <row r="107" ht="22.5" customHeight="1">
      <c r="A107" s="10" t="s">
        <v>242</v>
      </c>
      <c r="B107" s="10" t="s">
        <v>31</v>
      </c>
      <c r="C107" s="13">
        <v>325.0</v>
      </c>
      <c r="D107" s="13">
        <v>1.0</v>
      </c>
      <c r="E107" s="244"/>
      <c r="F107" s="244"/>
    </row>
    <row r="108" ht="22.5" customHeight="1">
      <c r="A108" s="10" t="s">
        <v>487</v>
      </c>
      <c r="B108" s="10" t="s">
        <v>581</v>
      </c>
      <c r="C108" s="13">
        <v>95.0</v>
      </c>
      <c r="D108" s="13">
        <v>9.0</v>
      </c>
      <c r="E108" s="244"/>
      <c r="F108" s="244"/>
    </row>
    <row r="109" ht="22.5" customHeight="1">
      <c r="A109" s="10" t="s">
        <v>1100</v>
      </c>
      <c r="B109" s="10" t="s">
        <v>119</v>
      </c>
      <c r="C109" s="13">
        <v>50.0</v>
      </c>
      <c r="D109" s="13">
        <v>5.0</v>
      </c>
      <c r="E109" s="244"/>
      <c r="F109" s="244"/>
    </row>
    <row r="110" ht="22.5" customHeight="1">
      <c r="A110" s="10" t="s">
        <v>775</v>
      </c>
      <c r="B110" s="10" t="s">
        <v>125</v>
      </c>
      <c r="C110" s="13">
        <v>94.0</v>
      </c>
      <c r="D110" s="13">
        <v>3.0</v>
      </c>
      <c r="E110" s="244"/>
      <c r="F110" s="244"/>
    </row>
    <row r="111" ht="22.5" customHeight="1">
      <c r="A111" s="10" t="s">
        <v>1174</v>
      </c>
      <c r="B111" s="10" t="s">
        <v>125</v>
      </c>
      <c r="C111" s="13">
        <v>88.0</v>
      </c>
      <c r="D111" s="13">
        <v>1.0</v>
      </c>
      <c r="E111" s="244"/>
      <c r="F111" s="244"/>
    </row>
    <row r="112" ht="22.5" customHeight="1">
      <c r="A112" s="10" t="s">
        <v>1121</v>
      </c>
      <c r="B112" s="10" t="s">
        <v>125</v>
      </c>
      <c r="C112" s="13">
        <v>90.0</v>
      </c>
      <c r="D112" s="13">
        <v>1.0</v>
      </c>
      <c r="E112" s="244"/>
      <c r="F112" s="244"/>
    </row>
    <row r="113" ht="22.5" customHeight="1">
      <c r="A113" s="10" t="s">
        <v>245</v>
      </c>
      <c r="B113" s="10" t="s">
        <v>154</v>
      </c>
      <c r="C113" s="13">
        <v>150.0</v>
      </c>
      <c r="D113" s="13">
        <v>12.0</v>
      </c>
      <c r="E113" s="244"/>
      <c r="F113" s="244"/>
    </row>
    <row r="114" ht="22.5" customHeight="1">
      <c r="A114" s="10" t="s">
        <v>1166</v>
      </c>
      <c r="B114" s="10" t="s">
        <v>154</v>
      </c>
      <c r="C114" s="13">
        <v>65.0</v>
      </c>
      <c r="D114" s="13">
        <v>12.0</v>
      </c>
      <c r="E114" s="244"/>
      <c r="F114" s="244"/>
    </row>
    <row r="115" ht="22.5" customHeight="1">
      <c r="A115" s="10" t="s">
        <v>638</v>
      </c>
      <c r="B115" s="10" t="s">
        <v>51</v>
      </c>
      <c r="C115" s="13">
        <v>100.0</v>
      </c>
      <c r="D115" s="13">
        <v>1.6</v>
      </c>
      <c r="E115" s="244"/>
      <c r="F115" s="244"/>
    </row>
    <row r="116" ht="22.5" customHeight="1">
      <c r="A116" s="10" t="s">
        <v>929</v>
      </c>
      <c r="B116" s="10" t="s">
        <v>436</v>
      </c>
      <c r="C116" s="13">
        <v>21.88</v>
      </c>
      <c r="D116" s="13">
        <v>59.0</v>
      </c>
      <c r="E116" s="244"/>
      <c r="F116" s="244"/>
    </row>
    <row r="117" ht="22.5" customHeight="1">
      <c r="A117" s="10" t="s">
        <v>1252</v>
      </c>
      <c r="B117" s="10" t="s">
        <v>436</v>
      </c>
      <c r="C117" s="13">
        <v>70.0</v>
      </c>
      <c r="D117" s="13">
        <v>5.0</v>
      </c>
      <c r="E117" s="244"/>
      <c r="F117" s="244"/>
    </row>
    <row r="118" ht="22.5" customHeight="1">
      <c r="A118" s="10" t="s">
        <v>926</v>
      </c>
      <c r="B118" s="10" t="s">
        <v>436</v>
      </c>
      <c r="C118" s="13">
        <v>20.0</v>
      </c>
      <c r="D118" s="13">
        <v>59.0</v>
      </c>
      <c r="E118" s="244"/>
      <c r="F118" s="244"/>
    </row>
    <row r="119" ht="22.5" customHeight="1">
      <c r="A119" s="10" t="s">
        <v>1160</v>
      </c>
      <c r="B119" s="10" t="s">
        <v>436</v>
      </c>
      <c r="C119" s="13">
        <v>55.0</v>
      </c>
      <c r="D119" s="13">
        <v>5.0</v>
      </c>
      <c r="E119" s="244"/>
      <c r="F119" s="244"/>
    </row>
    <row r="120" ht="22.5" customHeight="1">
      <c r="A120" s="10" t="s">
        <v>932</v>
      </c>
      <c r="B120" s="10" t="s">
        <v>436</v>
      </c>
      <c r="C120" s="13">
        <v>30.0</v>
      </c>
      <c r="D120" s="13">
        <v>47.0</v>
      </c>
      <c r="E120" s="244"/>
      <c r="F120" s="244"/>
    </row>
    <row r="121" ht="22.5" customHeight="1">
      <c r="A121" s="10" t="s">
        <v>479</v>
      </c>
      <c r="B121" s="10" t="s">
        <v>154</v>
      </c>
      <c r="C121" s="13">
        <v>200.0</v>
      </c>
      <c r="D121" s="13">
        <v>1.0</v>
      </c>
      <c r="E121" s="244"/>
      <c r="F121" s="244"/>
    </row>
    <row r="122" ht="22.5" customHeight="1">
      <c r="A122" s="10" t="s">
        <v>1099</v>
      </c>
      <c r="B122" s="10" t="s">
        <v>154</v>
      </c>
      <c r="C122" s="13">
        <v>100.0</v>
      </c>
      <c r="D122" s="13">
        <v>1.0</v>
      </c>
      <c r="E122" s="244"/>
      <c r="F122" s="244"/>
    </row>
    <row r="123" ht="22.5" customHeight="1">
      <c r="A123" s="10" t="s">
        <v>508</v>
      </c>
      <c r="B123" s="10" t="s">
        <v>154</v>
      </c>
      <c r="C123" s="13">
        <v>185.0</v>
      </c>
      <c r="D123" s="13">
        <v>1.0</v>
      </c>
      <c r="E123" s="244"/>
      <c r="F123" s="244"/>
    </row>
    <row r="124" ht="22.5" customHeight="1">
      <c r="A124" s="10" t="s">
        <v>193</v>
      </c>
      <c r="B124" s="10" t="s">
        <v>154</v>
      </c>
      <c r="C124" s="13">
        <v>85.0</v>
      </c>
      <c r="D124" s="13">
        <v>6.0</v>
      </c>
      <c r="E124" s="244"/>
      <c r="F124" s="244"/>
    </row>
    <row r="125" ht="22.5" customHeight="1">
      <c r="A125" s="10" t="s">
        <v>1395</v>
      </c>
      <c r="B125" s="10" t="s">
        <v>125</v>
      </c>
      <c r="C125" s="13">
        <v>18.0</v>
      </c>
      <c r="D125" s="13">
        <v>24.0</v>
      </c>
      <c r="E125" s="244"/>
      <c r="F125" s="244"/>
    </row>
    <row r="126" ht="22.5" customHeight="1">
      <c r="A126" s="10" t="s">
        <v>879</v>
      </c>
      <c r="B126" s="15"/>
      <c r="C126" s="13">
        <v>3.25</v>
      </c>
      <c r="D126" s="13">
        <v>38.0</v>
      </c>
      <c r="E126" s="244"/>
      <c r="F126" s="244"/>
    </row>
    <row r="127" ht="22.5" customHeight="1">
      <c r="A127" s="10" t="s">
        <v>1087</v>
      </c>
      <c r="B127" s="15"/>
      <c r="C127" s="13">
        <v>11.0</v>
      </c>
      <c r="D127" s="13">
        <v>30.0</v>
      </c>
      <c r="E127" s="244"/>
      <c r="F127" s="244"/>
    </row>
    <row r="128" ht="22.5" customHeight="1">
      <c r="A128" s="10" t="s">
        <v>1055</v>
      </c>
      <c r="B128" s="10" t="s">
        <v>119</v>
      </c>
      <c r="C128" s="13">
        <v>11.0</v>
      </c>
      <c r="D128" s="13">
        <v>35.0</v>
      </c>
      <c r="E128" s="244"/>
      <c r="F128" s="244"/>
    </row>
    <row r="129" ht="22.5" customHeight="1">
      <c r="A129" s="10" t="s">
        <v>1055</v>
      </c>
      <c r="B129" s="10" t="s">
        <v>125</v>
      </c>
      <c r="C129" s="13">
        <v>12.5</v>
      </c>
      <c r="D129" s="13">
        <v>20.0</v>
      </c>
      <c r="E129" s="244"/>
      <c r="F129" s="244"/>
    </row>
    <row r="130" ht="22.5" customHeight="1">
      <c r="A130" s="10" t="s">
        <v>1330</v>
      </c>
      <c r="B130" s="10" t="s">
        <v>125</v>
      </c>
      <c r="C130" s="13">
        <v>55.0</v>
      </c>
      <c r="D130" s="13">
        <v>5.0</v>
      </c>
      <c r="E130" s="244"/>
      <c r="F130" s="244"/>
    </row>
    <row r="131" ht="22.5" customHeight="1">
      <c r="A131" s="10" t="s">
        <v>1078</v>
      </c>
      <c r="B131" s="10" t="s">
        <v>1052</v>
      </c>
      <c r="C131" s="13">
        <v>55.0</v>
      </c>
      <c r="D131" s="13">
        <v>1.0</v>
      </c>
      <c r="E131" s="244"/>
      <c r="F131" s="244"/>
    </row>
    <row r="132" ht="22.5" customHeight="1">
      <c r="A132" s="10" t="s">
        <v>363</v>
      </c>
      <c r="B132" s="10" t="s">
        <v>51</v>
      </c>
      <c r="C132" s="13">
        <v>110.0</v>
      </c>
      <c r="D132" s="13">
        <v>3.5000000000000004</v>
      </c>
      <c r="E132" s="244"/>
      <c r="F132" s="244"/>
    </row>
    <row r="133" ht="22.5" customHeight="1">
      <c r="A133" s="10" t="s">
        <v>395</v>
      </c>
      <c r="B133" s="10" t="s">
        <v>154</v>
      </c>
      <c r="C133" s="13">
        <v>50.0</v>
      </c>
      <c r="D133" s="13">
        <v>10.5</v>
      </c>
      <c r="E133" s="244"/>
      <c r="F133" s="244"/>
    </row>
    <row r="134" ht="22.5" customHeight="1">
      <c r="A134" s="10" t="s">
        <v>962</v>
      </c>
      <c r="B134" s="10" t="s">
        <v>51</v>
      </c>
      <c r="C134" s="13">
        <v>125.0</v>
      </c>
      <c r="D134" s="13">
        <v>4.0</v>
      </c>
      <c r="E134" s="244"/>
      <c r="F134" s="244"/>
    </row>
    <row r="135" ht="22.5" customHeight="1">
      <c r="A135" s="10" t="s">
        <v>1046</v>
      </c>
      <c r="B135" s="10" t="s">
        <v>51</v>
      </c>
      <c r="C135" s="13">
        <v>35.0</v>
      </c>
      <c r="D135" s="13">
        <v>12.0</v>
      </c>
      <c r="E135" s="244"/>
      <c r="F135" s="244"/>
    </row>
    <row r="136" ht="22.5" customHeight="1">
      <c r="A136" s="10" t="s">
        <v>841</v>
      </c>
      <c r="B136" s="15"/>
      <c r="C136" s="13">
        <v>15.0</v>
      </c>
      <c r="D136" s="13">
        <v>8.0</v>
      </c>
      <c r="E136" s="244"/>
      <c r="F136" s="244"/>
    </row>
    <row r="137" ht="22.5" customHeight="1">
      <c r="A137" s="10" t="s">
        <v>1124</v>
      </c>
      <c r="B137" s="15"/>
      <c r="C137" s="13">
        <v>20.0</v>
      </c>
      <c r="D137" s="13">
        <v>10.0</v>
      </c>
      <c r="E137" s="244"/>
      <c r="F137" s="244"/>
    </row>
    <row r="138" ht="22.5" customHeight="1">
      <c r="A138" s="10" t="s">
        <v>936</v>
      </c>
      <c r="B138" s="15"/>
      <c r="C138" s="13">
        <v>28.0</v>
      </c>
      <c r="D138" s="13">
        <v>10.0</v>
      </c>
      <c r="E138" s="244"/>
      <c r="F138" s="244"/>
    </row>
    <row r="139" ht="22.5" customHeight="1">
      <c r="A139" s="10" t="s">
        <v>1314</v>
      </c>
      <c r="B139" s="10" t="s">
        <v>125</v>
      </c>
      <c r="C139" s="13">
        <v>60.0</v>
      </c>
      <c r="D139" s="13">
        <v>2.0</v>
      </c>
      <c r="E139" s="244"/>
      <c r="F139" s="244"/>
    </row>
    <row r="140" ht="22.5" customHeight="1">
      <c r="A140" s="10" t="s">
        <v>1397</v>
      </c>
      <c r="B140" s="10" t="s">
        <v>125</v>
      </c>
      <c r="C140" s="13">
        <v>1.92</v>
      </c>
      <c r="D140" s="13">
        <v>84.0</v>
      </c>
      <c r="E140" s="244"/>
      <c r="F140" s="244"/>
    </row>
    <row r="141" ht="22.5" customHeight="1">
      <c r="A141" s="10" t="s">
        <v>533</v>
      </c>
      <c r="B141" s="10" t="s">
        <v>534</v>
      </c>
      <c r="C141" s="13">
        <v>180.0</v>
      </c>
      <c r="D141" s="13">
        <v>4.0</v>
      </c>
      <c r="E141" s="244"/>
      <c r="F141" s="244"/>
    </row>
    <row r="142" ht="22.5" customHeight="1">
      <c r="A142" s="10" t="s">
        <v>1175</v>
      </c>
      <c r="B142" s="10" t="s">
        <v>436</v>
      </c>
      <c r="C142" s="13">
        <v>65.0</v>
      </c>
      <c r="D142" s="13">
        <v>2.0</v>
      </c>
      <c r="E142" s="244"/>
      <c r="F142" s="244"/>
    </row>
    <row r="143" ht="22.5" customHeight="1">
      <c r="A143" s="10" t="s">
        <v>823</v>
      </c>
      <c r="B143" s="10" t="s">
        <v>51</v>
      </c>
      <c r="C143" s="13">
        <v>65.0</v>
      </c>
      <c r="D143" s="13">
        <v>2.0</v>
      </c>
      <c r="E143" s="244"/>
      <c r="F143" s="244"/>
    </row>
    <row r="144" ht="22.5" customHeight="1">
      <c r="A144" s="10" t="s">
        <v>406</v>
      </c>
      <c r="B144" s="10" t="s">
        <v>51</v>
      </c>
      <c r="C144" s="13">
        <v>225.0</v>
      </c>
      <c r="D144" s="13">
        <v>1.0</v>
      </c>
      <c r="E144" s="244"/>
      <c r="F144" s="244"/>
    </row>
    <row r="145" ht="22.5" customHeight="1">
      <c r="A145" s="10" t="s">
        <v>342</v>
      </c>
      <c r="B145" s="10" t="s">
        <v>51</v>
      </c>
      <c r="C145" s="13">
        <v>250.0</v>
      </c>
      <c r="D145" s="13">
        <v>1.0</v>
      </c>
      <c r="E145" s="244"/>
      <c r="F145" s="244"/>
    </row>
    <row r="146" ht="22.5" customHeight="1">
      <c r="A146" s="10" t="s">
        <v>338</v>
      </c>
      <c r="B146" s="10" t="s">
        <v>51</v>
      </c>
      <c r="C146" s="13">
        <v>250.0</v>
      </c>
      <c r="D146" s="13">
        <v>1.0</v>
      </c>
      <c r="E146" s="244"/>
      <c r="F146" s="244"/>
    </row>
    <row r="147" ht="22.5" customHeight="1">
      <c r="A147" s="10" t="s">
        <v>1129</v>
      </c>
      <c r="B147" s="10" t="s">
        <v>125</v>
      </c>
      <c r="C147" s="13">
        <v>8.0</v>
      </c>
      <c r="D147" s="13">
        <v>2.0</v>
      </c>
      <c r="E147" s="244"/>
      <c r="F147" s="244"/>
    </row>
    <row r="148" ht="22.5" customHeight="1">
      <c r="A148" s="10" t="s">
        <v>1159</v>
      </c>
      <c r="B148" s="10" t="s">
        <v>154</v>
      </c>
      <c r="C148" s="13">
        <v>120.0</v>
      </c>
      <c r="D148" s="13">
        <v>5.0</v>
      </c>
      <c r="E148" s="244"/>
      <c r="F148" s="244"/>
    </row>
    <row r="149" ht="22.5" customHeight="1">
      <c r="A149" s="10" t="s">
        <v>781</v>
      </c>
      <c r="B149" s="10" t="s">
        <v>154</v>
      </c>
      <c r="C149" s="13">
        <v>150.0</v>
      </c>
      <c r="D149" s="13">
        <v>6.0</v>
      </c>
      <c r="E149" s="244"/>
      <c r="F149" s="244"/>
    </row>
    <row r="150" ht="22.5" customHeight="1">
      <c r="A150" s="10" t="s">
        <v>1050</v>
      </c>
      <c r="B150" s="10" t="s">
        <v>119</v>
      </c>
      <c r="C150" s="13">
        <v>110.0</v>
      </c>
      <c r="D150" s="13">
        <v>3.0</v>
      </c>
      <c r="E150" s="244"/>
      <c r="F150" s="244"/>
    </row>
    <row r="151" ht="22.5" customHeight="1">
      <c r="A151" s="10" t="s">
        <v>383</v>
      </c>
      <c r="B151" s="10" t="s">
        <v>119</v>
      </c>
      <c r="C151" s="13">
        <v>229.5</v>
      </c>
      <c r="D151" s="13">
        <v>2.0</v>
      </c>
      <c r="E151" s="244"/>
      <c r="F151" s="244"/>
    </row>
    <row r="152" ht="22.5" customHeight="1">
      <c r="A152" s="10" t="s">
        <v>614</v>
      </c>
      <c r="B152" s="10" t="s">
        <v>119</v>
      </c>
      <c r="C152" s="13">
        <v>78.0</v>
      </c>
      <c r="D152" s="13">
        <v>2.0</v>
      </c>
      <c r="E152" s="244"/>
      <c r="F152" s="244"/>
    </row>
    <row r="153" ht="22.5" customHeight="1">
      <c r="A153" s="10" t="s">
        <v>693</v>
      </c>
      <c r="B153" s="10" t="s">
        <v>119</v>
      </c>
      <c r="C153" s="13">
        <v>160.0</v>
      </c>
      <c r="D153" s="13">
        <v>4.0</v>
      </c>
      <c r="E153" s="244"/>
      <c r="F153" s="244"/>
    </row>
    <row r="154" ht="22.5" customHeight="1">
      <c r="A154" s="10" t="s">
        <v>942</v>
      </c>
      <c r="B154" s="10" t="s">
        <v>119</v>
      </c>
      <c r="C154" s="13">
        <v>126.0</v>
      </c>
      <c r="D154" s="13">
        <v>2.0</v>
      </c>
      <c r="E154" s="244"/>
      <c r="F154" s="244"/>
    </row>
    <row r="155" ht="22.5" customHeight="1">
      <c r="A155" s="10" t="s">
        <v>813</v>
      </c>
      <c r="B155" s="10" t="s">
        <v>119</v>
      </c>
      <c r="C155" s="13">
        <v>141.0</v>
      </c>
      <c r="D155" s="13">
        <v>2.0</v>
      </c>
      <c r="E155" s="244"/>
      <c r="F155" s="244"/>
    </row>
    <row r="156" ht="22.5" customHeight="1">
      <c r="A156" s="10" t="s">
        <v>763</v>
      </c>
      <c r="B156" s="10" t="s">
        <v>119</v>
      </c>
      <c r="C156" s="13">
        <v>150.0</v>
      </c>
      <c r="D156" s="13">
        <v>4.0</v>
      </c>
      <c r="E156" s="244"/>
      <c r="F156" s="244"/>
    </row>
    <row r="157" ht="22.5" customHeight="1">
      <c r="A157" s="10" t="s">
        <v>779</v>
      </c>
      <c r="B157" s="10" t="s">
        <v>119</v>
      </c>
      <c r="C157" s="13">
        <v>150.0</v>
      </c>
      <c r="D157" s="13">
        <v>2.0</v>
      </c>
      <c r="E157" s="244"/>
      <c r="F157" s="244"/>
    </row>
    <row r="158" ht="22.5" customHeight="1">
      <c r="A158" s="10" t="s">
        <v>776</v>
      </c>
      <c r="B158" s="10" t="s">
        <v>119</v>
      </c>
      <c r="C158" s="13">
        <v>150.0</v>
      </c>
      <c r="D158" s="13">
        <v>2.0</v>
      </c>
      <c r="E158" s="244"/>
      <c r="F158" s="244"/>
    </row>
    <row r="159" ht="22.5" customHeight="1">
      <c r="A159" s="10" t="s">
        <v>761</v>
      </c>
      <c r="B159" s="10" t="s">
        <v>119</v>
      </c>
      <c r="C159" s="13">
        <v>150.0</v>
      </c>
      <c r="D159" s="13">
        <v>1.0</v>
      </c>
      <c r="E159" s="244"/>
      <c r="F159" s="244"/>
    </row>
    <row r="160" ht="22.5" customHeight="1">
      <c r="A160" s="10" t="s">
        <v>640</v>
      </c>
      <c r="B160" s="10" t="s">
        <v>119</v>
      </c>
      <c r="C160" s="13">
        <v>167.0</v>
      </c>
      <c r="D160" s="13">
        <v>5.0</v>
      </c>
      <c r="E160" s="244"/>
      <c r="F160" s="244"/>
    </row>
    <row r="161" ht="22.5" customHeight="1">
      <c r="A161" s="10" t="s">
        <v>634</v>
      </c>
      <c r="B161" s="10" t="s">
        <v>119</v>
      </c>
      <c r="C161" s="13">
        <v>167.0</v>
      </c>
      <c r="D161" s="13">
        <v>4.0</v>
      </c>
      <c r="E161" s="244"/>
      <c r="F161" s="244"/>
    </row>
    <row r="162" ht="22.5" customHeight="1">
      <c r="A162" s="10" t="s">
        <v>637</v>
      </c>
      <c r="B162" s="10" t="s">
        <v>119</v>
      </c>
      <c r="C162" s="13">
        <v>167.0</v>
      </c>
      <c r="D162" s="13">
        <v>3.0</v>
      </c>
      <c r="E162" s="244"/>
      <c r="F162" s="244"/>
    </row>
    <row r="163" ht="22.5" customHeight="1">
      <c r="A163" s="10" t="s">
        <v>298</v>
      </c>
      <c r="B163" s="10" t="s">
        <v>119</v>
      </c>
      <c r="C163" s="13">
        <v>290.0</v>
      </c>
      <c r="D163" s="13">
        <v>2.0</v>
      </c>
      <c r="E163" s="244"/>
      <c r="F163" s="244"/>
    </row>
    <row r="164" ht="22.5" customHeight="1">
      <c r="A164" s="10" t="s">
        <v>923</v>
      </c>
      <c r="B164" s="10" t="s">
        <v>125</v>
      </c>
      <c r="C164" s="13">
        <v>129.0</v>
      </c>
      <c r="D164" s="13">
        <v>1.0</v>
      </c>
      <c r="E164" s="244"/>
      <c r="F164" s="244"/>
    </row>
    <row r="165" ht="22.5" customHeight="1">
      <c r="A165" s="10" t="s">
        <v>1209</v>
      </c>
      <c r="B165" s="10" t="s">
        <v>125</v>
      </c>
      <c r="C165" s="13">
        <v>81.67</v>
      </c>
      <c r="D165" s="13">
        <v>3.0</v>
      </c>
      <c r="E165" s="244"/>
      <c r="F165" s="244"/>
    </row>
    <row r="166" ht="22.5" customHeight="1">
      <c r="A166" s="10" t="s">
        <v>279</v>
      </c>
      <c r="B166" s="10" t="s">
        <v>119</v>
      </c>
      <c r="C166" s="13">
        <v>300.0</v>
      </c>
      <c r="D166" s="13">
        <v>2.0</v>
      </c>
      <c r="E166" s="244"/>
      <c r="F166" s="244"/>
    </row>
    <row r="167" ht="22.5" customHeight="1">
      <c r="A167" s="10" t="s">
        <v>188</v>
      </c>
      <c r="B167" s="10" t="s">
        <v>31</v>
      </c>
      <c r="C167" s="13">
        <v>40.0</v>
      </c>
      <c r="D167" s="13">
        <v>2.0</v>
      </c>
      <c r="E167" s="244"/>
      <c r="F167" s="244"/>
    </row>
    <row r="168" ht="22.5" customHeight="1">
      <c r="A168" s="10" t="s">
        <v>1010</v>
      </c>
      <c r="B168" s="10" t="s">
        <v>51</v>
      </c>
      <c r="C168" s="13">
        <v>15.0</v>
      </c>
      <c r="D168" s="13">
        <v>10.0</v>
      </c>
      <c r="E168" s="244"/>
      <c r="F168" s="244"/>
    </row>
    <row r="169" ht="22.5" customHeight="1">
      <c r="A169" s="10" t="s">
        <v>1010</v>
      </c>
      <c r="B169" s="10" t="s">
        <v>436</v>
      </c>
      <c r="C169" s="13">
        <v>120.0</v>
      </c>
      <c r="D169" s="13">
        <v>3.0</v>
      </c>
      <c r="E169" s="244"/>
      <c r="F169" s="244"/>
    </row>
    <row r="170" ht="22.5" customHeight="1">
      <c r="A170" s="10" t="s">
        <v>753</v>
      </c>
      <c r="B170" s="6" t="s">
        <v>54</v>
      </c>
      <c r="C170" s="13">
        <v>7.083333333333333</v>
      </c>
      <c r="D170" s="13">
        <v>6.0</v>
      </c>
      <c r="E170" s="244"/>
      <c r="F170" s="244"/>
    </row>
    <row r="171" ht="22.5" customHeight="1">
      <c r="A171" s="10" t="s">
        <v>753</v>
      </c>
      <c r="B171" s="6" t="s">
        <v>54</v>
      </c>
      <c r="C171" s="13">
        <v>7.083333333333333</v>
      </c>
      <c r="D171" s="13">
        <v>3.0</v>
      </c>
      <c r="E171" s="244"/>
      <c r="F171" s="244"/>
    </row>
    <row r="172" ht="22.5" customHeight="1">
      <c r="A172" s="10" t="s">
        <v>4398</v>
      </c>
      <c r="B172" s="15"/>
      <c r="C172" s="13">
        <v>135.0</v>
      </c>
      <c r="D172" s="13">
        <v>1.0</v>
      </c>
      <c r="E172" s="244"/>
      <c r="F172" s="244"/>
    </row>
    <row r="173" ht="22.5" customHeight="1">
      <c r="A173" s="10" t="s">
        <v>391</v>
      </c>
      <c r="B173" s="10" t="s">
        <v>31</v>
      </c>
      <c r="C173" s="13">
        <v>85.0</v>
      </c>
      <c r="D173" s="13">
        <v>3.0</v>
      </c>
      <c r="E173" s="244"/>
      <c r="F173" s="244"/>
    </row>
    <row r="174" ht="22.5" customHeight="1">
      <c r="A174" s="10" t="s">
        <v>812</v>
      </c>
      <c r="B174" s="10" t="s">
        <v>154</v>
      </c>
      <c r="C174" s="13">
        <v>15.0</v>
      </c>
      <c r="D174" s="13">
        <v>9.0</v>
      </c>
      <c r="E174" s="244"/>
      <c r="F174" s="244"/>
    </row>
    <row r="175" ht="22.5" customHeight="1">
      <c r="A175" s="10" t="s">
        <v>837</v>
      </c>
      <c r="B175" s="10" t="s">
        <v>154</v>
      </c>
      <c r="C175" s="13">
        <v>17.0</v>
      </c>
      <c r="D175" s="13">
        <v>4.0</v>
      </c>
      <c r="E175" s="244"/>
      <c r="F175" s="244"/>
    </row>
    <row r="176" ht="22.5" customHeight="1">
      <c r="A176" s="10" t="s">
        <v>898</v>
      </c>
      <c r="B176" s="10" t="s">
        <v>154</v>
      </c>
      <c r="C176" s="13">
        <v>15.0</v>
      </c>
      <c r="D176" s="13">
        <v>57.0</v>
      </c>
      <c r="E176" s="244"/>
      <c r="F176" s="244"/>
    </row>
    <row r="177" ht="22.5" customHeight="1">
      <c r="A177" s="10" t="s">
        <v>586</v>
      </c>
      <c r="B177" s="10" t="s">
        <v>581</v>
      </c>
      <c r="C177" s="13">
        <v>34.0</v>
      </c>
      <c r="D177" s="13">
        <v>11.0</v>
      </c>
      <c r="E177" s="244"/>
      <c r="F177" s="244"/>
    </row>
    <row r="178" ht="22.5" customHeight="1">
      <c r="A178" s="10" t="s">
        <v>997</v>
      </c>
      <c r="B178" s="10" t="s">
        <v>119</v>
      </c>
      <c r="C178" s="13">
        <v>112.0</v>
      </c>
      <c r="D178" s="13">
        <v>2.0</v>
      </c>
      <c r="E178" s="244"/>
      <c r="F178" s="244"/>
    </row>
    <row r="179" ht="22.5" customHeight="1">
      <c r="A179" s="10" t="s">
        <v>1276</v>
      </c>
      <c r="B179" s="10" t="s">
        <v>119</v>
      </c>
      <c r="C179" s="13">
        <v>60.0</v>
      </c>
      <c r="D179" s="13">
        <v>4.0</v>
      </c>
      <c r="E179" s="244"/>
      <c r="F179" s="244"/>
    </row>
    <row r="180" ht="22.5" customHeight="1">
      <c r="A180" s="10" t="s">
        <v>260</v>
      </c>
      <c r="B180" s="10" t="s">
        <v>31</v>
      </c>
      <c r="C180" s="13">
        <v>170.0</v>
      </c>
      <c r="D180" s="13">
        <v>2.0</v>
      </c>
      <c r="E180" s="244"/>
      <c r="F180" s="244"/>
    </row>
    <row r="181" ht="22.5" customHeight="1">
      <c r="A181" s="10" t="s">
        <v>1004</v>
      </c>
      <c r="B181" s="10" t="s">
        <v>154</v>
      </c>
      <c r="C181" s="13">
        <v>65.0</v>
      </c>
      <c r="D181" s="13">
        <v>8.0</v>
      </c>
      <c r="E181" s="244"/>
      <c r="F181" s="244"/>
    </row>
    <row r="182" ht="22.5" customHeight="1">
      <c r="A182" s="10" t="s">
        <v>438</v>
      </c>
      <c r="B182" s="10" t="s">
        <v>154</v>
      </c>
      <c r="C182" s="13">
        <v>135.0</v>
      </c>
      <c r="D182" s="13">
        <v>6.0</v>
      </c>
      <c r="E182" s="244"/>
      <c r="F182" s="244"/>
    </row>
    <row r="183" ht="22.5" customHeight="1">
      <c r="A183" s="10" t="s">
        <v>588</v>
      </c>
      <c r="B183" s="10" t="s">
        <v>119</v>
      </c>
      <c r="C183" s="13">
        <v>115.0</v>
      </c>
      <c r="D183" s="13">
        <v>3.0</v>
      </c>
      <c r="E183" s="244"/>
      <c r="F183" s="244"/>
    </row>
    <row r="184" ht="22.5" customHeight="1">
      <c r="A184" s="10" t="s">
        <v>367</v>
      </c>
      <c r="B184" s="10" t="s">
        <v>119</v>
      </c>
      <c r="C184" s="13">
        <v>242.0</v>
      </c>
      <c r="D184" s="13">
        <v>5.0</v>
      </c>
      <c r="E184" s="244"/>
      <c r="F184" s="244"/>
    </row>
    <row r="185" ht="22.5" customHeight="1">
      <c r="A185" s="10" t="s">
        <v>349</v>
      </c>
      <c r="B185" s="10" t="s">
        <v>119</v>
      </c>
      <c r="C185" s="13">
        <v>250.0</v>
      </c>
      <c r="D185" s="13">
        <v>3.0</v>
      </c>
      <c r="E185" s="244"/>
      <c r="F185" s="244"/>
    </row>
    <row r="186" ht="22.5" customHeight="1">
      <c r="A186" s="10" t="s">
        <v>331</v>
      </c>
      <c r="B186" s="10" t="s">
        <v>119</v>
      </c>
      <c r="C186" s="13">
        <v>255.0</v>
      </c>
      <c r="D186" s="13">
        <v>5.0</v>
      </c>
      <c r="E186" s="244"/>
      <c r="F186" s="244"/>
    </row>
    <row r="187" ht="22.5" customHeight="1">
      <c r="A187" s="10" t="s">
        <v>1320</v>
      </c>
      <c r="B187" s="10" t="s">
        <v>51</v>
      </c>
      <c r="C187" s="13">
        <v>40.0</v>
      </c>
      <c r="D187" s="13">
        <v>6.0</v>
      </c>
      <c r="E187" s="244"/>
      <c r="F187" s="244"/>
    </row>
    <row r="188" ht="22.5" customHeight="1">
      <c r="A188" s="10" t="s">
        <v>415</v>
      </c>
      <c r="B188" s="10" t="s">
        <v>119</v>
      </c>
      <c r="C188" s="13">
        <v>225.0</v>
      </c>
      <c r="D188" s="13">
        <v>4.0</v>
      </c>
      <c r="E188" s="244"/>
      <c r="F188" s="244"/>
    </row>
    <row r="189" ht="22.5" customHeight="1">
      <c r="A189" s="10" t="s">
        <v>49</v>
      </c>
      <c r="B189" s="10" t="s">
        <v>51</v>
      </c>
      <c r="C189" s="13">
        <v>1100.0</v>
      </c>
      <c r="D189" s="13">
        <v>1.0</v>
      </c>
      <c r="E189" s="244"/>
      <c r="F189" s="244"/>
    </row>
    <row r="190" ht="22.5" customHeight="1">
      <c r="A190" s="10" t="s">
        <v>648</v>
      </c>
      <c r="B190" s="10" t="s">
        <v>154</v>
      </c>
      <c r="C190" s="13">
        <v>150.0</v>
      </c>
      <c r="D190" s="13">
        <v>1.0</v>
      </c>
      <c r="E190" s="244"/>
      <c r="F190" s="244"/>
    </row>
    <row r="191" ht="22.5" customHeight="1">
      <c r="A191" s="10" t="s">
        <v>655</v>
      </c>
      <c r="B191" s="10" t="s">
        <v>154</v>
      </c>
      <c r="C191" s="13">
        <v>150.0</v>
      </c>
      <c r="D191" s="13">
        <v>6.0</v>
      </c>
      <c r="E191" s="244"/>
      <c r="F191" s="244"/>
    </row>
    <row r="192" ht="22.5" customHeight="1">
      <c r="A192" s="10" t="s">
        <v>225</v>
      </c>
      <c r="B192" s="10" t="s">
        <v>31</v>
      </c>
      <c r="C192" s="13">
        <v>160.0</v>
      </c>
      <c r="D192" s="13">
        <v>5.0</v>
      </c>
      <c r="E192" s="244"/>
      <c r="F192" s="244"/>
    </row>
    <row r="193" ht="22.5" customHeight="1">
      <c r="A193" s="10" t="s">
        <v>250</v>
      </c>
      <c r="B193" s="10" t="s">
        <v>31</v>
      </c>
      <c r="C193" s="13">
        <v>145.0</v>
      </c>
      <c r="D193" s="13">
        <v>3.0</v>
      </c>
      <c r="E193" s="244"/>
      <c r="F193" s="244"/>
    </row>
    <row r="194" ht="22.5" customHeight="1">
      <c r="A194" s="10" t="s">
        <v>250</v>
      </c>
      <c r="B194" s="10" t="s">
        <v>436</v>
      </c>
      <c r="C194" s="13">
        <v>90.0</v>
      </c>
      <c r="D194" s="13">
        <v>4.0</v>
      </c>
      <c r="E194" s="244"/>
      <c r="F194" s="244"/>
    </row>
    <row r="195" ht="22.5" customHeight="1">
      <c r="A195" s="10" t="s">
        <v>200</v>
      </c>
      <c r="B195" s="10" t="s">
        <v>436</v>
      </c>
      <c r="C195" s="13">
        <v>120.0</v>
      </c>
      <c r="D195" s="13">
        <v>8.0</v>
      </c>
      <c r="E195" s="244"/>
      <c r="F195" s="244"/>
    </row>
    <row r="196" ht="22.5" customHeight="1">
      <c r="A196" s="10" t="s">
        <v>749</v>
      </c>
      <c r="B196" s="10" t="s">
        <v>436</v>
      </c>
      <c r="C196" s="13">
        <v>150.0</v>
      </c>
      <c r="D196" s="13">
        <v>2.0</v>
      </c>
      <c r="E196" s="244"/>
      <c r="F196" s="244"/>
    </row>
    <row r="197" ht="22.5" customHeight="1">
      <c r="A197" s="10" t="s">
        <v>106</v>
      </c>
      <c r="B197" s="10" t="s">
        <v>31</v>
      </c>
      <c r="C197" s="13">
        <v>189.29</v>
      </c>
      <c r="D197" s="13">
        <v>5.0</v>
      </c>
      <c r="E197" s="244"/>
      <c r="F197" s="244"/>
    </row>
    <row r="198" ht="22.5" customHeight="1">
      <c r="A198" s="10" t="s">
        <v>140</v>
      </c>
      <c r="B198" s="10" t="s">
        <v>31</v>
      </c>
      <c r="C198" s="13">
        <v>440.0</v>
      </c>
      <c r="D198" s="13">
        <v>2.0</v>
      </c>
      <c r="E198" s="244"/>
      <c r="F198" s="244"/>
    </row>
    <row r="199" ht="22.5" customHeight="1">
      <c r="A199" s="10" t="s">
        <v>161</v>
      </c>
      <c r="B199" s="10" t="s">
        <v>31</v>
      </c>
      <c r="C199" s="13">
        <v>400.0</v>
      </c>
      <c r="D199" s="13">
        <v>1.0</v>
      </c>
      <c r="E199" s="244"/>
      <c r="F199" s="244"/>
    </row>
    <row r="200" ht="22.5" customHeight="1">
      <c r="A200" s="10" t="s">
        <v>159</v>
      </c>
      <c r="B200" s="10" t="s">
        <v>154</v>
      </c>
      <c r="C200" s="13">
        <v>233.33</v>
      </c>
      <c r="D200" s="13">
        <v>3.0</v>
      </c>
      <c r="E200" s="244"/>
      <c r="F200" s="244"/>
    </row>
    <row r="201" ht="22.5" customHeight="1">
      <c r="A201" s="10" t="s">
        <v>46</v>
      </c>
      <c r="B201" s="6" t="s">
        <v>54</v>
      </c>
      <c r="C201" s="13">
        <v>92.5</v>
      </c>
      <c r="D201" s="13">
        <v>3.0</v>
      </c>
      <c r="E201" s="244"/>
      <c r="F201" s="244"/>
    </row>
    <row r="202" ht="22.5" customHeight="1">
      <c r="A202" s="10" t="s">
        <v>41</v>
      </c>
      <c r="B202" s="6" t="s">
        <v>54</v>
      </c>
      <c r="C202" s="13">
        <v>92.5</v>
      </c>
      <c r="D202" s="13">
        <v>2.0</v>
      </c>
      <c r="E202" s="244"/>
      <c r="F202" s="244"/>
    </row>
    <row r="203" ht="22.5" customHeight="1">
      <c r="A203" s="10" t="s">
        <v>36</v>
      </c>
      <c r="B203" s="10" t="s">
        <v>31</v>
      </c>
      <c r="C203" s="13">
        <v>95.0</v>
      </c>
      <c r="D203" s="13">
        <v>9.0</v>
      </c>
      <c r="E203" s="244"/>
      <c r="F203" s="244"/>
    </row>
    <row r="204" ht="22.5" customHeight="1">
      <c r="A204" s="10" t="s">
        <v>186</v>
      </c>
      <c r="B204" s="10" t="s">
        <v>31</v>
      </c>
      <c r="C204" s="13">
        <v>84.0</v>
      </c>
      <c r="D204" s="13">
        <v>18.0</v>
      </c>
      <c r="E204" s="244"/>
      <c r="F204" s="244"/>
    </row>
    <row r="205" ht="22.5" customHeight="1">
      <c r="A205" s="10" t="s">
        <v>111</v>
      </c>
      <c r="B205" s="10" t="s">
        <v>154</v>
      </c>
      <c r="C205" s="13">
        <v>200.0</v>
      </c>
      <c r="D205" s="13">
        <v>2.0</v>
      </c>
      <c r="E205" s="244"/>
      <c r="F205" s="244"/>
    </row>
    <row r="206" ht="22.5" customHeight="1">
      <c r="A206" s="10" t="s">
        <v>392</v>
      </c>
      <c r="B206" s="10" t="s">
        <v>31</v>
      </c>
      <c r="C206" s="13">
        <v>65.0</v>
      </c>
      <c r="D206" s="13">
        <v>8.0</v>
      </c>
      <c r="E206" s="244"/>
      <c r="F206" s="244"/>
    </row>
    <row r="207" ht="22.5" customHeight="1">
      <c r="A207" s="10" t="s">
        <v>131</v>
      </c>
      <c r="B207" s="10" t="s">
        <v>31</v>
      </c>
      <c r="C207" s="13">
        <v>475.0</v>
      </c>
      <c r="D207" s="13">
        <v>1.0</v>
      </c>
      <c r="E207" s="244"/>
      <c r="F207" s="244"/>
    </row>
    <row r="208" ht="22.5" customHeight="1">
      <c r="A208" s="10" t="s">
        <v>34</v>
      </c>
      <c r="B208" s="6" t="s">
        <v>54</v>
      </c>
      <c r="C208" s="13">
        <v>90.0</v>
      </c>
      <c r="D208" s="13">
        <v>4.0</v>
      </c>
      <c r="E208" s="244"/>
      <c r="F208" s="244"/>
    </row>
    <row r="209" ht="22.5" customHeight="1">
      <c r="A209" s="10" t="s">
        <v>38</v>
      </c>
      <c r="B209" s="6" t="s">
        <v>54</v>
      </c>
      <c r="C209" s="13">
        <v>174.29999999999998</v>
      </c>
      <c r="D209" s="13">
        <v>1.0</v>
      </c>
      <c r="E209" s="244"/>
      <c r="F209" s="244"/>
    </row>
    <row r="210" ht="22.5" customHeight="1">
      <c r="A210" s="10" t="s">
        <v>29</v>
      </c>
      <c r="B210" s="6" t="s">
        <v>54</v>
      </c>
      <c r="C210" s="13">
        <v>71.0</v>
      </c>
      <c r="D210" s="13">
        <v>1.0</v>
      </c>
      <c r="E210" s="244"/>
      <c r="F210" s="244"/>
    </row>
    <row r="211" ht="22.5" customHeight="1">
      <c r="A211" s="10" t="s">
        <v>29</v>
      </c>
      <c r="B211" s="6" t="s">
        <v>54</v>
      </c>
      <c r="C211" s="13">
        <v>71.66666666666667</v>
      </c>
      <c r="D211" s="13">
        <v>3.0</v>
      </c>
      <c r="E211" s="244"/>
      <c r="F211" s="244"/>
    </row>
    <row r="212" ht="22.5" customHeight="1">
      <c r="A212" s="10" t="s">
        <v>304</v>
      </c>
      <c r="B212" s="10" t="s">
        <v>31</v>
      </c>
      <c r="C212" s="13">
        <v>225.0</v>
      </c>
      <c r="D212" s="13">
        <v>1.0</v>
      </c>
      <c r="E212" s="244"/>
      <c r="F212" s="244"/>
    </row>
    <row r="213" ht="22.5" customHeight="1">
      <c r="A213" s="10" t="s">
        <v>128</v>
      </c>
      <c r="B213" s="10" t="s">
        <v>31</v>
      </c>
      <c r="C213" s="13">
        <v>275.0</v>
      </c>
      <c r="D213" s="13">
        <v>4.0</v>
      </c>
      <c r="E213" s="244"/>
      <c r="F213" s="244"/>
    </row>
    <row r="214" ht="22.5" customHeight="1">
      <c r="A214" s="10" t="s">
        <v>314</v>
      </c>
      <c r="B214" s="10" t="s">
        <v>31</v>
      </c>
      <c r="C214" s="13">
        <v>275.0</v>
      </c>
      <c r="D214" s="13">
        <v>3.0</v>
      </c>
      <c r="E214" s="244"/>
      <c r="F214" s="244"/>
    </row>
    <row r="215" ht="22.5" customHeight="1">
      <c r="A215" s="10" t="s">
        <v>83</v>
      </c>
      <c r="B215" s="10" t="s">
        <v>31</v>
      </c>
      <c r="C215" s="13">
        <v>175.0</v>
      </c>
      <c r="D215" s="13">
        <v>3.0</v>
      </c>
      <c r="E215" s="244"/>
      <c r="F215" s="244"/>
    </row>
    <row r="216" ht="22.5" customHeight="1">
      <c r="A216" s="10" t="s">
        <v>261</v>
      </c>
      <c r="B216" s="10" t="s">
        <v>31</v>
      </c>
      <c r="C216" s="13">
        <v>310.0</v>
      </c>
      <c r="D216" s="13">
        <v>1.0</v>
      </c>
      <c r="E216" s="244"/>
      <c r="F216" s="244"/>
    </row>
    <row r="217" ht="22.5" customHeight="1">
      <c r="A217" s="10" t="s">
        <v>78</v>
      </c>
      <c r="B217" s="10" t="s">
        <v>31</v>
      </c>
      <c r="C217" s="13">
        <v>725.0</v>
      </c>
      <c r="D217" s="13">
        <v>1.0</v>
      </c>
      <c r="E217" s="244"/>
      <c r="F217" s="244"/>
    </row>
    <row r="218" ht="22.5" customHeight="1">
      <c r="A218" s="10" t="s">
        <v>114</v>
      </c>
      <c r="B218" s="10" t="s">
        <v>51</v>
      </c>
      <c r="C218" s="13">
        <v>500.0</v>
      </c>
      <c r="D218" s="13">
        <v>1.0</v>
      </c>
      <c r="E218" s="244"/>
      <c r="F218" s="244"/>
    </row>
    <row r="219" ht="22.5" customHeight="1">
      <c r="A219" s="10" t="s">
        <v>274</v>
      </c>
      <c r="B219" s="10" t="s">
        <v>31</v>
      </c>
      <c r="C219" s="13">
        <v>225.0</v>
      </c>
      <c r="D219" s="13">
        <v>3.0</v>
      </c>
      <c r="E219" s="244"/>
      <c r="F219" s="244"/>
    </row>
    <row r="220" ht="22.5" customHeight="1">
      <c r="A220" s="10" t="s">
        <v>175</v>
      </c>
      <c r="B220" s="10" t="s">
        <v>31</v>
      </c>
      <c r="C220" s="13">
        <v>375.0</v>
      </c>
      <c r="D220" s="13">
        <v>1.0</v>
      </c>
      <c r="E220" s="244"/>
      <c r="F220" s="244"/>
    </row>
    <row r="221" ht="22.5" customHeight="1">
      <c r="A221" s="10" t="s">
        <v>142</v>
      </c>
      <c r="B221" s="10" t="s">
        <v>51</v>
      </c>
      <c r="C221" s="13">
        <v>300.0</v>
      </c>
      <c r="D221" s="13">
        <v>1.0</v>
      </c>
      <c r="E221" s="244"/>
      <c r="F221" s="244"/>
    </row>
    <row r="222" ht="22.5" customHeight="1">
      <c r="A222" s="10" t="s">
        <v>100</v>
      </c>
      <c r="B222" s="10" t="s">
        <v>154</v>
      </c>
      <c r="C222" s="13">
        <v>412.5</v>
      </c>
      <c r="D222" s="13">
        <v>4.0</v>
      </c>
      <c r="E222" s="244"/>
      <c r="F222" s="244"/>
    </row>
    <row r="223" ht="22.5" customHeight="1">
      <c r="A223" s="10" t="s">
        <v>244</v>
      </c>
      <c r="B223" s="10" t="s">
        <v>31</v>
      </c>
      <c r="C223" s="13">
        <v>210.0</v>
      </c>
      <c r="D223" s="13">
        <v>3.0</v>
      </c>
      <c r="E223" s="244"/>
      <c r="F223" s="244"/>
    </row>
    <row r="224" ht="22.5" customHeight="1">
      <c r="A224" s="10" t="s">
        <v>71</v>
      </c>
      <c r="B224" s="6" t="s">
        <v>54</v>
      </c>
      <c r="C224" s="13">
        <v>330.0</v>
      </c>
      <c r="D224" s="13">
        <v>1.0</v>
      </c>
      <c r="E224" s="244"/>
      <c r="F224" s="244"/>
    </row>
    <row r="225" ht="22.5" customHeight="1">
      <c r="A225" s="10" t="s">
        <v>77</v>
      </c>
      <c r="B225" s="6" t="s">
        <v>54</v>
      </c>
      <c r="C225" s="13">
        <v>315.0</v>
      </c>
      <c r="D225" s="13">
        <v>1.0</v>
      </c>
      <c r="E225" s="244"/>
      <c r="F225" s="244"/>
    </row>
    <row r="226" ht="22.5" customHeight="1">
      <c r="A226" s="10" t="s">
        <v>352</v>
      </c>
      <c r="B226" s="10" t="s">
        <v>31</v>
      </c>
      <c r="C226" s="13">
        <v>32.0</v>
      </c>
      <c r="D226" s="13">
        <v>14.0</v>
      </c>
      <c r="E226" s="244"/>
      <c r="F226" s="244"/>
    </row>
    <row r="227" ht="22.5" customHeight="1">
      <c r="A227" s="10" t="s">
        <v>333</v>
      </c>
      <c r="B227" s="10" t="s">
        <v>31</v>
      </c>
      <c r="C227" s="13">
        <v>210.0</v>
      </c>
      <c r="D227" s="13">
        <v>2.0</v>
      </c>
      <c r="E227" s="244"/>
      <c r="F227" s="244"/>
    </row>
    <row r="228" ht="22.5" customHeight="1">
      <c r="A228" s="10" t="s">
        <v>182</v>
      </c>
      <c r="B228" s="10" t="s">
        <v>31</v>
      </c>
      <c r="C228" s="13">
        <v>355.0</v>
      </c>
      <c r="D228" s="13">
        <v>2.0</v>
      </c>
      <c r="E228" s="244"/>
      <c r="F228" s="244"/>
    </row>
    <row r="229" ht="22.5" customHeight="1">
      <c r="A229" s="10" t="s">
        <v>1347</v>
      </c>
      <c r="B229" s="10" t="s">
        <v>51</v>
      </c>
      <c r="C229" s="13">
        <v>12.5</v>
      </c>
      <c r="D229" s="13">
        <v>12.0</v>
      </c>
      <c r="E229" s="244"/>
      <c r="F229" s="244"/>
    </row>
    <row r="230" ht="22.5" customHeight="1">
      <c r="A230" s="10" t="s">
        <v>540</v>
      </c>
      <c r="B230" s="10" t="s">
        <v>119</v>
      </c>
      <c r="C230" s="13">
        <v>11.13</v>
      </c>
      <c r="D230" s="13">
        <v>40.0</v>
      </c>
      <c r="E230" s="244"/>
      <c r="F230" s="244"/>
    </row>
    <row r="231" ht="22.5" customHeight="1">
      <c r="A231" s="10" t="s">
        <v>856</v>
      </c>
      <c r="B231" s="10" t="s">
        <v>119</v>
      </c>
      <c r="C231" s="13">
        <v>4.58</v>
      </c>
      <c r="D231" s="13">
        <v>15.0</v>
      </c>
      <c r="E231" s="244"/>
      <c r="F231" s="244"/>
    </row>
    <row r="232" ht="22.5" customHeight="1">
      <c r="A232" s="10" t="s">
        <v>496</v>
      </c>
      <c r="B232" s="10" t="s">
        <v>119</v>
      </c>
      <c r="C232" s="13">
        <v>7.2</v>
      </c>
      <c r="D232" s="13">
        <v>41.0</v>
      </c>
      <c r="E232" s="244"/>
      <c r="F232" s="244"/>
    </row>
    <row r="233" ht="22.5" customHeight="1">
      <c r="A233" s="10" t="s">
        <v>572</v>
      </c>
      <c r="B233" s="10" t="s">
        <v>119</v>
      </c>
      <c r="C233" s="13">
        <v>4.38</v>
      </c>
      <c r="D233" s="13">
        <v>26.0</v>
      </c>
      <c r="E233" s="244"/>
      <c r="F233" s="244"/>
    </row>
    <row r="234" ht="22.5" customHeight="1">
      <c r="A234" s="10" t="s">
        <v>580</v>
      </c>
      <c r="B234" s="10" t="s">
        <v>119</v>
      </c>
      <c r="C234" s="13">
        <v>43.75</v>
      </c>
      <c r="D234" s="13">
        <v>1.0</v>
      </c>
      <c r="E234" s="244"/>
      <c r="F234" s="244"/>
    </row>
    <row r="235" ht="22.5" customHeight="1">
      <c r="A235" s="10" t="s">
        <v>758</v>
      </c>
      <c r="B235" s="10" t="s">
        <v>119</v>
      </c>
      <c r="C235" s="13">
        <v>31.25</v>
      </c>
      <c r="D235" s="13">
        <v>12.0</v>
      </c>
      <c r="E235" s="244"/>
      <c r="F235" s="244"/>
    </row>
    <row r="236" ht="22.5" customHeight="1">
      <c r="A236" s="10" t="s">
        <v>575</v>
      </c>
      <c r="B236" s="10" t="s">
        <v>119</v>
      </c>
      <c r="C236" s="13">
        <v>4.5</v>
      </c>
      <c r="D236" s="13">
        <v>5.0</v>
      </c>
      <c r="E236" s="244"/>
      <c r="F236" s="244"/>
    </row>
    <row r="237" ht="22.5" customHeight="1">
      <c r="A237" s="10" t="s">
        <v>69</v>
      </c>
      <c r="B237" s="10" t="s">
        <v>31</v>
      </c>
      <c r="C237" s="13">
        <v>750.0</v>
      </c>
      <c r="D237" s="13">
        <v>1.0</v>
      </c>
      <c r="E237" s="244"/>
      <c r="F237" s="244"/>
    </row>
    <row r="238" ht="22.5" customHeight="1">
      <c r="A238" s="10" t="s">
        <v>229</v>
      </c>
      <c r="B238" s="10" t="s">
        <v>31</v>
      </c>
      <c r="C238" s="13">
        <v>155.0</v>
      </c>
      <c r="D238" s="13">
        <v>2.0</v>
      </c>
      <c r="E238" s="244"/>
      <c r="F238" s="244"/>
    </row>
    <row r="239" ht="22.5" customHeight="1">
      <c r="A239" s="10" t="s">
        <v>153</v>
      </c>
      <c r="B239" s="10" t="s">
        <v>31</v>
      </c>
      <c r="C239" s="13">
        <v>211.67</v>
      </c>
      <c r="D239" s="13">
        <v>2.0</v>
      </c>
      <c r="E239" s="244"/>
      <c r="F239" s="244"/>
    </row>
    <row r="240" ht="22.5" customHeight="1">
      <c r="A240" s="10" t="s">
        <v>249</v>
      </c>
      <c r="B240" s="10" t="s">
        <v>31</v>
      </c>
      <c r="C240" s="13">
        <v>325.0</v>
      </c>
      <c r="D240" s="13">
        <v>2.0</v>
      </c>
      <c r="E240" s="244"/>
      <c r="F240" s="244"/>
    </row>
    <row r="241" ht="22.5" customHeight="1">
      <c r="A241" s="10" t="s">
        <v>85</v>
      </c>
      <c r="B241" s="10" t="s">
        <v>31</v>
      </c>
      <c r="C241" s="13">
        <v>598.33</v>
      </c>
      <c r="D241" s="13">
        <v>1.0</v>
      </c>
      <c r="E241" s="244"/>
      <c r="F241" s="244"/>
    </row>
    <row r="242" ht="22.5" customHeight="1">
      <c r="A242" s="10" t="s">
        <v>993</v>
      </c>
      <c r="B242" s="10" t="s">
        <v>119</v>
      </c>
      <c r="C242" s="13">
        <v>19.5</v>
      </c>
      <c r="D242" s="13">
        <v>12.0</v>
      </c>
      <c r="E242" s="244"/>
      <c r="F242" s="244"/>
    </row>
    <row r="243" ht="22.5" customHeight="1">
      <c r="A243" s="10" t="s">
        <v>673</v>
      </c>
      <c r="B243" s="10" t="s">
        <v>119</v>
      </c>
      <c r="C243" s="13">
        <v>6.75</v>
      </c>
      <c r="D243" s="13">
        <v>8.0</v>
      </c>
      <c r="E243" s="244"/>
      <c r="F243" s="244"/>
    </row>
    <row r="244" ht="22.5" customHeight="1">
      <c r="A244" s="10" t="s">
        <v>1019</v>
      </c>
      <c r="B244" s="10" t="s">
        <v>119</v>
      </c>
      <c r="C244" s="13">
        <v>10.0</v>
      </c>
      <c r="D244" s="13">
        <v>12.0</v>
      </c>
      <c r="E244" s="244"/>
      <c r="F244" s="244"/>
    </row>
    <row r="245" ht="22.5" customHeight="1">
      <c r="A245" s="10" t="s">
        <v>1030</v>
      </c>
      <c r="B245" s="10" t="s">
        <v>119</v>
      </c>
      <c r="C245" s="13">
        <v>8.33</v>
      </c>
      <c r="D245" s="13">
        <v>11.0</v>
      </c>
      <c r="E245" s="244"/>
      <c r="F245" s="244"/>
    </row>
    <row r="246" ht="22.5" customHeight="1">
      <c r="A246" s="10" t="s">
        <v>882</v>
      </c>
      <c r="B246" s="10" t="s">
        <v>119</v>
      </c>
      <c r="C246" s="13">
        <v>12.5</v>
      </c>
      <c r="D246" s="13">
        <v>9.0</v>
      </c>
      <c r="E246" s="244"/>
      <c r="F246" s="244"/>
    </row>
    <row r="247" ht="22.5" customHeight="1">
      <c r="A247" s="10" t="s">
        <v>429</v>
      </c>
      <c r="B247" s="10" t="s">
        <v>31</v>
      </c>
      <c r="C247" s="13">
        <v>220.0</v>
      </c>
      <c r="D247" s="13">
        <v>3.0</v>
      </c>
      <c r="E247" s="244"/>
      <c r="F247" s="244"/>
    </row>
    <row r="248" ht="22.5" customHeight="1">
      <c r="A248" s="10" t="s">
        <v>206</v>
      </c>
      <c r="B248" s="10" t="s">
        <v>31</v>
      </c>
      <c r="C248" s="13">
        <v>155.0</v>
      </c>
      <c r="D248" s="13">
        <v>1.0</v>
      </c>
      <c r="E248" s="244"/>
      <c r="F248" s="244"/>
    </row>
    <row r="249" ht="22.5" customHeight="1">
      <c r="A249" s="10" t="s">
        <v>187</v>
      </c>
      <c r="B249" s="10" t="s">
        <v>136</v>
      </c>
      <c r="C249" s="13">
        <v>350.0</v>
      </c>
      <c r="D249" s="13">
        <v>9.0</v>
      </c>
      <c r="E249" s="244"/>
      <c r="F249" s="244"/>
    </row>
    <row r="250" ht="22.5" customHeight="1">
      <c r="A250" s="10" t="s">
        <v>135</v>
      </c>
      <c r="B250" s="10" t="s">
        <v>136</v>
      </c>
      <c r="C250" s="13">
        <v>450.0</v>
      </c>
      <c r="D250" s="13">
        <v>12.0</v>
      </c>
      <c r="E250" s="244"/>
      <c r="F250" s="244"/>
    </row>
    <row r="251" ht="22.5" customHeight="1">
      <c r="A251" s="10" t="s">
        <v>235</v>
      </c>
      <c r="B251" s="10" t="s">
        <v>31</v>
      </c>
      <c r="C251" s="13">
        <v>75.0</v>
      </c>
      <c r="D251" s="13">
        <v>1.0</v>
      </c>
      <c r="E251" s="244"/>
      <c r="F251" s="244"/>
    </row>
    <row r="252" ht="22.5" customHeight="1">
      <c r="A252" s="10" t="s">
        <v>1079</v>
      </c>
      <c r="B252" s="10" t="s">
        <v>154</v>
      </c>
      <c r="C252" s="13">
        <v>90.0</v>
      </c>
      <c r="D252" s="13">
        <v>1.0</v>
      </c>
      <c r="E252" s="244"/>
      <c r="F252" s="244"/>
    </row>
    <row r="253" ht="22.5" customHeight="1">
      <c r="A253" s="10" t="s">
        <v>216</v>
      </c>
      <c r="B253" s="10" t="s">
        <v>51</v>
      </c>
      <c r="C253" s="13">
        <v>50.0</v>
      </c>
      <c r="D253" s="13">
        <v>3.4</v>
      </c>
      <c r="E253" s="244"/>
      <c r="F253" s="244"/>
    </row>
    <row r="254" ht="22.5" customHeight="1">
      <c r="A254" s="10" t="s">
        <v>1370</v>
      </c>
      <c r="B254" s="10" t="s">
        <v>125</v>
      </c>
      <c r="C254" s="13">
        <v>3.75</v>
      </c>
      <c r="D254" s="13">
        <v>7.0</v>
      </c>
      <c r="E254" s="244"/>
      <c r="F254" s="244"/>
    </row>
    <row r="255" ht="22.5" customHeight="1">
      <c r="A255" s="10" t="s">
        <v>1368</v>
      </c>
      <c r="B255" s="10" t="s">
        <v>125</v>
      </c>
      <c r="C255" s="13">
        <v>2.25</v>
      </c>
      <c r="D255" s="13">
        <v>45.0</v>
      </c>
      <c r="E255" s="244"/>
      <c r="F255" s="244"/>
    </row>
    <row r="256" ht="22.5" customHeight="1">
      <c r="A256" s="10" t="s">
        <v>139</v>
      </c>
      <c r="B256" s="10" t="s">
        <v>31</v>
      </c>
      <c r="C256" s="13">
        <v>110.0</v>
      </c>
      <c r="D256" s="13">
        <v>2.0</v>
      </c>
      <c r="E256" s="244"/>
      <c r="F256" s="244"/>
    </row>
    <row r="257" ht="22.5" customHeight="1">
      <c r="A257" s="10" t="s">
        <v>652</v>
      </c>
      <c r="B257" s="10" t="s">
        <v>31</v>
      </c>
      <c r="C257" s="13">
        <v>70.0</v>
      </c>
      <c r="D257" s="13">
        <v>2.0</v>
      </c>
      <c r="E257" s="244"/>
      <c r="F257" s="244"/>
    </row>
    <row r="258" ht="22.5" customHeight="1">
      <c r="A258" s="10" t="s">
        <v>75</v>
      </c>
      <c r="B258" s="10" t="s">
        <v>31</v>
      </c>
      <c r="C258" s="13">
        <v>725.0</v>
      </c>
      <c r="D258" s="13">
        <v>1.0</v>
      </c>
      <c r="E258" s="244"/>
      <c r="F258" s="244"/>
    </row>
    <row r="259" ht="22.5" customHeight="1">
      <c r="A259" s="10" t="s">
        <v>105</v>
      </c>
      <c r="B259" s="10" t="s">
        <v>31</v>
      </c>
      <c r="C259" s="13">
        <v>525.0</v>
      </c>
      <c r="D259" s="13">
        <v>1.0</v>
      </c>
      <c r="E259" s="244"/>
      <c r="F259" s="244"/>
    </row>
    <row r="260" ht="22.5" customHeight="1">
      <c r="A260" s="10" t="s">
        <v>505</v>
      </c>
      <c r="B260" s="10" t="s">
        <v>576</v>
      </c>
      <c r="C260" s="13">
        <v>165.0</v>
      </c>
      <c r="D260" s="13">
        <v>8.0</v>
      </c>
      <c r="E260" s="244"/>
      <c r="F260" s="244"/>
    </row>
    <row r="261" ht="22.5" customHeight="1">
      <c r="A261" s="10" t="s">
        <v>168</v>
      </c>
      <c r="B261" s="10" t="s">
        <v>154</v>
      </c>
      <c r="C261" s="13">
        <v>110.0</v>
      </c>
      <c r="D261" s="13">
        <v>6.0</v>
      </c>
      <c r="E261" s="244"/>
      <c r="F261" s="244"/>
    </row>
    <row r="262" ht="22.5" customHeight="1">
      <c r="A262" s="10" t="s">
        <v>162</v>
      </c>
      <c r="B262" s="10" t="s">
        <v>31</v>
      </c>
      <c r="C262" s="13">
        <v>125.0</v>
      </c>
      <c r="D262" s="13">
        <v>1.0</v>
      </c>
      <c r="E262" s="244"/>
      <c r="F262" s="244"/>
    </row>
    <row r="263" ht="22.5" customHeight="1">
      <c r="A263" s="10" t="s">
        <v>82</v>
      </c>
      <c r="B263" s="10" t="s">
        <v>31</v>
      </c>
      <c r="C263" s="13">
        <v>325.0</v>
      </c>
      <c r="D263" s="13">
        <v>1.0</v>
      </c>
      <c r="E263" s="244"/>
      <c r="F263" s="244"/>
    </row>
    <row r="264" ht="22.5" customHeight="1">
      <c r="A264" s="10" t="s">
        <v>87</v>
      </c>
      <c r="B264" s="10" t="s">
        <v>31</v>
      </c>
      <c r="C264" s="13">
        <v>300.0</v>
      </c>
      <c r="D264" s="13">
        <v>1.0</v>
      </c>
      <c r="E264" s="244"/>
      <c r="F264" s="244"/>
    </row>
    <row r="265" ht="22.5" customHeight="1">
      <c r="A265" s="10" t="s">
        <v>76</v>
      </c>
      <c r="B265" s="10" t="s">
        <v>31</v>
      </c>
      <c r="C265" s="13">
        <v>415.0</v>
      </c>
      <c r="D265" s="13">
        <v>1.0</v>
      </c>
      <c r="E265" s="244"/>
      <c r="F265" s="244"/>
    </row>
    <row r="266" ht="22.5" customHeight="1">
      <c r="A266" s="10" t="s">
        <v>577</v>
      </c>
      <c r="B266" s="10" t="s">
        <v>125</v>
      </c>
      <c r="C266" s="13">
        <v>175.0</v>
      </c>
      <c r="D266" s="13">
        <v>1.0</v>
      </c>
      <c r="E266" s="244"/>
      <c r="F266" s="244"/>
    </row>
    <row r="267" ht="22.5" customHeight="1">
      <c r="A267" s="10" t="s">
        <v>272</v>
      </c>
      <c r="B267" s="10" t="s">
        <v>31</v>
      </c>
      <c r="C267" s="13">
        <v>300.0</v>
      </c>
      <c r="D267" s="13">
        <v>1.0</v>
      </c>
      <c r="E267" s="244"/>
      <c r="F267" s="244"/>
    </row>
    <row r="268" ht="22.5" customHeight="1">
      <c r="A268" s="10" t="s">
        <v>908</v>
      </c>
      <c r="B268" s="10" t="s">
        <v>154</v>
      </c>
      <c r="C268" s="13">
        <v>35.0</v>
      </c>
      <c r="D268" s="13">
        <v>10.028571428571428</v>
      </c>
      <c r="E268" s="244"/>
      <c r="F268" s="244"/>
    </row>
    <row r="269" ht="22.5" customHeight="1">
      <c r="A269" s="10" t="s">
        <v>208</v>
      </c>
      <c r="B269" s="10" t="s">
        <v>51</v>
      </c>
      <c r="C269" s="13">
        <v>175.0</v>
      </c>
      <c r="D269" s="13">
        <v>4.0</v>
      </c>
      <c r="E269" s="244"/>
      <c r="F269" s="244"/>
    </row>
    <row r="270" ht="22.5" customHeight="1">
      <c r="A270" s="10" t="s">
        <v>1073</v>
      </c>
      <c r="B270" s="10" t="s">
        <v>119</v>
      </c>
      <c r="C270" s="13">
        <v>106.0</v>
      </c>
      <c r="D270" s="13">
        <v>1.0</v>
      </c>
      <c r="E270" s="244"/>
      <c r="F270" s="244"/>
    </row>
    <row r="271" ht="22.5" customHeight="1">
      <c r="A271" s="10" t="s">
        <v>973</v>
      </c>
      <c r="B271" s="10" t="s">
        <v>125</v>
      </c>
      <c r="C271" s="13">
        <v>125.0</v>
      </c>
      <c r="D271" s="13">
        <v>2.0</v>
      </c>
      <c r="E271" s="244"/>
      <c r="F271" s="244"/>
    </row>
    <row r="272" ht="22.5" customHeight="1">
      <c r="A272" s="10" t="s">
        <v>353</v>
      </c>
      <c r="B272" s="10" t="s">
        <v>125</v>
      </c>
      <c r="C272" s="13">
        <v>250.0</v>
      </c>
      <c r="D272" s="13">
        <v>3.0</v>
      </c>
      <c r="E272" s="244"/>
      <c r="F272" s="244"/>
    </row>
    <row r="273" ht="22.5" customHeight="1">
      <c r="A273" s="10" t="s">
        <v>861</v>
      </c>
      <c r="B273" s="15"/>
      <c r="C273" s="13">
        <v>23.33</v>
      </c>
      <c r="D273" s="13">
        <v>6.0</v>
      </c>
      <c r="E273" s="244"/>
      <c r="F273" s="244"/>
    </row>
    <row r="274" ht="22.5" customHeight="1">
      <c r="A274" s="10" t="s">
        <v>788</v>
      </c>
      <c r="B274" s="10" t="s">
        <v>154</v>
      </c>
      <c r="C274" s="13">
        <v>88.75</v>
      </c>
      <c r="D274" s="13">
        <v>2.0</v>
      </c>
      <c r="E274" s="244"/>
      <c r="F274" s="244"/>
    </row>
    <row r="275" ht="22.5" customHeight="1">
      <c r="A275" s="10" t="s">
        <v>268</v>
      </c>
      <c r="B275" s="10" t="s">
        <v>154</v>
      </c>
      <c r="C275" s="13">
        <v>178.75</v>
      </c>
      <c r="D275" s="13">
        <v>5.0</v>
      </c>
      <c r="E275" s="244"/>
      <c r="F275" s="244"/>
    </row>
    <row r="276" ht="22.5" customHeight="1">
      <c r="A276" s="10" t="s">
        <v>67</v>
      </c>
      <c r="B276" s="10" t="s">
        <v>31</v>
      </c>
      <c r="C276" s="13">
        <v>725.0</v>
      </c>
      <c r="D276" s="13">
        <v>1.0</v>
      </c>
      <c r="E276" s="244"/>
      <c r="F276" s="244"/>
    </row>
    <row r="277" ht="22.5" customHeight="1">
      <c r="A277" s="10" t="s">
        <v>92</v>
      </c>
      <c r="B277" s="10" t="s">
        <v>31</v>
      </c>
      <c r="C277" s="13">
        <v>295.0</v>
      </c>
      <c r="D277" s="13">
        <v>2.0</v>
      </c>
      <c r="E277" s="244"/>
      <c r="F277" s="244"/>
    </row>
    <row r="278" ht="22.5" customHeight="1">
      <c r="A278" s="10" t="s">
        <v>412</v>
      </c>
      <c r="B278" s="10" t="s">
        <v>31</v>
      </c>
      <c r="C278" s="13">
        <v>195.0</v>
      </c>
      <c r="D278" s="13">
        <v>3.0</v>
      </c>
      <c r="E278" s="244"/>
      <c r="F278" s="244"/>
    </row>
    <row r="279" ht="22.5" customHeight="1">
      <c r="A279" s="10" t="s">
        <v>285</v>
      </c>
      <c r="B279" s="10" t="s">
        <v>51</v>
      </c>
      <c r="C279" s="13">
        <v>300.0</v>
      </c>
      <c r="D279" s="13">
        <v>2.0</v>
      </c>
      <c r="E279" s="244"/>
      <c r="F279" s="244"/>
    </row>
    <row r="280" ht="22.5" customHeight="1">
      <c r="A280" s="10" t="s">
        <v>345</v>
      </c>
      <c r="B280" s="10" t="s">
        <v>154</v>
      </c>
      <c r="C280" s="13">
        <v>250.0</v>
      </c>
      <c r="D280" s="13">
        <v>2.0</v>
      </c>
      <c r="E280" s="244"/>
      <c r="F280" s="244"/>
    </row>
    <row r="281" ht="22.5" customHeight="1">
      <c r="A281" s="10" t="s">
        <v>166</v>
      </c>
      <c r="B281" s="10" t="s">
        <v>154</v>
      </c>
      <c r="C281" s="13">
        <v>400.0</v>
      </c>
      <c r="D281" s="13">
        <v>3.0</v>
      </c>
      <c r="E281" s="244"/>
      <c r="F281" s="244"/>
    </row>
    <row r="282" ht="22.5" customHeight="1">
      <c r="A282" s="10" t="s">
        <v>275</v>
      </c>
      <c r="B282" s="10" t="s">
        <v>154</v>
      </c>
      <c r="C282" s="13">
        <v>300.0</v>
      </c>
      <c r="D282" s="13">
        <v>2.0</v>
      </c>
      <c r="E282" s="244"/>
      <c r="F282" s="244"/>
    </row>
    <row r="283" ht="22.5" customHeight="1">
      <c r="A283" s="10" t="s">
        <v>407</v>
      </c>
      <c r="B283" s="10" t="s">
        <v>31</v>
      </c>
      <c r="C283" s="13">
        <v>192.5</v>
      </c>
      <c r="D283" s="13">
        <v>2.0</v>
      </c>
      <c r="E283" s="244"/>
      <c r="F283" s="244"/>
    </row>
    <row r="284" ht="22.5" customHeight="1">
      <c r="A284" s="10" t="s">
        <v>768</v>
      </c>
      <c r="B284" s="10" t="s">
        <v>31</v>
      </c>
      <c r="C284" s="13">
        <v>30.0</v>
      </c>
      <c r="D284" s="13">
        <v>6.0</v>
      </c>
      <c r="E284" s="244"/>
      <c r="F284" s="244"/>
    </row>
    <row r="285" ht="22.5" customHeight="1">
      <c r="A285" s="10" t="s">
        <v>511</v>
      </c>
      <c r="B285" s="10" t="s">
        <v>31</v>
      </c>
      <c r="C285" s="13">
        <v>40.0</v>
      </c>
      <c r="D285" s="13">
        <v>2.0</v>
      </c>
      <c r="E285" s="244"/>
      <c r="F285" s="244"/>
    </row>
    <row r="286" ht="22.5" customHeight="1">
      <c r="A286" s="10" t="s">
        <v>325</v>
      </c>
      <c r="B286" s="10" t="s">
        <v>31</v>
      </c>
      <c r="C286" s="13">
        <v>95.0</v>
      </c>
      <c r="D286" s="13">
        <v>2.0</v>
      </c>
      <c r="E286" s="244"/>
      <c r="F286" s="244"/>
    </row>
    <row r="287" ht="22.5" customHeight="1">
      <c r="A287" s="10" t="s">
        <v>121</v>
      </c>
      <c r="B287" s="10" t="s">
        <v>31</v>
      </c>
      <c r="C287" s="13">
        <v>175.0</v>
      </c>
      <c r="D287" s="13">
        <v>4.0</v>
      </c>
      <c r="E287" s="244"/>
      <c r="F287" s="244"/>
    </row>
    <row r="288" ht="22.5" customHeight="1">
      <c r="A288" s="10" t="s">
        <v>322</v>
      </c>
      <c r="B288" s="10" t="s">
        <v>31</v>
      </c>
      <c r="C288" s="13">
        <v>75.0</v>
      </c>
      <c r="D288" s="13">
        <v>2.0</v>
      </c>
      <c r="E288" s="244"/>
      <c r="F288" s="244"/>
    </row>
    <row r="289" ht="22.5" customHeight="1">
      <c r="A289" s="10" t="s">
        <v>157</v>
      </c>
      <c r="B289" s="10" t="s">
        <v>31</v>
      </c>
      <c r="C289" s="13">
        <v>120.0</v>
      </c>
      <c r="D289" s="13">
        <v>1.0</v>
      </c>
      <c r="E289" s="244"/>
      <c r="F289" s="244"/>
    </row>
    <row r="290" ht="22.5" customHeight="1">
      <c r="A290" s="10" t="s">
        <v>152</v>
      </c>
      <c r="B290" s="10" t="s">
        <v>31</v>
      </c>
      <c r="C290" s="13">
        <v>125.0</v>
      </c>
      <c r="D290" s="13">
        <v>3.0</v>
      </c>
      <c r="E290" s="244"/>
      <c r="F290" s="244"/>
    </row>
    <row r="291" ht="22.5" customHeight="1">
      <c r="A291" s="10" t="s">
        <v>104</v>
      </c>
      <c r="B291" s="10" t="s">
        <v>31</v>
      </c>
      <c r="C291" s="13">
        <v>180.0</v>
      </c>
      <c r="D291" s="13">
        <v>1.0</v>
      </c>
      <c r="E291" s="244"/>
      <c r="F291" s="244"/>
    </row>
    <row r="292" ht="22.5" customHeight="1">
      <c r="A292" s="10" t="s">
        <v>451</v>
      </c>
      <c r="B292" s="10" t="s">
        <v>125</v>
      </c>
      <c r="C292" s="13">
        <v>75.0</v>
      </c>
      <c r="D292" s="13">
        <v>2.0</v>
      </c>
      <c r="E292" s="244"/>
      <c r="F292" s="244"/>
    </row>
    <row r="293" ht="22.5" customHeight="1">
      <c r="A293" s="10" t="s">
        <v>1242</v>
      </c>
      <c r="B293" s="10" t="s">
        <v>125</v>
      </c>
      <c r="C293" s="13">
        <v>52.0</v>
      </c>
      <c r="D293" s="13">
        <v>2.0</v>
      </c>
      <c r="E293" s="244"/>
      <c r="F293" s="244"/>
    </row>
    <row r="294" ht="22.5" customHeight="1">
      <c r="A294" s="10" t="s">
        <v>445</v>
      </c>
      <c r="B294" s="10" t="s">
        <v>119</v>
      </c>
      <c r="C294" s="13">
        <v>52.0</v>
      </c>
      <c r="D294" s="13">
        <v>2.0</v>
      </c>
      <c r="E294" s="244"/>
      <c r="F294" s="244"/>
    </row>
    <row r="295" ht="22.5" customHeight="1">
      <c r="A295" s="10" t="s">
        <v>445</v>
      </c>
      <c r="B295" s="10" t="s">
        <v>125</v>
      </c>
      <c r="C295" s="13">
        <v>58.0</v>
      </c>
      <c r="D295" s="13">
        <v>2.0</v>
      </c>
      <c r="E295" s="244"/>
      <c r="F295" s="244"/>
    </row>
    <row r="296" ht="22.5" customHeight="1">
      <c r="A296" s="10" t="s">
        <v>975</v>
      </c>
      <c r="B296" s="10" t="s">
        <v>119</v>
      </c>
      <c r="C296" s="13">
        <v>49.0</v>
      </c>
      <c r="D296" s="13">
        <v>1.0</v>
      </c>
      <c r="E296" s="244"/>
      <c r="F296" s="244"/>
    </row>
    <row r="297" ht="22.5" customHeight="1">
      <c r="A297" s="10" t="s">
        <v>377</v>
      </c>
      <c r="B297" s="10" t="s">
        <v>119</v>
      </c>
      <c r="C297" s="13">
        <v>139.0</v>
      </c>
      <c r="D297" s="13">
        <v>2.0</v>
      </c>
      <c r="E297" s="244"/>
      <c r="F297" s="244"/>
    </row>
    <row r="298" ht="22.5" customHeight="1">
      <c r="A298" s="10" t="s">
        <v>793</v>
      </c>
      <c r="B298" s="10" t="s">
        <v>119</v>
      </c>
      <c r="C298" s="13">
        <v>126.0</v>
      </c>
      <c r="D298" s="13">
        <v>1.0</v>
      </c>
      <c r="E298" s="244"/>
      <c r="F298" s="244"/>
    </row>
    <row r="299" ht="22.5" customHeight="1">
      <c r="A299" s="10" t="s">
        <v>815</v>
      </c>
      <c r="B299" s="10" t="s">
        <v>119</v>
      </c>
      <c r="C299" s="13">
        <v>137.0</v>
      </c>
      <c r="D299" s="13">
        <v>2.0</v>
      </c>
      <c r="E299" s="244"/>
      <c r="F299" s="244"/>
    </row>
    <row r="300" ht="22.5" customHeight="1">
      <c r="A300" s="10" t="s">
        <v>687</v>
      </c>
      <c r="B300" s="10" t="s">
        <v>119</v>
      </c>
      <c r="C300" s="13">
        <v>106.0</v>
      </c>
      <c r="D300" s="13">
        <v>1.0</v>
      </c>
      <c r="E300" s="244"/>
      <c r="F300" s="244"/>
    </row>
    <row r="301" ht="22.5" customHeight="1">
      <c r="A301" s="10" t="s">
        <v>967</v>
      </c>
      <c r="B301" s="10" t="s">
        <v>119</v>
      </c>
      <c r="C301" s="13">
        <v>60.0</v>
      </c>
      <c r="D301" s="13">
        <v>3.0</v>
      </c>
      <c r="E301" s="244"/>
      <c r="F301" s="244"/>
    </row>
    <row r="302" ht="22.5" customHeight="1">
      <c r="A302" s="10" t="s">
        <v>707</v>
      </c>
      <c r="B302" s="10" t="s">
        <v>119</v>
      </c>
      <c r="C302" s="13">
        <v>59.0</v>
      </c>
      <c r="D302" s="13">
        <v>2.0</v>
      </c>
      <c r="E302" s="244"/>
      <c r="F302" s="244"/>
    </row>
    <row r="303" ht="22.5" customHeight="1">
      <c r="A303" s="10" t="s">
        <v>808</v>
      </c>
      <c r="B303" s="10" t="s">
        <v>119</v>
      </c>
      <c r="C303" s="13">
        <v>63.0</v>
      </c>
      <c r="D303" s="13">
        <v>1.0</v>
      </c>
      <c r="E303" s="244"/>
      <c r="F303" s="244"/>
    </row>
    <row r="304" ht="22.5" customHeight="1">
      <c r="A304" s="10" t="s">
        <v>684</v>
      </c>
      <c r="B304" s="10" t="s">
        <v>119</v>
      </c>
      <c r="C304" s="13">
        <v>120.0</v>
      </c>
      <c r="D304" s="13">
        <v>1.0</v>
      </c>
      <c r="E304" s="244"/>
      <c r="F304" s="244"/>
    </row>
    <row r="305" ht="22.5" customHeight="1">
      <c r="A305" s="10" t="s">
        <v>957</v>
      </c>
      <c r="B305" s="10" t="s">
        <v>119</v>
      </c>
      <c r="C305" s="13">
        <v>55.0</v>
      </c>
      <c r="D305" s="13">
        <v>2.0</v>
      </c>
      <c r="E305" s="244"/>
      <c r="F305" s="244"/>
    </row>
    <row r="306" ht="22.5" customHeight="1">
      <c r="A306" s="10" t="s">
        <v>970</v>
      </c>
      <c r="B306" s="10" t="s">
        <v>119</v>
      </c>
      <c r="C306" s="13">
        <v>75.0</v>
      </c>
      <c r="D306" s="13">
        <v>1.0</v>
      </c>
      <c r="E306" s="244"/>
      <c r="F306" s="244"/>
    </row>
    <row r="307" ht="22.5" customHeight="1">
      <c r="A307" s="10" t="s">
        <v>675</v>
      </c>
      <c r="B307" s="10" t="s">
        <v>119</v>
      </c>
      <c r="C307" s="13">
        <v>27.5</v>
      </c>
      <c r="D307" s="13">
        <v>3.0</v>
      </c>
      <c r="E307" s="244"/>
      <c r="F307" s="244"/>
    </row>
    <row r="308" ht="22.5" customHeight="1">
      <c r="A308" s="10" t="s">
        <v>691</v>
      </c>
      <c r="B308" s="10" t="s">
        <v>119</v>
      </c>
      <c r="C308" s="13">
        <v>81.0</v>
      </c>
      <c r="D308" s="13">
        <v>1.0</v>
      </c>
      <c r="E308" s="244"/>
      <c r="F308" s="244"/>
    </row>
    <row r="309" ht="22.5" customHeight="1">
      <c r="A309" s="10" t="s">
        <v>1345</v>
      </c>
      <c r="B309" s="10" t="s">
        <v>51</v>
      </c>
      <c r="C309" s="13">
        <v>175.0</v>
      </c>
      <c r="D309" s="13">
        <v>2.0</v>
      </c>
      <c r="E309" s="244"/>
      <c r="F309" s="244"/>
    </row>
    <row r="310" ht="22.5" customHeight="1">
      <c r="A310" s="10" t="s">
        <v>306</v>
      </c>
      <c r="B310" s="10" t="s">
        <v>51</v>
      </c>
      <c r="C310" s="13">
        <v>9.17</v>
      </c>
      <c r="D310" s="13">
        <v>11.0</v>
      </c>
      <c r="E310" s="244"/>
      <c r="F310" s="244"/>
    </row>
    <row r="311" ht="22.5" customHeight="1">
      <c r="A311" s="10" t="s">
        <v>311</v>
      </c>
      <c r="B311" s="10" t="s">
        <v>31</v>
      </c>
      <c r="C311" s="13">
        <v>150.0</v>
      </c>
      <c r="D311" s="13">
        <v>1.0</v>
      </c>
      <c r="E311" s="244"/>
      <c r="F311" s="244"/>
    </row>
    <row r="312" ht="22.5" customHeight="1">
      <c r="A312" s="10" t="s">
        <v>977</v>
      </c>
      <c r="B312" s="10" t="s">
        <v>125</v>
      </c>
      <c r="C312" s="13">
        <v>125.0</v>
      </c>
      <c r="D312" s="13">
        <v>2.0</v>
      </c>
      <c r="E312" s="244"/>
      <c r="F312" s="244"/>
    </row>
    <row r="313" ht="22.5" customHeight="1">
      <c r="A313" s="10" t="s">
        <v>239</v>
      </c>
      <c r="B313" s="10" t="s">
        <v>31</v>
      </c>
      <c r="C313" s="13">
        <v>325.0</v>
      </c>
      <c r="D313" s="13">
        <v>2.0</v>
      </c>
      <c r="E313" s="244"/>
      <c r="F313" s="244"/>
    </row>
    <row r="314" ht="22.5" customHeight="1">
      <c r="A314" s="10" t="s">
        <v>849</v>
      </c>
      <c r="B314" s="10" t="s">
        <v>119</v>
      </c>
      <c r="C314" s="13">
        <v>135.0</v>
      </c>
      <c r="D314" s="13">
        <v>1.0</v>
      </c>
      <c r="E314" s="244"/>
      <c r="F314" s="244"/>
    </row>
    <row r="315" ht="22.5" customHeight="1">
      <c r="A315" s="10" t="s">
        <v>519</v>
      </c>
      <c r="B315" s="10" t="s">
        <v>119</v>
      </c>
      <c r="C315" s="13">
        <v>180.0</v>
      </c>
      <c r="D315" s="13">
        <v>1.0</v>
      </c>
      <c r="E315" s="244"/>
      <c r="F315" s="244"/>
    </row>
    <row r="316" ht="22.5" customHeight="1">
      <c r="A316" s="10" t="s">
        <v>854</v>
      </c>
      <c r="B316" s="10" t="s">
        <v>119</v>
      </c>
      <c r="C316" s="13">
        <v>120.0</v>
      </c>
      <c r="D316" s="13">
        <v>1.0</v>
      </c>
      <c r="E316" s="244"/>
      <c r="F316" s="244"/>
    </row>
    <row r="317" ht="22.5" customHeight="1">
      <c r="A317" s="10" t="s">
        <v>541</v>
      </c>
      <c r="B317" s="10" t="s">
        <v>119</v>
      </c>
      <c r="C317" s="13">
        <v>178.0</v>
      </c>
      <c r="D317" s="13">
        <v>1.0</v>
      </c>
      <c r="E317" s="244"/>
      <c r="F317" s="244"/>
    </row>
    <row r="318" ht="22.5" customHeight="1">
      <c r="A318" s="10" t="s">
        <v>602</v>
      </c>
      <c r="B318" s="10" t="s">
        <v>119</v>
      </c>
      <c r="C318" s="13">
        <v>174.0</v>
      </c>
      <c r="D318" s="13">
        <v>1.0</v>
      </c>
      <c r="E318" s="244"/>
      <c r="F318" s="244"/>
    </row>
    <row r="319" ht="22.5" customHeight="1">
      <c r="A319" s="10" t="s">
        <v>1097</v>
      </c>
      <c r="B319" s="10" t="s">
        <v>154</v>
      </c>
      <c r="C319" s="13">
        <v>30.0</v>
      </c>
      <c r="D319" s="13">
        <v>22.0</v>
      </c>
      <c r="E319" s="244"/>
      <c r="F319" s="244"/>
    </row>
    <row r="320" ht="22.5" customHeight="1">
      <c r="A320" s="10" t="s">
        <v>1118</v>
      </c>
      <c r="B320" s="10" t="s">
        <v>51</v>
      </c>
      <c r="C320" s="13">
        <v>55.0</v>
      </c>
      <c r="D320" s="13">
        <v>6.0</v>
      </c>
      <c r="E320" s="244"/>
      <c r="F320" s="244"/>
    </row>
    <row r="321" ht="22.5" customHeight="1">
      <c r="A321" s="10" t="s">
        <v>518</v>
      </c>
      <c r="B321" s="10" t="s">
        <v>51</v>
      </c>
      <c r="C321" s="13">
        <v>75.0</v>
      </c>
      <c r="D321" s="13">
        <v>17.55555555555556</v>
      </c>
      <c r="E321" s="244"/>
      <c r="F321" s="244"/>
    </row>
    <row r="322" ht="22.5" customHeight="1">
      <c r="A322" s="10" t="s">
        <v>935</v>
      </c>
      <c r="B322" s="10" t="s">
        <v>436</v>
      </c>
      <c r="C322" s="13">
        <v>5.0</v>
      </c>
      <c r="D322" s="13">
        <v>7.0</v>
      </c>
      <c r="E322" s="244"/>
      <c r="F322" s="244"/>
    </row>
    <row r="323" ht="22.5" customHeight="1">
      <c r="A323" s="10" t="s">
        <v>933</v>
      </c>
      <c r="B323" s="10" t="s">
        <v>1052</v>
      </c>
      <c r="C323" s="13">
        <v>8.0</v>
      </c>
      <c r="D323" s="13">
        <v>10.0</v>
      </c>
      <c r="E323" s="244"/>
      <c r="F323" s="244"/>
    </row>
    <row r="324" ht="22.5" customHeight="1">
      <c r="A324" s="10" t="s">
        <v>933</v>
      </c>
      <c r="B324" s="10" t="s">
        <v>436</v>
      </c>
      <c r="C324" s="13">
        <v>10.0</v>
      </c>
      <c r="D324" s="13">
        <v>28.0</v>
      </c>
      <c r="E324" s="244"/>
      <c r="F324" s="244"/>
    </row>
    <row r="325" ht="22.5" customHeight="1">
      <c r="A325" s="10" t="s">
        <v>1000</v>
      </c>
      <c r="B325" s="10" t="s">
        <v>1052</v>
      </c>
      <c r="C325" s="13">
        <v>10.0</v>
      </c>
      <c r="D325" s="13">
        <v>8.0</v>
      </c>
      <c r="E325" s="244"/>
      <c r="F325" s="244"/>
    </row>
    <row r="326" ht="22.5" customHeight="1">
      <c r="A326" s="10" t="s">
        <v>1000</v>
      </c>
      <c r="B326" s="10" t="s">
        <v>154</v>
      </c>
      <c r="C326" s="13">
        <v>11.0</v>
      </c>
      <c r="D326" s="13">
        <v>19.0</v>
      </c>
      <c r="E326" s="244"/>
      <c r="F326" s="244"/>
    </row>
    <row r="327" ht="22.5" customHeight="1">
      <c r="A327" s="10" t="s">
        <v>1250</v>
      </c>
      <c r="B327" s="10" t="s">
        <v>1052</v>
      </c>
      <c r="C327" s="13">
        <v>6.0</v>
      </c>
      <c r="D327" s="13">
        <v>18.0</v>
      </c>
      <c r="E327" s="244"/>
      <c r="F327" s="244"/>
    </row>
    <row r="328" ht="22.5" customHeight="1">
      <c r="A328" s="10" t="s">
        <v>173</v>
      </c>
      <c r="B328" s="10" t="s">
        <v>31</v>
      </c>
      <c r="C328" s="13">
        <v>45.0</v>
      </c>
      <c r="D328" s="13">
        <v>1.0</v>
      </c>
      <c r="E328" s="244"/>
      <c r="F328" s="244"/>
    </row>
    <row r="329" ht="22.5" customHeight="1">
      <c r="A329" s="10" t="s">
        <v>965</v>
      </c>
      <c r="B329" s="10" t="s">
        <v>119</v>
      </c>
      <c r="C329" s="13">
        <v>125.0</v>
      </c>
      <c r="D329" s="13">
        <v>3.0</v>
      </c>
      <c r="E329" s="244"/>
      <c r="F329" s="244"/>
    </row>
    <row r="330" ht="22.5" customHeight="1">
      <c r="A330" s="10" t="s">
        <v>116</v>
      </c>
      <c r="B330" s="10" t="s">
        <v>31</v>
      </c>
      <c r="C330" s="13">
        <v>17.0</v>
      </c>
      <c r="D330" s="13">
        <v>1.0</v>
      </c>
      <c r="E330" s="244"/>
      <c r="F330" s="244"/>
    </row>
    <row r="331" ht="22.5" customHeight="1">
      <c r="A331" s="10" t="s">
        <v>633</v>
      </c>
      <c r="B331" s="10" t="s">
        <v>119</v>
      </c>
      <c r="C331" s="13">
        <v>128.0</v>
      </c>
      <c r="D331" s="13">
        <v>2.0</v>
      </c>
      <c r="E331" s="244"/>
      <c r="F331" s="244"/>
    </row>
    <row r="332" ht="22.5" customHeight="1">
      <c r="A332" s="10" t="s">
        <v>805</v>
      </c>
      <c r="B332" s="10" t="s">
        <v>125</v>
      </c>
      <c r="C332" s="13">
        <v>49.0</v>
      </c>
      <c r="D332" s="13">
        <v>3.0</v>
      </c>
      <c r="E332" s="244"/>
      <c r="F332" s="244"/>
    </row>
    <row r="333" ht="22.5" customHeight="1">
      <c r="A333" s="10" t="s">
        <v>1167</v>
      </c>
      <c r="B333" s="10" t="s">
        <v>125</v>
      </c>
      <c r="C333" s="13">
        <v>49.0</v>
      </c>
      <c r="D333" s="13">
        <v>1.0</v>
      </c>
      <c r="E333" s="244"/>
      <c r="F333" s="244"/>
    </row>
    <row r="334" ht="22.5" customHeight="1">
      <c r="A334" s="10" t="s">
        <v>787</v>
      </c>
      <c r="B334" s="10" t="s">
        <v>119</v>
      </c>
      <c r="C334" s="13">
        <v>135.0</v>
      </c>
      <c r="D334" s="13">
        <v>2.0</v>
      </c>
      <c r="E334" s="244"/>
      <c r="F334" s="244"/>
    </row>
    <row r="335" ht="22.5" customHeight="1">
      <c r="A335" s="10" t="s">
        <v>876</v>
      </c>
      <c r="B335" s="10" t="s">
        <v>51</v>
      </c>
      <c r="C335" s="13">
        <v>100.0</v>
      </c>
      <c r="D335" s="13">
        <v>6.0</v>
      </c>
      <c r="E335" s="244"/>
      <c r="F335" s="244"/>
    </row>
    <row r="336" ht="22.5" customHeight="1">
      <c r="A336" s="10" t="s">
        <v>101</v>
      </c>
      <c r="B336" s="10" t="s">
        <v>31</v>
      </c>
      <c r="C336" s="13">
        <v>135.0</v>
      </c>
      <c r="D336" s="13">
        <v>2.0</v>
      </c>
      <c r="E336" s="244"/>
      <c r="F336" s="244"/>
    </row>
    <row r="337" ht="22.5" customHeight="1">
      <c r="A337" s="10" t="s">
        <v>351</v>
      </c>
      <c r="B337" s="10" t="s">
        <v>31</v>
      </c>
      <c r="C337" s="13">
        <v>120.0</v>
      </c>
      <c r="D337" s="13">
        <v>1.0</v>
      </c>
      <c r="E337" s="244"/>
      <c r="F337" s="244"/>
    </row>
    <row r="338" ht="22.5" customHeight="1">
      <c r="A338" s="10" t="s">
        <v>642</v>
      </c>
      <c r="B338" s="10" t="s">
        <v>31</v>
      </c>
      <c r="C338" s="13">
        <v>105.0</v>
      </c>
      <c r="D338" s="13">
        <v>4.0</v>
      </c>
      <c r="E338" s="244"/>
      <c r="F338" s="244"/>
    </row>
    <row r="339" ht="22.5" customHeight="1">
      <c r="A339" s="10" t="s">
        <v>649</v>
      </c>
      <c r="B339" s="10" t="s">
        <v>125</v>
      </c>
      <c r="C339" s="13">
        <v>166.0</v>
      </c>
      <c r="D339" s="13">
        <v>1.0</v>
      </c>
      <c r="E339" s="244"/>
      <c r="F339" s="244"/>
    </row>
    <row r="340" ht="22.5" customHeight="1">
      <c r="A340" s="10" t="s">
        <v>871</v>
      </c>
      <c r="B340" s="10" t="s">
        <v>154</v>
      </c>
      <c r="C340" s="13">
        <v>93.0</v>
      </c>
      <c r="D340" s="13">
        <v>7.0</v>
      </c>
      <c r="E340" s="244"/>
      <c r="F340" s="244"/>
    </row>
    <row r="341" ht="22.5" customHeight="1">
      <c r="A341" s="10" t="s">
        <v>733</v>
      </c>
      <c r="B341" s="10" t="s">
        <v>1052</v>
      </c>
      <c r="C341" s="13">
        <v>26.0</v>
      </c>
      <c r="D341" s="13">
        <v>2.0</v>
      </c>
      <c r="E341" s="244"/>
      <c r="F341" s="244"/>
    </row>
    <row r="342" ht="22.5" customHeight="1">
      <c r="A342" s="10" t="s">
        <v>772</v>
      </c>
      <c r="B342" s="10" t="s">
        <v>51</v>
      </c>
      <c r="C342" s="13">
        <v>150.0</v>
      </c>
      <c r="D342" s="13">
        <v>3.0</v>
      </c>
      <c r="E342" s="244"/>
      <c r="F342" s="244"/>
    </row>
    <row r="343" ht="22.5" customHeight="1">
      <c r="A343" s="10" t="s">
        <v>712</v>
      </c>
      <c r="B343" s="6" t="s">
        <v>54</v>
      </c>
      <c r="C343" s="13">
        <v>7.0</v>
      </c>
      <c r="D343" s="13">
        <v>7.0</v>
      </c>
      <c r="E343" s="244"/>
      <c r="F343" s="244"/>
    </row>
    <row r="344" ht="22.5" customHeight="1">
      <c r="A344" s="10" t="s">
        <v>500</v>
      </c>
      <c r="B344" s="10" t="s">
        <v>51</v>
      </c>
      <c r="C344" s="13">
        <v>125.0</v>
      </c>
      <c r="D344" s="13">
        <v>8.777777777777779</v>
      </c>
      <c r="E344" s="244"/>
      <c r="F344" s="244"/>
    </row>
    <row r="345" ht="22.5" customHeight="1">
      <c r="A345" s="10" t="s">
        <v>478</v>
      </c>
      <c r="B345" s="10" t="s">
        <v>31</v>
      </c>
      <c r="C345" s="13">
        <v>90.0</v>
      </c>
      <c r="D345" s="13">
        <v>4.0</v>
      </c>
      <c r="E345" s="244"/>
      <c r="F345" s="244"/>
    </row>
    <row r="346" ht="22.5" customHeight="1">
      <c r="A346" s="10" t="s">
        <v>613</v>
      </c>
      <c r="B346" s="10" t="s">
        <v>31</v>
      </c>
      <c r="C346" s="13">
        <v>170.0</v>
      </c>
      <c r="D346" s="13">
        <v>2.0</v>
      </c>
      <c r="E346" s="244"/>
      <c r="F346" s="244"/>
    </row>
    <row r="347" ht="22.5" customHeight="1">
      <c r="A347" s="10" t="s">
        <v>1392</v>
      </c>
      <c r="B347" s="10" t="s">
        <v>125</v>
      </c>
      <c r="C347" s="13">
        <v>1.13</v>
      </c>
      <c r="D347" s="13">
        <v>84.0</v>
      </c>
      <c r="E347" s="244"/>
      <c r="F347" s="244"/>
    </row>
    <row r="348" ht="22.5" customHeight="1">
      <c r="A348" s="10" t="s">
        <v>1389</v>
      </c>
      <c r="B348" s="10" t="s">
        <v>125</v>
      </c>
      <c r="C348" s="13">
        <v>0.88</v>
      </c>
      <c r="D348" s="13">
        <v>132.0</v>
      </c>
      <c r="E348" s="244"/>
      <c r="F348" s="244"/>
    </row>
    <row r="349" ht="22.5" customHeight="1">
      <c r="A349" s="10" t="s">
        <v>1385</v>
      </c>
      <c r="B349" s="10" t="s">
        <v>125</v>
      </c>
      <c r="C349" s="13">
        <v>1.25</v>
      </c>
      <c r="D349" s="13">
        <v>84.0</v>
      </c>
      <c r="E349" s="244"/>
      <c r="F349" s="244"/>
    </row>
    <row r="350" ht="22.5" customHeight="1">
      <c r="A350" s="10" t="s">
        <v>1123</v>
      </c>
      <c r="B350" s="10" t="s">
        <v>119</v>
      </c>
      <c r="C350" s="13">
        <v>95.0</v>
      </c>
      <c r="D350" s="13">
        <v>1.0</v>
      </c>
      <c r="E350" s="244"/>
      <c r="F350" s="244"/>
    </row>
    <row r="351" ht="22.5" customHeight="1">
      <c r="A351" s="10" t="s">
        <v>730</v>
      </c>
      <c r="B351" s="10" t="s">
        <v>119</v>
      </c>
      <c r="C351" s="13">
        <v>140.0</v>
      </c>
      <c r="D351" s="13">
        <v>1.0</v>
      </c>
      <c r="E351" s="244"/>
      <c r="F351" s="244"/>
    </row>
    <row r="352" ht="22.5" customHeight="1">
      <c r="A352" s="10" t="s">
        <v>704</v>
      </c>
      <c r="B352" s="10" t="s">
        <v>119</v>
      </c>
      <c r="C352" s="13">
        <v>150.0</v>
      </c>
      <c r="D352" s="13">
        <v>1.0</v>
      </c>
      <c r="E352" s="244"/>
      <c r="F352" s="244"/>
    </row>
    <row r="353" ht="22.5" customHeight="1">
      <c r="A353" s="10" t="s">
        <v>1126</v>
      </c>
      <c r="B353" s="10" t="s">
        <v>119</v>
      </c>
      <c r="C353" s="13">
        <v>95.0</v>
      </c>
      <c r="D353" s="13">
        <v>1.0</v>
      </c>
      <c r="E353" s="244"/>
      <c r="F353" s="244"/>
    </row>
    <row r="354" ht="22.5" customHeight="1">
      <c r="A354" s="10" t="s">
        <v>79</v>
      </c>
      <c r="B354" s="10" t="s">
        <v>31</v>
      </c>
      <c r="C354" s="13">
        <v>60.0</v>
      </c>
      <c r="D354" s="13">
        <v>2.0</v>
      </c>
      <c r="E354" s="244"/>
      <c r="F354" s="244"/>
    </row>
    <row r="355" ht="22.5" customHeight="1">
      <c r="A355" s="10" t="s">
        <v>666</v>
      </c>
      <c r="B355" s="10" t="s">
        <v>119</v>
      </c>
      <c r="C355" s="13">
        <v>165.0</v>
      </c>
      <c r="D355" s="13">
        <v>1.0</v>
      </c>
      <c r="E355" s="244"/>
      <c r="F355" s="244"/>
    </row>
    <row r="356" ht="22.5" customHeight="1">
      <c r="A356" s="10" t="s">
        <v>360</v>
      </c>
      <c r="B356" s="10" t="s">
        <v>119</v>
      </c>
      <c r="C356" s="13">
        <v>245.0</v>
      </c>
      <c r="D356" s="13">
        <v>1.0</v>
      </c>
      <c r="E356" s="244"/>
      <c r="F356" s="244"/>
    </row>
    <row r="357" ht="22.5" customHeight="1">
      <c r="A357" s="10" t="s">
        <v>683</v>
      </c>
      <c r="B357" s="10" t="s">
        <v>119</v>
      </c>
      <c r="C357" s="13">
        <v>160.0</v>
      </c>
      <c r="D357" s="13">
        <v>1.0</v>
      </c>
      <c r="E357" s="244"/>
      <c r="F357" s="244"/>
    </row>
    <row r="358" ht="22.5" customHeight="1">
      <c r="A358" s="10" t="s">
        <v>874</v>
      </c>
      <c r="B358" s="10" t="s">
        <v>119</v>
      </c>
      <c r="C358" s="13">
        <v>135.0</v>
      </c>
      <c r="D358" s="13">
        <v>1.0</v>
      </c>
      <c r="E358" s="244"/>
      <c r="F358" s="244"/>
    </row>
    <row r="359" ht="22.5" customHeight="1">
      <c r="A359" s="10" t="s">
        <v>664</v>
      </c>
      <c r="B359" s="10" t="s">
        <v>119</v>
      </c>
      <c r="C359" s="13">
        <v>165.0</v>
      </c>
      <c r="D359" s="13">
        <v>1.0</v>
      </c>
      <c r="E359" s="244"/>
      <c r="F359" s="244"/>
    </row>
    <row r="360" ht="22.5" customHeight="1">
      <c r="A360" s="10" t="s">
        <v>883</v>
      </c>
      <c r="B360" s="10" t="s">
        <v>119</v>
      </c>
      <c r="C360" s="13">
        <v>115.0</v>
      </c>
      <c r="D360" s="13">
        <v>1.0</v>
      </c>
      <c r="E360" s="244"/>
      <c r="F360" s="244"/>
    </row>
    <row r="361" ht="22.5" customHeight="1">
      <c r="A361" s="10" t="s">
        <v>739</v>
      </c>
      <c r="B361" s="10" t="s">
        <v>119</v>
      </c>
      <c r="C361" s="13">
        <v>125.0</v>
      </c>
      <c r="D361" s="13">
        <v>1.0</v>
      </c>
      <c r="E361" s="244"/>
      <c r="F361" s="244"/>
    </row>
    <row r="362" ht="22.5" customHeight="1">
      <c r="A362" s="10" t="s">
        <v>627</v>
      </c>
      <c r="B362" s="10" t="s">
        <v>119</v>
      </c>
      <c r="C362" s="13">
        <v>167.5</v>
      </c>
      <c r="D362" s="13">
        <v>1.0</v>
      </c>
      <c r="E362" s="244"/>
      <c r="F362" s="244"/>
    </row>
    <row r="363" ht="22.5" customHeight="1">
      <c r="A363" s="10" t="s">
        <v>737</v>
      </c>
      <c r="B363" s="10" t="s">
        <v>119</v>
      </c>
      <c r="C363" s="13">
        <v>151.0</v>
      </c>
      <c r="D363" s="13">
        <v>1.0</v>
      </c>
      <c r="E363" s="244"/>
      <c r="F363" s="244"/>
    </row>
    <row r="364" ht="22.5" customHeight="1">
      <c r="A364" s="10" t="s">
        <v>729</v>
      </c>
      <c r="B364" s="10" t="s">
        <v>119</v>
      </c>
      <c r="C364" s="13">
        <v>154.0</v>
      </c>
      <c r="D364" s="13">
        <v>2.0</v>
      </c>
      <c r="E364" s="244"/>
      <c r="F364" s="244"/>
    </row>
    <row r="365" ht="22.5" customHeight="1">
      <c r="A365" s="10" t="s">
        <v>688</v>
      </c>
      <c r="B365" s="10" t="s">
        <v>119</v>
      </c>
      <c r="C365" s="13">
        <v>160.0</v>
      </c>
      <c r="D365" s="13">
        <v>2.0</v>
      </c>
      <c r="E365" s="244"/>
      <c r="F365" s="244"/>
    </row>
    <row r="366" ht="22.5" customHeight="1">
      <c r="A366" s="10" t="s">
        <v>892</v>
      </c>
      <c r="B366" s="10" t="s">
        <v>119</v>
      </c>
      <c r="C366" s="13">
        <v>130.0</v>
      </c>
      <c r="D366" s="13">
        <v>1.0</v>
      </c>
      <c r="E366" s="244"/>
      <c r="F366" s="244"/>
    </row>
    <row r="367" ht="22.5" customHeight="1">
      <c r="A367" s="10" t="s">
        <v>834</v>
      </c>
      <c r="B367" s="10" t="s">
        <v>119</v>
      </c>
      <c r="C367" s="13">
        <v>139.0</v>
      </c>
      <c r="D367" s="13">
        <v>1.0</v>
      </c>
      <c r="E367" s="244"/>
      <c r="F367" s="244"/>
    </row>
    <row r="368" ht="22.5" customHeight="1">
      <c r="A368" s="10" t="s">
        <v>723</v>
      </c>
      <c r="B368" s="10" t="s">
        <v>119</v>
      </c>
      <c r="C368" s="13">
        <v>139.0</v>
      </c>
      <c r="D368" s="13">
        <v>1.0</v>
      </c>
      <c r="E368" s="244"/>
      <c r="F368" s="244"/>
    </row>
    <row r="369" ht="22.5" customHeight="1">
      <c r="A369" s="10" t="s">
        <v>709</v>
      </c>
      <c r="B369" s="10" t="s">
        <v>119</v>
      </c>
      <c r="C369" s="13">
        <v>143.0</v>
      </c>
      <c r="D369" s="13">
        <v>1.0</v>
      </c>
      <c r="E369" s="244"/>
      <c r="F369" s="244"/>
    </row>
    <row r="370" ht="22.5" customHeight="1">
      <c r="A370" s="10" t="s">
        <v>748</v>
      </c>
      <c r="B370" s="10" t="s">
        <v>751</v>
      </c>
      <c r="C370" s="13">
        <v>75.0</v>
      </c>
      <c r="D370" s="13">
        <v>8.0</v>
      </c>
      <c r="E370" s="244"/>
      <c r="F370" s="244"/>
    </row>
    <row r="371" ht="22.5" customHeight="1">
      <c r="A371" s="10" t="s">
        <v>1146</v>
      </c>
      <c r="B371" s="10" t="s">
        <v>125</v>
      </c>
      <c r="C371" s="13">
        <v>17.5</v>
      </c>
      <c r="D371" s="13">
        <v>9.0</v>
      </c>
      <c r="E371" s="244"/>
      <c r="F371" s="244"/>
    </row>
    <row r="372" ht="22.5" customHeight="1">
      <c r="A372" s="10" t="s">
        <v>667</v>
      </c>
      <c r="B372" s="10" t="s">
        <v>1052</v>
      </c>
      <c r="C372" s="13">
        <v>55.0</v>
      </c>
      <c r="D372" s="13">
        <v>8.0</v>
      </c>
      <c r="E372" s="244"/>
      <c r="F372" s="244"/>
    </row>
    <row r="373" ht="22.5" customHeight="1">
      <c r="A373" s="10" t="s">
        <v>601</v>
      </c>
      <c r="B373" s="10" t="s">
        <v>119</v>
      </c>
      <c r="C373" s="13">
        <v>17.92</v>
      </c>
      <c r="D373" s="13">
        <v>10.0</v>
      </c>
      <c r="E373" s="244"/>
      <c r="F373" s="244"/>
    </row>
    <row r="374" ht="22.5" customHeight="1">
      <c r="A374" s="10" t="s">
        <v>596</v>
      </c>
      <c r="B374" s="10" t="s">
        <v>119</v>
      </c>
      <c r="C374" s="13">
        <v>17.92</v>
      </c>
      <c r="D374" s="13">
        <v>7.0</v>
      </c>
      <c r="E374" s="244"/>
      <c r="F374" s="244"/>
    </row>
    <row r="375" ht="22.5" customHeight="1">
      <c r="A375" s="10" t="s">
        <v>48</v>
      </c>
      <c r="B375" s="10" t="s">
        <v>31</v>
      </c>
      <c r="C375" s="13">
        <v>37.0</v>
      </c>
      <c r="D375" s="13">
        <v>10.0</v>
      </c>
      <c r="E375" s="244"/>
      <c r="F375" s="244"/>
    </row>
    <row r="376" ht="22.5" customHeight="1">
      <c r="A376" s="10" t="s">
        <v>48</v>
      </c>
      <c r="B376" s="10" t="s">
        <v>31</v>
      </c>
      <c r="C376" s="13">
        <v>31.5</v>
      </c>
      <c r="D376" s="13">
        <v>12.0</v>
      </c>
      <c r="E376" s="244"/>
      <c r="F376" s="244"/>
    </row>
    <row r="377" ht="22.5" customHeight="1">
      <c r="A377" s="10" t="s">
        <v>1049</v>
      </c>
      <c r="B377" s="10" t="s">
        <v>154</v>
      </c>
      <c r="C377" s="13">
        <v>95.0</v>
      </c>
      <c r="D377" s="13">
        <v>1.0</v>
      </c>
      <c r="E377" s="244"/>
      <c r="F377" s="244"/>
    </row>
    <row r="378" ht="22.5" customHeight="1">
      <c r="A378" s="10" t="s">
        <v>177</v>
      </c>
      <c r="B378" s="10" t="s">
        <v>154</v>
      </c>
      <c r="C378" s="13">
        <v>75.0</v>
      </c>
      <c r="D378" s="13">
        <v>6.0</v>
      </c>
      <c r="E378" s="244"/>
      <c r="F378" s="244"/>
    </row>
    <row r="379" ht="22.5" customHeight="1">
      <c r="A379" s="10" t="s">
        <v>177</v>
      </c>
      <c r="B379" s="10" t="s">
        <v>154</v>
      </c>
      <c r="C379" s="13">
        <v>85.0</v>
      </c>
      <c r="D379" s="13">
        <v>12.0</v>
      </c>
      <c r="E379" s="244"/>
      <c r="F379" s="244"/>
    </row>
    <row r="380" ht="22.5" customHeight="1">
      <c r="A380" s="10" t="s">
        <v>287</v>
      </c>
      <c r="B380" s="10" t="s">
        <v>31</v>
      </c>
      <c r="C380" s="13">
        <v>45.0</v>
      </c>
      <c r="D380" s="13">
        <v>32.0</v>
      </c>
      <c r="E380" s="244"/>
      <c r="F380" s="244"/>
    </row>
    <row r="381" ht="22.5" customHeight="1">
      <c r="A381" s="10" t="s">
        <v>452</v>
      </c>
      <c r="B381" s="10" t="s">
        <v>31</v>
      </c>
      <c r="C381" s="13">
        <v>16.0</v>
      </c>
      <c r="D381" s="13">
        <v>7.0</v>
      </c>
      <c r="E381" s="244"/>
      <c r="F381" s="244"/>
    </row>
    <row r="382" ht="22.5" customHeight="1">
      <c r="A382" s="10" t="s">
        <v>645</v>
      </c>
      <c r="B382" s="10" t="s">
        <v>1052</v>
      </c>
      <c r="C382" s="13">
        <v>17.0</v>
      </c>
      <c r="D382" s="13">
        <v>3.0</v>
      </c>
      <c r="E382" s="244"/>
      <c r="F382" s="244"/>
    </row>
    <row r="383" ht="22.5" customHeight="1">
      <c r="A383" s="10" t="s">
        <v>330</v>
      </c>
      <c r="B383" s="6" t="s">
        <v>54</v>
      </c>
      <c r="C383" s="13">
        <v>25.833333333333332</v>
      </c>
      <c r="D383" s="13">
        <v>1.0</v>
      </c>
      <c r="E383" s="244"/>
      <c r="F383" s="244"/>
    </row>
    <row r="384" ht="22.5" customHeight="1">
      <c r="A384" s="10" t="s">
        <v>570</v>
      </c>
      <c r="B384" s="10" t="s">
        <v>31</v>
      </c>
      <c r="C384" s="13">
        <v>50.0</v>
      </c>
      <c r="D384" s="13">
        <v>5.0</v>
      </c>
      <c r="E384" s="244"/>
      <c r="F384" s="244"/>
    </row>
    <row r="385" ht="22.5" customHeight="1">
      <c r="A385" s="10" t="s">
        <v>1021</v>
      </c>
      <c r="B385" s="10" t="s">
        <v>125</v>
      </c>
      <c r="C385" s="13">
        <v>115.0</v>
      </c>
      <c r="D385" s="13">
        <v>9.0</v>
      </c>
      <c r="E385" s="244"/>
      <c r="F385" s="244"/>
    </row>
    <row r="386" ht="22.5" customHeight="1">
      <c r="A386" s="10" t="s">
        <v>982</v>
      </c>
      <c r="B386" s="10" t="s">
        <v>125</v>
      </c>
      <c r="C386" s="13">
        <v>125.0</v>
      </c>
      <c r="D386" s="13">
        <v>13.0</v>
      </c>
      <c r="E386" s="244"/>
      <c r="F386" s="244"/>
    </row>
    <row r="387" ht="22.5" customHeight="1">
      <c r="A387" s="10" t="s">
        <v>300</v>
      </c>
      <c r="B387" s="10" t="s">
        <v>119</v>
      </c>
      <c r="C387" s="13">
        <v>288.0</v>
      </c>
      <c r="D387" s="13">
        <v>1.0</v>
      </c>
      <c r="E387" s="244"/>
      <c r="F387" s="244"/>
    </row>
    <row r="388" ht="22.5" customHeight="1">
      <c r="A388" s="10" t="s">
        <v>941</v>
      </c>
      <c r="B388" s="6" t="s">
        <v>54</v>
      </c>
      <c r="C388" s="13">
        <v>11.25</v>
      </c>
      <c r="D388" s="13">
        <v>1.0</v>
      </c>
      <c r="E388" s="244"/>
      <c r="F388" s="244"/>
    </row>
    <row r="389" ht="22.5" customHeight="1">
      <c r="A389" s="10" t="s">
        <v>699</v>
      </c>
      <c r="B389" s="6" t="s">
        <v>54</v>
      </c>
      <c r="C389" s="13">
        <v>20.0</v>
      </c>
      <c r="D389" s="13">
        <v>2.0</v>
      </c>
      <c r="E389" s="244"/>
      <c r="F389" s="244"/>
    </row>
    <row r="390" ht="22.5" customHeight="1">
      <c r="A390" s="10" t="s">
        <v>699</v>
      </c>
      <c r="B390" s="6" t="s">
        <v>54</v>
      </c>
      <c r="C390" s="13">
        <v>10.0</v>
      </c>
      <c r="D390" s="13">
        <v>1.0</v>
      </c>
      <c r="E390" s="244"/>
      <c r="F390" s="244"/>
    </row>
    <row r="391" ht="22.5" customHeight="1">
      <c r="A391" s="10" t="s">
        <v>1156</v>
      </c>
      <c r="B391" s="6" t="s">
        <v>54</v>
      </c>
      <c r="C391" s="13">
        <v>12.5</v>
      </c>
      <c r="D391" s="13">
        <v>25.0</v>
      </c>
      <c r="E391" s="244"/>
      <c r="F391" s="244"/>
    </row>
    <row r="392" ht="22.5" customHeight="1">
      <c r="A392" s="10" t="s">
        <v>1504</v>
      </c>
      <c r="B392" s="6" t="s">
        <v>54</v>
      </c>
      <c r="C392" s="13">
        <v>15.0</v>
      </c>
      <c r="D392" s="13">
        <v>1.0</v>
      </c>
      <c r="E392" s="244"/>
      <c r="F392" s="244"/>
    </row>
    <row r="393" ht="22.5" customHeight="1">
      <c r="A393" s="10" t="s">
        <v>863</v>
      </c>
      <c r="B393" s="6" t="s">
        <v>54</v>
      </c>
      <c r="C393" s="13">
        <v>30.0</v>
      </c>
      <c r="D393" s="13">
        <v>6.0</v>
      </c>
      <c r="E393" s="244"/>
      <c r="F393" s="244"/>
    </row>
    <row r="394" ht="22.5" customHeight="1">
      <c r="A394" s="10" t="s">
        <v>599</v>
      </c>
      <c r="B394" s="10" t="s">
        <v>51</v>
      </c>
      <c r="C394" s="13">
        <v>125.0</v>
      </c>
      <c r="D394" s="13">
        <v>2.0</v>
      </c>
      <c r="E394" s="244"/>
      <c r="F394" s="244"/>
    </row>
    <row r="395" ht="22.5" customHeight="1">
      <c r="A395" s="10" t="s">
        <v>593</v>
      </c>
      <c r="B395" s="10" t="s">
        <v>51</v>
      </c>
      <c r="C395" s="13">
        <v>55.0</v>
      </c>
      <c r="D395" s="13">
        <v>8.0</v>
      </c>
      <c r="E395" s="244"/>
      <c r="F395" s="244"/>
    </row>
    <row r="396" ht="22.5" customHeight="1">
      <c r="A396" s="10" t="s">
        <v>635</v>
      </c>
      <c r="B396" s="10" t="s">
        <v>154</v>
      </c>
      <c r="C396" s="13">
        <v>75.0</v>
      </c>
      <c r="D396" s="13">
        <v>6.0</v>
      </c>
      <c r="E396" s="244"/>
      <c r="F396" s="244"/>
    </row>
    <row r="397" ht="22.5" customHeight="1">
      <c r="A397" s="10" t="s">
        <v>419</v>
      </c>
      <c r="B397" s="10" t="s">
        <v>51</v>
      </c>
      <c r="C397" s="13">
        <v>225.0</v>
      </c>
      <c r="D397" s="13">
        <v>2.0</v>
      </c>
      <c r="E397" s="244"/>
      <c r="F397" s="244"/>
    </row>
    <row r="398" ht="22.5" customHeight="1">
      <c r="A398" s="10" t="s">
        <v>571</v>
      </c>
      <c r="B398" s="10" t="s">
        <v>51</v>
      </c>
      <c r="C398" s="13">
        <v>175.0</v>
      </c>
      <c r="D398" s="13">
        <v>2.0</v>
      </c>
      <c r="E398" s="244"/>
      <c r="F398" s="244"/>
    </row>
    <row r="399" ht="22.5" customHeight="1">
      <c r="A399" s="10" t="s">
        <v>607</v>
      </c>
      <c r="B399" s="10" t="s">
        <v>51</v>
      </c>
      <c r="C399" s="13">
        <v>125.0</v>
      </c>
      <c r="D399" s="13">
        <v>2.0</v>
      </c>
      <c r="E399" s="244"/>
      <c r="F399" s="244"/>
    </row>
    <row r="400" ht="22.5" customHeight="1">
      <c r="A400" s="10" t="s">
        <v>622</v>
      </c>
      <c r="B400" s="10" t="s">
        <v>154</v>
      </c>
      <c r="C400" s="13">
        <v>100.0</v>
      </c>
      <c r="D400" s="13">
        <v>12.0</v>
      </c>
      <c r="E400" s="244"/>
      <c r="F400" s="244"/>
    </row>
    <row r="401" ht="22.5" customHeight="1">
      <c r="A401" s="10" t="s">
        <v>423</v>
      </c>
      <c r="B401" s="10" t="s">
        <v>51</v>
      </c>
      <c r="C401" s="13">
        <v>225.0</v>
      </c>
      <c r="D401" s="13">
        <v>2.0</v>
      </c>
      <c r="E401" s="244"/>
      <c r="F401" s="244"/>
    </row>
    <row r="402" ht="22.5" customHeight="1">
      <c r="A402" s="10" t="s">
        <v>565</v>
      </c>
      <c r="B402" s="10" t="s">
        <v>31</v>
      </c>
      <c r="C402" s="13">
        <v>40.0</v>
      </c>
      <c r="D402" s="13">
        <v>6.0</v>
      </c>
      <c r="E402" s="244"/>
      <c r="F402" s="244"/>
    </row>
    <row r="403" ht="22.5" customHeight="1">
      <c r="A403" s="10" t="s">
        <v>302</v>
      </c>
      <c r="B403" s="10" t="s">
        <v>31</v>
      </c>
      <c r="C403" s="13">
        <v>18.0</v>
      </c>
      <c r="D403" s="13">
        <v>1.0</v>
      </c>
      <c r="E403" s="244"/>
      <c r="F403" s="244"/>
    </row>
    <row r="404" ht="22.5" customHeight="1">
      <c r="A404" s="10" t="s">
        <v>334</v>
      </c>
      <c r="B404" s="10" t="s">
        <v>119</v>
      </c>
      <c r="C404" s="13">
        <v>255.0</v>
      </c>
      <c r="D404" s="13">
        <v>1.0</v>
      </c>
      <c r="E404" s="244"/>
      <c r="F404" s="244"/>
    </row>
    <row r="405" ht="22.5" customHeight="1">
      <c r="A405" s="10" t="s">
        <v>1373</v>
      </c>
      <c r="B405" s="10" t="s">
        <v>125</v>
      </c>
      <c r="C405" s="13">
        <v>27.5</v>
      </c>
      <c r="D405" s="13">
        <v>5.0</v>
      </c>
      <c r="E405" s="244"/>
      <c r="F405" s="244"/>
    </row>
    <row r="406" ht="22.5" customHeight="1">
      <c r="A406" s="10" t="s">
        <v>56</v>
      </c>
      <c r="B406" s="10" t="s">
        <v>31</v>
      </c>
      <c r="C406" s="13">
        <v>999.0</v>
      </c>
      <c r="D406" s="13">
        <v>1.0</v>
      </c>
      <c r="E406" s="244"/>
      <c r="F406" s="244"/>
    </row>
    <row r="407" ht="22.5" customHeight="1">
      <c r="A407" s="10" t="s">
        <v>65</v>
      </c>
      <c r="B407" s="10" t="s">
        <v>31</v>
      </c>
      <c r="C407" s="13">
        <v>999.0</v>
      </c>
      <c r="D407" s="13">
        <v>1.0</v>
      </c>
      <c r="E407" s="244"/>
      <c r="F407" s="244"/>
    </row>
    <row r="408" ht="22.5" customHeight="1">
      <c r="A408" s="10" t="s">
        <v>44</v>
      </c>
      <c r="B408" s="10" t="s">
        <v>31</v>
      </c>
      <c r="C408" s="13">
        <v>1250.0</v>
      </c>
      <c r="D408" s="13">
        <v>1.0</v>
      </c>
      <c r="E408" s="244"/>
      <c r="F408" s="244"/>
    </row>
    <row r="409" ht="22.5" customHeight="1">
      <c r="A409" s="10" t="s">
        <v>47</v>
      </c>
      <c r="B409" s="10" t="s">
        <v>31</v>
      </c>
      <c r="C409" s="13">
        <v>1100.0</v>
      </c>
      <c r="D409" s="13">
        <v>2.0</v>
      </c>
      <c r="E409" s="244"/>
      <c r="F409" s="244"/>
    </row>
    <row r="410" ht="22.5" customHeight="1">
      <c r="A410" s="10" t="s">
        <v>42</v>
      </c>
      <c r="B410" s="10" t="s">
        <v>31</v>
      </c>
      <c r="C410" s="13">
        <v>1299.0</v>
      </c>
      <c r="D410" s="13">
        <v>1.0</v>
      </c>
      <c r="E410" s="244"/>
      <c r="F410" s="244"/>
    </row>
    <row r="411" ht="22.5" customHeight="1">
      <c r="A411" s="10" t="s">
        <v>39</v>
      </c>
      <c r="B411" s="10" t="s">
        <v>31</v>
      </c>
      <c r="C411" s="13">
        <v>1299.0</v>
      </c>
      <c r="D411" s="13">
        <v>1.0</v>
      </c>
      <c r="E411" s="244"/>
      <c r="F411" s="244"/>
    </row>
    <row r="412" ht="22.5" customHeight="1">
      <c r="A412" s="10" t="s">
        <v>37</v>
      </c>
      <c r="B412" s="10" t="s">
        <v>31</v>
      </c>
      <c r="C412" s="13">
        <v>1399.0</v>
      </c>
      <c r="D412" s="13">
        <v>2.0</v>
      </c>
      <c r="E412" s="244"/>
      <c r="F412" s="244"/>
    </row>
    <row r="413" ht="22.5" customHeight="1">
      <c r="A413" s="10" t="s">
        <v>28</v>
      </c>
      <c r="B413" s="10" t="s">
        <v>31</v>
      </c>
      <c r="C413" s="13">
        <v>1599.0</v>
      </c>
      <c r="D413" s="13">
        <v>1.0</v>
      </c>
      <c r="E413" s="244"/>
      <c r="F413" s="244"/>
    </row>
    <row r="414" ht="22.5" customHeight="1">
      <c r="A414" s="10" t="s">
        <v>32</v>
      </c>
      <c r="B414" s="10" t="s">
        <v>31</v>
      </c>
      <c r="C414" s="13">
        <v>1599.0</v>
      </c>
      <c r="D414" s="13">
        <v>1.0</v>
      </c>
      <c r="E414" s="244"/>
      <c r="F414" s="244"/>
    </row>
    <row r="415" ht="22.5" customHeight="1">
      <c r="A415" s="10" t="s">
        <v>33</v>
      </c>
      <c r="B415" s="10" t="s">
        <v>31</v>
      </c>
      <c r="C415" s="13">
        <v>1499.0</v>
      </c>
      <c r="D415" s="13">
        <v>1.0</v>
      </c>
      <c r="E415" s="244"/>
      <c r="F415" s="244"/>
    </row>
    <row r="416" ht="22.5" customHeight="1">
      <c r="A416" s="10" t="s">
        <v>370</v>
      </c>
      <c r="B416" s="10" t="s">
        <v>51</v>
      </c>
      <c r="C416" s="13">
        <v>240.0</v>
      </c>
      <c r="D416" s="13">
        <v>1.0</v>
      </c>
      <c r="E416" s="244"/>
      <c r="F416" s="244"/>
    </row>
    <row r="417" ht="22.5" customHeight="1">
      <c r="A417" s="10" t="s">
        <v>117</v>
      </c>
      <c r="B417" s="10" t="s">
        <v>119</v>
      </c>
      <c r="C417" s="13">
        <v>499.0</v>
      </c>
      <c r="D417" s="13">
        <v>1.0</v>
      </c>
      <c r="E417" s="244"/>
      <c r="F417" s="244"/>
    </row>
    <row r="418" ht="22.5" customHeight="1">
      <c r="A418" s="10" t="s">
        <v>129</v>
      </c>
      <c r="B418" s="10" t="s">
        <v>119</v>
      </c>
      <c r="C418" s="13">
        <v>490.0</v>
      </c>
      <c r="D418" s="13">
        <v>1.0</v>
      </c>
      <c r="E418" s="244"/>
      <c r="F418" s="244"/>
    </row>
    <row r="419" ht="22.5" customHeight="1">
      <c r="A419" s="10" t="s">
        <v>201</v>
      </c>
      <c r="B419" s="10" t="s">
        <v>125</v>
      </c>
      <c r="C419" s="13">
        <v>338.0</v>
      </c>
      <c r="D419" s="13">
        <v>1.0</v>
      </c>
      <c r="E419" s="244"/>
      <c r="F419" s="244"/>
    </row>
    <row r="420" ht="22.5" customHeight="1">
      <c r="A420" s="10" t="s">
        <v>915</v>
      </c>
      <c r="B420" s="10" t="s">
        <v>154</v>
      </c>
      <c r="C420" s="13">
        <v>115.0</v>
      </c>
      <c r="D420" s="13">
        <v>6.0</v>
      </c>
      <c r="E420" s="244"/>
      <c r="F420" s="244"/>
    </row>
    <row r="421" ht="22.5" customHeight="1">
      <c r="A421" s="10" t="s">
        <v>1157</v>
      </c>
      <c r="B421" s="10" t="s">
        <v>119</v>
      </c>
      <c r="C421" s="13">
        <v>85.0</v>
      </c>
      <c r="D421" s="13">
        <v>2.0</v>
      </c>
      <c r="E421" s="244"/>
      <c r="F421" s="244"/>
    </row>
    <row r="422" ht="22.5" customHeight="1">
      <c r="A422" s="10" t="s">
        <v>662</v>
      </c>
      <c r="B422" s="10" t="s">
        <v>1052</v>
      </c>
      <c r="C422" s="13">
        <v>50.0</v>
      </c>
      <c r="D422" s="13">
        <v>2.0</v>
      </c>
      <c r="E422" s="244"/>
      <c r="F422" s="244"/>
    </row>
    <row r="423" ht="22.5" customHeight="1">
      <c r="A423" s="10" t="s">
        <v>896</v>
      </c>
      <c r="B423" s="10" t="s">
        <v>119</v>
      </c>
      <c r="C423" s="13">
        <v>135.0</v>
      </c>
      <c r="D423" s="13">
        <v>6.0</v>
      </c>
      <c r="E423" s="244"/>
      <c r="F423" s="244"/>
    </row>
    <row r="424" ht="22.5" customHeight="1">
      <c r="A424" s="10" t="s">
        <v>801</v>
      </c>
      <c r="B424" s="10" t="s">
        <v>119</v>
      </c>
      <c r="C424" s="13">
        <v>145.0</v>
      </c>
      <c r="D424" s="13">
        <v>2.0</v>
      </c>
      <c r="E424" s="244"/>
      <c r="F424" s="244"/>
    </row>
    <row r="425" ht="22.5" customHeight="1">
      <c r="A425" s="10" t="s">
        <v>799</v>
      </c>
      <c r="B425" s="10" t="s">
        <v>119</v>
      </c>
      <c r="C425" s="13">
        <v>145.0</v>
      </c>
      <c r="D425" s="13">
        <v>2.0</v>
      </c>
      <c r="E425" s="244"/>
      <c r="F425" s="244"/>
    </row>
    <row r="426" ht="22.5" customHeight="1">
      <c r="A426" s="10" t="s">
        <v>604</v>
      </c>
      <c r="B426" s="10" t="s">
        <v>119</v>
      </c>
      <c r="C426" s="13">
        <v>171.0</v>
      </c>
      <c r="D426" s="13">
        <v>2.0</v>
      </c>
      <c r="E426" s="244"/>
      <c r="F426" s="244"/>
    </row>
    <row r="427" ht="22.5" customHeight="1">
      <c r="A427" s="10" t="s">
        <v>631</v>
      </c>
      <c r="B427" s="10" t="s">
        <v>119</v>
      </c>
      <c r="C427" s="13">
        <v>167.0</v>
      </c>
      <c r="D427" s="13">
        <v>2.0</v>
      </c>
      <c r="E427" s="244"/>
      <c r="F427" s="244"/>
    </row>
    <row r="428" ht="22.5" customHeight="1">
      <c r="A428" s="10" t="s">
        <v>845</v>
      </c>
      <c r="B428" s="10" t="s">
        <v>119</v>
      </c>
      <c r="C428" s="13">
        <v>115.0</v>
      </c>
      <c r="D428" s="13">
        <v>2.0</v>
      </c>
      <c r="E428" s="244"/>
      <c r="F428" s="244"/>
    </row>
    <row r="429" ht="22.5" customHeight="1">
      <c r="A429" s="10" t="s">
        <v>1139</v>
      </c>
      <c r="B429" s="10" t="s">
        <v>154</v>
      </c>
      <c r="C429" s="13">
        <v>75.0</v>
      </c>
      <c r="D429" s="13">
        <v>6.0</v>
      </c>
      <c r="E429" s="244"/>
      <c r="F429" s="244"/>
    </row>
    <row r="430" ht="22.5" customHeight="1">
      <c r="A430" s="10" t="s">
        <v>885</v>
      </c>
      <c r="B430" s="10" t="s">
        <v>154</v>
      </c>
      <c r="C430" s="13">
        <v>135.0</v>
      </c>
      <c r="D430" s="13">
        <v>2.0</v>
      </c>
      <c r="E430" s="244"/>
      <c r="F430" s="244"/>
    </row>
    <row r="431" ht="22.5" customHeight="1">
      <c r="A431" s="10" t="s">
        <v>741</v>
      </c>
      <c r="B431" s="10" t="s">
        <v>51</v>
      </c>
      <c r="C431" s="13">
        <v>150.0</v>
      </c>
      <c r="D431" s="13">
        <v>6.585714285714285</v>
      </c>
      <c r="E431" s="244"/>
      <c r="F431" s="244"/>
    </row>
    <row r="432" ht="22.5" customHeight="1">
      <c r="A432" s="10" t="s">
        <v>454</v>
      </c>
      <c r="B432" s="6" t="s">
        <v>54</v>
      </c>
      <c r="C432" s="13">
        <v>200.0</v>
      </c>
      <c r="D432" s="13">
        <v>1.0</v>
      </c>
      <c r="E432" s="244"/>
      <c r="F432" s="244"/>
    </row>
    <row r="433" ht="22.5" customHeight="1">
      <c r="A433" s="10" t="s">
        <v>454</v>
      </c>
      <c r="B433" s="10" t="s">
        <v>31</v>
      </c>
      <c r="C433" s="13">
        <v>210.0</v>
      </c>
      <c r="D433" s="13">
        <v>5.0</v>
      </c>
      <c r="E433" s="244"/>
      <c r="F433" s="244"/>
    </row>
    <row r="434" ht="22.5" customHeight="1">
      <c r="A434" s="10" t="s">
        <v>402</v>
      </c>
      <c r="B434" s="10" t="s">
        <v>31</v>
      </c>
      <c r="C434" s="13">
        <v>225.0</v>
      </c>
      <c r="D434" s="13">
        <v>5.0</v>
      </c>
      <c r="E434" s="244"/>
      <c r="F434" s="244"/>
    </row>
    <row r="435" ht="22.5" customHeight="1">
      <c r="A435" s="10" t="s">
        <v>783</v>
      </c>
      <c r="B435" s="10" t="s">
        <v>31</v>
      </c>
      <c r="C435" s="13">
        <v>145.0</v>
      </c>
      <c r="D435" s="13">
        <v>2.0</v>
      </c>
      <c r="E435" s="244"/>
      <c r="F435" s="244"/>
    </row>
    <row r="436" ht="22.5" customHeight="1">
      <c r="A436" s="10" t="s">
        <v>467</v>
      </c>
      <c r="B436" s="10" t="s">
        <v>31</v>
      </c>
      <c r="C436" s="13">
        <v>105.0</v>
      </c>
      <c r="D436" s="13">
        <v>2.0</v>
      </c>
      <c r="E436" s="244"/>
      <c r="F436" s="244"/>
    </row>
    <row r="437" ht="22.5" customHeight="1">
      <c r="A437" s="10" t="s">
        <v>1106</v>
      </c>
      <c r="B437" s="10" t="s">
        <v>125</v>
      </c>
      <c r="C437" s="13">
        <v>100.0</v>
      </c>
      <c r="D437" s="13">
        <v>1.0</v>
      </c>
      <c r="E437" s="244"/>
      <c r="F437" s="244"/>
    </row>
    <row r="438" ht="22.5" customHeight="1">
      <c r="A438" s="10" t="s">
        <v>1109</v>
      </c>
      <c r="B438" s="10" t="s">
        <v>125</v>
      </c>
      <c r="C438" s="13">
        <v>100.0</v>
      </c>
      <c r="D438" s="13">
        <v>1.0</v>
      </c>
      <c r="E438" s="244"/>
      <c r="F438" s="244"/>
    </row>
    <row r="439" ht="22.5" customHeight="1">
      <c r="A439" s="10" t="s">
        <v>1084</v>
      </c>
      <c r="B439" s="10" t="s">
        <v>125</v>
      </c>
      <c r="C439" s="13">
        <v>105.0</v>
      </c>
      <c r="D439" s="13">
        <v>2.0</v>
      </c>
      <c r="E439" s="244"/>
      <c r="F439" s="244"/>
    </row>
    <row r="440" ht="22.5" customHeight="1">
      <c r="A440" s="10" t="s">
        <v>658</v>
      </c>
      <c r="B440" s="10" t="s">
        <v>125</v>
      </c>
      <c r="C440" s="13">
        <v>110.0</v>
      </c>
      <c r="D440" s="13">
        <v>2.0</v>
      </c>
      <c r="E440" s="244"/>
      <c r="F440" s="244"/>
    </row>
    <row r="441" ht="22.5" customHeight="1">
      <c r="A441" s="10" t="s">
        <v>584</v>
      </c>
      <c r="B441" s="10" t="s">
        <v>119</v>
      </c>
      <c r="C441" s="13">
        <v>5.0</v>
      </c>
      <c r="D441" s="13">
        <v>2.0</v>
      </c>
      <c r="E441" s="244"/>
      <c r="F441" s="244"/>
    </row>
    <row r="442" ht="22.5" customHeight="1">
      <c r="A442" s="10" t="s">
        <v>297</v>
      </c>
      <c r="B442" s="10" t="s">
        <v>31</v>
      </c>
      <c r="C442" s="13">
        <v>30.0</v>
      </c>
      <c r="D442" s="13">
        <v>0.5</v>
      </c>
      <c r="E442" s="244"/>
      <c r="F442" s="244"/>
    </row>
    <row r="443" ht="22.5" customHeight="1">
      <c r="A443" s="10" t="s">
        <v>624</v>
      </c>
      <c r="B443" s="10" t="s">
        <v>31</v>
      </c>
      <c r="C443" s="13">
        <v>85.0</v>
      </c>
      <c r="D443" s="13">
        <v>2.0</v>
      </c>
      <c r="E443" s="244"/>
      <c r="F443" s="244"/>
    </row>
    <row r="444" ht="22.5" customHeight="1">
      <c r="A444" s="10" t="s">
        <v>431</v>
      </c>
      <c r="B444" s="10" t="s">
        <v>154</v>
      </c>
      <c r="C444" s="13">
        <v>135.0</v>
      </c>
      <c r="D444" s="13">
        <v>6.0</v>
      </c>
      <c r="E444" s="244"/>
      <c r="F444" s="244"/>
    </row>
    <row r="445" ht="22.5" customHeight="1">
      <c r="A445" s="10" t="s">
        <v>625</v>
      </c>
      <c r="B445" s="10" t="s">
        <v>119</v>
      </c>
      <c r="C445" s="13">
        <v>39.0</v>
      </c>
      <c r="D445" s="13">
        <v>0.5</v>
      </c>
      <c r="E445" s="244"/>
      <c r="F445" s="244"/>
    </row>
    <row r="446" ht="22.5" customHeight="1">
      <c r="A446" s="10" t="s">
        <v>464</v>
      </c>
      <c r="B446" s="10" t="s">
        <v>31</v>
      </c>
      <c r="C446" s="13">
        <v>135.0</v>
      </c>
      <c r="D446" s="13">
        <v>7.0</v>
      </c>
      <c r="E446" s="244"/>
      <c r="F446" s="244"/>
    </row>
    <row r="447" ht="22.5" customHeight="1">
      <c r="A447" s="10" t="s">
        <v>356</v>
      </c>
      <c r="B447" s="10" t="s">
        <v>51</v>
      </c>
      <c r="C447" s="13">
        <v>85.0</v>
      </c>
      <c r="D447" s="13">
        <v>5.0</v>
      </c>
      <c r="E447" s="244"/>
      <c r="F447" s="244"/>
    </row>
    <row r="448" ht="22.5" customHeight="1">
      <c r="A448" s="10" t="s">
        <v>1161</v>
      </c>
      <c r="B448" s="10" t="s">
        <v>51</v>
      </c>
      <c r="C448" s="13">
        <v>90.0</v>
      </c>
      <c r="D448" s="13">
        <v>44.0</v>
      </c>
      <c r="E448" s="244"/>
      <c r="F448" s="244"/>
    </row>
    <row r="449" ht="22.5" customHeight="1">
      <c r="A449" s="10" t="s">
        <v>946</v>
      </c>
      <c r="B449" s="10" t="s">
        <v>51</v>
      </c>
      <c r="C449" s="13">
        <v>75.0</v>
      </c>
      <c r="D449" s="13">
        <v>13.0</v>
      </c>
      <c r="E449" s="244"/>
      <c r="F449" s="244"/>
    </row>
    <row r="450" ht="22.5" customHeight="1">
      <c r="A450" s="10" t="s">
        <v>674</v>
      </c>
      <c r="B450" s="10" t="s">
        <v>51</v>
      </c>
      <c r="C450" s="13">
        <v>50.0</v>
      </c>
      <c r="D450" s="13">
        <v>1.0</v>
      </c>
      <c r="E450" s="244"/>
      <c r="F450" s="244"/>
    </row>
    <row r="451" ht="22.5" customHeight="1">
      <c r="A451" s="10" t="s">
        <v>674</v>
      </c>
      <c r="B451" s="10" t="s">
        <v>436</v>
      </c>
      <c r="C451" s="13">
        <v>45.0</v>
      </c>
      <c r="D451" s="13">
        <v>6.0</v>
      </c>
      <c r="E451" s="244"/>
      <c r="F451" s="244"/>
    </row>
    <row r="452" ht="22.5" customHeight="1">
      <c r="A452" s="10"/>
      <c r="B452" s="5"/>
      <c r="C452" s="5"/>
      <c r="D452" s="5"/>
      <c r="E452" s="244"/>
      <c r="F452" s="244"/>
    </row>
    <row r="453" ht="22.5" customHeight="1">
      <c r="A453" s="10"/>
      <c r="B453" s="5"/>
      <c r="C453" s="5"/>
      <c r="D453" s="5"/>
      <c r="E453" s="244"/>
      <c r="F453" s="244"/>
    </row>
    <row r="454" ht="22.5" customHeight="1">
      <c r="A454" s="10"/>
      <c r="B454" s="5"/>
      <c r="C454" s="5"/>
      <c r="D454" s="5"/>
      <c r="E454" s="244"/>
      <c r="F454" s="244"/>
    </row>
    <row r="455" ht="22.5" customHeight="1">
      <c r="A455" s="10"/>
      <c r="B455" s="5"/>
      <c r="C455" s="5"/>
      <c r="D455" s="5"/>
      <c r="E455" s="244"/>
      <c r="F455" s="244"/>
    </row>
    <row r="456" ht="22.5" customHeight="1">
      <c r="A456" s="10"/>
      <c r="B456" s="5"/>
      <c r="C456" s="5"/>
      <c r="D456" s="5"/>
      <c r="E456" s="244"/>
      <c r="F456" s="244"/>
    </row>
    <row r="457" ht="22.5" customHeight="1">
      <c r="A457" s="10"/>
      <c r="B457" s="5"/>
      <c r="C457" s="5"/>
      <c r="D457" s="5"/>
      <c r="E457" s="244"/>
      <c r="F457" s="244"/>
    </row>
    <row r="458" ht="22.5" customHeight="1">
      <c r="A458" s="10"/>
      <c r="B458" s="5"/>
      <c r="C458" s="5"/>
      <c r="D458" s="5"/>
      <c r="E458" s="244"/>
      <c r="F458" s="244"/>
    </row>
    <row r="459" ht="22.5" customHeight="1">
      <c r="A459" s="10"/>
      <c r="B459" s="5"/>
      <c r="C459" s="5"/>
      <c r="D459" s="5"/>
      <c r="E459" s="244"/>
      <c r="F459" s="244"/>
    </row>
    <row r="460" ht="22.5" customHeight="1">
      <c r="A460" s="10"/>
      <c r="B460" s="5"/>
      <c r="C460" s="5"/>
      <c r="D460" s="5"/>
      <c r="E460" s="244"/>
      <c r="F460" s="244"/>
    </row>
  </sheetData>
  <drawing ns1:id="rId1"/>
  <tableParts count="1">
    <tablePart ns1:id="rId3"/>
  </tableParts>
</worksheet>
</file>

<file path=xl/worksheets/sheet11.xml><?xml version="1.0" encoding="utf-8"?>
<worksheet xmlns="http://schemas.openxmlformats.org/spreadsheetml/2006/main" xmlns:ns1="http://schemas.openxmlformats.org/officeDocument/2006/relationships">
  <sheetPr>
    <pageSetUpPr/>
  </sheetPr>
  <sheetViews>
    <sheetView rightToLeft="1" workbookViewId="0"/>
  </sheetViews>
  <sheetFormatPr customHeight="1" defaultColWidth="12.63" defaultRowHeight="15.75"/>
  <cols>
    <col customWidth="1" min="1" max="1" width="28.25"/>
    <col customWidth="1" min="2" max="2" width="21.75"/>
    <col customWidth="1" min="3" max="3" width="11.5"/>
    <col customWidth="1" min="4" max="4" width="13.63"/>
    <col customWidth="1" min="5" max="5" width="17.0"/>
    <col customWidth="1" min="6" max="6" width="25.25"/>
    <col customWidth="1" min="7" max="7" width="26.0"/>
    <col customWidth="1" min="8" max="8" width="15.5"/>
    <col customWidth="1" min="9" max="10" width="8.88"/>
    <col customWidth="1" min="11" max="11" width="8.63"/>
    <col customWidth="1" min="12" max="12" width="25.25"/>
    <col customWidth="1" min="13" max="13" width="8.63"/>
    <col customWidth="1" min="14" max="14" width="17.5"/>
    <col customWidth="1" min="15" max="26" width="8.63"/>
  </cols>
  <sheetData>
    <row r="1" ht="14.25" customHeight="1">
      <c r="A1" s="248" t="s">
        <v>4349</v>
      </c>
      <c r="B1" s="105" t="s">
        <v>4350</v>
      </c>
      <c r="C1" s="105" t="s">
        <v>4351</v>
      </c>
      <c r="D1" s="249" t="s">
        <v>4352</v>
      </c>
      <c r="E1" s="105" t="s">
        <v>4353</v>
      </c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</row>
    <row r="2" ht="14.25" customHeight="1">
      <c r="A2" s="105" t="s">
        <v>4355</v>
      </c>
      <c r="B2" s="105" t="s">
        <v>30</v>
      </c>
      <c r="C2" s="251">
        <v>120.0</v>
      </c>
      <c r="D2" s="252">
        <v>13.0</v>
      </c>
      <c r="E2" s="251">
        <f>' طلبيات'!$D2*' طلبيات'!$C2</f>
        <v>1560</v>
      </c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</row>
    <row r="3" ht="14.25" customHeight="1">
      <c r="A3" s="105" t="s">
        <v>4355</v>
      </c>
      <c r="B3" s="105" t="s">
        <v>30</v>
      </c>
      <c r="C3" s="251">
        <v>95.0</v>
      </c>
      <c r="D3" s="252">
        <v>2.0</v>
      </c>
      <c r="E3" s="251">
        <f>' طلبيات'!$D3*' طلبيات'!$C3</f>
        <v>190</v>
      </c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</row>
    <row r="4" ht="14.25" customHeight="1">
      <c r="A4" s="253" t="s">
        <v>116</v>
      </c>
      <c r="B4" s="105" t="s">
        <v>476</v>
      </c>
      <c r="C4" s="251">
        <v>17.0</v>
      </c>
      <c r="D4" s="252">
        <v>12.0</v>
      </c>
      <c r="E4" s="251">
        <f>' طلبيات'!$D4*' طلبيات'!$C4</f>
        <v>204</v>
      </c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</row>
    <row r="5" ht="14.25" customHeight="1">
      <c r="A5" s="105" t="s">
        <v>4359</v>
      </c>
      <c r="B5" s="105" t="s">
        <v>224</v>
      </c>
      <c r="C5" s="251">
        <v>165.0</v>
      </c>
      <c r="D5" s="252">
        <v>6.0</v>
      </c>
      <c r="E5" s="251">
        <f>' طلبيات'!$D5*' طلبيات'!$C5</f>
        <v>990</v>
      </c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</row>
    <row r="6" ht="14.25" customHeight="1">
      <c r="A6" s="105" t="s">
        <v>239</v>
      </c>
      <c r="B6" s="105" t="s">
        <v>224</v>
      </c>
      <c r="C6" s="251">
        <v>325.0</v>
      </c>
      <c r="D6" s="252">
        <v>2.0</v>
      </c>
      <c r="E6" s="251">
        <f>' طلبيات'!$D6*' طلبيات'!$C6</f>
        <v>650</v>
      </c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</row>
    <row r="7" ht="14.25" customHeight="1">
      <c r="A7" s="105" t="s">
        <v>4361</v>
      </c>
      <c r="B7" s="105" t="s">
        <v>169</v>
      </c>
      <c r="C7" s="251">
        <v>60.0</v>
      </c>
      <c r="D7" s="252">
        <v>12.0</v>
      </c>
      <c r="E7" s="251">
        <f>' طلبيات'!$D7*' طلبيات'!$C7</f>
        <v>720</v>
      </c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</row>
    <row r="8" ht="14.25" customHeight="1">
      <c r="A8" s="105" t="s">
        <v>314</v>
      </c>
      <c r="B8" s="105" t="s">
        <v>50</v>
      </c>
      <c r="C8" s="251">
        <v>275.0</v>
      </c>
      <c r="D8" s="252">
        <v>3.0</v>
      </c>
      <c r="E8" s="251">
        <f>' طلبيات'!$D8*' طلبيات'!$C8</f>
        <v>825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</row>
    <row r="9" ht="14.25" customHeight="1">
      <c r="A9" s="105" t="s">
        <v>212</v>
      </c>
      <c r="B9" s="105" t="s">
        <v>50</v>
      </c>
      <c r="C9" s="251">
        <v>325.0</v>
      </c>
      <c r="D9" s="252">
        <v>1.0</v>
      </c>
      <c r="E9" s="251">
        <f>' طلبيات'!$D9*' طلبيات'!$C9</f>
        <v>325</v>
      </c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</row>
    <row r="10" ht="14.25" customHeight="1">
      <c r="A10" s="105" t="s">
        <v>179</v>
      </c>
      <c r="B10" s="105" t="s">
        <v>238</v>
      </c>
      <c r="C10" s="251">
        <v>105.0</v>
      </c>
      <c r="D10" s="252">
        <v>4.0</v>
      </c>
      <c r="E10" s="251">
        <f>' طلبيات'!$D10*' طلبيات'!$C10</f>
        <v>420</v>
      </c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</row>
    <row r="11" ht="14.25" customHeight="1">
      <c r="A11" s="105" t="s">
        <v>302</v>
      </c>
      <c r="B11" s="105" t="s">
        <v>494</v>
      </c>
      <c r="C11" s="251">
        <v>18.0</v>
      </c>
      <c r="D11" s="252">
        <v>24.0</v>
      </c>
      <c r="E11" s="251">
        <f>' طلبيات'!$D11*' طلبيات'!$C11</f>
        <v>432</v>
      </c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</row>
    <row r="12" ht="14.25" customHeight="1">
      <c r="A12" s="251"/>
      <c r="B12" s="251"/>
      <c r="C12" s="251"/>
      <c r="D12" s="252"/>
      <c r="E12" s="251">
        <f>' طلبيات'!$D12*' طلبيات'!$C12</f>
        <v>0</v>
      </c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</row>
    <row r="13" ht="14.25" customHeight="1">
      <c r="A13" s="251"/>
      <c r="B13" s="251"/>
      <c r="C13" s="251"/>
      <c r="D13" s="252"/>
      <c r="E13" s="251">
        <f>' طلبيات'!$D13*' طلبيات'!$C13</f>
        <v>0</v>
      </c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</row>
    <row r="14" ht="14.25" customHeight="1">
      <c r="A14" s="251"/>
      <c r="B14" s="251"/>
      <c r="C14" s="251"/>
      <c r="D14" s="252"/>
      <c r="E14" s="251">
        <f>' طلبيات'!$D14*' طلبيات'!$C14</f>
        <v>0</v>
      </c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</row>
    <row r="15" ht="14.25" customHeight="1">
      <c r="A15" s="251" t="s">
        <v>4366</v>
      </c>
      <c r="B15" s="251">
        <f>SUBTOTAL(109,' طلبيات'!$B$2:$B$14)</f>
        <v>0</v>
      </c>
      <c r="C15" s="251">
        <f>SUBTOTAL(109,' طلبيات'!$C$2:$C$14)</f>
        <v>1505</v>
      </c>
      <c r="D15" s="252">
        <f>SUBTOTAL(109,' طلبيات'!$D$2:$D$14)</f>
        <v>79</v>
      </c>
      <c r="E15" s="251">
        <f>SUBTOTAL(109,' طلبيات'!$E$2:$E$14)</f>
        <v>6316</v>
      </c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</row>
    <row r="16" ht="14.25" customHeight="1">
      <c r="A16" s="250"/>
      <c r="B16" s="250"/>
      <c r="C16" s="250"/>
      <c r="D16" s="254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</row>
    <row r="17" ht="14.25" customHeight="1">
      <c r="A17" s="250"/>
      <c r="B17" s="250"/>
      <c r="C17" s="250"/>
      <c r="D17" s="254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</row>
    <row r="18" ht="14.25" customHeight="1">
      <c r="A18" s="255" t="s">
        <v>4369</v>
      </c>
      <c r="B18" s="255" t="s">
        <v>4350</v>
      </c>
      <c r="C18" s="255" t="s">
        <v>4370</v>
      </c>
      <c r="D18" s="256" t="s">
        <v>4352</v>
      </c>
      <c r="E18" s="255" t="s">
        <v>4353</v>
      </c>
      <c r="F18" s="255" t="s">
        <v>4372</v>
      </c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</row>
    <row r="19" ht="14.25" customHeight="1">
      <c r="A19" s="257" t="s">
        <v>67</v>
      </c>
      <c r="B19" s="257" t="s">
        <v>68</v>
      </c>
      <c r="C19" s="258">
        <v>725.0</v>
      </c>
      <c r="D19" s="259">
        <v>1.0</v>
      </c>
      <c r="E19" s="251">
        <f>' طلبيات'!$D19*' طلبيات'!$C19</f>
        <v>725</v>
      </c>
      <c r="F19" s="260">
        <v>45832.0</v>
      </c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</row>
    <row r="20" ht="14.25" customHeight="1">
      <c r="A20" s="261" t="s">
        <v>76</v>
      </c>
      <c r="B20" s="261" t="s">
        <v>68</v>
      </c>
      <c r="C20" s="262">
        <v>415.0</v>
      </c>
      <c r="D20" s="263">
        <v>1.0</v>
      </c>
      <c r="E20" s="251">
        <f>' طلبيات'!$D20*' طلبيات'!$C20</f>
        <v>415</v>
      </c>
      <c r="F20" s="260">
        <v>45832.0</v>
      </c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</row>
    <row r="21" ht="14.25" customHeight="1">
      <c r="A21" s="257" t="s">
        <v>82</v>
      </c>
      <c r="B21" s="257" t="s">
        <v>68</v>
      </c>
      <c r="C21" s="258">
        <v>325.0</v>
      </c>
      <c r="D21" s="259">
        <v>1.0</v>
      </c>
      <c r="E21" s="251">
        <f>' طلبيات'!$D21*' طلبيات'!$C21</f>
        <v>325</v>
      </c>
      <c r="F21" s="260">
        <v>45832.0</v>
      </c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</row>
    <row r="22" ht="14.25" customHeight="1">
      <c r="A22" s="261" t="s">
        <v>87</v>
      </c>
      <c r="B22" s="261" t="s">
        <v>68</v>
      </c>
      <c r="C22" s="262">
        <v>300.0</v>
      </c>
      <c r="D22" s="263">
        <v>1.0</v>
      </c>
      <c r="E22" s="251">
        <f>' طلبيات'!$D22*' طلبيات'!$C22</f>
        <v>300</v>
      </c>
      <c r="F22" s="260">
        <v>45832.0</v>
      </c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</row>
    <row r="23" ht="14.25" customHeight="1">
      <c r="A23" s="257" t="s">
        <v>92</v>
      </c>
      <c r="B23" s="257" t="s">
        <v>93</v>
      </c>
      <c r="C23" s="258">
        <v>295.0</v>
      </c>
      <c r="D23" s="259">
        <v>2.0</v>
      </c>
      <c r="E23" s="251">
        <f>' طلبيات'!$D23*' طلبيات'!$C23</f>
        <v>590</v>
      </c>
      <c r="F23" s="260">
        <v>45832.0</v>
      </c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</row>
    <row r="24" ht="14.25" customHeight="1">
      <c r="A24" s="261" t="s">
        <v>97</v>
      </c>
      <c r="B24" s="261" t="s">
        <v>93</v>
      </c>
      <c r="C24" s="262">
        <v>200.0</v>
      </c>
      <c r="D24" s="263">
        <v>1.0</v>
      </c>
      <c r="E24" s="251">
        <f>' طلبيات'!$D24*' طلبيات'!$C24</f>
        <v>200</v>
      </c>
      <c r="F24" s="260">
        <v>45832.0</v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</row>
    <row r="25" ht="14.25" customHeight="1">
      <c r="A25" s="257" t="s">
        <v>45</v>
      </c>
      <c r="B25" s="257" t="s">
        <v>68</v>
      </c>
      <c r="C25" s="258">
        <v>185.0</v>
      </c>
      <c r="D25" s="259">
        <v>1.0</v>
      </c>
      <c r="E25" s="251">
        <f>' طلبيات'!$D25*' طلبيات'!$C25</f>
        <v>185</v>
      </c>
      <c r="F25" s="260">
        <v>45832.0</v>
      </c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</row>
    <row r="26" ht="14.25" customHeight="1">
      <c r="A26" s="261" t="s">
        <v>104</v>
      </c>
      <c r="B26" s="261" t="s">
        <v>68</v>
      </c>
      <c r="C26" s="262">
        <v>180.0</v>
      </c>
      <c r="D26" s="263">
        <v>2.0</v>
      </c>
      <c r="E26" s="251">
        <f>' طلبيات'!$D26*' طلبيات'!$C26</f>
        <v>360</v>
      </c>
      <c r="F26" s="260">
        <v>45832.0</v>
      </c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</row>
    <row r="27" ht="14.25" customHeight="1">
      <c r="A27" s="257" t="s">
        <v>109</v>
      </c>
      <c r="B27" s="257" t="s">
        <v>68</v>
      </c>
      <c r="C27" s="258">
        <v>180.0</v>
      </c>
      <c r="D27" s="259">
        <v>3.0</v>
      </c>
      <c r="E27" s="251">
        <f>' طلبيات'!$D27*' طلبيات'!$C27</f>
        <v>540</v>
      </c>
      <c r="F27" s="260">
        <v>45832.0</v>
      </c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</row>
    <row r="28" ht="14.25" customHeight="1">
      <c r="A28" s="261" t="s">
        <v>89</v>
      </c>
      <c r="B28" s="261" t="s">
        <v>68</v>
      </c>
      <c r="C28" s="262">
        <v>175.0</v>
      </c>
      <c r="D28" s="263">
        <v>1.0</v>
      </c>
      <c r="E28" s="251">
        <f>' طلبيات'!$D28*' طلبيات'!$C28</f>
        <v>175</v>
      </c>
      <c r="F28" s="260">
        <v>45832.0</v>
      </c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</row>
    <row r="29" ht="14.25" customHeight="1">
      <c r="A29" s="257" t="s">
        <v>121</v>
      </c>
      <c r="B29" s="257" t="s">
        <v>68</v>
      </c>
      <c r="C29" s="258">
        <v>175.0</v>
      </c>
      <c r="D29" s="259">
        <v>4.0</v>
      </c>
      <c r="E29" s="251">
        <f>' طلبيات'!$D29*' طلبيات'!$C29</f>
        <v>700</v>
      </c>
      <c r="F29" s="260">
        <v>45832.0</v>
      </c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</row>
    <row r="30" ht="14.25" customHeight="1">
      <c r="A30" s="261" t="s">
        <v>127</v>
      </c>
      <c r="B30" s="261" t="s">
        <v>68</v>
      </c>
      <c r="C30" s="262">
        <v>160.0</v>
      </c>
      <c r="D30" s="263">
        <v>2.0</v>
      </c>
      <c r="E30" s="251">
        <f>' طلبيات'!$D30*' طلبيات'!$C30</f>
        <v>320</v>
      </c>
      <c r="F30" s="260">
        <v>45832.0</v>
      </c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</row>
    <row r="31" ht="14.25" customHeight="1">
      <c r="A31" s="257" t="s">
        <v>96</v>
      </c>
      <c r="B31" s="257" t="s">
        <v>68</v>
      </c>
      <c r="C31" s="258">
        <v>160.0</v>
      </c>
      <c r="D31" s="259">
        <v>1.0</v>
      </c>
      <c r="E31" s="251">
        <f>' طلبيات'!$D31*' طلبيات'!$C31</f>
        <v>160</v>
      </c>
      <c r="F31" s="260">
        <v>45832.0</v>
      </c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</row>
    <row r="32" ht="14.25" customHeight="1">
      <c r="A32" s="261" t="s">
        <v>134</v>
      </c>
      <c r="B32" s="261" t="s">
        <v>68</v>
      </c>
      <c r="C32" s="262">
        <v>155.0</v>
      </c>
      <c r="D32" s="263">
        <v>1.0</v>
      </c>
      <c r="E32" s="251">
        <f>' طلبيات'!$D32*' طلبيات'!$C32</f>
        <v>155</v>
      </c>
      <c r="F32" s="260">
        <v>45832.0</v>
      </c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</row>
    <row r="33" ht="14.25" customHeight="1">
      <c r="A33" s="257" t="s">
        <v>122</v>
      </c>
      <c r="B33" s="257" t="s">
        <v>138</v>
      </c>
      <c r="C33" s="258">
        <v>300.0</v>
      </c>
      <c r="D33" s="259">
        <v>2.0</v>
      </c>
      <c r="E33" s="251">
        <f>' طلبيات'!$D33*' طلبيات'!$C33</f>
        <v>600</v>
      </c>
      <c r="F33" s="260">
        <v>45832.0</v>
      </c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</row>
    <row r="34" ht="14.25" customHeight="1">
      <c r="A34" s="261" t="s">
        <v>70</v>
      </c>
      <c r="B34" s="261" t="s">
        <v>138</v>
      </c>
      <c r="C34" s="262">
        <v>75.0</v>
      </c>
      <c r="D34" s="263">
        <v>4.0</v>
      </c>
      <c r="E34" s="251">
        <f>' طلبيات'!$D34*' طلبيات'!$C34</f>
        <v>300</v>
      </c>
      <c r="F34" s="260">
        <v>45832.0</v>
      </c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</row>
    <row r="35" ht="14.25" customHeight="1">
      <c r="A35" s="257" t="s">
        <v>40</v>
      </c>
      <c r="B35" s="257" t="s">
        <v>68</v>
      </c>
      <c r="C35" s="258">
        <v>140.0</v>
      </c>
      <c r="D35" s="259">
        <v>2.0</v>
      </c>
      <c r="E35" s="251">
        <f>' طلبيات'!$D35*' طلبيات'!$C35</f>
        <v>280</v>
      </c>
      <c r="F35" s="260">
        <v>45832.0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</row>
    <row r="36" ht="14.25" customHeight="1">
      <c r="A36" s="261" t="s">
        <v>149</v>
      </c>
      <c r="B36" s="261" t="s">
        <v>68</v>
      </c>
      <c r="C36" s="262">
        <v>135.0</v>
      </c>
      <c r="D36" s="263">
        <v>2.0</v>
      </c>
      <c r="E36" s="251">
        <f>' طلبيات'!$D36*' طلبيات'!$C36</f>
        <v>270</v>
      </c>
      <c r="F36" s="260">
        <v>45832.0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</row>
    <row r="37" ht="14.25" customHeight="1">
      <c r="A37" s="257" t="s">
        <v>152</v>
      </c>
      <c r="B37" s="257" t="s">
        <v>68</v>
      </c>
      <c r="C37" s="258">
        <v>125.0</v>
      </c>
      <c r="D37" s="259">
        <v>3.0</v>
      </c>
      <c r="E37" s="251">
        <f>' طلبيات'!$D37*' طلبيات'!$C37</f>
        <v>375</v>
      </c>
      <c r="F37" s="260">
        <v>45832.0</v>
      </c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</row>
    <row r="38" ht="14.25" customHeight="1">
      <c r="A38" s="261" t="s">
        <v>156</v>
      </c>
      <c r="B38" s="261" t="s">
        <v>68</v>
      </c>
      <c r="C38" s="262">
        <f>225/2</f>
        <v>112.5</v>
      </c>
      <c r="D38" s="263">
        <v>2.0</v>
      </c>
      <c r="E38" s="251">
        <f>' طلبيات'!$D38*' طلبيات'!$C38</f>
        <v>225</v>
      </c>
      <c r="F38" s="260">
        <v>45832.0</v>
      </c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</row>
    <row r="39" ht="14.25" customHeight="1">
      <c r="A39" s="257" t="s">
        <v>162</v>
      </c>
      <c r="B39" s="257" t="s">
        <v>163</v>
      </c>
      <c r="C39" s="258">
        <v>125.0</v>
      </c>
      <c r="D39" s="259">
        <v>1.0</v>
      </c>
      <c r="E39" s="251">
        <f>' طلبيات'!$D39*' طلبيات'!$C39</f>
        <v>125</v>
      </c>
      <c r="F39" s="260">
        <v>45832.0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</row>
    <row r="40" ht="14.25" customHeight="1">
      <c r="A40" s="261" t="s">
        <v>168</v>
      </c>
      <c r="B40" s="261" t="s">
        <v>169</v>
      </c>
      <c r="C40" s="262">
        <v>135.0</v>
      </c>
      <c r="D40" s="263">
        <v>3.0</v>
      </c>
      <c r="E40" s="251">
        <f>' طلبيات'!$D40*' طلبيات'!$C40</f>
        <v>405</v>
      </c>
      <c r="F40" s="260">
        <v>45832.0</v>
      </c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</row>
    <row r="41" ht="14.25" customHeight="1">
      <c r="A41" s="257" t="s">
        <v>173</v>
      </c>
      <c r="B41" s="257" t="s">
        <v>169</v>
      </c>
      <c r="C41" s="258">
        <f>135/3</f>
        <v>45</v>
      </c>
      <c r="D41" s="259">
        <v>2.0</v>
      </c>
      <c r="E41" s="251">
        <f>' طلبيات'!$D41*' طلبيات'!$C41</f>
        <v>90</v>
      </c>
      <c r="F41" s="260">
        <v>45832.0</v>
      </c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</row>
    <row r="42" ht="14.25" customHeight="1">
      <c r="A42" s="261" t="s">
        <v>177</v>
      </c>
      <c r="B42" s="261" t="s">
        <v>68</v>
      </c>
      <c r="C42" s="262">
        <v>55.0</v>
      </c>
      <c r="D42" s="263">
        <v>1.0</v>
      </c>
      <c r="E42" s="251">
        <f>' طلبيات'!$D42*' طلبيات'!$C42</f>
        <v>55</v>
      </c>
      <c r="F42" s="260">
        <v>45832.0</v>
      </c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</row>
    <row r="43" ht="14.25" customHeight="1">
      <c r="A43" s="257" t="s">
        <v>177</v>
      </c>
      <c r="B43" s="257" t="s">
        <v>68</v>
      </c>
      <c r="C43" s="258">
        <v>35.0</v>
      </c>
      <c r="D43" s="259">
        <v>9.0</v>
      </c>
      <c r="E43" s="251">
        <f>' طلبيات'!$D43*' طلبيات'!$C43</f>
        <v>315</v>
      </c>
      <c r="F43" s="260">
        <v>45832.0</v>
      </c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</row>
    <row r="44" ht="14.25" customHeight="1">
      <c r="A44" s="261" t="s">
        <v>184</v>
      </c>
      <c r="B44" s="261" t="s">
        <v>185</v>
      </c>
      <c r="C44" s="262">
        <v>175.0</v>
      </c>
      <c r="D44" s="263">
        <v>2.0</v>
      </c>
      <c r="E44" s="251">
        <f>' طلبيات'!$D44*' طلبيات'!$C44</f>
        <v>350</v>
      </c>
      <c r="F44" s="260">
        <v>45832.0</v>
      </c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</row>
    <row r="45" ht="14.25" customHeight="1">
      <c r="A45" s="257" t="s">
        <v>75</v>
      </c>
      <c r="B45" s="257" t="s">
        <v>30</v>
      </c>
      <c r="C45" s="258">
        <v>755.0</v>
      </c>
      <c r="D45" s="259">
        <v>1.0</v>
      </c>
      <c r="E45" s="251">
        <f>' طلبيات'!$D45*' طلبيات'!$C45</f>
        <v>755</v>
      </c>
      <c r="F45" s="260">
        <v>45832.0</v>
      </c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</row>
    <row r="46" ht="14.25" customHeight="1">
      <c r="A46" s="261" t="s">
        <v>192</v>
      </c>
      <c r="B46" s="261" t="s">
        <v>30</v>
      </c>
      <c r="C46" s="262">
        <v>625.0</v>
      </c>
      <c r="D46" s="263">
        <v>1.0</v>
      </c>
      <c r="E46" s="251">
        <f>' طلبيات'!$D46*' طلبيات'!$C46</f>
        <v>625</v>
      </c>
      <c r="F46" s="260">
        <v>45832.0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</row>
    <row r="47" ht="14.25" customHeight="1">
      <c r="A47" s="257" t="s">
        <v>197</v>
      </c>
      <c r="B47" s="257" t="s">
        <v>30</v>
      </c>
      <c r="C47" s="258">
        <v>595.0</v>
      </c>
      <c r="D47" s="259">
        <v>1.0</v>
      </c>
      <c r="E47" s="251">
        <f>' طلبيات'!$D47*' طلبيات'!$C47</f>
        <v>595</v>
      </c>
      <c r="F47" s="260">
        <v>45832.0</v>
      </c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</row>
    <row r="48" ht="14.25" customHeight="1">
      <c r="A48" s="261" t="s">
        <v>202</v>
      </c>
      <c r="B48" s="261" t="s">
        <v>30</v>
      </c>
      <c r="C48" s="262">
        <v>220.0</v>
      </c>
      <c r="D48" s="263">
        <v>3.0</v>
      </c>
      <c r="E48" s="251">
        <f>' طلبيات'!$D48*' طلبيات'!$C48</f>
        <v>660</v>
      </c>
      <c r="F48" s="260">
        <v>45832.0</v>
      </c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</row>
    <row r="49" ht="14.25" customHeight="1">
      <c r="A49" s="257" t="s">
        <v>206</v>
      </c>
      <c r="B49" s="257" t="s">
        <v>30</v>
      </c>
      <c r="C49" s="258">
        <v>155.0</v>
      </c>
      <c r="D49" s="259">
        <v>6.0</v>
      </c>
      <c r="E49" s="251">
        <f>' طلبيات'!$D49*' طلبيات'!$C49</f>
        <v>930</v>
      </c>
      <c r="F49" s="260">
        <v>45832.0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</row>
    <row r="50" ht="14.25" customHeight="1">
      <c r="A50" s="261" t="s">
        <v>210</v>
      </c>
      <c r="B50" s="261" t="s">
        <v>30</v>
      </c>
      <c r="C50" s="262">
        <v>130.0</v>
      </c>
      <c r="D50" s="263">
        <v>6.0</v>
      </c>
      <c r="E50" s="251">
        <f>' طلبيات'!$D50*' طلبيات'!$C50</f>
        <v>780</v>
      </c>
      <c r="F50" s="260">
        <v>45832.0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</row>
    <row r="51" ht="14.25" customHeight="1">
      <c r="A51" s="257" t="s">
        <v>214</v>
      </c>
      <c r="B51" s="257" t="s">
        <v>30</v>
      </c>
      <c r="C51" s="258">
        <v>205.0</v>
      </c>
      <c r="D51" s="259">
        <v>2.0</v>
      </c>
      <c r="E51" s="251">
        <f>' طلبيات'!$D51*' طلبيات'!$C51</f>
        <v>410</v>
      </c>
      <c r="F51" s="260">
        <v>45832.0</v>
      </c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</row>
    <row r="52" ht="14.25" customHeight="1">
      <c r="A52" s="261" t="s">
        <v>153</v>
      </c>
      <c r="B52" s="261" t="s">
        <v>30</v>
      </c>
      <c r="C52" s="262">
        <v>215.0</v>
      </c>
      <c r="D52" s="263">
        <v>2.0</v>
      </c>
      <c r="E52" s="251">
        <f>' طلبيات'!$D52*' طلبيات'!$C52</f>
        <v>430</v>
      </c>
      <c r="F52" s="260">
        <v>45832.0</v>
      </c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</row>
    <row r="53" ht="14.25" customHeight="1">
      <c r="A53" s="257" t="s">
        <v>101</v>
      </c>
      <c r="B53" s="257" t="s">
        <v>30</v>
      </c>
      <c r="C53" s="258">
        <v>175.0</v>
      </c>
      <c r="D53" s="259">
        <v>3.0</v>
      </c>
      <c r="E53" s="251">
        <f>' طلبيات'!$D53*' طلبيات'!$C53</f>
        <v>525</v>
      </c>
      <c r="F53" s="260">
        <v>45832.0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</row>
    <row r="54" ht="14.25" customHeight="1">
      <c r="A54" s="261" t="s">
        <v>144</v>
      </c>
      <c r="B54" s="261" t="s">
        <v>224</v>
      </c>
      <c r="C54" s="262">
        <v>165.0</v>
      </c>
      <c r="D54" s="263">
        <v>2.0</v>
      </c>
      <c r="E54" s="251">
        <f>' طلبيات'!$D54*' طلبيات'!$C54</f>
        <v>330</v>
      </c>
      <c r="F54" s="260">
        <v>45832.0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</row>
    <row r="55" ht="14.25" customHeight="1">
      <c r="A55" s="257" t="s">
        <v>229</v>
      </c>
      <c r="B55" s="257" t="s">
        <v>30</v>
      </c>
      <c r="C55" s="258">
        <v>155.0</v>
      </c>
      <c r="D55" s="259">
        <v>2.0</v>
      </c>
      <c r="E55" s="251">
        <f>' طلبيات'!$D55*' طلبيات'!$C55</f>
        <v>310</v>
      </c>
      <c r="F55" s="260">
        <v>45832.0</v>
      </c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</row>
    <row r="56" ht="14.25" customHeight="1">
      <c r="A56" s="261" t="s">
        <v>139</v>
      </c>
      <c r="B56" s="261" t="s">
        <v>30</v>
      </c>
      <c r="C56" s="262">
        <v>110.0</v>
      </c>
      <c r="D56" s="263">
        <v>2.0</v>
      </c>
      <c r="E56" s="251">
        <f>' طلبيات'!$D56*' طلبيات'!$C56</f>
        <v>220</v>
      </c>
      <c r="F56" s="260">
        <v>45832.0</v>
      </c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</row>
    <row r="57" ht="14.25" customHeight="1">
      <c r="A57" s="257" t="s">
        <v>235</v>
      </c>
      <c r="B57" s="257" t="s">
        <v>169</v>
      </c>
      <c r="C57" s="258">
        <v>75.0</v>
      </c>
      <c r="D57" s="259">
        <v>12.0</v>
      </c>
      <c r="E57" s="251">
        <f>' طلبيات'!$D57*' طلبيات'!$C57</f>
        <v>900</v>
      </c>
      <c r="F57" s="260">
        <v>45832.0</v>
      </c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</row>
    <row r="58" ht="14.25" customHeight="1">
      <c r="A58" s="261" t="s">
        <v>194</v>
      </c>
      <c r="B58" s="261" t="s">
        <v>238</v>
      </c>
      <c r="C58" s="262">
        <v>175.0</v>
      </c>
      <c r="D58" s="263">
        <v>1.0</v>
      </c>
      <c r="E58" s="251">
        <f>' طلبيات'!$D58*' طلبيات'!$C58</f>
        <v>175</v>
      </c>
      <c r="F58" s="260">
        <v>45832.0</v>
      </c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</row>
    <row r="59" ht="14.25" customHeight="1">
      <c r="A59" s="257" t="s">
        <v>133</v>
      </c>
      <c r="B59" s="257" t="s">
        <v>238</v>
      </c>
      <c r="C59" s="258">
        <v>135.0</v>
      </c>
      <c r="D59" s="259">
        <v>16.0</v>
      </c>
      <c r="E59" s="251">
        <f>' طلبيات'!$D59*' طلبيات'!$C59</f>
        <v>2160</v>
      </c>
      <c r="F59" s="260">
        <v>45832.0</v>
      </c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</row>
    <row r="60" ht="14.25" customHeight="1">
      <c r="A60" s="261" t="s">
        <v>179</v>
      </c>
      <c r="B60" s="261" t="s">
        <v>238</v>
      </c>
      <c r="C60" s="262">
        <v>105.0</v>
      </c>
      <c r="D60" s="263">
        <v>4.0</v>
      </c>
      <c r="E60" s="251">
        <f>' طلبيات'!$D60*' طلبيات'!$C60</f>
        <v>420</v>
      </c>
      <c r="F60" s="260">
        <v>45832.0</v>
      </c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</row>
    <row r="61" ht="14.25" customHeight="1">
      <c r="A61" s="257" t="s">
        <v>248</v>
      </c>
      <c r="B61" s="257" t="s">
        <v>238</v>
      </c>
      <c r="C61" s="258">
        <v>110.0</v>
      </c>
      <c r="D61" s="259">
        <v>1.0</v>
      </c>
      <c r="E61" s="251">
        <f>' طلبيات'!$D61*' طلبيات'!$C61</f>
        <v>110</v>
      </c>
      <c r="F61" s="260">
        <v>45832.0</v>
      </c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</row>
    <row r="62" ht="14.25" customHeight="1">
      <c r="A62" s="261" t="s">
        <v>253</v>
      </c>
      <c r="B62" s="261" t="s">
        <v>238</v>
      </c>
      <c r="C62" s="262">
        <v>95.0</v>
      </c>
      <c r="D62" s="263">
        <v>4.0</v>
      </c>
      <c r="E62" s="251">
        <f>' طلبيات'!$D62*' طلبيات'!$C62</f>
        <v>380</v>
      </c>
      <c r="F62" s="260">
        <v>45832.0</v>
      </c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</row>
    <row r="63" ht="14.25" customHeight="1">
      <c r="A63" s="257" t="s">
        <v>188</v>
      </c>
      <c r="B63" s="257" t="s">
        <v>256</v>
      </c>
      <c r="C63" s="258">
        <v>40.0</v>
      </c>
      <c r="D63" s="259">
        <v>3.0</v>
      </c>
      <c r="E63" s="251">
        <f>' طلبيات'!$D63*' طلبيات'!$C63</f>
        <v>120</v>
      </c>
      <c r="F63" s="260">
        <v>45832.0</v>
      </c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</row>
    <row r="64" ht="14.25" customHeight="1">
      <c r="A64" s="261" t="s">
        <v>255</v>
      </c>
      <c r="B64" s="261" t="s">
        <v>238</v>
      </c>
      <c r="C64" s="262">
        <v>35.0</v>
      </c>
      <c r="D64" s="263">
        <v>23.0</v>
      </c>
      <c r="E64" s="251">
        <f>' طلبيات'!$D64*' طلبيات'!$C64</f>
        <v>805</v>
      </c>
      <c r="F64" s="260">
        <v>45832.0</v>
      </c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</row>
    <row r="65" ht="14.25" customHeight="1">
      <c r="A65" s="257" t="s">
        <v>131</v>
      </c>
      <c r="B65" s="257" t="s">
        <v>50</v>
      </c>
      <c r="C65" s="258">
        <v>475.0</v>
      </c>
      <c r="D65" s="259">
        <v>1.0</v>
      </c>
      <c r="E65" s="251">
        <f>' طلبيات'!$D65*' طلبيات'!$C65</f>
        <v>475</v>
      </c>
      <c r="F65" s="260">
        <v>45832.0</v>
      </c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</row>
    <row r="66" ht="14.25" customHeight="1">
      <c r="A66" s="261" t="s">
        <v>266</v>
      </c>
      <c r="B66" s="261" t="s">
        <v>50</v>
      </c>
      <c r="C66" s="262">
        <v>400.0</v>
      </c>
      <c r="D66" s="263">
        <v>1.0</v>
      </c>
      <c r="E66" s="251">
        <f>' طلبيات'!$D66*' طلبيات'!$C66</f>
        <v>400</v>
      </c>
      <c r="F66" s="260">
        <v>45832.0</v>
      </c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</row>
    <row r="67" ht="14.25" customHeight="1">
      <c r="A67" s="257" t="s">
        <v>161</v>
      </c>
      <c r="B67" s="257" t="s">
        <v>50</v>
      </c>
      <c r="C67" s="258">
        <v>400.0</v>
      </c>
      <c r="D67" s="259">
        <v>1.0</v>
      </c>
      <c r="E67" s="251">
        <f>' طلبيات'!$D67*' طلبيات'!$C67</f>
        <v>400</v>
      </c>
      <c r="F67" s="260">
        <v>45832.0</v>
      </c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</row>
    <row r="68" ht="14.25" customHeight="1">
      <c r="A68" s="261" t="s">
        <v>230</v>
      </c>
      <c r="B68" s="261" t="s">
        <v>50</v>
      </c>
      <c r="C68" s="262">
        <v>310.0</v>
      </c>
      <c r="D68" s="263">
        <v>1.0</v>
      </c>
      <c r="E68" s="251">
        <f>' طلبيات'!$D68*' طلبيات'!$C68</f>
        <v>310</v>
      </c>
      <c r="F68" s="260">
        <v>45832.0</v>
      </c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</row>
    <row r="69" ht="14.25" customHeight="1">
      <c r="A69" s="257" t="s">
        <v>244</v>
      </c>
      <c r="B69" s="257" t="s">
        <v>50</v>
      </c>
      <c r="C69" s="258">
        <v>210.0</v>
      </c>
      <c r="D69" s="259">
        <v>1.0</v>
      </c>
      <c r="E69" s="251">
        <f>' طلبيات'!$D69*' طلبيات'!$C69</f>
        <v>210</v>
      </c>
      <c r="F69" s="260">
        <v>45832.0</v>
      </c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</row>
    <row r="70" ht="14.25" customHeight="1">
      <c r="A70" s="261" t="s">
        <v>106</v>
      </c>
      <c r="B70" s="261" t="s">
        <v>50</v>
      </c>
      <c r="C70" s="262">
        <v>195.0</v>
      </c>
      <c r="D70" s="263">
        <v>3.0</v>
      </c>
      <c r="E70" s="251">
        <f>' طلبيات'!$D70*' طلبيات'!$C70</f>
        <v>585</v>
      </c>
      <c r="F70" s="260">
        <v>45832.0</v>
      </c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</row>
    <row r="71" ht="14.25" customHeight="1">
      <c r="A71" s="257" t="s">
        <v>282</v>
      </c>
      <c r="B71" s="257" t="s">
        <v>50</v>
      </c>
      <c r="C71" s="258">
        <v>195.0</v>
      </c>
      <c r="D71" s="259">
        <v>1.0</v>
      </c>
      <c r="E71" s="251">
        <f>' طلبيات'!$D71*' طلبيات'!$C71</f>
        <v>195</v>
      </c>
      <c r="F71" s="260">
        <v>45832.0</v>
      </c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</row>
    <row r="72" ht="14.25" customHeight="1">
      <c r="A72" s="261" t="s">
        <v>225</v>
      </c>
      <c r="B72" s="261" t="s">
        <v>50</v>
      </c>
      <c r="C72" s="262">
        <v>160.0</v>
      </c>
      <c r="D72" s="263">
        <v>7.0</v>
      </c>
      <c r="E72" s="251">
        <f>' طلبيات'!$D72*' طلبيات'!$C72</f>
        <v>1120</v>
      </c>
      <c r="F72" s="260">
        <v>45832.0</v>
      </c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</row>
    <row r="73" ht="14.25" customHeight="1">
      <c r="A73" s="257" t="s">
        <v>250</v>
      </c>
      <c r="B73" s="257" t="s">
        <v>50</v>
      </c>
      <c r="C73" s="258">
        <v>145.0</v>
      </c>
      <c r="D73" s="259">
        <v>6.0</v>
      </c>
      <c r="E73" s="251">
        <f>' طلبيات'!$D73*' طلبيات'!$C73</f>
        <v>870</v>
      </c>
      <c r="F73" s="260">
        <v>45832.0</v>
      </c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</row>
    <row r="74" ht="14.25" customHeight="1">
      <c r="A74" s="251"/>
      <c r="B74" s="251"/>
      <c r="C74" s="251"/>
      <c r="D74" s="252"/>
      <c r="E74" s="251">
        <f>' طلبيات'!$D74*' طلبيات'!$C74</f>
        <v>0</v>
      </c>
      <c r="F74" s="260">
        <v>45832.0</v>
      </c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</row>
    <row r="75" ht="14.25" customHeight="1">
      <c r="A75" s="251"/>
      <c r="B75" s="251"/>
      <c r="C75" s="251"/>
      <c r="D75" s="252"/>
      <c r="E75" s="251">
        <f>' طلبيات'!$D75*' طلبيات'!$C75</f>
        <v>0</v>
      </c>
      <c r="F75" s="260">
        <v>45832.0</v>
      </c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</row>
    <row r="76" ht="14.25" customHeight="1">
      <c r="A76" s="258" t="s">
        <v>4366</v>
      </c>
      <c r="B76" s="258">
        <f>SUBTOTAL(109,' طلبيات'!$B$19:$B$75)</f>
        <v>0</v>
      </c>
      <c r="C76" s="258">
        <f>SUBTOTAL(109,' طلبيات'!$C$19:$C$75)</f>
        <v>11852.5</v>
      </c>
      <c r="D76" s="259">
        <f>SUBTOTAL(109,' طلبيات'!$D$19:$D$75)</f>
        <v>172</v>
      </c>
      <c r="E76" s="258">
        <f>SUBTOTAL(109,' طلبيات'!$E$19:$E$75)</f>
        <v>24745</v>
      </c>
      <c r="F76" s="264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</row>
    <row r="77" ht="14.25" customHeight="1">
      <c r="A77" s="250"/>
      <c r="B77" s="250"/>
      <c r="C77" s="250"/>
      <c r="D77" s="254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</row>
    <row r="78" ht="14.25" customHeight="1">
      <c r="A78" s="250"/>
      <c r="B78" s="250"/>
      <c r="C78" s="250"/>
      <c r="D78" s="254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</row>
    <row r="79" ht="14.25" customHeight="1">
      <c r="A79" s="105" t="s">
        <v>4369</v>
      </c>
      <c r="B79" s="105" t="s">
        <v>4350</v>
      </c>
      <c r="C79" s="105" t="s">
        <v>4370</v>
      </c>
      <c r="D79" s="249" t="s">
        <v>4352</v>
      </c>
      <c r="E79" s="105" t="s">
        <v>4353</v>
      </c>
      <c r="F79" s="105" t="s">
        <v>4372</v>
      </c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</row>
    <row r="80" ht="14.25" customHeight="1">
      <c r="A80" s="105" t="s">
        <v>261</v>
      </c>
      <c r="B80" s="105" t="s">
        <v>50</v>
      </c>
      <c r="C80" s="251">
        <v>310.0</v>
      </c>
      <c r="D80" s="252">
        <v>1.0</v>
      </c>
      <c r="E80" s="251">
        <f>' طلبيات'!$D80*' طلبيات'!$C80</f>
        <v>310</v>
      </c>
      <c r="F80" s="260">
        <v>45835.0</v>
      </c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</row>
    <row r="81" ht="14.25" customHeight="1">
      <c r="A81" s="105" t="s">
        <v>212</v>
      </c>
      <c r="B81" s="105" t="s">
        <v>50</v>
      </c>
      <c r="C81" s="251">
        <v>325.0</v>
      </c>
      <c r="D81" s="252">
        <v>1.0</v>
      </c>
      <c r="E81" s="251">
        <f>' طلبيات'!$D81*' طلبيات'!$C81</f>
        <v>325</v>
      </c>
      <c r="F81" s="260">
        <v>45835.0</v>
      </c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</row>
    <row r="82" ht="14.25" customHeight="1">
      <c r="A82" s="105" t="s">
        <v>128</v>
      </c>
      <c r="B82" s="105" t="s">
        <v>50</v>
      </c>
      <c r="C82" s="251">
        <v>275.0</v>
      </c>
      <c r="D82" s="252">
        <v>5.0</v>
      </c>
      <c r="E82" s="251">
        <f>' طلبيات'!$D82*' طلبيات'!$C82</f>
        <v>1375</v>
      </c>
      <c r="F82" s="260">
        <v>45835.0</v>
      </c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</row>
    <row r="83" ht="14.25" customHeight="1">
      <c r="A83" s="105" t="s">
        <v>304</v>
      </c>
      <c r="B83" s="105" t="s">
        <v>50</v>
      </c>
      <c r="C83" s="251">
        <v>225.0</v>
      </c>
      <c r="D83" s="252">
        <v>1.0</v>
      </c>
      <c r="E83" s="251">
        <f>' طلبيات'!$D83*' طلبيات'!$C83</f>
        <v>225</v>
      </c>
      <c r="F83" s="260">
        <v>45835.0</v>
      </c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  <c r="Y83" s="250"/>
      <c r="Z83" s="250"/>
    </row>
    <row r="84" ht="14.25" customHeight="1">
      <c r="A84" s="105" t="s">
        <v>83</v>
      </c>
      <c r="B84" s="105" t="s">
        <v>50</v>
      </c>
      <c r="C84" s="251">
        <v>175.0</v>
      </c>
      <c r="D84" s="252">
        <v>6.0</v>
      </c>
      <c r="E84" s="251">
        <f>' طلبيات'!$D84*' طلبيات'!$C84</f>
        <v>1050</v>
      </c>
      <c r="F84" s="260">
        <v>45835.0</v>
      </c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/>
    </row>
    <row r="85" ht="14.25" customHeight="1">
      <c r="A85" s="105" t="s">
        <v>244</v>
      </c>
      <c r="B85" s="105" t="s">
        <v>50</v>
      </c>
      <c r="C85" s="251">
        <v>210.0</v>
      </c>
      <c r="D85" s="252">
        <v>3.0</v>
      </c>
      <c r="E85" s="251">
        <f>' طلبيات'!$D85*' طلبيات'!$C85</f>
        <v>630</v>
      </c>
      <c r="F85" s="260">
        <v>45835.0</v>
      </c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50"/>
      <c r="Z85" s="250"/>
    </row>
    <row r="86" ht="14.25" customHeight="1">
      <c r="A86" s="105" t="s">
        <v>313</v>
      </c>
      <c r="B86" s="105" t="s">
        <v>169</v>
      </c>
      <c r="C86" s="251">
        <v>135.0</v>
      </c>
      <c r="D86" s="252">
        <v>2.0</v>
      </c>
      <c r="E86" s="251">
        <f>' طلبيات'!$D86*' طلبيات'!$C86</f>
        <v>270</v>
      </c>
      <c r="F86" s="260">
        <v>45835.0</v>
      </c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  <c r="Y86" s="250"/>
      <c r="Z86" s="250"/>
    </row>
    <row r="87" ht="14.25" customHeight="1">
      <c r="A87" s="105" t="s">
        <v>234</v>
      </c>
      <c r="B87" s="105" t="s">
        <v>169</v>
      </c>
      <c r="C87" s="251">
        <v>165.0</v>
      </c>
      <c r="D87" s="252">
        <v>1.0</v>
      </c>
      <c r="E87" s="251">
        <f>' طلبيات'!$D87*' طلبيات'!$C87</f>
        <v>165</v>
      </c>
      <c r="F87" s="260">
        <v>45835.0</v>
      </c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  <c r="Y87" s="250"/>
      <c r="Z87" s="250"/>
    </row>
    <row r="88" ht="14.25" customHeight="1">
      <c r="A88" s="105" t="s">
        <v>322</v>
      </c>
      <c r="B88" s="105" t="s">
        <v>169</v>
      </c>
      <c r="C88" s="251">
        <v>75.0</v>
      </c>
      <c r="D88" s="252">
        <v>11.0</v>
      </c>
      <c r="E88" s="251">
        <f>' طلبيات'!$D88*' طلبيات'!$C88</f>
        <v>825</v>
      </c>
      <c r="F88" s="260">
        <v>45835.0</v>
      </c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</row>
    <row r="89" ht="14.25" customHeight="1">
      <c r="A89" s="105" t="s">
        <v>325</v>
      </c>
      <c r="B89" s="105" t="s">
        <v>169</v>
      </c>
      <c r="C89" s="251">
        <v>95.0</v>
      </c>
      <c r="D89" s="252">
        <v>2.0</v>
      </c>
      <c r="E89" s="251">
        <f>' طلبيات'!$D89*' طلبيات'!$C89</f>
        <v>190</v>
      </c>
      <c r="F89" s="260">
        <v>45835.0</v>
      </c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 ht="14.25" customHeight="1">
      <c r="A90" s="105" t="s">
        <v>148</v>
      </c>
      <c r="B90" s="105" t="s">
        <v>180</v>
      </c>
      <c r="C90" s="251">
        <v>365.0</v>
      </c>
      <c r="D90" s="252">
        <v>1.0</v>
      </c>
      <c r="E90" s="251">
        <f>' طلبيات'!$D90*' طلبيات'!$C90</f>
        <v>365</v>
      </c>
      <c r="F90" s="260">
        <v>45835.0</v>
      </c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  <c r="Y90" s="250"/>
      <c r="Z90" s="250"/>
    </row>
    <row r="91" ht="14.25" customHeight="1">
      <c r="A91" s="105" t="s">
        <v>333</v>
      </c>
      <c r="B91" s="105" t="s">
        <v>30</v>
      </c>
      <c r="C91" s="251">
        <v>210.0</v>
      </c>
      <c r="D91" s="252">
        <v>2.0</v>
      </c>
      <c r="E91" s="251">
        <f>' طلبيات'!$D91*' طلبيات'!$C91</f>
        <v>420</v>
      </c>
      <c r="F91" s="260">
        <v>45835.0</v>
      </c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</row>
    <row r="92" ht="14.25" customHeight="1">
      <c r="A92" s="105" t="s">
        <v>182</v>
      </c>
      <c r="B92" s="105" t="s">
        <v>30</v>
      </c>
      <c r="C92" s="251">
        <v>355.0</v>
      </c>
      <c r="D92" s="252">
        <v>2.0</v>
      </c>
      <c r="E92" s="251">
        <f>' طلبيات'!$D92*' طلبيات'!$C92</f>
        <v>710</v>
      </c>
      <c r="F92" s="260">
        <v>45835.0</v>
      </c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</row>
    <row r="93" ht="14.25" customHeight="1">
      <c r="A93" s="105" t="s">
        <v>197</v>
      </c>
      <c r="B93" s="105" t="s">
        <v>30</v>
      </c>
      <c r="C93" s="251">
        <v>600.0</v>
      </c>
      <c r="D93" s="252">
        <v>2.0</v>
      </c>
      <c r="E93" s="251">
        <f>' طلبيات'!$D93*' طلبيات'!$C93</f>
        <v>1200</v>
      </c>
      <c r="F93" s="260">
        <v>45835.0</v>
      </c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</row>
    <row r="94" ht="14.25" customHeight="1">
      <c r="A94" s="105" t="s">
        <v>105</v>
      </c>
      <c r="B94" s="105" t="s">
        <v>30</v>
      </c>
      <c r="C94" s="251">
        <v>525.0</v>
      </c>
      <c r="D94" s="252">
        <v>1.0</v>
      </c>
      <c r="E94" s="251">
        <f>' طلبيات'!$D94*' طلبيات'!$C94</f>
        <v>525</v>
      </c>
      <c r="F94" s="260">
        <v>45835.0</v>
      </c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</row>
    <row r="95" ht="14.25" customHeight="1">
      <c r="A95" s="105" t="s">
        <v>88</v>
      </c>
      <c r="B95" s="105" t="s">
        <v>30</v>
      </c>
      <c r="C95" s="251">
        <v>575.0</v>
      </c>
      <c r="D95" s="252">
        <v>1.0</v>
      </c>
      <c r="E95" s="251">
        <f>' طلبيات'!$D95*' طلبيات'!$C95</f>
        <v>575</v>
      </c>
      <c r="F95" s="260">
        <v>45835.0</v>
      </c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</row>
    <row r="96" ht="14.25" customHeight="1">
      <c r="A96" s="105" t="s">
        <v>348</v>
      </c>
      <c r="B96" s="105" t="s">
        <v>30</v>
      </c>
      <c r="C96" s="251">
        <v>750.0</v>
      </c>
      <c r="D96" s="252">
        <v>1.0</v>
      </c>
      <c r="E96" s="251">
        <f>' طلبيات'!$D96*' طلبيات'!$C96</f>
        <v>750</v>
      </c>
      <c r="F96" s="260">
        <v>45835.0</v>
      </c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50"/>
      <c r="X96" s="250"/>
      <c r="Y96" s="250"/>
      <c r="Z96" s="250"/>
    </row>
    <row r="97" ht="14.25" customHeight="1">
      <c r="A97" s="105" t="s">
        <v>352</v>
      </c>
      <c r="B97" s="105" t="s">
        <v>169</v>
      </c>
      <c r="C97" s="251">
        <v>32.0</v>
      </c>
      <c r="D97" s="252">
        <v>18.0</v>
      </c>
      <c r="E97" s="251">
        <f>' طلبيات'!$D97*' طلبيات'!$C97</f>
        <v>576</v>
      </c>
      <c r="F97" s="260">
        <v>45835.0</v>
      </c>
      <c r="G97" s="250"/>
      <c r="H97" s="250"/>
      <c r="I97" s="265">
        <f>220+30</f>
        <v>250</v>
      </c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  <c r="Y97" s="250"/>
      <c r="Z97" s="250"/>
    </row>
    <row r="98" ht="14.25" customHeight="1">
      <c r="A98" s="105" t="s">
        <v>146</v>
      </c>
      <c r="B98" s="105" t="s">
        <v>68</v>
      </c>
      <c r="C98" s="251">
        <v>510.0</v>
      </c>
      <c r="D98" s="252">
        <v>1.0</v>
      </c>
      <c r="E98" s="251">
        <f>' طلبيات'!$D98*' طلبيات'!$C98</f>
        <v>510</v>
      </c>
      <c r="F98" s="260">
        <v>45835.0</v>
      </c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50"/>
      <c r="X98" s="250"/>
      <c r="Y98" s="250"/>
      <c r="Z98" s="250"/>
    </row>
    <row r="99" ht="14.25" customHeight="1">
      <c r="A99" s="105" t="s">
        <v>165</v>
      </c>
      <c r="B99" s="105" t="s">
        <v>238</v>
      </c>
      <c r="C99" s="251">
        <v>95.0</v>
      </c>
      <c r="D99" s="252">
        <v>7.0</v>
      </c>
      <c r="E99" s="251">
        <f>' طلبيات'!$D99*' طلبيات'!$C99</f>
        <v>665</v>
      </c>
      <c r="F99" s="260">
        <v>45835.0</v>
      </c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  <c r="W99" s="250"/>
      <c r="X99" s="250"/>
      <c r="Y99" s="250"/>
      <c r="Z99" s="250"/>
    </row>
    <row r="100" ht="14.25" customHeight="1">
      <c r="A100" s="105" t="s">
        <v>364</v>
      </c>
      <c r="B100" s="105" t="s">
        <v>185</v>
      </c>
      <c r="C100" s="251">
        <v>115.0</v>
      </c>
      <c r="D100" s="252">
        <v>2.0</v>
      </c>
      <c r="E100" s="251">
        <f>' طلبيات'!$D100*' طلبيات'!$C100</f>
        <v>230</v>
      </c>
      <c r="F100" s="260">
        <v>45835.0</v>
      </c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</row>
    <row r="101" ht="14.25" customHeight="1">
      <c r="A101" s="105" t="s">
        <v>259</v>
      </c>
      <c r="B101" s="105" t="s">
        <v>185</v>
      </c>
      <c r="C101" s="251">
        <v>145.0</v>
      </c>
      <c r="D101" s="252">
        <v>2.0</v>
      </c>
      <c r="E101" s="251">
        <f>' طلبيات'!$D101*' طلبيات'!$C101</f>
        <v>290</v>
      </c>
      <c r="F101" s="260">
        <v>45835.0</v>
      </c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</row>
    <row r="102" ht="14.25" customHeight="1">
      <c r="A102" s="105" t="s">
        <v>178</v>
      </c>
      <c r="B102" s="105" t="s">
        <v>185</v>
      </c>
      <c r="C102" s="251">
        <v>195.0</v>
      </c>
      <c r="D102" s="252">
        <v>2.0</v>
      </c>
      <c r="E102" s="251">
        <f>' طلبيات'!$D102*' طلبيات'!$C102</f>
        <v>390</v>
      </c>
      <c r="F102" s="260">
        <v>45835.0</v>
      </c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</row>
    <row r="103" ht="14.25" customHeight="1">
      <c r="A103" s="105" t="s">
        <v>373</v>
      </c>
      <c r="B103" s="105" t="s">
        <v>185</v>
      </c>
      <c r="C103" s="251">
        <v>175.0</v>
      </c>
      <c r="D103" s="252">
        <v>3.0</v>
      </c>
      <c r="E103" s="251">
        <f>' طلبيات'!$D103*' طلبيات'!$C103</f>
        <v>525</v>
      </c>
      <c r="F103" s="260">
        <v>45835.0</v>
      </c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</row>
    <row r="104" ht="14.25" customHeight="1">
      <c r="A104" s="105" t="s">
        <v>376</v>
      </c>
      <c r="B104" s="105" t="s">
        <v>185</v>
      </c>
      <c r="C104" s="251">
        <v>110.0</v>
      </c>
      <c r="D104" s="252">
        <v>2.0</v>
      </c>
      <c r="E104" s="251">
        <f>' طلبيات'!$D104*' طلبيات'!$C104</f>
        <v>220</v>
      </c>
      <c r="F104" s="260">
        <v>45835.0</v>
      </c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</row>
    <row r="105" ht="14.25" customHeight="1">
      <c r="A105" s="105" t="s">
        <v>227</v>
      </c>
      <c r="B105" s="105" t="s">
        <v>185</v>
      </c>
      <c r="C105" s="251">
        <v>75.0</v>
      </c>
      <c r="D105" s="252">
        <v>20.0</v>
      </c>
      <c r="E105" s="251">
        <f>' طلبيات'!$D105*' طلبيات'!$C105</f>
        <v>1500</v>
      </c>
      <c r="F105" s="260">
        <v>45835.0</v>
      </c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  <c r="W105" s="250"/>
      <c r="X105" s="250"/>
      <c r="Y105" s="250"/>
      <c r="Z105" s="250"/>
    </row>
    <row r="106" ht="14.25" customHeight="1">
      <c r="A106" s="105" t="s">
        <v>381</v>
      </c>
      <c r="B106" s="105" t="s">
        <v>185</v>
      </c>
      <c r="C106" s="251">
        <v>50.0</v>
      </c>
      <c r="D106" s="252">
        <v>5.0</v>
      </c>
      <c r="E106" s="251">
        <f>' طلبيات'!$D106*' طلبيات'!$C106</f>
        <v>250</v>
      </c>
      <c r="F106" s="260">
        <v>45835.0</v>
      </c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</row>
    <row r="107" ht="14.25" customHeight="1">
      <c r="A107" s="105" t="s">
        <v>171</v>
      </c>
      <c r="B107" s="105" t="s">
        <v>68</v>
      </c>
      <c r="C107" s="251">
        <v>385.0</v>
      </c>
      <c r="D107" s="252">
        <v>1.0</v>
      </c>
      <c r="E107" s="251">
        <f>' طلبيات'!$D107*' طلبيات'!$C107</f>
        <v>385</v>
      </c>
      <c r="F107" s="260">
        <v>45835.0</v>
      </c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  <c r="U107" s="250"/>
      <c r="V107" s="250"/>
      <c r="W107" s="250"/>
      <c r="X107" s="250"/>
      <c r="Y107" s="250"/>
      <c r="Z107" s="250"/>
    </row>
    <row r="108" ht="14.25" customHeight="1">
      <c r="A108" s="105" t="s">
        <v>264</v>
      </c>
      <c r="B108" s="105" t="s">
        <v>68</v>
      </c>
      <c r="C108" s="251">
        <v>310.0</v>
      </c>
      <c r="D108" s="252">
        <v>1.0</v>
      </c>
      <c r="E108" s="251">
        <f>' طلبيات'!$D108*' طلبيات'!$C108</f>
        <v>310</v>
      </c>
      <c r="F108" s="260">
        <v>45835.0</v>
      </c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  <c r="U108" s="250"/>
      <c r="V108" s="250"/>
      <c r="W108" s="250"/>
      <c r="X108" s="250"/>
      <c r="Y108" s="250"/>
      <c r="Z108" s="250"/>
    </row>
    <row r="109" ht="14.25" customHeight="1">
      <c r="A109" s="105" t="s">
        <v>389</v>
      </c>
      <c r="B109" s="105" t="s">
        <v>68</v>
      </c>
      <c r="C109" s="251">
        <v>280.0</v>
      </c>
      <c r="D109" s="252">
        <v>3.0</v>
      </c>
      <c r="E109" s="251">
        <f>' طلبيات'!$D109*' طلبيات'!$C109</f>
        <v>840</v>
      </c>
      <c r="F109" s="260">
        <v>45835.0</v>
      </c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  <c r="Y109" s="250"/>
      <c r="Z109" s="250"/>
    </row>
    <row r="110" ht="14.25" customHeight="1">
      <c r="A110" s="105" t="s">
        <v>307</v>
      </c>
      <c r="B110" s="105" t="s">
        <v>68</v>
      </c>
      <c r="C110" s="251">
        <v>275.0</v>
      </c>
      <c r="D110" s="252">
        <v>1.0</v>
      </c>
      <c r="E110" s="251">
        <f>' طلبيات'!$D110*' طلبيات'!$C110</f>
        <v>275</v>
      </c>
      <c r="F110" s="260">
        <v>45835.0</v>
      </c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  <c r="U110" s="250"/>
      <c r="V110" s="250"/>
      <c r="W110" s="250"/>
      <c r="X110" s="250"/>
      <c r="Y110" s="250"/>
      <c r="Z110" s="250"/>
    </row>
    <row r="111" ht="14.25" customHeight="1">
      <c r="A111" s="105" t="s">
        <v>241</v>
      </c>
      <c r="B111" s="105" t="s">
        <v>394</v>
      </c>
      <c r="C111" s="251">
        <v>225.0</v>
      </c>
      <c r="D111" s="252">
        <v>1.0</v>
      </c>
      <c r="E111" s="251">
        <f>' طلبيات'!$D111*' طلبيات'!$C111</f>
        <v>225</v>
      </c>
      <c r="F111" s="260">
        <v>45835.0</v>
      </c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  <c r="U111" s="250"/>
      <c r="V111" s="250"/>
      <c r="W111" s="250"/>
      <c r="X111" s="250"/>
      <c r="Y111" s="250"/>
      <c r="Z111" s="250"/>
    </row>
    <row r="112" ht="14.25" customHeight="1">
      <c r="A112" s="105" t="s">
        <v>397</v>
      </c>
      <c r="B112" s="105" t="s">
        <v>68</v>
      </c>
      <c r="C112" s="251">
        <v>215.0</v>
      </c>
      <c r="D112" s="252">
        <v>1.0</v>
      </c>
      <c r="E112" s="251">
        <f>' طلبيات'!$D112*' طلبيات'!$C112</f>
        <v>215</v>
      </c>
      <c r="F112" s="260">
        <v>45835.0</v>
      </c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  <c r="U112" s="250"/>
      <c r="V112" s="250"/>
      <c r="W112" s="250"/>
      <c r="X112" s="250"/>
      <c r="Y112" s="250"/>
      <c r="Z112" s="250"/>
    </row>
    <row r="113" ht="14.25" customHeight="1">
      <c r="A113" s="105" t="s">
        <v>399</v>
      </c>
      <c r="B113" s="105" t="s">
        <v>68</v>
      </c>
      <c r="C113" s="251">
        <v>210.0</v>
      </c>
      <c r="D113" s="252">
        <v>3.0</v>
      </c>
      <c r="E113" s="251">
        <f>' طلبيات'!$D113*' طلبيات'!$C113</f>
        <v>630</v>
      </c>
      <c r="F113" s="260">
        <v>45835.0</v>
      </c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</row>
    <row r="114" ht="14.25" customHeight="1">
      <c r="A114" s="105" t="s">
        <v>401</v>
      </c>
      <c r="B114" s="105" t="s">
        <v>68</v>
      </c>
      <c r="C114" s="251">
        <v>195.0</v>
      </c>
      <c r="D114" s="252">
        <v>1.0</v>
      </c>
      <c r="E114" s="251">
        <f>' طلبيات'!$D114*' طلبيات'!$C114</f>
        <v>195</v>
      </c>
      <c r="F114" s="260">
        <v>45835.0</v>
      </c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  <c r="W114" s="250"/>
      <c r="X114" s="250"/>
      <c r="Y114" s="250"/>
      <c r="Z114" s="250"/>
    </row>
    <row r="115" ht="14.25" customHeight="1">
      <c r="A115" s="105" t="s">
        <v>407</v>
      </c>
      <c r="B115" s="105" t="s">
        <v>68</v>
      </c>
      <c r="C115" s="251">
        <v>195.0</v>
      </c>
      <c r="D115" s="252">
        <v>1.0</v>
      </c>
      <c r="E115" s="251">
        <f>' طلبيات'!$D115*' طلبيات'!$C115</f>
        <v>195</v>
      </c>
      <c r="F115" s="260">
        <v>45835.0</v>
      </c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50"/>
      <c r="X115" s="250"/>
      <c r="Y115" s="250"/>
      <c r="Z115" s="250"/>
    </row>
    <row r="116" ht="14.25" customHeight="1">
      <c r="A116" s="105" t="s">
        <v>407</v>
      </c>
      <c r="B116" s="105" t="s">
        <v>68</v>
      </c>
      <c r="C116" s="251">
        <v>190.0</v>
      </c>
      <c r="D116" s="252">
        <v>1.0</v>
      </c>
      <c r="E116" s="251">
        <f>' طلبيات'!$D116*' طلبيات'!$C116</f>
        <v>190</v>
      </c>
      <c r="F116" s="260">
        <v>45835.0</v>
      </c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  <c r="U116" s="250"/>
      <c r="V116" s="250"/>
      <c r="W116" s="250"/>
      <c r="X116" s="250"/>
      <c r="Y116" s="250"/>
      <c r="Z116" s="250"/>
    </row>
    <row r="117" ht="14.25" customHeight="1">
      <c r="A117" s="105" t="s">
        <v>414</v>
      </c>
      <c r="B117" s="105" t="s">
        <v>68</v>
      </c>
      <c r="C117" s="251">
        <v>180.0</v>
      </c>
      <c r="D117" s="252">
        <v>1.0</v>
      </c>
      <c r="E117" s="251">
        <f>' طلبيات'!$D117*' طلبيات'!$C117</f>
        <v>180</v>
      </c>
      <c r="F117" s="260">
        <v>45835.0</v>
      </c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  <c r="U117" s="250"/>
      <c r="V117" s="250"/>
      <c r="W117" s="250"/>
      <c r="X117" s="250"/>
      <c r="Y117" s="250"/>
      <c r="Z117" s="250"/>
    </row>
    <row r="118" ht="14.25" customHeight="1">
      <c r="A118" s="105" t="s">
        <v>420</v>
      </c>
      <c r="B118" s="105" t="s">
        <v>394</v>
      </c>
      <c r="C118" s="251">
        <v>175.0</v>
      </c>
      <c r="D118" s="252">
        <v>1.0</v>
      </c>
      <c r="E118" s="251">
        <f>' طلبيات'!$D118*' طلبيات'!$C118</f>
        <v>175</v>
      </c>
      <c r="F118" s="260">
        <v>45835.0</v>
      </c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  <c r="W118" s="250"/>
      <c r="X118" s="250"/>
      <c r="Y118" s="250"/>
      <c r="Z118" s="250"/>
    </row>
    <row r="119" ht="14.25" customHeight="1">
      <c r="A119" s="105" t="s">
        <v>66</v>
      </c>
      <c r="B119" s="105" t="s">
        <v>68</v>
      </c>
      <c r="C119" s="251">
        <v>170.0</v>
      </c>
      <c r="D119" s="252">
        <v>1.0</v>
      </c>
      <c r="E119" s="251">
        <f>' طلبيات'!$D119*' طلبيات'!$C119</f>
        <v>170</v>
      </c>
      <c r="F119" s="260">
        <v>45835.0</v>
      </c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  <c r="U119" s="250"/>
      <c r="V119" s="250"/>
      <c r="W119" s="250"/>
      <c r="X119" s="250"/>
      <c r="Y119" s="250"/>
      <c r="Z119" s="250"/>
    </row>
    <row r="120" ht="14.25" customHeight="1">
      <c r="A120" s="105" t="s">
        <v>283</v>
      </c>
      <c r="B120" s="105" t="s">
        <v>68</v>
      </c>
      <c r="C120" s="251">
        <v>140.0</v>
      </c>
      <c r="D120" s="252">
        <v>2.0</v>
      </c>
      <c r="E120" s="251">
        <f>' طلبيات'!$D120*' طلبيات'!$C120</f>
        <v>280</v>
      </c>
      <c r="F120" s="260">
        <v>45835.0</v>
      </c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  <c r="U120" s="250"/>
      <c r="V120" s="250"/>
      <c r="W120" s="250"/>
      <c r="X120" s="250"/>
      <c r="Y120" s="250"/>
      <c r="Z120" s="250"/>
    </row>
    <row r="121" ht="14.25" customHeight="1">
      <c r="A121" s="105" t="s">
        <v>277</v>
      </c>
      <c r="B121" s="105" t="s">
        <v>68</v>
      </c>
      <c r="C121" s="251">
        <v>135.0</v>
      </c>
      <c r="D121" s="252">
        <v>2.0</v>
      </c>
      <c r="E121" s="251">
        <f>' طلبيات'!$D121*' طلبيات'!$C121</f>
        <v>270</v>
      </c>
      <c r="F121" s="260">
        <v>45835.0</v>
      </c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</row>
    <row r="122" ht="14.25" customHeight="1">
      <c r="A122" s="105" t="s">
        <v>432</v>
      </c>
      <c r="B122" s="105" t="s">
        <v>4424</v>
      </c>
      <c r="C122" s="251">
        <v>135.0</v>
      </c>
      <c r="D122" s="252">
        <v>2.0</v>
      </c>
      <c r="E122" s="251">
        <f>' طلبيات'!$D122*' طلبيات'!$C122</f>
        <v>270</v>
      </c>
      <c r="F122" s="260">
        <v>45835.0</v>
      </c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</row>
    <row r="123" ht="14.25" customHeight="1">
      <c r="A123" s="105" t="s">
        <v>112</v>
      </c>
      <c r="B123" s="105" t="s">
        <v>68</v>
      </c>
      <c r="C123" s="251">
        <v>135.0</v>
      </c>
      <c r="D123" s="252">
        <v>1.0</v>
      </c>
      <c r="E123" s="251">
        <f>' طلبيات'!$D123*' طلبيات'!$C123</f>
        <v>135</v>
      </c>
      <c r="F123" s="260">
        <v>45835.0</v>
      </c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</row>
    <row r="124" ht="14.25" customHeight="1">
      <c r="A124" s="105" t="s">
        <v>440</v>
      </c>
      <c r="B124" s="105" t="s">
        <v>68</v>
      </c>
      <c r="C124" s="251">
        <v>130.0</v>
      </c>
      <c r="D124" s="252">
        <v>2.0</v>
      </c>
      <c r="E124" s="251">
        <f>' طلبيات'!$D124*' طلبيات'!$C124</f>
        <v>260</v>
      </c>
      <c r="F124" s="260">
        <v>45835.0</v>
      </c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  <c r="U124" s="250"/>
      <c r="V124" s="250"/>
      <c r="W124" s="250"/>
      <c r="X124" s="250"/>
      <c r="Y124" s="250"/>
      <c r="Z124" s="250"/>
    </row>
    <row r="125" ht="14.25" customHeight="1">
      <c r="A125" s="105" t="s">
        <v>443</v>
      </c>
      <c r="B125" s="105" t="s">
        <v>68</v>
      </c>
      <c r="C125" s="251">
        <v>130.0</v>
      </c>
      <c r="D125" s="252">
        <v>1.0</v>
      </c>
      <c r="E125" s="251">
        <f>' طلبيات'!$D125*' طلبيات'!$C125</f>
        <v>130</v>
      </c>
      <c r="F125" s="260">
        <v>45835.0</v>
      </c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0"/>
      <c r="W125" s="250"/>
      <c r="X125" s="250"/>
      <c r="Y125" s="250"/>
      <c r="Z125" s="250"/>
    </row>
    <row r="126" ht="14.25" customHeight="1">
      <c r="A126" s="105" t="s">
        <v>317</v>
      </c>
      <c r="B126" s="105" t="s">
        <v>68</v>
      </c>
      <c r="C126" s="251">
        <v>125.0</v>
      </c>
      <c r="D126" s="252">
        <v>2.0</v>
      </c>
      <c r="E126" s="251">
        <f>' طلبيات'!$D126*' طلبيات'!$C126</f>
        <v>250</v>
      </c>
      <c r="F126" s="260">
        <v>45835.0</v>
      </c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50"/>
      <c r="X126" s="250"/>
      <c r="Y126" s="250"/>
      <c r="Z126" s="250"/>
    </row>
    <row r="127" ht="14.25" customHeight="1">
      <c r="A127" s="105" t="s">
        <v>448</v>
      </c>
      <c r="B127" s="105" t="s">
        <v>68</v>
      </c>
      <c r="C127" s="251">
        <v>125.0</v>
      </c>
      <c r="D127" s="252">
        <v>1.0</v>
      </c>
      <c r="E127" s="251">
        <f>' طلبيات'!$D127*' طلبيات'!$C127</f>
        <v>125</v>
      </c>
      <c r="F127" s="260">
        <v>45835.0</v>
      </c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</row>
    <row r="128" ht="14.25" customHeight="1">
      <c r="A128" s="105" t="s">
        <v>270</v>
      </c>
      <c r="B128" s="105" t="s">
        <v>68</v>
      </c>
      <c r="C128" s="251">
        <v>112.5</v>
      </c>
      <c r="D128" s="252">
        <v>2.0</v>
      </c>
      <c r="E128" s="251">
        <f>' طلبيات'!$D128*' طلبيات'!$C128</f>
        <v>225</v>
      </c>
      <c r="F128" s="260">
        <v>45835.0</v>
      </c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</row>
    <row r="129" ht="14.25" customHeight="1">
      <c r="A129" s="105" t="s">
        <v>204</v>
      </c>
      <c r="B129" s="105" t="s">
        <v>68</v>
      </c>
      <c r="C129" s="251">
        <v>110.0</v>
      </c>
      <c r="D129" s="252">
        <v>1.0</v>
      </c>
      <c r="E129" s="251">
        <f>' طلبيات'!$D129*' طلبيات'!$C129</f>
        <v>110</v>
      </c>
      <c r="F129" s="260">
        <v>45835.0</v>
      </c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  <c r="U129" s="250"/>
      <c r="V129" s="250"/>
      <c r="W129" s="250"/>
      <c r="X129" s="250"/>
      <c r="Y129" s="250"/>
      <c r="Z129" s="250"/>
    </row>
    <row r="130" ht="14.25" customHeight="1">
      <c r="A130" s="105" t="s">
        <v>329</v>
      </c>
      <c r="B130" s="105" t="s">
        <v>68</v>
      </c>
      <c r="C130" s="251">
        <v>110.0</v>
      </c>
      <c r="D130" s="252">
        <v>1.0</v>
      </c>
      <c r="E130" s="251">
        <f>' طلبيات'!$D130*' طلبيات'!$C130</f>
        <v>110</v>
      </c>
      <c r="F130" s="260">
        <v>45835.0</v>
      </c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0"/>
      <c r="X130" s="250"/>
      <c r="Y130" s="250"/>
      <c r="Z130" s="250"/>
    </row>
    <row r="131" ht="14.25" customHeight="1">
      <c r="A131" s="105" t="s">
        <v>459</v>
      </c>
      <c r="B131" s="105" t="s">
        <v>68</v>
      </c>
      <c r="C131" s="251">
        <v>110.0</v>
      </c>
      <c r="D131" s="252">
        <v>1.0</v>
      </c>
      <c r="E131" s="251">
        <f>' طلبيات'!$D131*' طلبيات'!$C131</f>
        <v>110</v>
      </c>
      <c r="F131" s="260">
        <v>45835.0</v>
      </c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50"/>
      <c r="X131" s="250"/>
      <c r="Y131" s="250"/>
      <c r="Z131" s="250"/>
    </row>
    <row r="132" ht="14.25" customHeight="1">
      <c r="A132" s="105" t="s">
        <v>463</v>
      </c>
      <c r="B132" s="105" t="s">
        <v>68</v>
      </c>
      <c r="C132" s="251">
        <v>110.0</v>
      </c>
      <c r="D132" s="252">
        <v>2.0</v>
      </c>
      <c r="E132" s="251">
        <f>' طلبيات'!$D132*' طلبيات'!$C132</f>
        <v>220</v>
      </c>
      <c r="F132" s="260">
        <v>45835.0</v>
      </c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  <c r="U132" s="250"/>
      <c r="V132" s="250"/>
      <c r="W132" s="250"/>
      <c r="X132" s="250"/>
      <c r="Y132" s="250"/>
      <c r="Z132" s="250"/>
    </row>
    <row r="133" ht="14.25" customHeight="1">
      <c r="A133" s="105" t="s">
        <v>466</v>
      </c>
      <c r="B133" s="105" t="s">
        <v>68</v>
      </c>
      <c r="C133" s="251">
        <v>35.0</v>
      </c>
      <c r="D133" s="252">
        <v>32.0</v>
      </c>
      <c r="E133" s="251">
        <f>' طلبيات'!$D133*' طلبيات'!$C133</f>
        <v>1120</v>
      </c>
      <c r="F133" s="260">
        <v>45835.0</v>
      </c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  <c r="U133" s="250"/>
      <c r="V133" s="250"/>
      <c r="W133" s="250"/>
      <c r="X133" s="250"/>
      <c r="Y133" s="250"/>
      <c r="Z133" s="250"/>
    </row>
    <row r="134" ht="14.25" customHeight="1">
      <c r="A134" s="105" t="s">
        <v>172</v>
      </c>
      <c r="B134" s="105" t="s">
        <v>68</v>
      </c>
      <c r="C134" s="251">
        <v>30.0</v>
      </c>
      <c r="D134" s="252">
        <v>16.0</v>
      </c>
      <c r="E134" s="251">
        <f>' طلبيات'!$D134*' طلبيات'!$C134</f>
        <v>480</v>
      </c>
      <c r="F134" s="260">
        <v>45835.0</v>
      </c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  <c r="U134" s="250"/>
      <c r="V134" s="250"/>
      <c r="W134" s="250"/>
      <c r="X134" s="250"/>
      <c r="Y134" s="250"/>
      <c r="Z134" s="250"/>
    </row>
    <row r="135" ht="14.25" customHeight="1">
      <c r="A135" s="251" t="s">
        <v>4366</v>
      </c>
      <c r="B135" s="251">
        <v>0.0</v>
      </c>
      <c r="C135" s="251">
        <v>11549.5</v>
      </c>
      <c r="D135" s="252">
        <v>190.0</v>
      </c>
      <c r="E135" s="251">
        <v>23146.0</v>
      </c>
      <c r="F135" s="260">
        <v>2520925.0</v>
      </c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  <c r="W135" s="250"/>
      <c r="X135" s="250"/>
      <c r="Y135" s="250"/>
      <c r="Z135" s="250"/>
    </row>
    <row r="136" ht="14.25" customHeight="1">
      <c r="A136" s="250"/>
      <c r="B136" s="250"/>
      <c r="C136" s="250"/>
      <c r="D136" s="254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</row>
    <row r="137" ht="14.25" customHeight="1">
      <c r="A137" s="266" t="s">
        <v>4369</v>
      </c>
      <c r="B137" s="266" t="s">
        <v>4432</v>
      </c>
      <c r="C137" s="266" t="s">
        <v>4350</v>
      </c>
      <c r="D137" s="267" t="s">
        <v>4370</v>
      </c>
      <c r="E137" s="266" t="s">
        <v>4352</v>
      </c>
      <c r="F137" s="266" t="s">
        <v>4353</v>
      </c>
      <c r="G137" s="266" t="s">
        <v>4372</v>
      </c>
      <c r="H137" s="266" t="s">
        <v>4433</v>
      </c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  <c r="U137" s="250"/>
      <c r="V137" s="250"/>
      <c r="W137" s="250"/>
      <c r="X137" s="250"/>
      <c r="Y137" s="250"/>
      <c r="Z137" s="250"/>
    </row>
    <row r="138" ht="14.25" customHeight="1">
      <c r="A138" s="105" t="s">
        <v>374</v>
      </c>
      <c r="B138" s="251"/>
      <c r="C138" s="105" t="s">
        <v>50</v>
      </c>
      <c r="D138" s="252">
        <v>235.0</v>
      </c>
      <c r="E138" s="251">
        <v>1.0</v>
      </c>
      <c r="F138" s="251">
        <v>235.0</v>
      </c>
      <c r="G138" s="268">
        <v>45856.0</v>
      </c>
      <c r="H138" s="105" t="s">
        <v>31</v>
      </c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  <c r="U138" s="250"/>
      <c r="V138" s="250"/>
      <c r="W138" s="250"/>
      <c r="X138" s="250"/>
      <c r="Y138" s="250"/>
      <c r="Z138" s="250"/>
    </row>
    <row r="139" ht="14.25" customHeight="1">
      <c r="A139" s="105" t="s">
        <v>55</v>
      </c>
      <c r="B139" s="251"/>
      <c r="C139" s="105" t="s">
        <v>50</v>
      </c>
      <c r="D139" s="252">
        <v>195.0</v>
      </c>
      <c r="E139" s="251">
        <v>4.0</v>
      </c>
      <c r="F139" s="251">
        <v>780.0</v>
      </c>
      <c r="G139" s="268">
        <v>45856.0</v>
      </c>
      <c r="H139" s="105" t="s">
        <v>31</v>
      </c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  <c r="W139" s="250"/>
      <c r="X139" s="250"/>
      <c r="Y139" s="250"/>
      <c r="Z139" s="250"/>
    </row>
    <row r="140" ht="14.25" customHeight="1">
      <c r="A140" s="105" t="s">
        <v>140</v>
      </c>
      <c r="B140" s="251"/>
      <c r="C140" s="105" t="s">
        <v>50</v>
      </c>
      <c r="D140" s="252">
        <v>425.0</v>
      </c>
      <c r="E140" s="251">
        <v>1.0</v>
      </c>
      <c r="F140" s="251">
        <v>425.0</v>
      </c>
      <c r="G140" s="268">
        <v>45856.0</v>
      </c>
      <c r="H140" s="105" t="s">
        <v>31</v>
      </c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  <c r="U140" s="250"/>
      <c r="V140" s="250"/>
      <c r="W140" s="250"/>
      <c r="X140" s="250"/>
      <c r="Y140" s="250"/>
      <c r="Z140" s="250"/>
    </row>
    <row r="141" ht="14.25" customHeight="1">
      <c r="A141" s="105" t="s">
        <v>102</v>
      </c>
      <c r="B141" s="251"/>
      <c r="C141" s="105" t="s">
        <v>50</v>
      </c>
      <c r="D141" s="252">
        <v>550.0</v>
      </c>
      <c r="E141" s="251">
        <v>1.0</v>
      </c>
      <c r="F141" s="251">
        <v>550.0</v>
      </c>
      <c r="G141" s="268">
        <v>45856.0</v>
      </c>
      <c r="H141" s="105" t="s">
        <v>31</v>
      </c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  <c r="U141" s="250"/>
      <c r="V141" s="250"/>
      <c r="W141" s="250"/>
      <c r="X141" s="250"/>
      <c r="Y141" s="250"/>
      <c r="Z141" s="250"/>
    </row>
    <row r="142" ht="14.25" customHeight="1">
      <c r="A142" s="105" t="s">
        <v>294</v>
      </c>
      <c r="B142" s="251"/>
      <c r="C142" s="105" t="s">
        <v>68</v>
      </c>
      <c r="D142" s="252">
        <v>80.0</v>
      </c>
      <c r="E142" s="251">
        <v>6.0</v>
      </c>
      <c r="F142" s="251">
        <v>480.0</v>
      </c>
      <c r="G142" s="268">
        <v>45856.0</v>
      </c>
      <c r="H142" s="105" t="s">
        <v>31</v>
      </c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  <c r="U142" s="250"/>
      <c r="V142" s="250"/>
      <c r="W142" s="250"/>
      <c r="X142" s="250"/>
      <c r="Y142" s="250"/>
      <c r="Z142" s="250"/>
    </row>
    <row r="143" ht="14.25" customHeight="1">
      <c r="A143" s="105" t="s">
        <v>507</v>
      </c>
      <c r="B143" s="251"/>
      <c r="C143" s="105" t="s">
        <v>68</v>
      </c>
      <c r="D143" s="252">
        <v>235.0</v>
      </c>
      <c r="E143" s="251">
        <v>3.0</v>
      </c>
      <c r="F143" s="251">
        <v>705.0</v>
      </c>
      <c r="G143" s="268">
        <v>45856.0</v>
      </c>
      <c r="H143" s="105" t="s">
        <v>31</v>
      </c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  <c r="W143" s="250"/>
      <c r="X143" s="250"/>
      <c r="Y143" s="250"/>
      <c r="Z143" s="250"/>
    </row>
    <row r="144" ht="14.25" customHeight="1">
      <c r="A144" s="105" t="s">
        <v>510</v>
      </c>
      <c r="B144" s="251"/>
      <c r="C144" s="105" t="s">
        <v>238</v>
      </c>
      <c r="D144" s="252">
        <v>275.0</v>
      </c>
      <c r="E144" s="251">
        <v>1.0</v>
      </c>
      <c r="F144" s="251">
        <v>275.0</v>
      </c>
      <c r="G144" s="268">
        <v>45856.0</v>
      </c>
      <c r="H144" s="105" t="s">
        <v>31</v>
      </c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  <c r="W144" s="250"/>
      <c r="X144" s="250"/>
      <c r="Y144" s="250"/>
      <c r="Z144" s="250"/>
    </row>
    <row r="145" ht="14.25" customHeight="1">
      <c r="A145" s="105" t="s">
        <v>143</v>
      </c>
      <c r="B145" s="251"/>
      <c r="C145" s="105" t="s">
        <v>68</v>
      </c>
      <c r="D145" s="252">
        <v>425.0</v>
      </c>
      <c r="E145" s="251">
        <v>2.0</v>
      </c>
      <c r="F145" s="251">
        <v>850.0</v>
      </c>
      <c r="G145" s="268">
        <v>45856.0</v>
      </c>
      <c r="H145" s="105" t="s">
        <v>31</v>
      </c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  <c r="W145" s="250"/>
      <c r="X145" s="250"/>
      <c r="Y145" s="250"/>
      <c r="Z145" s="250"/>
    </row>
    <row r="146" ht="14.25" customHeight="1">
      <c r="A146" s="105" t="s">
        <v>4437</v>
      </c>
      <c r="B146" s="251"/>
      <c r="C146" s="105" t="s">
        <v>238</v>
      </c>
      <c r="D146" s="252">
        <v>175.0</v>
      </c>
      <c r="E146" s="251">
        <v>10.0</v>
      </c>
      <c r="F146" s="251">
        <v>1750.0</v>
      </c>
      <c r="G146" s="268">
        <v>45856.0</v>
      </c>
      <c r="H146" s="105" t="s">
        <v>31</v>
      </c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  <c r="W146" s="250"/>
      <c r="X146" s="250"/>
      <c r="Y146" s="250"/>
      <c r="Z146" s="250"/>
    </row>
    <row r="147" ht="14.25" customHeight="1">
      <c r="A147" s="105" t="s">
        <v>311</v>
      </c>
      <c r="B147" s="251"/>
      <c r="C147" s="105" t="s">
        <v>185</v>
      </c>
      <c r="D147" s="252">
        <v>150.0</v>
      </c>
      <c r="E147" s="251">
        <v>2.0</v>
      </c>
      <c r="F147" s="251">
        <v>300.0</v>
      </c>
      <c r="G147" s="268">
        <v>45856.0</v>
      </c>
      <c r="H147" s="105" t="s">
        <v>31</v>
      </c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  <c r="U147" s="250"/>
      <c r="V147" s="250"/>
      <c r="W147" s="250"/>
      <c r="X147" s="250"/>
      <c r="Y147" s="250"/>
      <c r="Z147" s="250"/>
    </row>
    <row r="148" ht="14.25" customHeight="1">
      <c r="A148" s="105" t="s">
        <v>521</v>
      </c>
      <c r="B148" s="251"/>
      <c r="C148" s="105" t="s">
        <v>185</v>
      </c>
      <c r="D148" s="252">
        <v>175.0</v>
      </c>
      <c r="E148" s="251">
        <v>1.0</v>
      </c>
      <c r="F148" s="251">
        <v>175.0</v>
      </c>
      <c r="G148" s="268">
        <v>45856.0</v>
      </c>
      <c r="H148" s="105" t="s">
        <v>31</v>
      </c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50"/>
      <c r="X148" s="250"/>
      <c r="Y148" s="250"/>
      <c r="Z148" s="250"/>
    </row>
    <row r="149" ht="14.25" customHeight="1">
      <c r="A149" s="105" t="s">
        <v>526</v>
      </c>
      <c r="B149" s="251"/>
      <c r="C149" s="105" t="s">
        <v>185</v>
      </c>
      <c r="D149" s="252">
        <v>145.0</v>
      </c>
      <c r="E149" s="251">
        <v>1.0</v>
      </c>
      <c r="F149" s="251">
        <v>145.0</v>
      </c>
      <c r="G149" s="268">
        <v>45856.0</v>
      </c>
      <c r="H149" s="105" t="s">
        <v>31</v>
      </c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  <c r="U149" s="250"/>
      <c r="V149" s="250"/>
      <c r="W149" s="250"/>
      <c r="X149" s="250"/>
      <c r="Y149" s="250"/>
      <c r="Z149" s="250"/>
    </row>
    <row r="150" ht="14.25" customHeight="1">
      <c r="A150" s="105" t="s">
        <v>139</v>
      </c>
      <c r="B150" s="251"/>
      <c r="C150" s="105" t="s">
        <v>30</v>
      </c>
      <c r="D150" s="252">
        <v>110.0</v>
      </c>
      <c r="E150" s="251">
        <v>2.0</v>
      </c>
      <c r="F150" s="251">
        <v>220.0</v>
      </c>
      <c r="G150" s="268">
        <v>45856.0</v>
      </c>
      <c r="H150" s="105" t="s">
        <v>31</v>
      </c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</row>
    <row r="151" ht="14.25" customHeight="1">
      <c r="A151" s="105" t="s">
        <v>351</v>
      </c>
      <c r="B151" s="251"/>
      <c r="C151" s="105" t="s">
        <v>30</v>
      </c>
      <c r="D151" s="252">
        <v>120.0</v>
      </c>
      <c r="E151" s="251">
        <v>4.0</v>
      </c>
      <c r="F151" s="251">
        <v>480.0</v>
      </c>
      <c r="G151" s="268">
        <v>45856.0</v>
      </c>
      <c r="H151" s="105" t="s">
        <v>31</v>
      </c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  <c r="U151" s="250"/>
      <c r="V151" s="250"/>
      <c r="W151" s="250"/>
      <c r="X151" s="250"/>
      <c r="Y151" s="250"/>
      <c r="Z151" s="250"/>
    </row>
    <row r="152" ht="14.25" customHeight="1">
      <c r="A152" s="105" t="s">
        <v>538</v>
      </c>
      <c r="B152" s="251"/>
      <c r="C152" s="105" t="s">
        <v>30</v>
      </c>
      <c r="D152" s="252">
        <v>140.0</v>
      </c>
      <c r="E152" s="251">
        <v>2.0</v>
      </c>
      <c r="F152" s="251">
        <v>280.0</v>
      </c>
      <c r="G152" s="268">
        <v>45856.0</v>
      </c>
      <c r="H152" s="105" t="s">
        <v>31</v>
      </c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  <c r="U152" s="250"/>
      <c r="V152" s="250"/>
      <c r="W152" s="250"/>
      <c r="X152" s="250"/>
      <c r="Y152" s="250"/>
      <c r="Z152" s="250"/>
    </row>
    <row r="153" ht="14.25" customHeight="1">
      <c r="A153" s="105" t="s">
        <v>75</v>
      </c>
      <c r="B153" s="251"/>
      <c r="C153" s="105" t="s">
        <v>30</v>
      </c>
      <c r="D153" s="252">
        <v>695.0</v>
      </c>
      <c r="E153" s="251">
        <v>1.0</v>
      </c>
      <c r="F153" s="251">
        <v>695.0</v>
      </c>
      <c r="G153" s="268">
        <v>45856.0</v>
      </c>
      <c r="H153" s="105" t="s">
        <v>31</v>
      </c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  <c r="U153" s="250"/>
      <c r="V153" s="250"/>
      <c r="W153" s="250"/>
      <c r="X153" s="250"/>
      <c r="Y153" s="250"/>
      <c r="Z153" s="250"/>
    </row>
    <row r="154" ht="14.25" customHeight="1">
      <c r="A154" s="105" t="s">
        <v>39</v>
      </c>
      <c r="B154" s="105" t="s">
        <v>4440</v>
      </c>
      <c r="C154" s="105" t="s">
        <v>30</v>
      </c>
      <c r="D154" s="252">
        <v>1299.0</v>
      </c>
      <c r="E154" s="251">
        <v>1.0</v>
      </c>
      <c r="F154" s="251">
        <v>1299.0</v>
      </c>
      <c r="G154" s="268">
        <v>45856.0</v>
      </c>
      <c r="H154" s="105" t="s">
        <v>31</v>
      </c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  <c r="U154" s="250"/>
      <c r="V154" s="250"/>
      <c r="W154" s="250"/>
      <c r="X154" s="250"/>
      <c r="Y154" s="250"/>
      <c r="Z154" s="250"/>
    </row>
    <row r="155" ht="14.25" customHeight="1">
      <c r="A155" s="105" t="s">
        <v>42</v>
      </c>
      <c r="B155" s="105" t="s">
        <v>4440</v>
      </c>
      <c r="C155" s="105" t="s">
        <v>30</v>
      </c>
      <c r="D155" s="252">
        <v>1299.0</v>
      </c>
      <c r="E155" s="251">
        <v>1.0</v>
      </c>
      <c r="F155" s="251">
        <v>1299.0</v>
      </c>
      <c r="G155" s="268">
        <v>45856.0</v>
      </c>
      <c r="H155" s="105" t="s">
        <v>31</v>
      </c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  <c r="W155" s="250"/>
      <c r="X155" s="250"/>
      <c r="Y155" s="250"/>
      <c r="Z155" s="250"/>
    </row>
    <row r="156" ht="14.25" customHeight="1">
      <c r="A156" s="105" t="s">
        <v>37</v>
      </c>
      <c r="B156" s="105" t="s">
        <v>4442</v>
      </c>
      <c r="C156" s="105" t="s">
        <v>30</v>
      </c>
      <c r="D156" s="252">
        <v>1399.0</v>
      </c>
      <c r="E156" s="251">
        <v>2.0</v>
      </c>
      <c r="F156" s="251">
        <v>2798.0</v>
      </c>
      <c r="G156" s="268">
        <v>45856.0</v>
      </c>
      <c r="H156" s="105" t="s">
        <v>31</v>
      </c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50"/>
      <c r="X156" s="250"/>
      <c r="Y156" s="250"/>
      <c r="Z156" s="250"/>
    </row>
    <row r="157" ht="14.25" customHeight="1">
      <c r="A157" s="105" t="s">
        <v>44</v>
      </c>
      <c r="B157" s="105" t="s">
        <v>4443</v>
      </c>
      <c r="C157" s="105" t="s">
        <v>30</v>
      </c>
      <c r="D157" s="252">
        <v>1250.0</v>
      </c>
      <c r="E157" s="251">
        <v>1.0</v>
      </c>
      <c r="F157" s="251">
        <v>1250.0</v>
      </c>
      <c r="G157" s="268">
        <v>45856.0</v>
      </c>
      <c r="H157" s="105" t="s">
        <v>31</v>
      </c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</row>
    <row r="158" ht="14.25" customHeight="1">
      <c r="A158" s="105" t="s">
        <v>47</v>
      </c>
      <c r="B158" s="105" t="s">
        <v>4442</v>
      </c>
      <c r="C158" s="105" t="s">
        <v>30</v>
      </c>
      <c r="D158" s="252">
        <v>1100.0</v>
      </c>
      <c r="E158" s="251">
        <v>2.0</v>
      </c>
      <c r="F158" s="251">
        <v>2200.0</v>
      </c>
      <c r="G158" s="268">
        <v>45856.0</v>
      </c>
      <c r="H158" s="105" t="s">
        <v>31</v>
      </c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50"/>
      <c r="X158" s="250"/>
      <c r="Y158" s="250"/>
      <c r="Z158" s="250"/>
    </row>
    <row r="159" ht="14.25" customHeight="1">
      <c r="A159" s="105" t="s">
        <v>33</v>
      </c>
      <c r="B159" s="105" t="s">
        <v>4445</v>
      </c>
      <c r="C159" s="105" t="s">
        <v>30</v>
      </c>
      <c r="D159" s="252">
        <v>1499.0</v>
      </c>
      <c r="E159" s="251">
        <v>1.0</v>
      </c>
      <c r="F159" s="251">
        <v>1499.0</v>
      </c>
      <c r="G159" s="268">
        <v>45856.0</v>
      </c>
      <c r="H159" s="105" t="s">
        <v>31</v>
      </c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  <c r="U159" s="250"/>
      <c r="V159" s="250"/>
      <c r="W159" s="250"/>
      <c r="X159" s="250"/>
      <c r="Y159" s="250"/>
      <c r="Z159" s="250"/>
    </row>
    <row r="160" ht="14.25" customHeight="1">
      <c r="A160" s="105" t="s">
        <v>35</v>
      </c>
      <c r="B160" s="105" t="s">
        <v>4445</v>
      </c>
      <c r="C160" s="105" t="s">
        <v>30</v>
      </c>
      <c r="D160" s="252">
        <v>1499.0</v>
      </c>
      <c r="E160" s="251">
        <v>1.0</v>
      </c>
      <c r="F160" s="251">
        <v>1499.0</v>
      </c>
      <c r="G160" s="268">
        <v>45856.0</v>
      </c>
      <c r="H160" s="105" t="s">
        <v>31</v>
      </c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  <c r="U160" s="250"/>
      <c r="V160" s="250"/>
      <c r="W160" s="250"/>
      <c r="X160" s="250"/>
      <c r="Y160" s="250"/>
      <c r="Z160" s="250"/>
    </row>
    <row r="161" ht="14.25" customHeight="1">
      <c r="A161" s="105" t="s">
        <v>56</v>
      </c>
      <c r="B161" s="105" t="s">
        <v>4446</v>
      </c>
      <c r="C161" s="105" t="s">
        <v>30</v>
      </c>
      <c r="D161" s="252">
        <v>999.0</v>
      </c>
      <c r="E161" s="251">
        <v>1.0</v>
      </c>
      <c r="F161" s="251">
        <v>999.0</v>
      </c>
      <c r="G161" s="268">
        <v>45856.0</v>
      </c>
      <c r="H161" s="105" t="s">
        <v>31</v>
      </c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0"/>
      <c r="X161" s="250"/>
      <c r="Y161" s="250"/>
      <c r="Z161" s="250"/>
    </row>
    <row r="162" ht="14.25" customHeight="1">
      <c r="A162" s="105" t="s">
        <v>65</v>
      </c>
      <c r="B162" s="105" t="s">
        <v>4446</v>
      </c>
      <c r="C162" s="105" t="s">
        <v>30</v>
      </c>
      <c r="D162" s="252">
        <v>999.0</v>
      </c>
      <c r="E162" s="251">
        <v>1.0</v>
      </c>
      <c r="F162" s="251">
        <v>999.0</v>
      </c>
      <c r="G162" s="268">
        <v>45856.0</v>
      </c>
      <c r="H162" s="105" t="s">
        <v>31</v>
      </c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50"/>
      <c r="X162" s="250"/>
      <c r="Y162" s="250"/>
      <c r="Z162" s="250"/>
    </row>
    <row r="163" ht="14.25" customHeight="1">
      <c r="A163" s="105" t="s">
        <v>28</v>
      </c>
      <c r="B163" s="105" t="s">
        <v>4443</v>
      </c>
      <c r="C163" s="105" t="s">
        <v>30</v>
      </c>
      <c r="D163" s="252">
        <v>1599.0</v>
      </c>
      <c r="E163" s="251">
        <v>1.0</v>
      </c>
      <c r="F163" s="251">
        <v>1599.0</v>
      </c>
      <c r="G163" s="268">
        <v>45856.0</v>
      </c>
      <c r="H163" s="105" t="s">
        <v>31</v>
      </c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  <c r="U163" s="250"/>
      <c r="V163" s="250"/>
      <c r="W163" s="250"/>
      <c r="X163" s="250"/>
      <c r="Y163" s="250"/>
      <c r="Z163" s="250"/>
    </row>
    <row r="164" ht="14.25" customHeight="1">
      <c r="A164" s="105" t="s">
        <v>32</v>
      </c>
      <c r="B164" s="105" t="s">
        <v>4443</v>
      </c>
      <c r="C164" s="105" t="s">
        <v>30</v>
      </c>
      <c r="D164" s="252">
        <v>1599.0</v>
      </c>
      <c r="E164" s="251">
        <v>1.0</v>
      </c>
      <c r="F164" s="251">
        <v>1599.0</v>
      </c>
      <c r="G164" s="268">
        <v>45856.0</v>
      </c>
      <c r="H164" s="105" t="s">
        <v>31</v>
      </c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</row>
    <row r="165" ht="14.25" customHeight="1">
      <c r="A165" s="105" t="s">
        <v>242</v>
      </c>
      <c r="B165" s="251"/>
      <c r="C165" s="105" t="s">
        <v>30</v>
      </c>
      <c r="D165" s="252">
        <v>325.0</v>
      </c>
      <c r="E165" s="251">
        <v>1.0</v>
      </c>
      <c r="F165" s="251">
        <v>325.0</v>
      </c>
      <c r="G165" s="268">
        <v>45856.0</v>
      </c>
      <c r="H165" s="105" t="s">
        <v>751</v>
      </c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  <c r="U165" s="250"/>
      <c r="V165" s="250"/>
      <c r="W165" s="250"/>
      <c r="X165" s="250"/>
      <c r="Y165" s="250"/>
      <c r="Z165" s="250"/>
    </row>
    <row r="166" ht="14.25" customHeight="1">
      <c r="A166" s="105" t="s">
        <v>565</v>
      </c>
      <c r="B166" s="251"/>
      <c r="C166" s="105" t="s">
        <v>138</v>
      </c>
      <c r="D166" s="252">
        <v>40.0</v>
      </c>
      <c r="E166" s="251">
        <v>6.0</v>
      </c>
      <c r="F166" s="251">
        <v>240.0</v>
      </c>
      <c r="G166" s="268">
        <v>45856.0</v>
      </c>
      <c r="H166" s="105" t="s">
        <v>751</v>
      </c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50"/>
      <c r="X166" s="250"/>
      <c r="Y166" s="250"/>
      <c r="Z166" s="250"/>
    </row>
    <row r="167" ht="14.25" customHeight="1">
      <c r="A167" s="105" t="s">
        <v>570</v>
      </c>
      <c r="B167" s="251"/>
      <c r="C167" s="105" t="s">
        <v>138</v>
      </c>
      <c r="D167" s="252">
        <v>50.0</v>
      </c>
      <c r="E167" s="251">
        <v>5.0</v>
      </c>
      <c r="F167" s="251">
        <v>250.0</v>
      </c>
      <c r="G167" s="268">
        <v>45856.0</v>
      </c>
      <c r="H167" s="105" t="s">
        <v>751</v>
      </c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  <c r="U167" s="250"/>
      <c r="V167" s="250"/>
      <c r="W167" s="250"/>
      <c r="X167" s="250"/>
      <c r="Y167" s="250"/>
      <c r="Z167" s="250"/>
    </row>
    <row r="168" ht="14.25" customHeight="1">
      <c r="A168" s="105" t="s">
        <v>272</v>
      </c>
      <c r="B168" s="251"/>
      <c r="C168" s="105" t="s">
        <v>30</v>
      </c>
      <c r="D168" s="252">
        <v>300.0</v>
      </c>
      <c r="E168" s="251">
        <v>2.0</v>
      </c>
      <c r="F168" s="251">
        <v>600.0</v>
      </c>
      <c r="G168" s="268">
        <v>45856.0</v>
      </c>
      <c r="H168" s="105" t="s">
        <v>751</v>
      </c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  <c r="W168" s="250"/>
      <c r="X168" s="250"/>
      <c r="Y168" s="250"/>
      <c r="Z168" s="250"/>
    </row>
    <row r="169" ht="14.25" customHeight="1">
      <c r="A169" s="251"/>
      <c r="B169" s="251"/>
      <c r="C169" s="251"/>
      <c r="D169" s="252"/>
      <c r="E169" s="251"/>
      <c r="F169" s="251">
        <v>0.0</v>
      </c>
      <c r="G169" s="268"/>
      <c r="H169" s="251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  <c r="W169" s="250"/>
      <c r="X169" s="250"/>
      <c r="Y169" s="250"/>
      <c r="Z169" s="250"/>
    </row>
    <row r="170" ht="14.25" customHeight="1">
      <c r="A170" s="251"/>
      <c r="B170" s="251"/>
      <c r="C170" s="251"/>
      <c r="D170" s="252"/>
      <c r="E170" s="251"/>
      <c r="F170" s="251">
        <v>0.0</v>
      </c>
      <c r="G170" s="268"/>
      <c r="H170" s="251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50"/>
      <c r="X170" s="250"/>
      <c r="Y170" s="250"/>
      <c r="Z170" s="250"/>
    </row>
    <row r="171" ht="14.25" customHeight="1">
      <c r="A171" s="251"/>
      <c r="B171" s="251"/>
      <c r="C171" s="251"/>
      <c r="D171" s="252"/>
      <c r="E171" s="251"/>
      <c r="F171" s="251">
        <v>0.0</v>
      </c>
      <c r="G171" s="268"/>
      <c r="H171" s="251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50"/>
      <c r="X171" s="250"/>
      <c r="Y171" s="250"/>
      <c r="Z171" s="250"/>
    </row>
    <row r="172" ht="14.25" customHeight="1">
      <c r="A172" s="251"/>
      <c r="B172" s="251"/>
      <c r="C172" s="251"/>
      <c r="D172" s="252"/>
      <c r="E172" s="251"/>
      <c r="F172" s="251">
        <v>0.0</v>
      </c>
      <c r="G172" s="268"/>
      <c r="H172" s="251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50"/>
      <c r="X172" s="250"/>
      <c r="Y172" s="250"/>
      <c r="Z172" s="250"/>
    </row>
    <row r="173" ht="14.25" customHeight="1">
      <c r="A173" s="251"/>
      <c r="B173" s="251"/>
      <c r="C173" s="251"/>
      <c r="D173" s="252"/>
      <c r="E173" s="251"/>
      <c r="F173" s="251">
        <v>0.0</v>
      </c>
      <c r="G173" s="268"/>
      <c r="H173" s="251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  <c r="W173" s="250"/>
      <c r="X173" s="250"/>
      <c r="Y173" s="250"/>
      <c r="Z173" s="250"/>
    </row>
    <row r="174" ht="14.25" customHeight="1">
      <c r="A174" s="251"/>
      <c r="B174" s="251"/>
      <c r="C174" s="251"/>
      <c r="D174" s="252"/>
      <c r="E174" s="251"/>
      <c r="F174" s="251">
        <v>0.0</v>
      </c>
      <c r="G174" s="268"/>
      <c r="H174" s="251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  <c r="Y174" s="250"/>
      <c r="Z174" s="250"/>
    </row>
    <row r="175" ht="14.25" customHeight="1">
      <c r="A175" s="251"/>
      <c r="B175" s="251"/>
      <c r="C175" s="251"/>
      <c r="D175" s="252"/>
      <c r="E175" s="251"/>
      <c r="F175" s="251">
        <v>0.0</v>
      </c>
      <c r="G175" s="268"/>
      <c r="H175" s="251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50"/>
      <c r="X175" s="250"/>
      <c r="Y175" s="250"/>
      <c r="Z175" s="250"/>
    </row>
    <row r="176" ht="14.25" customHeight="1">
      <c r="A176" s="251"/>
      <c r="B176" s="251"/>
      <c r="C176" s="251"/>
      <c r="D176" s="252"/>
      <c r="E176" s="251"/>
      <c r="F176" s="251">
        <v>0.0</v>
      </c>
      <c r="G176" s="268"/>
      <c r="H176" s="251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  <c r="W176" s="250"/>
      <c r="X176" s="250"/>
      <c r="Y176" s="250"/>
      <c r="Z176" s="250"/>
    </row>
    <row r="177" ht="14.25" customHeight="1">
      <c r="A177" s="251" t="s">
        <v>4366</v>
      </c>
      <c r="B177" s="251">
        <v>0.0</v>
      </c>
      <c r="C177" s="251">
        <v>0.0</v>
      </c>
      <c r="D177" s="252">
        <v>19386.0</v>
      </c>
      <c r="E177" s="251">
        <v>69.0</v>
      </c>
      <c r="F177" s="251">
        <v>26800.0</v>
      </c>
      <c r="G177" s="268">
        <v>1421536.0</v>
      </c>
      <c r="H177" s="251">
        <v>0.0</v>
      </c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50"/>
      <c r="X177" s="250"/>
      <c r="Y177" s="250"/>
      <c r="Z177" s="250"/>
    </row>
    <row r="178" ht="14.25" customHeight="1">
      <c r="A178" s="250"/>
      <c r="B178" s="250"/>
      <c r="C178" s="250"/>
      <c r="D178" s="254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</row>
    <row r="179" ht="14.25" customHeight="1">
      <c r="A179" s="269" t="s">
        <v>4369</v>
      </c>
      <c r="B179" s="270" t="s">
        <v>4432</v>
      </c>
      <c r="C179" s="270" t="s">
        <v>4350</v>
      </c>
      <c r="D179" s="271" t="s">
        <v>4352</v>
      </c>
      <c r="E179" s="270" t="s">
        <v>4370</v>
      </c>
      <c r="F179" s="270" t="s">
        <v>4433</v>
      </c>
      <c r="G179" s="272" t="s">
        <v>4372</v>
      </c>
      <c r="H179" s="270" t="s">
        <v>4353</v>
      </c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0"/>
      <c r="Y179" s="250"/>
      <c r="Z179" s="250"/>
    </row>
    <row r="180" ht="14.25" customHeight="1">
      <c r="A180" s="105" t="s">
        <v>505</v>
      </c>
      <c r="B180" s="251"/>
      <c r="C180" s="105" t="s">
        <v>138</v>
      </c>
      <c r="D180" s="252">
        <v>12.0</v>
      </c>
      <c r="E180" s="251">
        <v>165.0</v>
      </c>
      <c r="F180" s="105" t="s">
        <v>576</v>
      </c>
      <c r="G180" s="268">
        <v>45865.0</v>
      </c>
      <c r="H180" s="251">
        <f>' طلبيات'!$D180*' طلبيات'!$E180</f>
        <v>1980</v>
      </c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0"/>
      <c r="X180" s="250"/>
      <c r="Y180" s="250"/>
      <c r="Z180" s="250"/>
    </row>
    <row r="181" ht="14.25" customHeight="1">
      <c r="A181" s="251"/>
      <c r="B181" s="251"/>
      <c r="C181" s="251"/>
      <c r="D181" s="252"/>
      <c r="E181" s="251"/>
      <c r="F181" s="251"/>
      <c r="G181" s="251"/>
      <c r="H181" s="251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  <c r="W181" s="250"/>
      <c r="X181" s="250"/>
      <c r="Y181" s="250"/>
      <c r="Z181" s="250"/>
    </row>
    <row r="182" ht="14.25" customHeight="1">
      <c r="A182" s="250"/>
      <c r="B182" s="250"/>
      <c r="C182" s="250"/>
      <c r="D182" s="254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  <c r="W182" s="250"/>
      <c r="X182" s="250"/>
      <c r="Y182" s="250"/>
      <c r="Z182" s="250"/>
    </row>
    <row r="183" ht="14.25" customHeight="1">
      <c r="A183" s="250"/>
      <c r="B183" s="250"/>
      <c r="C183" s="250"/>
      <c r="D183" s="254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  <c r="Y183" s="250"/>
      <c r="Z183" s="250"/>
    </row>
    <row r="184" ht="14.25" customHeight="1">
      <c r="A184" s="269" t="s">
        <v>4369</v>
      </c>
      <c r="B184" s="270" t="s">
        <v>4432</v>
      </c>
      <c r="C184" s="270" t="s">
        <v>4350</v>
      </c>
      <c r="D184" s="271" t="s">
        <v>4352</v>
      </c>
      <c r="E184" s="270" t="s">
        <v>4370</v>
      </c>
      <c r="F184" s="270" t="s">
        <v>4433</v>
      </c>
      <c r="G184" s="272" t="s">
        <v>4372</v>
      </c>
      <c r="H184" s="270" t="s">
        <v>4353</v>
      </c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50"/>
      <c r="X184" s="250"/>
      <c r="Y184" s="250"/>
      <c r="Z184" s="250"/>
    </row>
    <row r="185" ht="14.25" customHeight="1">
      <c r="A185" s="105" t="s">
        <v>268</v>
      </c>
      <c r="B185" s="105" t="s">
        <v>268</v>
      </c>
      <c r="C185" s="105" t="s">
        <v>30</v>
      </c>
      <c r="D185" s="252">
        <v>12.0</v>
      </c>
      <c r="E185" s="251">
        <v>170.0</v>
      </c>
      <c r="F185" s="105" t="s">
        <v>581</v>
      </c>
      <c r="G185" s="268">
        <v>45876.0</v>
      </c>
      <c r="H185" s="251">
        <f>' طلبيات'!$D185*' طلبيات'!$E185</f>
        <v>2040</v>
      </c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  <c r="W185" s="250"/>
      <c r="X185" s="250"/>
      <c r="Y185" s="250"/>
      <c r="Z185" s="250"/>
    </row>
    <row r="186" ht="14.25" hidden="1" customHeight="1">
      <c r="A186" s="251"/>
      <c r="B186" s="251"/>
      <c r="C186" s="251"/>
      <c r="D186" s="252"/>
      <c r="E186" s="251"/>
      <c r="F186" s="251"/>
      <c r="G186" s="251"/>
      <c r="H186" s="251">
        <f>' طلبيات'!$D186*' طلبيات'!$E186</f>
        <v>0</v>
      </c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  <c r="Y186" s="250"/>
      <c r="Z186" s="250"/>
    </row>
    <row r="187" ht="14.25" customHeight="1">
      <c r="A187" s="105" t="s">
        <v>487</v>
      </c>
      <c r="B187" s="105" t="s">
        <v>487</v>
      </c>
      <c r="C187" s="105" t="s">
        <v>30</v>
      </c>
      <c r="D187" s="252">
        <v>12.0</v>
      </c>
      <c r="E187" s="251">
        <v>95.0</v>
      </c>
      <c r="F187" s="105" t="s">
        <v>581</v>
      </c>
      <c r="G187" s="268">
        <v>45876.0</v>
      </c>
      <c r="H187" s="251">
        <f>' طلبيات'!$D187*' طلبيات'!$E187</f>
        <v>1140</v>
      </c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0"/>
      <c r="Z187" s="250"/>
    </row>
    <row r="188" ht="14.25" customHeight="1">
      <c r="A188" s="105" t="s">
        <v>586</v>
      </c>
      <c r="B188" s="105" t="s">
        <v>586</v>
      </c>
      <c r="C188" s="105" t="s">
        <v>138</v>
      </c>
      <c r="D188" s="252">
        <v>12.0</v>
      </c>
      <c r="E188" s="251">
        <v>34.0</v>
      </c>
      <c r="F188" s="105" t="s">
        <v>581</v>
      </c>
      <c r="G188" s="268">
        <v>45876.0</v>
      </c>
      <c r="H188" s="251">
        <f>' طلبيات'!$D188*' طلبيات'!$E188</f>
        <v>408</v>
      </c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</row>
    <row r="189" ht="14.25" customHeight="1">
      <c r="A189" s="250"/>
      <c r="B189" s="250"/>
      <c r="C189" s="250"/>
      <c r="D189" s="254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</row>
    <row r="190" ht="14.25" customHeight="1">
      <c r="A190" s="250"/>
      <c r="B190" s="250"/>
      <c r="C190" s="250"/>
      <c r="D190" s="254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50"/>
      <c r="X190" s="250"/>
      <c r="Y190" s="250"/>
      <c r="Z190" s="250"/>
    </row>
    <row r="191" ht="14.25" customHeight="1">
      <c r="A191" s="269" t="s">
        <v>4369</v>
      </c>
      <c r="B191" s="270" t="s">
        <v>4432</v>
      </c>
      <c r="C191" s="270" t="s">
        <v>4350</v>
      </c>
      <c r="D191" s="271" t="s">
        <v>4352</v>
      </c>
      <c r="E191" s="270" t="s">
        <v>4370</v>
      </c>
      <c r="F191" s="270" t="s">
        <v>4433</v>
      </c>
      <c r="G191" s="272" t="s">
        <v>4372</v>
      </c>
      <c r="H191" s="270" t="s">
        <v>4353</v>
      </c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  <c r="W191" s="250"/>
      <c r="X191" s="250"/>
      <c r="Y191" s="250"/>
      <c r="Z191" s="250"/>
    </row>
    <row r="192" ht="14.25" customHeight="1">
      <c r="A192" s="105" t="s">
        <v>260</v>
      </c>
      <c r="B192" s="105" t="s">
        <v>260</v>
      </c>
      <c r="C192" s="105" t="s">
        <v>30</v>
      </c>
      <c r="D192" s="252">
        <v>3.0</v>
      </c>
      <c r="E192" s="251">
        <v>170.0</v>
      </c>
      <c r="F192" s="105" t="s">
        <v>31</v>
      </c>
      <c r="G192" s="268">
        <v>45896.0</v>
      </c>
      <c r="H192" s="251">
        <f>' طلبيات'!$D192*' طلبيات'!$E192</f>
        <v>510</v>
      </c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  <c r="W192" s="250"/>
      <c r="X192" s="250"/>
      <c r="Y192" s="250"/>
      <c r="Z192" s="250"/>
    </row>
    <row r="193" ht="14.25" customHeight="1">
      <c r="A193" s="105" t="s">
        <v>293</v>
      </c>
      <c r="B193" s="105" t="s">
        <v>68</v>
      </c>
      <c r="C193" s="105" t="s">
        <v>185</v>
      </c>
      <c r="D193" s="252">
        <v>3.0</v>
      </c>
      <c r="E193" s="251">
        <v>175.0</v>
      </c>
      <c r="F193" s="105" t="s">
        <v>31</v>
      </c>
      <c r="G193" s="268">
        <v>45896.0</v>
      </c>
      <c r="H193" s="251">
        <f>' طلبيات'!$D193*' طلبيات'!$E193</f>
        <v>525</v>
      </c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  <c r="W193" s="250"/>
      <c r="X193" s="250"/>
      <c r="Y193" s="250"/>
      <c r="Z193" s="250"/>
    </row>
    <row r="194" ht="14.25" customHeight="1">
      <c r="A194" s="105" t="s">
        <v>4460</v>
      </c>
      <c r="B194" s="105" t="s">
        <v>586</v>
      </c>
      <c r="C194" s="105" t="s">
        <v>185</v>
      </c>
      <c r="D194" s="252">
        <v>14.0</v>
      </c>
      <c r="E194" s="251">
        <v>75.0</v>
      </c>
      <c r="F194" s="105" t="s">
        <v>31</v>
      </c>
      <c r="G194" s="268">
        <v>45896.0</v>
      </c>
      <c r="H194" s="251">
        <f>' طلبيات'!$D194*' طلبيات'!$E194</f>
        <v>1050</v>
      </c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50"/>
      <c r="X194" s="250"/>
      <c r="Y194" s="250"/>
      <c r="Z194" s="250"/>
    </row>
    <row r="195" ht="14.25" customHeight="1">
      <c r="A195" s="105" t="s">
        <v>608</v>
      </c>
      <c r="B195" s="105" t="s">
        <v>68</v>
      </c>
      <c r="C195" s="105" t="s">
        <v>185</v>
      </c>
      <c r="D195" s="252">
        <v>4.0</v>
      </c>
      <c r="E195" s="251">
        <v>90.0</v>
      </c>
      <c r="F195" s="105" t="s">
        <v>31</v>
      </c>
      <c r="G195" s="268">
        <v>45896.0</v>
      </c>
      <c r="H195" s="251">
        <f>' طلبيات'!$D195*' طلبيات'!$E195</f>
        <v>360</v>
      </c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  <c r="W195" s="250"/>
      <c r="X195" s="250"/>
      <c r="Y195" s="250"/>
      <c r="Z195" s="250"/>
    </row>
    <row r="196" ht="14.25" customHeight="1">
      <c r="A196" s="105" t="s">
        <v>405</v>
      </c>
      <c r="B196" s="105" t="s">
        <v>68</v>
      </c>
      <c r="C196" s="105" t="s">
        <v>185</v>
      </c>
      <c r="D196" s="252">
        <v>1.0</v>
      </c>
      <c r="E196" s="251">
        <v>105.0</v>
      </c>
      <c r="F196" s="105" t="s">
        <v>31</v>
      </c>
      <c r="G196" s="268">
        <v>45896.0</v>
      </c>
      <c r="H196" s="251">
        <f>' طلبيات'!$D196*' طلبيات'!$E196</f>
        <v>105</v>
      </c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  <c r="U196" s="250"/>
      <c r="V196" s="250"/>
      <c r="W196" s="250"/>
      <c r="X196" s="250"/>
      <c r="Y196" s="250"/>
      <c r="Z196" s="250"/>
    </row>
    <row r="197" ht="14.25" customHeight="1">
      <c r="A197" s="105" t="s">
        <v>4462</v>
      </c>
      <c r="B197" s="251"/>
      <c r="C197" s="251"/>
      <c r="D197" s="252"/>
      <c r="E197" s="251"/>
      <c r="F197" s="251"/>
      <c r="G197" s="268"/>
      <c r="H197" s="251">
        <v>-725.0</v>
      </c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  <c r="Y197" s="250"/>
      <c r="Z197" s="250"/>
    </row>
    <row r="198" ht="14.25" customHeight="1">
      <c r="A198" s="251" t="s">
        <v>4366</v>
      </c>
      <c r="B198" s="251">
        <f>SUBTOTAL(109,' طلبيات'!$B$192:$B$197)</f>
        <v>0</v>
      </c>
      <c r="C198" s="251">
        <f>SUBTOTAL(109,' طلبيات'!$C$192:$C$197)</f>
        <v>0</v>
      </c>
      <c r="D198" s="252">
        <f>SUBTOTAL(109,' طلبيات'!$D$192:$D$197)</f>
        <v>25</v>
      </c>
      <c r="E198" s="251">
        <f>SUBTOTAL(109,' طلبيات'!$E$192:$E$197)</f>
        <v>615</v>
      </c>
      <c r="F198" s="251">
        <f>SUBTOTAL(109,' طلبيات'!$F$192:$F$197)</f>
        <v>0</v>
      </c>
      <c r="G198" s="268">
        <f>SUBTOTAL(109,' طلبيات'!$G$192:$G$197)</f>
        <v>229480</v>
      </c>
      <c r="H198" s="251">
        <f>SUBTOTAL(109,' طلبيات'!$H$192:$H$197)</f>
        <v>1825</v>
      </c>
      <c r="I198" s="250">
        <f>2550-725</f>
        <v>1825</v>
      </c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  <c r="U198" s="250"/>
      <c r="V198" s="250"/>
      <c r="W198" s="250"/>
      <c r="X198" s="250"/>
      <c r="Y198" s="250"/>
      <c r="Z198" s="250"/>
    </row>
    <row r="199" ht="14.25" customHeight="1">
      <c r="A199" s="250"/>
      <c r="B199" s="250"/>
      <c r="C199" s="250"/>
      <c r="D199" s="254"/>
      <c r="E199" s="250"/>
      <c r="F199" s="250"/>
      <c r="G199" s="250"/>
      <c r="H199" s="250"/>
      <c r="I199" s="250"/>
      <c r="J199" s="250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  <c r="W199" s="250"/>
      <c r="X199" s="250"/>
      <c r="Y199" s="250"/>
      <c r="Z199" s="250"/>
    </row>
    <row r="200" ht="14.25" customHeight="1">
      <c r="A200" s="250"/>
      <c r="B200" s="250"/>
      <c r="C200" s="250"/>
      <c r="D200" s="254"/>
      <c r="E200" s="250"/>
      <c r="F200" s="250"/>
      <c r="G200" s="250"/>
      <c r="H200" s="250"/>
      <c r="I200" s="250"/>
      <c r="J200" s="250"/>
      <c r="K200" s="250"/>
      <c r="L200" s="250"/>
      <c r="M200" s="250"/>
      <c r="N200" s="250"/>
      <c r="O200" s="250"/>
      <c r="P200" s="250"/>
      <c r="Q200" s="250"/>
      <c r="R200" s="250"/>
      <c r="S200" s="250"/>
      <c r="T200" s="250"/>
      <c r="U200" s="250"/>
      <c r="V200" s="250"/>
      <c r="W200" s="250"/>
      <c r="X200" s="250"/>
      <c r="Y200" s="250"/>
      <c r="Z200" s="250"/>
    </row>
    <row r="201" ht="14.25" customHeight="1">
      <c r="A201" s="250"/>
      <c r="B201" s="250"/>
      <c r="C201" s="250"/>
      <c r="D201" s="254"/>
      <c r="E201" s="250"/>
      <c r="F201" s="250"/>
      <c r="G201" s="250"/>
      <c r="H201" s="250"/>
      <c r="I201" s="250"/>
      <c r="J201" s="250"/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V201" s="250"/>
      <c r="W201" s="250"/>
      <c r="X201" s="250"/>
      <c r="Y201" s="250"/>
      <c r="Z201" s="250"/>
    </row>
    <row r="202" ht="14.25" customHeight="1">
      <c r="A202" s="269" t="s">
        <v>4369</v>
      </c>
      <c r="B202" s="270" t="s">
        <v>4350</v>
      </c>
      <c r="C202" s="270" t="s">
        <v>4352</v>
      </c>
      <c r="D202" s="271" t="s">
        <v>4370</v>
      </c>
      <c r="E202" s="270" t="s">
        <v>4433</v>
      </c>
      <c r="F202" s="272" t="s">
        <v>4372</v>
      </c>
      <c r="G202" s="270" t="s">
        <v>4353</v>
      </c>
      <c r="H202" s="250"/>
      <c r="I202" s="250"/>
      <c r="J202" s="250"/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  <c r="W202" s="250"/>
      <c r="X202" s="250"/>
      <c r="Y202" s="250"/>
      <c r="Z202" s="250"/>
    </row>
    <row r="203" ht="14.25" customHeight="1">
      <c r="A203" s="105" t="s">
        <v>144</v>
      </c>
      <c r="B203" s="105" t="s">
        <v>224</v>
      </c>
      <c r="C203" s="251">
        <v>40.0</v>
      </c>
      <c r="D203" s="252">
        <v>140.0</v>
      </c>
      <c r="E203" s="105" t="s">
        <v>620</v>
      </c>
      <c r="F203" s="268"/>
      <c r="G203" s="251">
        <f>' طلبيات'!$D203*' طلبيات'!$C203</f>
        <v>5600</v>
      </c>
      <c r="H203" s="250"/>
      <c r="I203" s="250"/>
      <c r="J203" s="250"/>
      <c r="K203" s="250"/>
      <c r="L203" s="250"/>
      <c r="M203" s="250"/>
      <c r="N203" s="250"/>
      <c r="O203" s="250"/>
      <c r="P203" s="250"/>
      <c r="Q203" s="250"/>
      <c r="R203" s="250"/>
      <c r="S203" s="250"/>
      <c r="T203" s="250"/>
      <c r="U203" s="250"/>
      <c r="V203" s="250"/>
      <c r="W203" s="250"/>
      <c r="X203" s="250"/>
      <c r="Y203" s="250"/>
      <c r="Z203" s="250"/>
    </row>
    <row r="204" ht="14.25" customHeight="1">
      <c r="A204" s="251"/>
      <c r="B204" s="251"/>
      <c r="C204" s="251"/>
      <c r="D204" s="252"/>
      <c r="E204" s="251"/>
      <c r="F204" s="268"/>
      <c r="G204" s="251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0"/>
      <c r="W204" s="250"/>
      <c r="X204" s="250"/>
      <c r="Y204" s="250"/>
      <c r="Z204" s="250"/>
    </row>
    <row r="205" ht="14.25" customHeight="1">
      <c r="A205" s="251"/>
      <c r="B205" s="251"/>
      <c r="C205" s="251"/>
      <c r="D205" s="252"/>
      <c r="E205" s="251"/>
      <c r="F205" s="268"/>
      <c r="G205" s="251"/>
      <c r="H205" s="250"/>
      <c r="I205" s="250"/>
      <c r="J205" s="250"/>
      <c r="K205" s="250"/>
      <c r="L205" s="250"/>
      <c r="M205" s="250"/>
      <c r="N205" s="250"/>
      <c r="O205" s="250"/>
      <c r="P205" s="250"/>
      <c r="Q205" s="250"/>
      <c r="R205" s="250"/>
      <c r="S205" s="250"/>
      <c r="T205" s="250"/>
      <c r="U205" s="250"/>
      <c r="V205" s="250"/>
      <c r="W205" s="250"/>
      <c r="X205" s="250"/>
      <c r="Y205" s="250"/>
      <c r="Z205" s="250"/>
    </row>
    <row r="206" ht="14.25" customHeight="1">
      <c r="A206" s="251" t="s">
        <v>4366</v>
      </c>
      <c r="B206" s="251">
        <f>SUBTOTAL(109,' طلبيات'!$B$203:$B$205)</f>
        <v>0</v>
      </c>
      <c r="C206" s="251">
        <f>SUBTOTAL(109,' طلبيات'!$C$203:$C$205)</f>
        <v>40</v>
      </c>
      <c r="D206" s="252">
        <f>SUBTOTAL(109,' طلبيات'!$D$203:$D$205)</f>
        <v>140</v>
      </c>
      <c r="E206" s="251">
        <f>SUBTOTAL(109,' طلبيات'!$E$203:$E$205)</f>
        <v>0</v>
      </c>
      <c r="F206" s="268">
        <f>SUBTOTAL(109,' طلبيات'!$F$203:$F$205)</f>
        <v>0</v>
      </c>
      <c r="G206" s="251">
        <f>SUBTOTAL(109,' طلبيات'!$G$203:$G$205)</f>
        <v>5600</v>
      </c>
      <c r="H206" s="250"/>
      <c r="I206" s="250"/>
      <c r="J206" s="250"/>
      <c r="K206" s="250"/>
      <c r="L206" s="250"/>
      <c r="M206" s="250"/>
      <c r="N206" s="250"/>
      <c r="O206" s="250"/>
      <c r="P206" s="250"/>
      <c r="Q206" s="250"/>
      <c r="R206" s="250"/>
      <c r="S206" s="250"/>
      <c r="T206" s="250"/>
      <c r="U206" s="250"/>
      <c r="V206" s="250"/>
      <c r="W206" s="250"/>
      <c r="X206" s="250"/>
      <c r="Y206" s="250"/>
      <c r="Z206" s="250"/>
    </row>
    <row r="207" ht="14.25" customHeight="1">
      <c r="A207" s="250"/>
      <c r="B207" s="250"/>
      <c r="C207" s="250"/>
      <c r="D207" s="254"/>
      <c r="E207" s="250"/>
      <c r="F207" s="273"/>
      <c r="G207" s="250"/>
      <c r="H207" s="250"/>
      <c r="I207" s="250"/>
      <c r="J207" s="250"/>
      <c r="K207" s="250"/>
      <c r="L207" s="250"/>
      <c r="M207" s="250"/>
      <c r="N207" s="250"/>
      <c r="O207" s="250"/>
      <c r="P207" s="250"/>
      <c r="Q207" s="250"/>
      <c r="R207" s="250"/>
      <c r="S207" s="250"/>
      <c r="T207" s="250"/>
      <c r="U207" s="250"/>
      <c r="V207" s="250"/>
      <c r="W207" s="250"/>
      <c r="X207" s="250"/>
      <c r="Y207" s="250"/>
      <c r="Z207" s="250"/>
    </row>
    <row r="208" ht="14.25" customHeight="1">
      <c r="A208" s="250"/>
      <c r="B208" s="250"/>
      <c r="C208" s="250"/>
      <c r="D208" s="254"/>
      <c r="E208" s="250"/>
      <c r="F208" s="273"/>
      <c r="G208" s="250"/>
      <c r="H208" s="250"/>
      <c r="I208" s="250"/>
      <c r="J208" s="250"/>
      <c r="K208" s="250"/>
      <c r="L208" s="250"/>
      <c r="M208" s="250"/>
      <c r="N208" s="250"/>
      <c r="O208" s="250"/>
      <c r="P208" s="250"/>
      <c r="Q208" s="250"/>
      <c r="R208" s="250"/>
      <c r="S208" s="250"/>
      <c r="T208" s="250"/>
      <c r="U208" s="250"/>
      <c r="V208" s="250"/>
      <c r="W208" s="250"/>
      <c r="X208" s="250"/>
      <c r="Y208" s="250"/>
      <c r="Z208" s="250"/>
    </row>
    <row r="209" ht="14.25" customHeight="1">
      <c r="A209" s="269" t="s">
        <v>4369</v>
      </c>
      <c r="B209" s="270" t="s">
        <v>4350</v>
      </c>
      <c r="C209" s="270" t="s">
        <v>4352</v>
      </c>
      <c r="D209" s="271" t="s">
        <v>4370</v>
      </c>
      <c r="E209" s="270" t="s">
        <v>4433</v>
      </c>
      <c r="F209" s="272" t="s">
        <v>4372</v>
      </c>
      <c r="G209" s="270" t="s">
        <v>4353</v>
      </c>
      <c r="H209" s="250"/>
      <c r="I209" s="250"/>
      <c r="J209" s="250"/>
      <c r="K209" s="250"/>
      <c r="L209" s="250"/>
      <c r="M209" s="250"/>
      <c r="N209" s="250"/>
      <c r="O209" s="250"/>
      <c r="P209" s="250"/>
      <c r="Q209" s="250"/>
      <c r="R209" s="250"/>
      <c r="S209" s="250"/>
      <c r="T209" s="250"/>
      <c r="U209" s="250"/>
      <c r="V209" s="250"/>
      <c r="W209" s="250"/>
      <c r="X209" s="250"/>
      <c r="Y209" s="250"/>
      <c r="Z209" s="250"/>
    </row>
    <row r="210" ht="14.25" customHeight="1">
      <c r="A210" s="105" t="s">
        <v>624</v>
      </c>
      <c r="B210" s="105" t="s">
        <v>185</v>
      </c>
      <c r="C210" s="251">
        <v>2.0</v>
      </c>
      <c r="D210" s="252">
        <v>85.0</v>
      </c>
      <c r="E210" s="105" t="s">
        <v>31</v>
      </c>
      <c r="F210" s="268">
        <v>45904.0</v>
      </c>
      <c r="G210" s="251">
        <f>' طلبيات'!$C210*' طلبيات'!$D210</f>
        <v>170</v>
      </c>
      <c r="H210" s="250"/>
      <c r="I210" s="250"/>
      <c r="J210" s="250" t="s">
        <v>4469</v>
      </c>
      <c r="K210" s="250"/>
      <c r="L210" s="250"/>
      <c r="M210" s="250"/>
      <c r="N210" s="250"/>
      <c r="O210" s="250"/>
      <c r="P210" s="250"/>
      <c r="Q210" s="250"/>
      <c r="R210" s="250"/>
      <c r="S210" s="250"/>
      <c r="T210" s="250"/>
      <c r="U210" s="250"/>
      <c r="V210" s="250"/>
      <c r="W210" s="250"/>
      <c r="X210" s="250"/>
      <c r="Y210" s="250"/>
      <c r="Z210" s="250"/>
    </row>
    <row r="211" ht="14.25" customHeight="1">
      <c r="A211" s="105" t="s">
        <v>489</v>
      </c>
      <c r="B211" s="105" t="s">
        <v>185</v>
      </c>
      <c r="C211" s="251">
        <v>1.0</v>
      </c>
      <c r="D211" s="252">
        <v>175.0</v>
      </c>
      <c r="E211" s="105" t="s">
        <v>31</v>
      </c>
      <c r="F211" s="268">
        <v>45904.0</v>
      </c>
      <c r="G211" s="251">
        <f>' طلبيات'!$C211*' طلبيات'!$D211</f>
        <v>175</v>
      </c>
      <c r="H211" s="250"/>
      <c r="I211" s="250"/>
      <c r="J211" s="250"/>
      <c r="K211" s="250"/>
      <c r="L211" s="250"/>
      <c r="M211" s="250"/>
      <c r="N211" s="250"/>
      <c r="O211" s="250"/>
      <c r="P211" s="250"/>
      <c r="Q211" s="250"/>
      <c r="R211" s="250"/>
      <c r="S211" s="250"/>
      <c r="T211" s="250"/>
      <c r="U211" s="250"/>
      <c r="V211" s="250"/>
      <c r="W211" s="250"/>
      <c r="X211" s="250"/>
      <c r="Y211" s="250"/>
      <c r="Z211" s="250"/>
    </row>
    <row r="212" ht="14.25" customHeight="1">
      <c r="A212" s="105" t="s">
        <v>297</v>
      </c>
      <c r="B212" s="105" t="s">
        <v>185</v>
      </c>
      <c r="C212" s="251">
        <v>7.0</v>
      </c>
      <c r="D212" s="252">
        <v>30.0</v>
      </c>
      <c r="E212" s="105" t="s">
        <v>31</v>
      </c>
      <c r="F212" s="268">
        <v>45904.0</v>
      </c>
      <c r="G212" s="251">
        <f>' طلبيات'!$C212*' طلبيات'!$D212</f>
        <v>210</v>
      </c>
      <c r="H212" s="250"/>
      <c r="I212" s="250"/>
      <c r="J212" s="250"/>
      <c r="K212" s="250"/>
      <c r="L212" s="250"/>
      <c r="M212" s="250"/>
      <c r="N212" s="250"/>
      <c r="O212" s="250"/>
      <c r="P212" s="250"/>
      <c r="Q212" s="250"/>
      <c r="R212" s="250"/>
      <c r="S212" s="250"/>
      <c r="T212" s="250"/>
      <c r="U212" s="250"/>
      <c r="V212" s="250"/>
      <c r="W212" s="250"/>
      <c r="X212" s="250"/>
      <c r="Y212" s="250"/>
      <c r="Z212" s="250"/>
    </row>
    <row r="213" ht="14.25" customHeight="1">
      <c r="A213" s="105" t="s">
        <v>323</v>
      </c>
      <c r="B213" s="105" t="s">
        <v>185</v>
      </c>
      <c r="C213" s="251">
        <v>1.0</v>
      </c>
      <c r="D213" s="252">
        <v>275.0</v>
      </c>
      <c r="E213" s="105" t="s">
        <v>31</v>
      </c>
      <c r="F213" s="268">
        <v>45904.0</v>
      </c>
      <c r="G213" s="251">
        <f>' طلبيات'!$C213*' طلبيات'!$D213</f>
        <v>275</v>
      </c>
      <c r="H213" s="250"/>
      <c r="I213" s="250"/>
      <c r="J213" s="250"/>
      <c r="K213" s="250"/>
      <c r="L213" s="250"/>
      <c r="M213" s="250"/>
      <c r="N213" s="250"/>
      <c r="O213" s="250"/>
      <c r="P213" s="250"/>
      <c r="Q213" s="250"/>
      <c r="R213" s="250"/>
      <c r="S213" s="250"/>
      <c r="T213" s="250"/>
      <c r="U213" s="250"/>
      <c r="V213" s="250"/>
      <c r="W213" s="250"/>
      <c r="X213" s="250"/>
      <c r="Y213" s="250"/>
      <c r="Z213" s="250"/>
    </row>
    <row r="214" ht="14.25" customHeight="1">
      <c r="A214" s="105" t="s">
        <v>357</v>
      </c>
      <c r="B214" s="105" t="s">
        <v>185</v>
      </c>
      <c r="C214" s="251">
        <v>5.0</v>
      </c>
      <c r="D214" s="252">
        <v>225.0</v>
      </c>
      <c r="E214" s="105" t="s">
        <v>31</v>
      </c>
      <c r="F214" s="268">
        <v>45904.0</v>
      </c>
      <c r="G214" s="251">
        <f>' طلبيات'!$C214*' طلبيات'!$D214</f>
        <v>1125</v>
      </c>
      <c r="H214" s="250"/>
      <c r="I214" s="250"/>
      <c r="J214" s="250"/>
      <c r="K214" s="250"/>
      <c r="L214" s="250"/>
      <c r="M214" s="250"/>
      <c r="N214" s="250"/>
      <c r="O214" s="250"/>
      <c r="P214" s="250"/>
      <c r="Q214" s="250"/>
      <c r="R214" s="250"/>
      <c r="S214" s="250"/>
      <c r="T214" s="250"/>
      <c r="U214" s="250"/>
      <c r="V214" s="250"/>
      <c r="W214" s="250"/>
      <c r="X214" s="250"/>
      <c r="Y214" s="250"/>
      <c r="Z214" s="250"/>
    </row>
    <row r="215" ht="14.25" customHeight="1">
      <c r="A215" s="105" t="s">
        <v>48</v>
      </c>
      <c r="B215" s="105" t="s">
        <v>68</v>
      </c>
      <c r="C215" s="251">
        <v>32.0</v>
      </c>
      <c r="D215" s="274">
        <v>28.0</v>
      </c>
      <c r="E215" s="105" t="s">
        <v>31</v>
      </c>
      <c r="F215" s="268">
        <v>45904.0</v>
      </c>
      <c r="G215" s="251">
        <f>' طلبيات'!$C215*' طلبيات'!$D215</f>
        <v>896</v>
      </c>
      <c r="H215" s="250"/>
      <c r="I215" s="250"/>
      <c r="J215" s="250"/>
      <c r="K215" s="250"/>
      <c r="L215" s="250"/>
      <c r="M215" s="250"/>
      <c r="N215" s="250"/>
      <c r="O215" s="250"/>
      <c r="P215" s="250"/>
      <c r="Q215" s="250"/>
      <c r="R215" s="250"/>
      <c r="S215" s="250"/>
      <c r="T215" s="250"/>
      <c r="U215" s="250"/>
      <c r="V215" s="250"/>
      <c r="W215" s="250"/>
      <c r="X215" s="250"/>
      <c r="Y215" s="250"/>
      <c r="Z215" s="250"/>
    </row>
    <row r="216" ht="14.25" customHeight="1">
      <c r="A216" s="105" t="s">
        <v>642</v>
      </c>
      <c r="B216" s="105" t="s">
        <v>30</v>
      </c>
      <c r="C216" s="251">
        <v>4.0</v>
      </c>
      <c r="D216" s="252">
        <v>105.0</v>
      </c>
      <c r="E216" s="105" t="s">
        <v>31</v>
      </c>
      <c r="F216" s="268">
        <v>45904.0</v>
      </c>
      <c r="G216" s="251">
        <f>' طلبيات'!$C216*' طلبيات'!$D216</f>
        <v>420</v>
      </c>
      <c r="H216" s="250"/>
      <c r="I216" s="250"/>
      <c r="J216" s="250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  <c r="W216" s="250"/>
      <c r="X216" s="250"/>
      <c r="Y216" s="250"/>
      <c r="Z216" s="250"/>
    </row>
    <row r="217" ht="14.25" customHeight="1">
      <c r="A217" s="105" t="s">
        <v>412</v>
      </c>
      <c r="B217" s="105" t="s">
        <v>30</v>
      </c>
      <c r="C217" s="251">
        <v>2.0</v>
      </c>
      <c r="D217" s="252">
        <v>325.0</v>
      </c>
      <c r="E217" s="105" t="s">
        <v>31</v>
      </c>
      <c r="F217" s="268">
        <v>45904.0</v>
      </c>
      <c r="G217" s="251">
        <f>' طلبيات'!$C217*' طلبيات'!$D217</f>
        <v>650</v>
      </c>
      <c r="H217" s="250"/>
      <c r="I217" s="250"/>
      <c r="J217" s="250"/>
      <c r="K217" s="250"/>
      <c r="L217" s="250"/>
      <c r="M217" s="250"/>
      <c r="N217" s="250"/>
      <c r="O217" s="250"/>
      <c r="P217" s="250"/>
      <c r="Q217" s="250"/>
      <c r="R217" s="250"/>
      <c r="S217" s="250"/>
      <c r="T217" s="250"/>
      <c r="U217" s="250"/>
      <c r="V217" s="250"/>
      <c r="W217" s="250"/>
      <c r="X217" s="250"/>
      <c r="Y217" s="250"/>
      <c r="Z217" s="250"/>
    </row>
    <row r="218" ht="14.25" customHeight="1">
      <c r="A218" s="105" t="s">
        <v>412</v>
      </c>
      <c r="B218" s="105" t="s">
        <v>30</v>
      </c>
      <c r="C218" s="251">
        <v>9.0</v>
      </c>
      <c r="D218" s="252">
        <v>195.0</v>
      </c>
      <c r="E218" s="105" t="s">
        <v>31</v>
      </c>
      <c r="F218" s="268">
        <v>45904.0</v>
      </c>
      <c r="G218" s="251">
        <f>' طلبيات'!$C218*' طلبيات'!$D218</f>
        <v>1755</v>
      </c>
      <c r="H218" s="250"/>
      <c r="I218" s="250"/>
      <c r="J218" s="250"/>
      <c r="K218" s="250"/>
      <c r="L218" s="250"/>
      <c r="M218" s="250"/>
      <c r="N218" s="250"/>
      <c r="O218" s="250"/>
      <c r="P218" s="250"/>
      <c r="Q218" s="250"/>
      <c r="R218" s="250"/>
      <c r="S218" s="250"/>
      <c r="T218" s="250"/>
      <c r="U218" s="250"/>
      <c r="V218" s="250"/>
      <c r="W218" s="250"/>
      <c r="X218" s="250"/>
      <c r="Y218" s="250"/>
      <c r="Z218" s="250"/>
    </row>
    <row r="219" ht="14.25" customHeight="1">
      <c r="A219" s="105" t="s">
        <v>139</v>
      </c>
      <c r="B219" s="105" t="s">
        <v>30</v>
      </c>
      <c r="C219" s="251">
        <v>2.0</v>
      </c>
      <c r="D219" s="252">
        <v>70.0</v>
      </c>
      <c r="E219" s="105" t="s">
        <v>31</v>
      </c>
      <c r="F219" s="268">
        <v>45904.0</v>
      </c>
      <c r="G219" s="251">
        <f>' طلبيات'!$C219*' طلبيات'!$D219</f>
        <v>140</v>
      </c>
      <c r="H219" s="250"/>
      <c r="I219" s="250"/>
      <c r="J219" s="250"/>
      <c r="K219" s="250"/>
      <c r="L219" s="250"/>
      <c r="M219" s="250"/>
      <c r="N219" s="250"/>
      <c r="O219" s="250"/>
      <c r="P219" s="250"/>
      <c r="Q219" s="250"/>
      <c r="R219" s="250"/>
      <c r="S219" s="250"/>
      <c r="T219" s="250"/>
      <c r="U219" s="250"/>
      <c r="V219" s="250"/>
      <c r="W219" s="250"/>
      <c r="X219" s="250"/>
      <c r="Y219" s="250"/>
      <c r="Z219" s="250"/>
    </row>
    <row r="220" ht="14.25" customHeight="1">
      <c r="A220" s="105" t="s">
        <v>274</v>
      </c>
      <c r="B220" s="105" t="s">
        <v>224</v>
      </c>
      <c r="C220" s="251">
        <v>3.0</v>
      </c>
      <c r="D220" s="252">
        <v>225.0</v>
      </c>
      <c r="E220" s="105" t="s">
        <v>31</v>
      </c>
      <c r="F220" s="268">
        <v>45904.0</v>
      </c>
      <c r="G220" s="251">
        <f>' طلبيات'!$D220*' طلبيات'!$C220</f>
        <v>675</v>
      </c>
      <c r="H220" s="250"/>
      <c r="I220" s="250"/>
      <c r="J220" s="250"/>
      <c r="K220" s="250"/>
      <c r="L220" s="250"/>
      <c r="M220" s="250"/>
      <c r="N220" s="250"/>
      <c r="O220" s="250"/>
      <c r="P220" s="250"/>
      <c r="Q220" s="250"/>
      <c r="R220" s="250"/>
      <c r="S220" s="250"/>
      <c r="T220" s="250"/>
      <c r="U220" s="250"/>
      <c r="V220" s="250"/>
      <c r="W220" s="250"/>
      <c r="X220" s="250"/>
      <c r="Y220" s="250"/>
      <c r="Z220" s="250"/>
    </row>
    <row r="221" ht="14.25" customHeight="1">
      <c r="A221" s="105" t="s">
        <v>102</v>
      </c>
      <c r="B221" s="105" t="s">
        <v>50</v>
      </c>
      <c r="C221" s="251">
        <v>1.0</v>
      </c>
      <c r="D221" s="252">
        <v>575.0</v>
      </c>
      <c r="E221" s="105" t="s">
        <v>31</v>
      </c>
      <c r="F221" s="268">
        <v>45904.0</v>
      </c>
      <c r="G221" s="251">
        <f>' طلبيات'!$C221*' طلبيات'!$D221</f>
        <v>575</v>
      </c>
      <c r="H221" s="250"/>
      <c r="I221" s="250"/>
      <c r="J221" s="250"/>
      <c r="K221" s="250"/>
      <c r="L221" s="250"/>
      <c r="M221" s="250"/>
      <c r="N221" s="250"/>
      <c r="O221" s="250"/>
      <c r="P221" s="250"/>
      <c r="Q221" s="250"/>
      <c r="R221" s="250"/>
      <c r="S221" s="250"/>
      <c r="T221" s="250"/>
      <c r="U221" s="250"/>
      <c r="V221" s="250"/>
      <c r="W221" s="250"/>
      <c r="X221" s="250"/>
      <c r="Y221" s="250"/>
      <c r="Z221" s="250"/>
    </row>
    <row r="222" ht="14.25" customHeight="1">
      <c r="A222" s="105" t="s">
        <v>140</v>
      </c>
      <c r="B222" s="105" t="s">
        <v>50</v>
      </c>
      <c r="C222" s="251">
        <v>1.0</v>
      </c>
      <c r="D222" s="252">
        <v>455.0</v>
      </c>
      <c r="E222" s="105" t="s">
        <v>31</v>
      </c>
      <c r="F222" s="268">
        <v>45904.0</v>
      </c>
      <c r="G222" s="251">
        <f>' طلبيات'!$C222*' طلبيات'!$D222</f>
        <v>455</v>
      </c>
      <c r="H222" s="250"/>
      <c r="I222" s="250"/>
      <c r="J222" s="250"/>
      <c r="K222" s="250"/>
      <c r="L222" s="250"/>
      <c r="M222" s="250"/>
      <c r="N222" s="250"/>
      <c r="O222" s="250"/>
      <c r="P222" s="250"/>
      <c r="Q222" s="250"/>
      <c r="R222" s="250"/>
      <c r="S222" s="250"/>
      <c r="T222" s="250"/>
      <c r="U222" s="250"/>
      <c r="V222" s="250"/>
      <c r="W222" s="250"/>
      <c r="X222" s="250"/>
      <c r="Y222" s="250"/>
      <c r="Z222" s="250"/>
    </row>
    <row r="223" ht="14.25" customHeight="1">
      <c r="A223" s="105" t="s">
        <v>106</v>
      </c>
      <c r="B223" s="105" t="s">
        <v>50</v>
      </c>
      <c r="C223" s="251">
        <v>4.0</v>
      </c>
      <c r="D223" s="252">
        <v>185.0</v>
      </c>
      <c r="E223" s="105" t="s">
        <v>31</v>
      </c>
      <c r="F223" s="268">
        <v>45904.0</v>
      </c>
      <c r="G223" s="251">
        <f>' طلبيات'!$C223*' طلبيات'!$D223</f>
        <v>740</v>
      </c>
      <c r="H223" s="250"/>
      <c r="I223" s="250"/>
      <c r="J223" s="250"/>
      <c r="K223" s="250"/>
      <c r="L223" s="250"/>
      <c r="M223" s="250"/>
      <c r="N223" s="250"/>
      <c r="O223" s="250"/>
      <c r="P223" s="250"/>
      <c r="Q223" s="250"/>
      <c r="R223" s="250"/>
      <c r="S223" s="250"/>
      <c r="T223" s="250"/>
      <c r="U223" s="250"/>
      <c r="V223" s="250"/>
      <c r="W223" s="250"/>
      <c r="X223" s="250"/>
      <c r="Y223" s="250"/>
      <c r="Z223" s="250"/>
    </row>
    <row r="224" ht="14.25" customHeight="1">
      <c r="A224" s="105" t="s">
        <v>194</v>
      </c>
      <c r="B224" s="105" t="s">
        <v>238</v>
      </c>
      <c r="C224" s="251">
        <v>10.0</v>
      </c>
      <c r="D224" s="252">
        <v>155.0</v>
      </c>
      <c r="E224" s="105" t="s">
        <v>31</v>
      </c>
      <c r="F224" s="268">
        <v>45904.0</v>
      </c>
      <c r="G224" s="251">
        <f>' طلبيات'!$C224*' طلبيات'!$D224</f>
        <v>1550</v>
      </c>
      <c r="H224" s="250"/>
      <c r="I224" s="250"/>
      <c r="J224" s="250"/>
      <c r="K224" s="250"/>
      <c r="L224" s="250"/>
      <c r="M224" s="250"/>
      <c r="N224" s="250"/>
      <c r="O224" s="250"/>
      <c r="P224" s="250"/>
      <c r="Q224" s="250"/>
      <c r="R224" s="250"/>
      <c r="S224" s="250"/>
      <c r="T224" s="250"/>
      <c r="U224" s="250"/>
      <c r="V224" s="250"/>
      <c r="W224" s="250"/>
      <c r="X224" s="250"/>
      <c r="Y224" s="250"/>
      <c r="Z224" s="250"/>
    </row>
    <row r="225" ht="14.25" customHeight="1">
      <c r="A225" s="105" t="s">
        <v>306</v>
      </c>
      <c r="B225" s="105" t="s">
        <v>185</v>
      </c>
      <c r="C225" s="251">
        <v>24.0</v>
      </c>
      <c r="D225" s="252">
        <v>12.0</v>
      </c>
      <c r="E225" s="105" t="s">
        <v>31</v>
      </c>
      <c r="F225" s="268">
        <v>45904.0</v>
      </c>
      <c r="G225" s="251">
        <f>' طلبيات'!$C225*' طلبيات'!$D225</f>
        <v>288</v>
      </c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0"/>
      <c r="X225" s="250"/>
      <c r="Y225" s="250"/>
      <c r="Z225" s="250"/>
    </row>
    <row r="226" ht="14.25" customHeight="1">
      <c r="A226" s="251" t="s">
        <v>4366</v>
      </c>
      <c r="B226" s="251">
        <f>SUBTOTAL(109,' طلبيات'!$B$210:$B$225)</f>
        <v>0</v>
      </c>
      <c r="C226" s="251">
        <f>SUBTOTAL(109,' طلبيات'!$C$210:$C$225)</f>
        <v>108</v>
      </c>
      <c r="D226" s="252">
        <f>SUBTOTAL(109,' طلبيات'!$D$210:$D$225)</f>
        <v>3120</v>
      </c>
      <c r="E226" s="251">
        <f>SUBTOTAL(109,' طلبيات'!$E$210:$E$225)</f>
        <v>0</v>
      </c>
      <c r="F226" s="268">
        <f>SUBTOTAL(109,' طلبيات'!$F$210:$F$225)</f>
        <v>734464</v>
      </c>
      <c r="G226" s="251">
        <f>SUM(' طلبيات'!$G$210:$G$225)</f>
        <v>10099</v>
      </c>
      <c r="H226" s="250"/>
      <c r="I226" s="250"/>
      <c r="J226" s="250"/>
      <c r="K226" s="250"/>
      <c r="L226" s="250"/>
      <c r="M226" s="250"/>
      <c r="N226" s="250"/>
      <c r="O226" s="250"/>
      <c r="P226" s="250"/>
      <c r="Q226" s="250"/>
      <c r="R226" s="250"/>
      <c r="S226" s="250"/>
      <c r="T226" s="250"/>
      <c r="U226" s="250"/>
      <c r="V226" s="250"/>
      <c r="W226" s="250"/>
      <c r="X226" s="250"/>
      <c r="Y226" s="250"/>
      <c r="Z226" s="250"/>
    </row>
    <row r="227" ht="14.25" customHeight="1">
      <c r="A227" s="250"/>
      <c r="B227" s="250"/>
      <c r="C227" s="250"/>
      <c r="D227" s="254"/>
      <c r="E227" s="250"/>
      <c r="F227" s="273"/>
      <c r="G227" s="250"/>
      <c r="H227" s="250"/>
      <c r="I227" s="250"/>
      <c r="J227" s="250"/>
      <c r="K227" s="250"/>
      <c r="L227" s="250"/>
      <c r="M227" s="250"/>
      <c r="N227" s="250"/>
      <c r="O227" s="250"/>
      <c r="P227" s="250"/>
      <c r="Q227" s="250"/>
      <c r="R227" s="250"/>
      <c r="S227" s="250"/>
      <c r="T227" s="250"/>
      <c r="U227" s="250"/>
      <c r="V227" s="250"/>
      <c r="W227" s="250"/>
      <c r="X227" s="250"/>
      <c r="Y227" s="250"/>
      <c r="Z227" s="250"/>
    </row>
    <row r="228" ht="14.25" customHeight="1">
      <c r="A228" s="250"/>
      <c r="B228" s="250"/>
      <c r="C228" s="250"/>
      <c r="D228" s="254"/>
      <c r="E228" s="250"/>
      <c r="F228" s="273"/>
      <c r="G228" s="250"/>
      <c r="H228" s="250"/>
      <c r="I228" s="250"/>
      <c r="J228" s="250"/>
      <c r="K228" s="250"/>
      <c r="L228" s="250"/>
      <c r="M228" s="250"/>
      <c r="N228" s="250"/>
      <c r="O228" s="250"/>
      <c r="P228" s="250"/>
      <c r="Q228" s="250"/>
      <c r="R228" s="250"/>
      <c r="S228" s="250"/>
      <c r="T228" s="250"/>
      <c r="U228" s="250"/>
      <c r="V228" s="250"/>
      <c r="W228" s="250"/>
      <c r="X228" s="250"/>
      <c r="Y228" s="250"/>
      <c r="Z228" s="250"/>
    </row>
    <row r="229" ht="14.25" customHeight="1">
      <c r="A229" s="250"/>
      <c r="B229" s="250"/>
      <c r="C229" s="250"/>
      <c r="D229" s="254"/>
      <c r="E229" s="250"/>
      <c r="F229" s="273"/>
      <c r="G229" s="250"/>
      <c r="H229" s="250"/>
      <c r="I229" s="250"/>
      <c r="J229" s="250"/>
      <c r="K229" s="250"/>
      <c r="L229" s="250"/>
      <c r="M229" s="250"/>
      <c r="N229" s="250"/>
      <c r="O229" s="250"/>
      <c r="P229" s="250"/>
      <c r="Q229" s="250"/>
      <c r="R229" s="250"/>
      <c r="S229" s="250"/>
      <c r="T229" s="250"/>
      <c r="U229" s="250"/>
      <c r="V229" s="250"/>
      <c r="W229" s="250"/>
      <c r="X229" s="250"/>
      <c r="Y229" s="250"/>
      <c r="Z229" s="250"/>
    </row>
    <row r="230" ht="14.25" customHeight="1">
      <c r="A230" s="250"/>
      <c r="B230" s="250"/>
      <c r="C230" s="250"/>
      <c r="D230" s="254"/>
      <c r="E230" s="250"/>
      <c r="F230" s="273"/>
      <c r="G230" s="250"/>
      <c r="H230" s="250"/>
      <c r="I230" s="250"/>
      <c r="J230" s="250"/>
      <c r="K230" s="250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  <c r="W230" s="250"/>
      <c r="X230" s="250"/>
      <c r="Y230" s="250"/>
      <c r="Z230" s="250"/>
    </row>
    <row r="231" ht="14.25" customHeight="1">
      <c r="A231" s="105" t="s">
        <v>565</v>
      </c>
      <c r="B231" s="105" t="s">
        <v>138</v>
      </c>
      <c r="C231" s="251">
        <v>40.0</v>
      </c>
      <c r="D231" s="274">
        <v>5.0</v>
      </c>
      <c r="E231" s="251">
        <f t="shared" ref="E231:E232" si="1">D231*C231</f>
        <v>200</v>
      </c>
      <c r="F231" s="268">
        <v>45856.0</v>
      </c>
      <c r="G231" s="105" t="s">
        <v>242</v>
      </c>
      <c r="H231" s="275" t="s">
        <v>138</v>
      </c>
      <c r="I231" s="251">
        <v>325.0</v>
      </c>
      <c r="J231" s="251">
        <v>1.0</v>
      </c>
      <c r="K231" s="251">
        <v>325.0</v>
      </c>
      <c r="L231" s="276">
        <v>45856.0</v>
      </c>
      <c r="M231" s="105" t="s">
        <v>751</v>
      </c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</row>
    <row r="232" ht="14.25" customHeight="1">
      <c r="A232" s="105" t="s">
        <v>570</v>
      </c>
      <c r="B232" s="105" t="s">
        <v>138</v>
      </c>
      <c r="C232" s="251">
        <v>50.0</v>
      </c>
      <c r="D232" s="274">
        <v>4.0</v>
      </c>
      <c r="E232" s="251">
        <f t="shared" si="1"/>
        <v>200</v>
      </c>
      <c r="F232" s="268">
        <v>45856.0</v>
      </c>
      <c r="G232" s="105" t="s">
        <v>272</v>
      </c>
      <c r="H232" s="275" t="s">
        <v>138</v>
      </c>
      <c r="I232" s="251">
        <v>300.0</v>
      </c>
      <c r="J232" s="251">
        <v>2.0</v>
      </c>
      <c r="K232" s="251">
        <v>600.0</v>
      </c>
      <c r="L232" s="268">
        <v>45856.0</v>
      </c>
      <c r="M232" s="105" t="s">
        <v>751</v>
      </c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</row>
    <row r="233" ht="14.25" customHeight="1">
      <c r="A233" s="250"/>
      <c r="B233" s="105"/>
      <c r="C233" s="251"/>
      <c r="D233" s="274"/>
      <c r="E233" s="251"/>
      <c r="F233" s="251"/>
      <c r="G233" s="105" t="s">
        <v>565</v>
      </c>
      <c r="H233" s="105" t="s">
        <v>138</v>
      </c>
      <c r="I233" s="251">
        <v>40.0</v>
      </c>
      <c r="J233" s="277">
        <v>1.0</v>
      </c>
      <c r="K233" s="251">
        <f t="shared" ref="K233:K236" si="2">J233*I233</f>
        <v>40</v>
      </c>
      <c r="L233" s="268">
        <v>45856.0</v>
      </c>
      <c r="M233" s="251"/>
      <c r="N233" s="251"/>
      <c r="O233" s="105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</row>
    <row r="234" ht="14.25" customHeight="1">
      <c r="A234" s="250"/>
      <c r="B234" s="105"/>
      <c r="C234" s="251"/>
      <c r="D234" s="274"/>
      <c r="E234" s="251"/>
      <c r="F234" s="251"/>
      <c r="G234" s="105" t="s">
        <v>570</v>
      </c>
      <c r="H234" s="105" t="s">
        <v>138</v>
      </c>
      <c r="I234" s="251">
        <v>50.0</v>
      </c>
      <c r="J234" s="277">
        <v>1.0</v>
      </c>
      <c r="K234" s="251">
        <f t="shared" si="2"/>
        <v>50</v>
      </c>
      <c r="L234" s="268">
        <v>45856.0</v>
      </c>
      <c r="M234" s="251"/>
      <c r="N234" s="251"/>
      <c r="O234" s="105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</row>
    <row r="235" ht="14.25" customHeight="1">
      <c r="A235" s="250"/>
      <c r="B235" s="105"/>
      <c r="C235" s="251"/>
      <c r="D235" s="274"/>
      <c r="E235" s="251"/>
      <c r="F235" s="251"/>
      <c r="G235" s="257" t="s">
        <v>122</v>
      </c>
      <c r="H235" s="257" t="s">
        <v>138</v>
      </c>
      <c r="I235" s="258">
        <v>300.0</v>
      </c>
      <c r="J235" s="258">
        <v>2.0</v>
      </c>
      <c r="K235" s="251">
        <f t="shared" si="2"/>
        <v>600</v>
      </c>
      <c r="L235" s="260">
        <v>45832.0</v>
      </c>
      <c r="M235" s="251"/>
      <c r="N235" s="251"/>
      <c r="O235" s="105"/>
      <c r="P235" s="250"/>
      <c r="Q235" s="250"/>
      <c r="R235" s="250"/>
      <c r="S235" s="250"/>
      <c r="T235" s="250"/>
      <c r="U235" s="250"/>
      <c r="V235" s="250"/>
      <c r="W235" s="250"/>
      <c r="X235" s="250"/>
      <c r="Y235" s="250"/>
      <c r="Z235" s="250"/>
    </row>
    <row r="236" ht="14.25" customHeight="1">
      <c r="A236" s="250"/>
      <c r="B236" s="105"/>
      <c r="C236" s="251"/>
      <c r="D236" s="274"/>
      <c r="E236" s="251"/>
      <c r="F236" s="251"/>
      <c r="G236" s="261" t="s">
        <v>70</v>
      </c>
      <c r="H236" s="261" t="s">
        <v>138</v>
      </c>
      <c r="I236" s="262">
        <v>75.0</v>
      </c>
      <c r="J236" s="262">
        <v>4.0</v>
      </c>
      <c r="K236" s="251">
        <f t="shared" si="2"/>
        <v>300</v>
      </c>
      <c r="L236" s="260">
        <v>45832.0</v>
      </c>
      <c r="M236" s="251"/>
      <c r="N236" s="251"/>
      <c r="O236" s="105"/>
      <c r="P236" s="250"/>
      <c r="Q236" s="250"/>
      <c r="R236" s="250"/>
      <c r="S236" s="250"/>
      <c r="T236" s="250"/>
      <c r="U236" s="250"/>
      <c r="V236" s="250"/>
      <c r="W236" s="250"/>
      <c r="X236" s="250"/>
      <c r="Y236" s="250"/>
      <c r="Z236" s="250"/>
    </row>
    <row r="237" ht="14.25" customHeight="1">
      <c r="A237" s="250"/>
      <c r="B237" s="250"/>
      <c r="C237" s="250"/>
      <c r="D237" s="254"/>
      <c r="E237" s="250"/>
      <c r="F237" s="250"/>
      <c r="G237" s="250"/>
      <c r="H237" s="250"/>
      <c r="I237" s="250"/>
      <c r="J237" s="250"/>
      <c r="K237" s="250"/>
      <c r="L237" s="250"/>
      <c r="M237" s="250"/>
      <c r="N237" s="250"/>
      <c r="O237" s="250"/>
      <c r="P237" s="250"/>
      <c r="Q237" s="250"/>
      <c r="R237" s="250"/>
      <c r="S237" s="250"/>
      <c r="T237" s="250"/>
      <c r="U237" s="250"/>
      <c r="V237" s="250"/>
      <c r="W237" s="250"/>
      <c r="X237" s="250"/>
      <c r="Y237" s="250"/>
      <c r="Z237" s="250"/>
    </row>
    <row r="238" ht="14.25" customHeight="1">
      <c r="A238" s="250"/>
      <c r="B238" s="250"/>
      <c r="C238" s="250"/>
      <c r="D238" s="278" t="s">
        <v>4485</v>
      </c>
      <c r="E238" s="265">
        <f>sum(E231:E236)</f>
        <v>400</v>
      </c>
      <c r="F238" s="250"/>
      <c r="G238" s="250"/>
      <c r="H238" s="250"/>
      <c r="I238" s="250"/>
      <c r="J238" s="279" t="s">
        <v>4486</v>
      </c>
      <c r="K238" s="250">
        <f>sum(K231:K236)</f>
        <v>1915</v>
      </c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  <c r="W238" s="250"/>
      <c r="X238" s="250"/>
      <c r="Y238" s="250"/>
      <c r="Z238" s="250"/>
    </row>
    <row r="239" ht="14.25" customHeight="1">
      <c r="A239" s="250"/>
      <c r="B239" s="250"/>
      <c r="C239" s="250"/>
      <c r="D239" s="254"/>
      <c r="E239" s="250"/>
      <c r="F239" s="250"/>
      <c r="G239" s="250"/>
      <c r="H239" s="250"/>
      <c r="I239" s="250"/>
      <c r="J239" s="250"/>
      <c r="K239" s="250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  <c r="W239" s="250"/>
      <c r="X239" s="250"/>
      <c r="Y239" s="250"/>
      <c r="Z239" s="250"/>
    </row>
    <row r="240" ht="14.25" customHeight="1">
      <c r="A240" s="250"/>
      <c r="B240" s="250"/>
      <c r="C240" s="250"/>
      <c r="D240" s="254"/>
      <c r="E240" s="250"/>
      <c r="F240" s="250"/>
      <c r="G240" s="250"/>
      <c r="H240" s="250"/>
      <c r="I240" s="250"/>
      <c r="J240" s="250"/>
      <c r="K240" s="250"/>
      <c r="L240" s="250"/>
      <c r="M240" s="250"/>
      <c r="N240" s="250"/>
      <c r="O240" s="250"/>
      <c r="P240" s="250"/>
      <c r="Q240" s="250"/>
      <c r="R240" s="250"/>
      <c r="S240" s="250"/>
      <c r="T240" s="250"/>
      <c r="U240" s="250"/>
      <c r="V240" s="250"/>
      <c r="W240" s="250"/>
      <c r="X240" s="250"/>
      <c r="Y240" s="250"/>
      <c r="Z240" s="250"/>
    </row>
    <row r="241" ht="14.25" customHeight="1">
      <c r="A241" s="280" t="s">
        <v>4369</v>
      </c>
      <c r="B241" s="280" t="s">
        <v>4350</v>
      </c>
      <c r="C241" s="280" t="s">
        <v>4352</v>
      </c>
      <c r="D241" s="281" t="s">
        <v>4370</v>
      </c>
      <c r="E241" s="280" t="s">
        <v>4433</v>
      </c>
      <c r="F241" s="280" t="s">
        <v>4372</v>
      </c>
      <c r="G241" s="280" t="s">
        <v>4353</v>
      </c>
      <c r="H241" s="250"/>
      <c r="I241" s="250"/>
      <c r="J241" s="250"/>
      <c r="K241" s="250"/>
      <c r="L241" s="250"/>
      <c r="M241" s="250"/>
      <c r="N241" s="250"/>
      <c r="O241" s="250"/>
      <c r="P241" s="250"/>
      <c r="Q241" s="250"/>
      <c r="R241" s="250"/>
      <c r="S241" s="250"/>
      <c r="T241" s="250"/>
      <c r="U241" s="250"/>
      <c r="V241" s="250"/>
      <c r="W241" s="250"/>
      <c r="X241" s="250"/>
      <c r="Y241" s="250"/>
      <c r="Z241" s="250"/>
    </row>
    <row r="242" ht="14.25" customHeight="1">
      <c r="A242" s="70" t="s">
        <v>174</v>
      </c>
      <c r="B242" s="70" t="s">
        <v>238</v>
      </c>
      <c r="C242" s="93">
        <v>3.0</v>
      </c>
      <c r="D242" s="94">
        <v>85.0</v>
      </c>
      <c r="E242" s="70" t="s">
        <v>31</v>
      </c>
      <c r="F242" s="282">
        <v>45929.0</v>
      </c>
      <c r="G242" s="77">
        <f>' طلبيات'!$C242*' طلبيات'!$D242</f>
        <v>255</v>
      </c>
      <c r="H242" s="250"/>
      <c r="I242" s="250"/>
      <c r="J242" s="250"/>
      <c r="K242" s="250"/>
      <c r="L242" s="250"/>
      <c r="M242" s="250"/>
      <c r="N242" s="250"/>
      <c r="O242" s="250"/>
      <c r="P242" s="250"/>
      <c r="Q242" s="250"/>
      <c r="R242" s="250"/>
      <c r="S242" s="250"/>
      <c r="T242" s="250"/>
      <c r="U242" s="250"/>
      <c r="V242" s="250"/>
      <c r="W242" s="250"/>
      <c r="X242" s="250"/>
      <c r="Y242" s="250"/>
      <c r="Z242" s="250"/>
    </row>
    <row r="243" ht="14.25" customHeight="1">
      <c r="A243" s="70" t="s">
        <v>165</v>
      </c>
      <c r="B243" s="70" t="s">
        <v>238</v>
      </c>
      <c r="C243" s="93">
        <v>6.0</v>
      </c>
      <c r="D243" s="94">
        <v>85.0</v>
      </c>
      <c r="E243" s="70" t="s">
        <v>31</v>
      </c>
      <c r="F243" s="282">
        <v>45929.0</v>
      </c>
      <c r="G243" s="77">
        <f>' طلبيات'!$C243*' طلبيات'!$D243</f>
        <v>510</v>
      </c>
      <c r="H243" s="250"/>
      <c r="I243" s="250"/>
      <c r="J243" s="250"/>
      <c r="K243" s="250"/>
      <c r="L243" s="250"/>
      <c r="M243" s="250"/>
      <c r="N243" s="250"/>
      <c r="O243" s="250"/>
      <c r="P243" s="250"/>
      <c r="Q243" s="250"/>
      <c r="R243" s="250"/>
      <c r="S243" s="250"/>
      <c r="T243" s="250"/>
      <c r="U243" s="250"/>
      <c r="V243" s="250"/>
      <c r="W243" s="250"/>
      <c r="X243" s="250"/>
      <c r="Y243" s="250"/>
      <c r="Z243" s="250"/>
    </row>
    <row r="244" ht="14.25" customHeight="1">
      <c r="A244" s="70" t="s">
        <v>478</v>
      </c>
      <c r="B244" s="70" t="s">
        <v>327</v>
      </c>
      <c r="C244" s="93">
        <v>12.0</v>
      </c>
      <c r="D244" s="94">
        <v>90.0</v>
      </c>
      <c r="E244" s="70" t="s">
        <v>31</v>
      </c>
      <c r="F244" s="282">
        <v>45929.0</v>
      </c>
      <c r="G244" s="77">
        <f>' طلبيات'!$C244*' طلبيات'!$D244</f>
        <v>1080</v>
      </c>
      <c r="H244" s="250"/>
      <c r="I244" s="250"/>
      <c r="J244" s="250"/>
      <c r="K244" s="250"/>
      <c r="L244" s="250"/>
      <c r="M244" s="250"/>
      <c r="N244" s="250"/>
      <c r="O244" s="250"/>
      <c r="P244" s="250"/>
      <c r="Q244" s="250"/>
      <c r="R244" s="250"/>
      <c r="S244" s="250"/>
      <c r="T244" s="250"/>
      <c r="U244" s="250"/>
      <c r="V244" s="250"/>
      <c r="W244" s="250"/>
      <c r="X244" s="250"/>
      <c r="Y244" s="250"/>
      <c r="Z244" s="250"/>
    </row>
    <row r="245" ht="14.25" customHeight="1">
      <c r="A245" s="70" t="s">
        <v>613</v>
      </c>
      <c r="B245" s="70" t="s">
        <v>327</v>
      </c>
      <c r="C245" s="93">
        <v>2.0</v>
      </c>
      <c r="D245" s="94">
        <v>170.0</v>
      </c>
      <c r="E245" s="70" t="s">
        <v>31</v>
      </c>
      <c r="F245" s="282">
        <v>45929.0</v>
      </c>
      <c r="G245" s="77">
        <f>' طلبيات'!$C245*' طلبيات'!$D245</f>
        <v>340</v>
      </c>
      <c r="H245" s="250"/>
      <c r="I245" s="250"/>
      <c r="J245" s="250"/>
      <c r="K245" s="250"/>
      <c r="L245" s="250"/>
      <c r="M245" s="250"/>
      <c r="N245" s="250"/>
      <c r="O245" s="250"/>
      <c r="P245" s="250"/>
      <c r="Q245" s="250"/>
      <c r="R245" s="250"/>
      <c r="S245" s="250"/>
      <c r="T245" s="250"/>
      <c r="U245" s="250"/>
      <c r="V245" s="250"/>
      <c r="W245" s="250"/>
      <c r="X245" s="250"/>
      <c r="Y245" s="250"/>
      <c r="Z245" s="250"/>
    </row>
    <row r="246" ht="14.25" customHeight="1">
      <c r="A246" s="70" t="s">
        <v>677</v>
      </c>
      <c r="B246" s="70" t="s">
        <v>238</v>
      </c>
      <c r="C246" s="93">
        <v>2.0</v>
      </c>
      <c r="D246" s="112">
        <f>85+75</f>
        <v>160</v>
      </c>
      <c r="E246" s="70" t="s">
        <v>31</v>
      </c>
      <c r="F246" s="282">
        <v>45929.0</v>
      </c>
      <c r="G246" s="77">
        <f>' طلبيات'!$C246*' طلبيات'!$D246</f>
        <v>320</v>
      </c>
      <c r="H246" s="250"/>
      <c r="I246" s="250"/>
      <c r="J246" s="250"/>
      <c r="K246" s="250"/>
      <c r="L246" s="250"/>
      <c r="M246" s="250"/>
      <c r="N246" s="250"/>
      <c r="O246" s="250"/>
      <c r="P246" s="250"/>
      <c r="Q246" s="250"/>
      <c r="R246" s="250"/>
      <c r="S246" s="250"/>
      <c r="T246" s="250"/>
      <c r="U246" s="250"/>
      <c r="V246" s="250"/>
      <c r="W246" s="250"/>
      <c r="X246" s="250"/>
      <c r="Y246" s="250"/>
      <c r="Z246" s="250"/>
    </row>
    <row r="247" ht="14.25" customHeight="1">
      <c r="A247" s="70" t="s">
        <v>94</v>
      </c>
      <c r="B247" s="70" t="s">
        <v>50</v>
      </c>
      <c r="C247" s="93">
        <v>1.0</v>
      </c>
      <c r="D247" s="94">
        <v>575.0</v>
      </c>
      <c r="E247" s="70" t="s">
        <v>31</v>
      </c>
      <c r="F247" s="282">
        <v>45929.0</v>
      </c>
      <c r="G247" s="77">
        <f>' طلبيات'!$C247*' طلبيات'!$D247</f>
        <v>575</v>
      </c>
      <c r="H247" s="250"/>
      <c r="I247" s="250"/>
      <c r="J247" s="250"/>
      <c r="K247" s="250"/>
      <c r="L247" s="250"/>
      <c r="M247" s="250"/>
      <c r="N247" s="250"/>
      <c r="O247" s="250"/>
      <c r="P247" s="250"/>
      <c r="Q247" s="250"/>
      <c r="R247" s="250"/>
      <c r="S247" s="250"/>
      <c r="T247" s="250"/>
      <c r="U247" s="250"/>
      <c r="V247" s="250"/>
      <c r="W247" s="250"/>
      <c r="X247" s="250"/>
      <c r="Y247" s="250"/>
      <c r="Z247" s="250"/>
    </row>
    <row r="248" ht="14.25" customHeight="1">
      <c r="A248" s="70" t="s">
        <v>98</v>
      </c>
      <c r="B248" s="70" t="s">
        <v>50</v>
      </c>
      <c r="C248" s="93">
        <v>1.0</v>
      </c>
      <c r="D248" s="94">
        <v>575.0</v>
      </c>
      <c r="E248" s="70" t="s">
        <v>31</v>
      </c>
      <c r="F248" s="282">
        <v>45929.0</v>
      </c>
      <c r="G248" s="77">
        <f>' طلبيات'!$C248*' طلبيات'!$D248</f>
        <v>575</v>
      </c>
      <c r="H248" s="250"/>
      <c r="I248" s="250"/>
      <c r="J248" s="250"/>
      <c r="K248" s="250"/>
      <c r="L248" s="250"/>
      <c r="M248" s="250"/>
      <c r="N248" s="250"/>
      <c r="O248" s="250"/>
      <c r="P248" s="250"/>
      <c r="Q248" s="250"/>
      <c r="R248" s="250"/>
      <c r="S248" s="250"/>
      <c r="T248" s="250"/>
      <c r="U248" s="250"/>
      <c r="V248" s="250"/>
      <c r="W248" s="250"/>
      <c r="X248" s="250"/>
      <c r="Y248" s="250"/>
      <c r="Z248" s="250"/>
    </row>
    <row r="249" ht="14.25" customHeight="1">
      <c r="A249" s="70" t="s">
        <v>175</v>
      </c>
      <c r="B249" s="70" t="s">
        <v>50</v>
      </c>
      <c r="C249" s="93">
        <v>1.0</v>
      </c>
      <c r="D249" s="94">
        <v>375.0</v>
      </c>
      <c r="E249" s="70" t="s">
        <v>31</v>
      </c>
      <c r="F249" s="282">
        <v>45929.0</v>
      </c>
      <c r="G249" s="77">
        <f>' طلبيات'!$C249*' طلبيات'!$D249</f>
        <v>375</v>
      </c>
      <c r="H249" s="250"/>
      <c r="I249" s="250"/>
      <c r="J249" s="250"/>
      <c r="K249" s="250"/>
      <c r="L249" s="250"/>
      <c r="M249" s="250"/>
      <c r="N249" s="250"/>
      <c r="O249" s="250"/>
      <c r="P249" s="250"/>
      <c r="Q249" s="250"/>
      <c r="R249" s="250"/>
      <c r="S249" s="250"/>
      <c r="T249" s="250"/>
      <c r="U249" s="250"/>
      <c r="V249" s="250"/>
      <c r="W249" s="250"/>
      <c r="X249" s="250"/>
      <c r="Y249" s="250"/>
      <c r="Z249" s="250"/>
    </row>
    <row r="250" ht="14.25" customHeight="1">
      <c r="A250" s="70" t="s">
        <v>449</v>
      </c>
      <c r="B250" s="70" t="s">
        <v>169</v>
      </c>
      <c r="C250" s="93">
        <v>2.0</v>
      </c>
      <c r="D250" s="94">
        <v>135.0</v>
      </c>
      <c r="E250" s="70" t="s">
        <v>31</v>
      </c>
      <c r="F250" s="282">
        <v>45929.0</v>
      </c>
      <c r="G250" s="77">
        <f>' طلبيات'!$C250*' طلبيات'!$D250</f>
        <v>270</v>
      </c>
      <c r="H250" s="250"/>
      <c r="I250" s="250"/>
      <c r="J250" s="250"/>
      <c r="K250" s="250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  <c r="W250" s="250"/>
      <c r="X250" s="250"/>
      <c r="Y250" s="250"/>
      <c r="Z250" s="250"/>
    </row>
    <row r="251" ht="14.25" customHeight="1">
      <c r="A251" s="70" t="s">
        <v>392</v>
      </c>
      <c r="B251" s="70" t="s">
        <v>50</v>
      </c>
      <c r="C251" s="93">
        <v>20.0</v>
      </c>
      <c r="D251" s="94">
        <v>65.0</v>
      </c>
      <c r="E251" s="70" t="s">
        <v>31</v>
      </c>
      <c r="F251" s="282">
        <v>45929.0</v>
      </c>
      <c r="G251" s="77">
        <f>' طلبيات'!$C251*' طلبيات'!$D251</f>
        <v>1300</v>
      </c>
      <c r="H251" s="250"/>
      <c r="I251" s="250"/>
      <c r="J251" s="250"/>
      <c r="K251" s="250"/>
      <c r="L251" s="265" t="s">
        <v>4469</v>
      </c>
      <c r="M251" s="250"/>
      <c r="N251" s="250"/>
      <c r="O251" s="250"/>
      <c r="P251" s="250"/>
      <c r="Q251" s="250"/>
      <c r="R251" s="250"/>
      <c r="S251" s="250"/>
      <c r="T251" s="250"/>
      <c r="U251" s="250"/>
      <c r="V251" s="250"/>
      <c r="W251" s="250"/>
      <c r="X251" s="250"/>
      <c r="Y251" s="250"/>
      <c r="Z251" s="250"/>
    </row>
    <row r="252" ht="14.25" customHeight="1">
      <c r="A252" s="70" t="s">
        <v>703</v>
      </c>
      <c r="B252" s="70" t="s">
        <v>110</v>
      </c>
      <c r="C252" s="93">
        <v>1.0</v>
      </c>
      <c r="D252" s="94">
        <v>525.0</v>
      </c>
      <c r="E252" s="70" t="s">
        <v>31</v>
      </c>
      <c r="F252" s="282">
        <v>45929.0</v>
      </c>
      <c r="G252" s="77">
        <f>' طلبيات'!$D252*' طلبيات'!$C252</f>
        <v>525</v>
      </c>
      <c r="H252" s="250"/>
      <c r="I252" s="250"/>
      <c r="J252" s="250"/>
      <c r="K252" s="250"/>
      <c r="L252" s="250"/>
      <c r="M252" s="250"/>
      <c r="N252" s="250"/>
      <c r="O252" s="250"/>
      <c r="P252" s="250"/>
      <c r="Q252" s="250"/>
      <c r="R252" s="250"/>
      <c r="S252" s="250"/>
      <c r="T252" s="250"/>
      <c r="U252" s="250"/>
      <c r="V252" s="250"/>
      <c r="W252" s="250"/>
      <c r="X252" s="250"/>
      <c r="Y252" s="250"/>
      <c r="Z252" s="250"/>
    </row>
    <row r="253" ht="14.25" customHeight="1">
      <c r="A253" s="70" t="s">
        <v>101</v>
      </c>
      <c r="B253" s="70" t="s">
        <v>110</v>
      </c>
      <c r="C253" s="93">
        <v>2.0</v>
      </c>
      <c r="D253" s="94">
        <v>135.0</v>
      </c>
      <c r="E253" s="70" t="s">
        <v>31</v>
      </c>
      <c r="F253" s="282">
        <v>45929.0</v>
      </c>
      <c r="G253" s="77">
        <f>' طلبيات'!$C253*' طلبيات'!$D253</f>
        <v>270</v>
      </c>
      <c r="H253" s="250"/>
      <c r="I253" s="250"/>
      <c r="J253" s="250"/>
      <c r="K253" s="250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  <c r="W253" s="250"/>
      <c r="X253" s="250"/>
      <c r="Y253" s="250"/>
      <c r="Z253" s="250"/>
    </row>
    <row r="254" ht="14.25" customHeight="1">
      <c r="A254" s="70" t="s">
        <v>326</v>
      </c>
      <c r="B254" s="70" t="s">
        <v>327</v>
      </c>
      <c r="C254" s="93">
        <v>1.0</v>
      </c>
      <c r="D254" s="94">
        <v>275.0</v>
      </c>
      <c r="E254" s="70" t="s">
        <v>31</v>
      </c>
      <c r="F254" s="282">
        <v>45929.0</v>
      </c>
      <c r="G254" s="77">
        <f>' طلبيات'!$C254*' طلبيات'!$D254</f>
        <v>275</v>
      </c>
      <c r="H254" s="250"/>
      <c r="I254" s="250"/>
      <c r="J254" s="250"/>
      <c r="K254" s="250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  <c r="W254" s="250"/>
      <c r="X254" s="250"/>
      <c r="Y254" s="250"/>
      <c r="Z254" s="250"/>
    </row>
    <row r="255" ht="14.25" customHeight="1">
      <c r="A255" s="70" t="s">
        <v>404</v>
      </c>
      <c r="B255" s="70" t="s">
        <v>238</v>
      </c>
      <c r="C255" s="93">
        <v>5.0</v>
      </c>
      <c r="D255" s="94">
        <v>75.0</v>
      </c>
      <c r="E255" s="70" t="s">
        <v>31</v>
      </c>
      <c r="F255" s="282">
        <v>45929.0</v>
      </c>
      <c r="G255" s="77">
        <f>' طلبيات'!$C255*' طلبيات'!$D255</f>
        <v>375</v>
      </c>
      <c r="H255" s="250"/>
      <c r="I255" s="250"/>
      <c r="J255" s="250"/>
      <c r="K255" s="250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  <c r="W255" s="250"/>
      <c r="X255" s="250"/>
      <c r="Y255" s="250"/>
      <c r="Z255" s="250"/>
    </row>
    <row r="256" ht="14.25" customHeight="1">
      <c r="A256" s="70" t="s">
        <v>562</v>
      </c>
      <c r="B256" s="70" t="s">
        <v>238</v>
      </c>
      <c r="C256" s="93">
        <v>2.0</v>
      </c>
      <c r="D256" s="94">
        <v>175.0</v>
      </c>
      <c r="E256" s="70" t="s">
        <v>31</v>
      </c>
      <c r="F256" s="282">
        <v>45929.0</v>
      </c>
      <c r="G256" s="77">
        <f>' طلبيات'!$C256*' طلبيات'!$D256</f>
        <v>350</v>
      </c>
      <c r="H256" s="250"/>
      <c r="I256" s="250"/>
      <c r="J256" s="250"/>
      <c r="K256" s="250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  <c r="W256" s="250"/>
      <c r="X256" s="250"/>
      <c r="Y256" s="250"/>
      <c r="Z256" s="250"/>
    </row>
    <row r="257" ht="14.25" customHeight="1">
      <c r="A257" s="70" t="s">
        <v>186</v>
      </c>
      <c r="B257" s="70" t="s">
        <v>50</v>
      </c>
      <c r="C257" s="93">
        <v>2.0</v>
      </c>
      <c r="D257" s="94">
        <v>75.0</v>
      </c>
      <c r="E257" s="70" t="s">
        <v>31</v>
      </c>
      <c r="F257" s="282">
        <v>45929.0</v>
      </c>
      <c r="G257" s="77">
        <f>' طلبيات'!$C257*' طلبيات'!$D257</f>
        <v>150</v>
      </c>
      <c r="H257" s="250"/>
      <c r="I257" s="250"/>
      <c r="J257" s="250"/>
      <c r="K257" s="250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  <c r="W257" s="250"/>
      <c r="X257" s="250"/>
      <c r="Y257" s="250"/>
      <c r="Z257" s="250"/>
    </row>
    <row r="258" ht="14.25" customHeight="1">
      <c r="A258" s="84" t="s">
        <v>416</v>
      </c>
      <c r="B258" s="70" t="s">
        <v>185</v>
      </c>
      <c r="C258" s="93">
        <v>14.0</v>
      </c>
      <c r="D258" s="94">
        <v>30.0</v>
      </c>
      <c r="E258" s="70" t="s">
        <v>31</v>
      </c>
      <c r="F258" s="282">
        <v>45929.0</v>
      </c>
      <c r="G258" s="77">
        <f>' طلبيات'!$C258*' طلبيات'!$D258</f>
        <v>420</v>
      </c>
      <c r="H258" s="250"/>
      <c r="I258" s="250"/>
      <c r="J258" s="250"/>
      <c r="K258" s="250"/>
      <c r="L258" s="250"/>
      <c r="M258" s="250"/>
      <c r="N258" s="250"/>
      <c r="O258" s="250"/>
      <c r="P258" s="250"/>
      <c r="Q258" s="250"/>
      <c r="R258" s="250"/>
      <c r="S258" s="250"/>
      <c r="T258" s="250"/>
      <c r="U258" s="250"/>
      <c r="V258" s="250"/>
      <c r="W258" s="250"/>
      <c r="X258" s="250"/>
      <c r="Y258" s="250"/>
      <c r="Z258" s="250"/>
    </row>
    <row r="259" ht="14.25" customHeight="1">
      <c r="A259" s="84" t="s">
        <v>409</v>
      </c>
      <c r="B259" s="70" t="s">
        <v>185</v>
      </c>
      <c r="C259" s="93">
        <v>11.0</v>
      </c>
      <c r="D259" s="94">
        <v>95.0</v>
      </c>
      <c r="E259" s="70" t="s">
        <v>31</v>
      </c>
      <c r="F259" s="282">
        <v>45929.0</v>
      </c>
      <c r="G259" s="77">
        <f>' طلبيات'!$C259*' طلبيات'!$D259</f>
        <v>1045</v>
      </c>
      <c r="H259" s="250"/>
      <c r="I259" s="250"/>
      <c r="J259" s="250"/>
      <c r="K259" s="250"/>
      <c r="L259" s="250"/>
      <c r="M259" s="250"/>
      <c r="N259" s="250"/>
      <c r="O259" s="250"/>
      <c r="P259" s="250"/>
      <c r="Q259" s="250"/>
      <c r="R259" s="250"/>
      <c r="S259" s="250"/>
      <c r="T259" s="250"/>
      <c r="U259" s="250"/>
      <c r="V259" s="250"/>
      <c r="W259" s="250"/>
      <c r="X259" s="250"/>
      <c r="Y259" s="250"/>
      <c r="Z259" s="250"/>
    </row>
    <row r="260" ht="14.25" customHeight="1">
      <c r="A260" s="84" t="s">
        <v>379</v>
      </c>
      <c r="B260" s="70" t="s">
        <v>185</v>
      </c>
      <c r="C260" s="93">
        <v>2.0</v>
      </c>
      <c r="D260" s="94">
        <v>155.0</v>
      </c>
      <c r="E260" s="70" t="s">
        <v>31</v>
      </c>
      <c r="F260" s="282">
        <v>45929.0</v>
      </c>
      <c r="G260" s="77">
        <f>' طلبيات'!$C260*' طلبيات'!$D260</f>
        <v>310</v>
      </c>
      <c r="H260" s="250"/>
      <c r="I260" s="250"/>
      <c r="J260" s="250"/>
      <c r="K260" s="250"/>
      <c r="L260" s="250"/>
      <c r="M260" s="250"/>
      <c r="N260" s="250"/>
      <c r="O260" s="250"/>
      <c r="P260" s="250"/>
      <c r="Q260" s="250"/>
      <c r="R260" s="250"/>
      <c r="S260" s="250"/>
      <c r="T260" s="250"/>
      <c r="U260" s="250"/>
      <c r="V260" s="250"/>
      <c r="W260" s="250"/>
      <c r="X260" s="250"/>
      <c r="Y260" s="250"/>
      <c r="Z260" s="250"/>
    </row>
    <row r="261" ht="14.25" customHeight="1">
      <c r="A261" s="84" t="s">
        <v>726</v>
      </c>
      <c r="B261" s="70" t="s">
        <v>185</v>
      </c>
      <c r="C261" s="93">
        <v>12.0</v>
      </c>
      <c r="D261" s="94">
        <v>30.0</v>
      </c>
      <c r="E261" s="70" t="s">
        <v>31</v>
      </c>
      <c r="F261" s="282">
        <v>45929.0</v>
      </c>
      <c r="G261" s="77">
        <f>' طلبيات'!$C261*' طلبيات'!$D261</f>
        <v>360</v>
      </c>
      <c r="I261" s="250"/>
      <c r="J261" s="250"/>
      <c r="K261" s="250"/>
      <c r="L261" s="250"/>
      <c r="M261" s="250"/>
      <c r="N261" s="250"/>
      <c r="O261" s="250"/>
      <c r="P261" s="250"/>
      <c r="Q261" s="250"/>
      <c r="R261" s="250"/>
      <c r="S261" s="250"/>
      <c r="T261" s="250"/>
      <c r="U261" s="250"/>
      <c r="V261" s="250"/>
      <c r="W261" s="250"/>
      <c r="X261" s="250"/>
      <c r="Y261" s="250"/>
      <c r="Z261" s="250"/>
    </row>
    <row r="262" ht="14.25" customHeight="1">
      <c r="A262" s="84" t="s">
        <v>728</v>
      </c>
      <c r="B262" s="70" t="s">
        <v>185</v>
      </c>
      <c r="C262" s="93">
        <v>1.0</v>
      </c>
      <c r="D262" s="94">
        <v>105.0</v>
      </c>
      <c r="E262" s="70" t="s">
        <v>31</v>
      </c>
      <c r="F262" s="282">
        <v>45929.0</v>
      </c>
      <c r="G262" s="77">
        <f>' طلبيات'!$C262*' طلبيات'!$D262</f>
        <v>105</v>
      </c>
      <c r="H262" s="250"/>
      <c r="I262" s="250"/>
      <c r="J262" s="250"/>
      <c r="K262" s="250"/>
      <c r="L262" s="250"/>
      <c r="M262" s="250"/>
      <c r="N262" s="250"/>
      <c r="O262" s="250"/>
      <c r="P262" s="250"/>
      <c r="Q262" s="250"/>
      <c r="R262" s="250"/>
      <c r="S262" s="250"/>
      <c r="T262" s="250"/>
      <c r="U262" s="250"/>
      <c r="V262" s="250"/>
      <c r="W262" s="250"/>
      <c r="X262" s="250"/>
      <c r="Y262" s="250"/>
      <c r="Z262" s="250"/>
    </row>
    <row r="263" ht="14.25" customHeight="1">
      <c r="A263" s="84" t="s">
        <v>732</v>
      </c>
      <c r="B263" s="70" t="s">
        <v>185</v>
      </c>
      <c r="C263" s="93">
        <v>1.0</v>
      </c>
      <c r="D263" s="94">
        <v>125.0</v>
      </c>
      <c r="E263" s="70" t="s">
        <v>31</v>
      </c>
      <c r="F263" s="282">
        <v>45929.0</v>
      </c>
      <c r="G263" s="77">
        <f>' طلبيات'!$C263*' طلبيات'!$D263</f>
        <v>125</v>
      </c>
      <c r="H263" s="250"/>
      <c r="I263" s="250"/>
      <c r="J263" s="250"/>
      <c r="K263" s="250"/>
      <c r="L263" s="250"/>
      <c r="M263" s="250"/>
      <c r="N263" s="250"/>
      <c r="O263" s="250"/>
      <c r="P263" s="250"/>
      <c r="Q263" s="250"/>
      <c r="R263" s="250"/>
      <c r="S263" s="250"/>
      <c r="T263" s="250"/>
      <c r="U263" s="250"/>
      <c r="V263" s="250"/>
      <c r="W263" s="250"/>
      <c r="X263" s="250"/>
      <c r="Y263" s="250"/>
      <c r="Z263" s="250"/>
    </row>
    <row r="264" ht="14.25" customHeight="1">
      <c r="A264" s="84" t="s">
        <v>4513</v>
      </c>
      <c r="B264" s="70" t="s">
        <v>185</v>
      </c>
      <c r="C264" s="93">
        <v>9.0</v>
      </c>
      <c r="D264" s="94">
        <v>75.0</v>
      </c>
      <c r="E264" s="70" t="s">
        <v>31</v>
      </c>
      <c r="F264" s="282">
        <v>45929.0</v>
      </c>
      <c r="G264" s="77">
        <f>' طلبيات'!$C264*' طلبيات'!$D264</f>
        <v>675</v>
      </c>
      <c r="H264" s="250"/>
      <c r="I264" s="250"/>
      <c r="J264" s="250"/>
      <c r="K264" s="250"/>
      <c r="L264" s="250"/>
      <c r="M264" s="250"/>
      <c r="N264" s="250"/>
      <c r="O264" s="250"/>
      <c r="P264" s="250"/>
      <c r="Q264" s="250"/>
      <c r="R264" s="250"/>
      <c r="S264" s="250"/>
      <c r="T264" s="250"/>
      <c r="U264" s="250"/>
      <c r="V264" s="250"/>
      <c r="W264" s="250"/>
      <c r="X264" s="250"/>
      <c r="Y264" s="250"/>
      <c r="Z264" s="250"/>
    </row>
    <row r="265" ht="14.25" customHeight="1">
      <c r="A265" s="84" t="s">
        <v>515</v>
      </c>
      <c r="B265" s="70" t="s">
        <v>185</v>
      </c>
      <c r="C265" s="93">
        <v>1.0</v>
      </c>
      <c r="D265" s="94">
        <v>50.0</v>
      </c>
      <c r="E265" s="70" t="s">
        <v>31</v>
      </c>
      <c r="F265" s="282">
        <v>45929.0</v>
      </c>
      <c r="G265" s="77">
        <f>' طلبيات'!$C265*' طلبيات'!$D265</f>
        <v>50</v>
      </c>
      <c r="H265" s="250"/>
      <c r="I265" s="250"/>
      <c r="J265" s="250"/>
      <c r="K265" s="250"/>
      <c r="L265" s="250"/>
      <c r="M265" s="250"/>
      <c r="N265" s="250"/>
      <c r="O265" s="250"/>
      <c r="P265" s="250"/>
      <c r="Q265" s="250"/>
      <c r="R265" s="250"/>
      <c r="S265" s="250"/>
      <c r="T265" s="250"/>
      <c r="U265" s="250"/>
      <c r="V265" s="250"/>
      <c r="W265" s="250"/>
      <c r="X265" s="250"/>
      <c r="Y265" s="250"/>
      <c r="Z265" s="250"/>
    </row>
    <row r="266" ht="14.25" customHeight="1">
      <c r="A266" s="77" t="s">
        <v>4366</v>
      </c>
      <c r="B266" s="77">
        <f>SUBTOTAL(109,' طلبيات'!$B$210:$B$225)</f>
        <v>0</v>
      </c>
      <c r="C266" s="77">
        <f>SUBTOTAL(109,' طلبيات'!$C$210:$C$225)</f>
        <v>108</v>
      </c>
      <c r="D266" s="112">
        <f>SUBTOTAL(109,' طلبيات'!$D$210:$D$225)</f>
        <v>3120</v>
      </c>
      <c r="E266" s="77">
        <f>SUBTOTAL(109,' طلبيات'!$E$210:$E$225)</f>
        <v>0</v>
      </c>
      <c r="F266" s="282" t="s">
        <v>4519</v>
      </c>
      <c r="G266" s="77">
        <f>SUM(' طلبيات'!$G$242:$G$265)</f>
        <v>10635</v>
      </c>
      <c r="H266" s="250"/>
      <c r="I266" s="250"/>
      <c r="J266" s="250"/>
      <c r="K266" s="250"/>
      <c r="L266" s="250"/>
      <c r="M266" s="250"/>
      <c r="N266" s="250"/>
      <c r="O266" s="250"/>
      <c r="P266" s="250"/>
      <c r="Q266" s="250"/>
      <c r="R266" s="250"/>
      <c r="S266" s="250"/>
      <c r="T266" s="250"/>
      <c r="U266" s="250"/>
      <c r="V266" s="250"/>
      <c r="W266" s="250"/>
      <c r="X266" s="250"/>
      <c r="Y266" s="250"/>
      <c r="Z266" s="250"/>
    </row>
    <row r="267" ht="14.25" customHeight="1">
      <c r="A267" s="250"/>
      <c r="B267" s="250"/>
      <c r="C267" s="250"/>
      <c r="D267" s="254"/>
      <c r="E267" s="250"/>
      <c r="F267" s="250"/>
      <c r="G267" s="250"/>
      <c r="H267" s="250"/>
      <c r="I267" s="250"/>
      <c r="J267" s="250"/>
      <c r="K267" s="250"/>
      <c r="L267" s="250"/>
      <c r="M267" s="250"/>
      <c r="N267" s="250"/>
      <c r="O267" s="250"/>
      <c r="P267" s="250"/>
      <c r="Q267" s="250"/>
      <c r="R267" s="250"/>
      <c r="S267" s="250"/>
      <c r="T267" s="250"/>
      <c r="U267" s="250"/>
      <c r="V267" s="250"/>
      <c r="W267" s="250"/>
      <c r="X267" s="250"/>
      <c r="Y267" s="250"/>
      <c r="Z267" s="250"/>
    </row>
    <row r="268" ht="14.25" customHeight="1">
      <c r="A268" s="250"/>
      <c r="B268" s="250"/>
      <c r="C268" s="250"/>
      <c r="D268" s="254"/>
      <c r="E268" s="250"/>
      <c r="F268" s="250"/>
      <c r="G268" s="250"/>
      <c r="H268" s="250"/>
      <c r="I268" s="250"/>
      <c r="J268" s="250"/>
      <c r="K268" s="250"/>
      <c r="L268" s="250"/>
      <c r="M268" s="250"/>
      <c r="N268" s="250"/>
      <c r="O268" s="250"/>
      <c r="P268" s="250"/>
      <c r="Q268" s="250"/>
      <c r="R268" s="250"/>
      <c r="S268" s="250"/>
      <c r="T268" s="250"/>
      <c r="U268" s="250"/>
      <c r="V268" s="250"/>
      <c r="W268" s="250"/>
      <c r="X268" s="250"/>
      <c r="Y268" s="250"/>
      <c r="Z268" s="250"/>
    </row>
    <row r="269" ht="14.25" customHeight="1">
      <c r="A269" s="250"/>
      <c r="B269" s="250"/>
      <c r="C269" s="250"/>
      <c r="D269" s="254"/>
      <c r="E269" s="250"/>
      <c r="F269" s="250"/>
      <c r="G269" s="250"/>
      <c r="H269" s="250"/>
      <c r="I269" s="250"/>
      <c r="J269" s="250"/>
      <c r="K269" s="250"/>
      <c r="L269" s="250"/>
      <c r="M269" s="250"/>
      <c r="N269" s="250"/>
      <c r="O269" s="250"/>
      <c r="P269" s="250"/>
      <c r="Q269" s="250"/>
      <c r="R269" s="250"/>
      <c r="S269" s="250"/>
      <c r="T269" s="250"/>
      <c r="U269" s="250"/>
      <c r="V269" s="250"/>
      <c r="W269" s="250"/>
      <c r="X269" s="250"/>
      <c r="Y269" s="250"/>
      <c r="Z269" s="250"/>
    </row>
    <row r="270" ht="14.25" customHeight="1">
      <c r="A270" s="250"/>
      <c r="B270" s="250"/>
      <c r="C270" s="250"/>
      <c r="D270" s="254"/>
      <c r="E270" s="250"/>
      <c r="F270" s="250"/>
      <c r="G270" s="250"/>
      <c r="H270" s="250"/>
      <c r="I270" s="250"/>
      <c r="J270" s="250"/>
      <c r="K270" s="250"/>
      <c r="L270" s="250"/>
      <c r="M270" s="250"/>
      <c r="N270" s="250"/>
      <c r="O270" s="250"/>
      <c r="P270" s="250"/>
      <c r="Q270" s="250"/>
      <c r="R270" s="250"/>
      <c r="S270" s="250"/>
      <c r="T270" s="250"/>
      <c r="U270" s="250"/>
      <c r="V270" s="250"/>
      <c r="W270" s="250"/>
      <c r="X270" s="250"/>
      <c r="Y270" s="250"/>
      <c r="Z270" s="250"/>
    </row>
    <row r="271" ht="14.25" customHeight="1">
      <c r="A271" s="250"/>
      <c r="B271" s="250"/>
      <c r="C271" s="250"/>
      <c r="D271" s="254"/>
      <c r="E271" s="250"/>
      <c r="F271" s="250"/>
      <c r="G271" s="250"/>
      <c r="H271" s="250"/>
      <c r="I271" s="250"/>
      <c r="J271" s="250"/>
      <c r="K271" s="250"/>
      <c r="L271" s="250"/>
      <c r="M271" s="250"/>
      <c r="N271" s="250"/>
      <c r="O271" s="250"/>
      <c r="P271" s="250"/>
      <c r="Q271" s="250"/>
      <c r="R271" s="250"/>
      <c r="S271" s="250"/>
      <c r="T271" s="250"/>
      <c r="U271" s="250"/>
      <c r="V271" s="250"/>
      <c r="W271" s="250"/>
      <c r="X271" s="250"/>
      <c r="Y271" s="250"/>
      <c r="Z271" s="250"/>
    </row>
    <row r="272" ht="14.25" customHeight="1">
      <c r="A272" s="250"/>
      <c r="B272" s="250"/>
      <c r="C272" s="250"/>
      <c r="D272" s="254"/>
      <c r="E272" s="250"/>
      <c r="F272" s="250"/>
      <c r="G272" s="265">
        <v>400.0</v>
      </c>
      <c r="H272" s="250"/>
      <c r="I272" s="250"/>
      <c r="J272" s="250"/>
      <c r="K272" s="250"/>
      <c r="L272" s="250"/>
      <c r="M272" s="250"/>
      <c r="N272" s="250"/>
      <c r="O272" s="250"/>
      <c r="P272" s="250"/>
      <c r="Q272" s="250"/>
      <c r="R272" s="250"/>
      <c r="S272" s="250"/>
      <c r="T272" s="250"/>
      <c r="U272" s="250"/>
      <c r="V272" s="250"/>
      <c r="W272" s="250"/>
      <c r="X272" s="250"/>
      <c r="Y272" s="250"/>
      <c r="Z272" s="250"/>
    </row>
    <row r="273" ht="14.25" customHeight="1">
      <c r="A273" s="250"/>
      <c r="B273" s="250"/>
      <c r="C273" s="250"/>
      <c r="D273" s="254"/>
      <c r="E273" s="250"/>
      <c r="F273" s="250"/>
      <c r="G273" s="265">
        <v>200.0</v>
      </c>
      <c r="H273" s="250"/>
      <c r="I273" s="250"/>
      <c r="J273" s="250"/>
      <c r="K273" s="250"/>
      <c r="L273" s="250"/>
      <c r="M273" s="250"/>
      <c r="N273" s="250"/>
      <c r="O273" s="250"/>
      <c r="P273" s="250"/>
      <c r="Q273" s="250"/>
      <c r="R273" s="250"/>
      <c r="S273" s="250"/>
      <c r="T273" s="250"/>
      <c r="U273" s="250"/>
      <c r="V273" s="250"/>
      <c r="W273" s="250"/>
      <c r="X273" s="250"/>
      <c r="Y273" s="250"/>
      <c r="Z273" s="250"/>
    </row>
    <row r="274" ht="14.25" customHeight="1">
      <c r="A274" s="250"/>
      <c r="B274" s="250"/>
      <c r="C274" s="250"/>
      <c r="D274" s="254"/>
      <c r="E274" s="250"/>
      <c r="F274" s="250"/>
      <c r="G274" s="250">
        <f>155+80+400</f>
        <v>635</v>
      </c>
      <c r="H274" s="250"/>
      <c r="I274" s="250"/>
      <c r="J274" s="250"/>
      <c r="K274" s="250"/>
      <c r="L274" s="250"/>
      <c r="M274" s="250"/>
      <c r="N274" s="250"/>
      <c r="O274" s="250"/>
      <c r="P274" s="250"/>
      <c r="Q274" s="250"/>
      <c r="R274" s="250"/>
      <c r="S274" s="250"/>
      <c r="T274" s="250"/>
      <c r="U274" s="250"/>
      <c r="V274" s="250"/>
      <c r="W274" s="250"/>
      <c r="X274" s="250"/>
      <c r="Y274" s="250"/>
      <c r="Z274" s="250"/>
    </row>
    <row r="275" ht="14.25" customHeight="1">
      <c r="A275" s="250"/>
      <c r="B275" s="250"/>
      <c r="C275" s="250"/>
      <c r="D275" s="254"/>
      <c r="E275" s="250"/>
      <c r="F275" s="265"/>
      <c r="G275" s="265"/>
      <c r="H275" s="250"/>
      <c r="I275" s="265">
        <f>G275+G274+G276+G273+G272</f>
        <v>1850</v>
      </c>
      <c r="J275" s="250"/>
      <c r="K275" s="250"/>
      <c r="L275" s="250"/>
      <c r="M275" s="250"/>
      <c r="N275" s="250"/>
      <c r="O275" s="250"/>
      <c r="P275" s="250"/>
      <c r="Q275" s="250"/>
      <c r="R275" s="250"/>
      <c r="S275" s="250"/>
      <c r="T275" s="250"/>
      <c r="U275" s="250"/>
      <c r="V275" s="250"/>
      <c r="W275" s="250"/>
      <c r="X275" s="250"/>
      <c r="Y275" s="250"/>
      <c r="Z275" s="250"/>
    </row>
    <row r="276" ht="14.25" customHeight="1">
      <c r="A276" s="250"/>
      <c r="B276" s="250"/>
      <c r="C276" s="250"/>
      <c r="D276" s="254"/>
      <c r="E276" s="250"/>
      <c r="F276" s="250"/>
      <c r="G276" s="265">
        <v>615.0</v>
      </c>
      <c r="H276" s="250"/>
      <c r="I276" s="250"/>
      <c r="J276" s="250"/>
      <c r="K276" s="250"/>
      <c r="L276" s="250"/>
      <c r="M276" s="250"/>
      <c r="N276" s="250"/>
      <c r="O276" s="250"/>
      <c r="P276" s="250"/>
      <c r="Q276" s="250"/>
      <c r="R276" s="250"/>
      <c r="S276" s="250"/>
      <c r="T276" s="250"/>
      <c r="U276" s="250"/>
      <c r="V276" s="250"/>
      <c r="W276" s="250"/>
      <c r="X276" s="250"/>
      <c r="Y276" s="250"/>
      <c r="Z276" s="250"/>
    </row>
    <row r="277" ht="14.25" customHeight="1">
      <c r="A277" s="250"/>
      <c r="B277" s="250"/>
      <c r="C277" s="250"/>
      <c r="D277" s="254"/>
      <c r="E277" s="250"/>
      <c r="F277" s="250"/>
      <c r="G277" s="250"/>
      <c r="H277" s="250"/>
      <c r="I277" s="250"/>
      <c r="J277" s="250"/>
      <c r="K277" s="250"/>
      <c r="L277" s="250"/>
      <c r="M277" s="250"/>
      <c r="N277" s="250"/>
      <c r="O277" s="250"/>
      <c r="P277" s="250"/>
      <c r="Q277" s="250"/>
      <c r="R277" s="250"/>
      <c r="S277" s="250"/>
      <c r="T277" s="250"/>
      <c r="U277" s="250"/>
      <c r="V277" s="250"/>
      <c r="W277" s="250"/>
      <c r="X277" s="250"/>
      <c r="Y277" s="250"/>
      <c r="Z277" s="250"/>
    </row>
    <row r="278" ht="14.25" customHeight="1">
      <c r="A278" s="250"/>
      <c r="B278" s="250"/>
      <c r="C278" s="250"/>
      <c r="D278" s="254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0"/>
      <c r="X278" s="250"/>
      <c r="Y278" s="250"/>
      <c r="Z278" s="250"/>
    </row>
    <row r="279" ht="14.25" customHeight="1">
      <c r="A279" s="250"/>
      <c r="B279" s="250"/>
      <c r="C279" s="250"/>
      <c r="D279" s="254"/>
      <c r="E279" s="250"/>
      <c r="F279" s="250"/>
      <c r="G279" s="250"/>
      <c r="H279" s="250"/>
      <c r="I279" s="250"/>
      <c r="J279" s="250"/>
      <c r="K279" s="250"/>
      <c r="L279" s="250"/>
      <c r="M279" s="250"/>
      <c r="N279" s="250"/>
      <c r="O279" s="250"/>
      <c r="P279" s="250"/>
      <c r="Q279" s="250"/>
      <c r="R279" s="250"/>
      <c r="S279" s="250"/>
      <c r="T279" s="250"/>
      <c r="U279" s="250"/>
      <c r="V279" s="250"/>
      <c r="W279" s="250"/>
      <c r="X279" s="250"/>
      <c r="Y279" s="250"/>
      <c r="Z279" s="250"/>
    </row>
    <row r="280" ht="14.25" customHeight="1">
      <c r="A280" s="250"/>
      <c r="B280" s="250"/>
      <c r="C280" s="250"/>
      <c r="D280" s="254"/>
      <c r="E280" s="250"/>
      <c r="F280" s="250"/>
      <c r="G280" s="250"/>
      <c r="H280" s="250"/>
      <c r="I280" s="250"/>
      <c r="J280" s="250"/>
      <c r="K280" s="250"/>
      <c r="L280" s="250"/>
      <c r="M280" s="250"/>
      <c r="N280" s="250"/>
      <c r="O280" s="250"/>
      <c r="P280" s="250"/>
      <c r="Q280" s="250"/>
      <c r="R280" s="250"/>
      <c r="S280" s="250"/>
      <c r="T280" s="250"/>
      <c r="U280" s="250"/>
      <c r="V280" s="250"/>
      <c r="W280" s="250"/>
      <c r="X280" s="250"/>
      <c r="Y280" s="250"/>
      <c r="Z280" s="250"/>
    </row>
    <row r="281" ht="14.25" customHeight="1">
      <c r="A281" s="280" t="s">
        <v>4369</v>
      </c>
      <c r="B281" s="280" t="s">
        <v>4350</v>
      </c>
      <c r="C281" s="280" t="s">
        <v>4352</v>
      </c>
      <c r="D281" s="281" t="s">
        <v>4370</v>
      </c>
      <c r="E281" s="280" t="s">
        <v>4433</v>
      </c>
      <c r="F281" s="280" t="s">
        <v>4372</v>
      </c>
      <c r="G281" s="280" t="s">
        <v>4353</v>
      </c>
      <c r="H281" s="250"/>
      <c r="I281" s="250"/>
      <c r="J281" s="250"/>
      <c r="K281" s="250"/>
      <c r="L281" s="250"/>
      <c r="M281" s="250"/>
      <c r="N281" s="250"/>
      <c r="O281" s="250"/>
      <c r="P281" s="250"/>
      <c r="Q281" s="250"/>
      <c r="R281" s="250"/>
      <c r="S281" s="250"/>
      <c r="T281" s="250"/>
      <c r="U281" s="250"/>
      <c r="V281" s="250"/>
      <c r="W281" s="250"/>
      <c r="X281" s="250"/>
      <c r="Y281" s="250"/>
      <c r="Z281" s="250"/>
    </row>
    <row r="282" ht="14.25" customHeight="1">
      <c r="A282" s="70" t="s">
        <v>153</v>
      </c>
      <c r="B282" s="70" t="s">
        <v>30</v>
      </c>
      <c r="C282" s="93">
        <v>4.0</v>
      </c>
      <c r="D282" s="94">
        <v>210.0</v>
      </c>
      <c r="E282" s="70" t="s">
        <v>31</v>
      </c>
      <c r="F282" s="283">
        <v>45945.0</v>
      </c>
      <c r="G282" s="77">
        <f t="shared" ref="G282:G289" si="3">D282*C282</f>
        <v>840</v>
      </c>
      <c r="H282" s="250"/>
      <c r="I282" s="250"/>
      <c r="J282" s="250"/>
      <c r="K282" s="250"/>
      <c r="L282" s="250"/>
      <c r="M282" s="250"/>
      <c r="N282" s="250"/>
      <c r="O282" s="250"/>
      <c r="P282" s="250"/>
      <c r="Q282" s="250"/>
      <c r="R282" s="250"/>
      <c r="S282" s="250"/>
      <c r="T282" s="250"/>
      <c r="U282" s="250"/>
      <c r="V282" s="250"/>
      <c r="W282" s="250"/>
      <c r="X282" s="250"/>
      <c r="Y282" s="250"/>
      <c r="Z282" s="250"/>
    </row>
    <row r="283" ht="14.25" customHeight="1">
      <c r="A283" s="70" t="s">
        <v>250</v>
      </c>
      <c r="B283" s="70" t="s">
        <v>50</v>
      </c>
      <c r="C283" s="93">
        <v>6.0</v>
      </c>
      <c r="D283" s="94">
        <v>145.0</v>
      </c>
      <c r="E283" s="70" t="s">
        <v>31</v>
      </c>
      <c r="F283" s="283">
        <v>45945.0</v>
      </c>
      <c r="G283" s="77">
        <f t="shared" si="3"/>
        <v>870</v>
      </c>
      <c r="H283" s="250"/>
      <c r="I283" s="250"/>
      <c r="J283" s="250"/>
      <c r="K283" s="250"/>
      <c r="L283" s="250"/>
      <c r="M283" s="250"/>
      <c r="N283" s="250"/>
      <c r="O283" s="250"/>
      <c r="P283" s="250"/>
      <c r="Q283" s="250"/>
      <c r="R283" s="250"/>
      <c r="S283" s="250"/>
      <c r="T283" s="250"/>
      <c r="U283" s="250"/>
      <c r="V283" s="250"/>
      <c r="W283" s="250"/>
      <c r="X283" s="250"/>
      <c r="Y283" s="250"/>
      <c r="Z283" s="250"/>
    </row>
    <row r="284" ht="14.25" customHeight="1">
      <c r="A284" s="84" t="s">
        <v>249</v>
      </c>
      <c r="B284" s="70" t="s">
        <v>30</v>
      </c>
      <c r="C284" s="93">
        <v>2.0</v>
      </c>
      <c r="D284" s="94">
        <v>325.0</v>
      </c>
      <c r="E284" s="70" t="s">
        <v>31</v>
      </c>
      <c r="F284" s="283">
        <v>45945.0</v>
      </c>
      <c r="G284" s="77">
        <f t="shared" si="3"/>
        <v>650</v>
      </c>
      <c r="H284" s="250"/>
      <c r="I284" s="250"/>
      <c r="J284" s="250"/>
      <c r="K284" s="250"/>
      <c r="L284" s="250"/>
      <c r="M284" s="250"/>
      <c r="N284" s="250"/>
      <c r="O284" s="250"/>
      <c r="P284" s="250"/>
      <c r="Q284" s="250"/>
      <c r="R284" s="250"/>
      <c r="S284" s="250"/>
      <c r="T284" s="250"/>
      <c r="U284" s="250"/>
      <c r="V284" s="250"/>
      <c r="W284" s="250"/>
      <c r="X284" s="250"/>
      <c r="Y284" s="250"/>
      <c r="Z284" s="250"/>
    </row>
    <row r="285" ht="14.25" customHeight="1">
      <c r="A285" s="84" t="s">
        <v>457</v>
      </c>
      <c r="B285" s="70" t="s">
        <v>579</v>
      </c>
      <c r="C285" s="93">
        <v>2.0</v>
      </c>
      <c r="D285" s="94">
        <f>275/2</f>
        <v>137.5</v>
      </c>
      <c r="E285" s="70" t="s">
        <v>31</v>
      </c>
      <c r="F285" s="283">
        <v>45945.0</v>
      </c>
      <c r="G285" s="77">
        <f t="shared" si="3"/>
        <v>275</v>
      </c>
      <c r="H285" s="250"/>
      <c r="I285" s="250"/>
      <c r="J285" s="250"/>
      <c r="K285" s="250"/>
      <c r="L285" s="250"/>
      <c r="M285" s="250"/>
      <c r="N285" s="250"/>
      <c r="O285" s="250"/>
      <c r="P285" s="250"/>
      <c r="Q285" s="250"/>
      <c r="R285" s="250"/>
      <c r="S285" s="250"/>
      <c r="T285" s="250"/>
      <c r="U285" s="250"/>
      <c r="V285" s="250"/>
      <c r="W285" s="250"/>
      <c r="X285" s="250"/>
      <c r="Y285" s="250"/>
      <c r="Z285" s="250"/>
    </row>
    <row r="286" ht="14.25" customHeight="1">
      <c r="A286" s="84"/>
      <c r="B286" s="70"/>
      <c r="C286" s="93"/>
      <c r="D286" s="94"/>
      <c r="E286" s="70"/>
      <c r="F286" s="283"/>
      <c r="G286" s="77">
        <f t="shared" si="3"/>
        <v>0</v>
      </c>
      <c r="H286" s="250"/>
      <c r="I286" s="250"/>
      <c r="J286" s="250"/>
      <c r="K286" s="250"/>
      <c r="L286" s="250"/>
      <c r="M286" s="250"/>
      <c r="N286" s="250"/>
      <c r="O286" s="250"/>
      <c r="P286" s="250"/>
      <c r="Q286" s="250"/>
      <c r="R286" s="250"/>
      <c r="S286" s="250"/>
      <c r="T286" s="250"/>
      <c r="U286" s="250"/>
      <c r="V286" s="250"/>
      <c r="W286" s="250"/>
      <c r="X286" s="250"/>
      <c r="Y286" s="250"/>
      <c r="Z286" s="250"/>
    </row>
    <row r="287" ht="14.25" customHeight="1">
      <c r="A287" s="84"/>
      <c r="B287" s="70"/>
      <c r="C287" s="93"/>
      <c r="D287" s="94"/>
      <c r="E287" s="70"/>
      <c r="F287" s="283"/>
      <c r="G287" s="77">
        <f t="shared" si="3"/>
        <v>0</v>
      </c>
      <c r="H287" s="250"/>
      <c r="I287" s="250"/>
      <c r="J287" s="250"/>
      <c r="K287" s="250"/>
      <c r="L287" s="250"/>
      <c r="M287" s="250"/>
      <c r="N287" s="250"/>
      <c r="O287" s="250"/>
      <c r="P287" s="250"/>
      <c r="Q287" s="250"/>
      <c r="R287" s="250"/>
      <c r="S287" s="250"/>
      <c r="T287" s="250"/>
      <c r="U287" s="250"/>
      <c r="V287" s="250"/>
      <c r="W287" s="250"/>
      <c r="X287" s="250"/>
      <c r="Y287" s="250"/>
      <c r="Z287" s="250"/>
    </row>
    <row r="288" ht="14.25" customHeight="1">
      <c r="A288" s="84"/>
      <c r="B288" s="70"/>
      <c r="C288" s="93"/>
      <c r="D288" s="94"/>
      <c r="E288" s="70"/>
      <c r="F288" s="283"/>
      <c r="G288" s="77">
        <f t="shared" si="3"/>
        <v>0</v>
      </c>
      <c r="H288" s="250"/>
      <c r="I288" s="250"/>
      <c r="J288" s="250"/>
      <c r="K288" s="250"/>
      <c r="L288" s="250"/>
      <c r="M288" s="250"/>
      <c r="N288" s="250"/>
      <c r="O288" s="250"/>
      <c r="P288" s="250"/>
      <c r="Q288" s="250"/>
      <c r="R288" s="250"/>
      <c r="S288" s="250"/>
      <c r="T288" s="250"/>
      <c r="U288" s="250"/>
      <c r="V288" s="250"/>
      <c r="W288" s="250"/>
      <c r="X288" s="250"/>
      <c r="Y288" s="250"/>
      <c r="Z288" s="250"/>
    </row>
    <row r="289" ht="14.25" customHeight="1">
      <c r="A289" s="84" t="s">
        <v>748</v>
      </c>
      <c r="B289" s="70" t="s">
        <v>138</v>
      </c>
      <c r="C289" s="93">
        <v>12.0</v>
      </c>
      <c r="D289" s="94">
        <v>75.0</v>
      </c>
      <c r="E289" s="70" t="s">
        <v>751</v>
      </c>
      <c r="F289" s="283">
        <v>45945.0</v>
      </c>
      <c r="G289" s="77">
        <f t="shared" si="3"/>
        <v>900</v>
      </c>
      <c r="H289" s="250"/>
      <c r="I289" s="250"/>
      <c r="J289" s="250"/>
      <c r="K289" s="250"/>
      <c r="L289" s="250"/>
      <c r="M289" s="250"/>
      <c r="N289" s="250"/>
      <c r="O289" s="250"/>
      <c r="P289" s="250"/>
      <c r="Q289" s="250"/>
      <c r="R289" s="250"/>
      <c r="S289" s="250"/>
      <c r="T289" s="250"/>
      <c r="U289" s="250"/>
      <c r="V289" s="250"/>
      <c r="W289" s="250"/>
      <c r="X289" s="250"/>
      <c r="Y289" s="250"/>
      <c r="Z289" s="250"/>
    </row>
    <row r="290" ht="14.25" customHeight="1">
      <c r="A290" s="77" t="s">
        <v>4366</v>
      </c>
      <c r="B290" s="77">
        <f>SUBTOTAL(109,' طلبيات'!$B$210:$B$225)</f>
        <v>0</v>
      </c>
      <c r="C290" s="77">
        <f>SUBTOTAL(109,' طلبيات'!$C$210:$C$225)</f>
        <v>108</v>
      </c>
      <c r="D290" s="112">
        <f>SUBTOTAL(109,' طلبيات'!$D$210:$D$225)</f>
        <v>3120</v>
      </c>
      <c r="E290" s="77">
        <f>SUBTOTAL(109,' طلبيات'!$E$210:$E$225)</f>
        <v>0</v>
      </c>
      <c r="F290" s="282" t="s">
        <v>4519</v>
      </c>
      <c r="G290" s="77">
        <f>SUM(جدول_10[المجموع])</f>
        <v>3535</v>
      </c>
      <c r="H290" s="250"/>
      <c r="I290" s="250"/>
      <c r="J290" s="250"/>
      <c r="K290" s="250"/>
      <c r="L290" s="250"/>
      <c r="M290" s="250"/>
      <c r="N290" s="250"/>
      <c r="O290" s="250"/>
      <c r="P290" s="250"/>
      <c r="Q290" s="250"/>
      <c r="R290" s="250"/>
      <c r="S290" s="250"/>
      <c r="T290" s="250"/>
      <c r="U290" s="250"/>
      <c r="V290" s="250"/>
      <c r="W290" s="250"/>
      <c r="X290" s="250"/>
      <c r="Y290" s="250"/>
      <c r="Z290" s="250"/>
    </row>
    <row r="291" ht="14.25" customHeight="1">
      <c r="A291" s="250"/>
      <c r="B291" s="250"/>
      <c r="C291" s="250"/>
      <c r="D291" s="254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250"/>
      <c r="P291" s="250"/>
      <c r="Q291" s="250"/>
      <c r="R291" s="250"/>
      <c r="S291" s="250"/>
      <c r="T291" s="250"/>
      <c r="U291" s="250"/>
      <c r="V291" s="250"/>
      <c r="W291" s="250"/>
      <c r="X291" s="250"/>
      <c r="Y291" s="250"/>
      <c r="Z291" s="250"/>
    </row>
    <row r="292" ht="14.25" customHeight="1">
      <c r="A292" s="250"/>
      <c r="B292" s="250"/>
      <c r="C292" s="250"/>
      <c r="D292" s="254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250"/>
      <c r="P292" s="250"/>
      <c r="Q292" s="250"/>
      <c r="R292" s="250"/>
      <c r="S292" s="250"/>
      <c r="T292" s="250"/>
      <c r="U292" s="250"/>
      <c r="V292" s="250"/>
      <c r="W292" s="250"/>
      <c r="X292" s="250"/>
      <c r="Y292" s="250"/>
      <c r="Z292" s="250"/>
    </row>
    <row r="293" ht="14.25" customHeight="1">
      <c r="A293" s="250"/>
      <c r="B293" s="250"/>
      <c r="C293" s="250"/>
      <c r="D293" s="254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0"/>
      <c r="X293" s="250"/>
      <c r="Y293" s="250"/>
      <c r="Z293" s="250"/>
    </row>
    <row r="294" ht="14.25" customHeight="1">
      <c r="A294" s="250"/>
      <c r="B294" s="250"/>
      <c r="C294" s="250"/>
      <c r="D294" s="254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250"/>
      <c r="P294" s="250"/>
      <c r="Q294" s="250"/>
      <c r="R294" s="250"/>
      <c r="S294" s="250"/>
      <c r="T294" s="250"/>
      <c r="U294" s="250"/>
      <c r="V294" s="250"/>
      <c r="W294" s="250"/>
      <c r="X294" s="250"/>
      <c r="Y294" s="250"/>
      <c r="Z294" s="250"/>
    </row>
    <row r="295" ht="14.25" customHeight="1">
      <c r="A295" s="280" t="s">
        <v>4369</v>
      </c>
      <c r="B295" s="280" t="s">
        <v>4350</v>
      </c>
      <c r="C295" s="280" t="s">
        <v>4352</v>
      </c>
      <c r="D295" s="281" t="s">
        <v>4370</v>
      </c>
      <c r="E295" s="280" t="s">
        <v>4433</v>
      </c>
      <c r="F295" s="280" t="s">
        <v>4372</v>
      </c>
      <c r="G295" s="280" t="s">
        <v>4353</v>
      </c>
      <c r="H295" s="250"/>
      <c r="I295" s="250"/>
      <c r="J295" s="250"/>
      <c r="K295" s="250"/>
      <c r="L295" s="250"/>
      <c r="M295" s="250"/>
      <c r="N295" s="250"/>
      <c r="O295" s="250"/>
      <c r="P295" s="250"/>
      <c r="Q295" s="250"/>
      <c r="R295" s="250"/>
      <c r="S295" s="250"/>
      <c r="T295" s="250"/>
      <c r="U295" s="250"/>
      <c r="V295" s="250"/>
      <c r="W295" s="250"/>
      <c r="X295" s="250"/>
      <c r="Y295" s="250"/>
      <c r="Z295" s="250"/>
    </row>
    <row r="296" ht="14.25" customHeight="1">
      <c r="A296" s="70" t="s">
        <v>255</v>
      </c>
      <c r="B296" s="70" t="s">
        <v>238</v>
      </c>
      <c r="C296" s="93">
        <v>25.0</v>
      </c>
      <c r="D296" s="94">
        <v>35.0</v>
      </c>
      <c r="E296" s="70" t="s">
        <v>31</v>
      </c>
      <c r="F296" s="283">
        <v>45961.0</v>
      </c>
      <c r="G296" s="77">
        <f t="shared" ref="G296:G307" si="4">D296*C296</f>
        <v>875</v>
      </c>
      <c r="H296" s="250"/>
      <c r="I296" s="250"/>
      <c r="J296" s="250"/>
      <c r="K296" s="250"/>
      <c r="L296" s="250"/>
      <c r="M296" s="250"/>
      <c r="N296" s="250"/>
      <c r="O296" s="250"/>
      <c r="P296" s="250"/>
      <c r="Q296" s="250"/>
      <c r="R296" s="250"/>
      <c r="S296" s="250"/>
      <c r="T296" s="250"/>
      <c r="U296" s="250"/>
      <c r="V296" s="250"/>
      <c r="W296" s="250"/>
      <c r="X296" s="250"/>
      <c r="Y296" s="250"/>
      <c r="Z296" s="250"/>
    </row>
    <row r="297" ht="14.25" customHeight="1">
      <c r="A297" s="70" t="s">
        <v>133</v>
      </c>
      <c r="B297" s="70" t="s">
        <v>238</v>
      </c>
      <c r="C297" s="93">
        <v>10.0</v>
      </c>
      <c r="D297" s="94">
        <v>135.0</v>
      </c>
      <c r="E297" s="70" t="s">
        <v>31</v>
      </c>
      <c r="F297" s="283">
        <v>45961.0</v>
      </c>
      <c r="G297" s="77">
        <f t="shared" si="4"/>
        <v>1350</v>
      </c>
      <c r="H297" s="250"/>
      <c r="I297" s="250"/>
      <c r="J297" s="250"/>
      <c r="K297" s="250"/>
      <c r="L297" s="250"/>
      <c r="M297" s="250"/>
      <c r="N297" s="250"/>
      <c r="O297" s="250"/>
      <c r="P297" s="250"/>
      <c r="Q297" s="250"/>
      <c r="R297" s="250"/>
      <c r="S297" s="250"/>
      <c r="T297" s="250"/>
      <c r="U297" s="250"/>
      <c r="V297" s="250"/>
      <c r="W297" s="250"/>
      <c r="X297" s="250"/>
      <c r="Y297" s="250"/>
      <c r="Z297" s="250"/>
    </row>
    <row r="298" ht="14.25" customHeight="1">
      <c r="A298" s="70" t="s">
        <v>464</v>
      </c>
      <c r="B298" s="10" t="s">
        <v>68</v>
      </c>
      <c r="C298" s="93">
        <v>12.0</v>
      </c>
      <c r="D298" s="94">
        <v>135.0</v>
      </c>
      <c r="E298" s="70" t="s">
        <v>31</v>
      </c>
      <c r="F298" s="283">
        <v>45961.0</v>
      </c>
      <c r="G298" s="77">
        <f t="shared" si="4"/>
        <v>1620</v>
      </c>
      <c r="H298" s="250"/>
      <c r="I298" s="250"/>
      <c r="J298" s="250"/>
      <c r="K298" s="250"/>
      <c r="L298" s="250"/>
      <c r="M298" s="250"/>
      <c r="N298" s="250"/>
      <c r="O298" s="250"/>
      <c r="P298" s="250"/>
      <c r="Q298" s="250"/>
      <c r="R298" s="250"/>
      <c r="S298" s="250"/>
      <c r="T298" s="250"/>
      <c r="U298" s="250"/>
      <c r="V298" s="250"/>
      <c r="W298" s="250"/>
      <c r="X298" s="250"/>
      <c r="Y298" s="250"/>
      <c r="Z298" s="250"/>
    </row>
    <row r="299" ht="14.25" customHeight="1">
      <c r="A299" s="84" t="s">
        <v>454</v>
      </c>
      <c r="B299" s="70" t="s">
        <v>185</v>
      </c>
      <c r="C299" s="93">
        <v>9.0</v>
      </c>
      <c r="D299" s="94">
        <v>210.0</v>
      </c>
      <c r="E299" s="70" t="s">
        <v>31</v>
      </c>
      <c r="F299" s="283">
        <v>45961.0</v>
      </c>
      <c r="G299" s="77">
        <f t="shared" si="4"/>
        <v>1890</v>
      </c>
      <c r="H299" s="250"/>
      <c r="I299" s="250"/>
      <c r="J299" s="250"/>
      <c r="K299" s="250"/>
      <c r="L299" s="250"/>
      <c r="M299" s="250"/>
      <c r="N299" s="250"/>
      <c r="O299" s="250"/>
      <c r="P299" s="250"/>
      <c r="Q299" s="250"/>
      <c r="R299" s="250"/>
      <c r="S299" s="250"/>
      <c r="T299" s="250"/>
      <c r="U299" s="250"/>
      <c r="V299" s="250"/>
      <c r="W299" s="250"/>
      <c r="X299" s="250"/>
      <c r="Y299" s="250"/>
      <c r="Z299" s="250"/>
    </row>
    <row r="300" ht="14.25" customHeight="1">
      <c r="A300" s="84" t="s">
        <v>467</v>
      </c>
      <c r="B300" s="70" t="s">
        <v>185</v>
      </c>
      <c r="C300" s="93">
        <v>4.0</v>
      </c>
      <c r="D300" s="94">
        <v>105.0</v>
      </c>
      <c r="E300" s="70" t="s">
        <v>31</v>
      </c>
      <c r="F300" s="283">
        <v>45961.0</v>
      </c>
      <c r="G300" s="77">
        <f t="shared" si="4"/>
        <v>420</v>
      </c>
      <c r="H300" s="250"/>
      <c r="I300" s="250"/>
      <c r="J300" s="250"/>
      <c r="K300" s="250"/>
      <c r="L300" s="250"/>
      <c r="M300" s="250"/>
      <c r="N300" s="250"/>
      <c r="O300" s="250"/>
      <c r="P300" s="250"/>
      <c r="Q300" s="250"/>
      <c r="R300" s="250"/>
      <c r="S300" s="250"/>
      <c r="T300" s="250"/>
      <c r="U300" s="250"/>
      <c r="V300" s="250"/>
      <c r="W300" s="250"/>
      <c r="X300" s="250"/>
      <c r="Y300" s="250"/>
      <c r="Z300" s="250"/>
    </row>
    <row r="301" ht="14.25" customHeight="1">
      <c r="A301" s="84" t="s">
        <v>391</v>
      </c>
      <c r="B301" s="70" t="s">
        <v>185</v>
      </c>
      <c r="C301" s="93">
        <v>5.0</v>
      </c>
      <c r="D301" s="94">
        <v>85.0</v>
      </c>
      <c r="E301" s="70" t="s">
        <v>31</v>
      </c>
      <c r="F301" s="283">
        <v>45961.0</v>
      </c>
      <c r="G301" s="77">
        <f t="shared" si="4"/>
        <v>425</v>
      </c>
      <c r="H301" s="250"/>
      <c r="I301" s="250"/>
      <c r="J301" s="250"/>
      <c r="K301" s="250"/>
      <c r="L301" s="250"/>
      <c r="M301" s="250"/>
      <c r="N301" s="250"/>
      <c r="O301" s="250"/>
      <c r="P301" s="250"/>
      <c r="Q301" s="250"/>
      <c r="R301" s="250"/>
      <c r="S301" s="250"/>
      <c r="T301" s="250"/>
      <c r="U301" s="250"/>
      <c r="V301" s="250"/>
      <c r="W301" s="250"/>
      <c r="X301" s="250"/>
      <c r="Y301" s="250"/>
      <c r="Z301" s="250"/>
    </row>
    <row r="302" ht="14.25" customHeight="1">
      <c r="A302" s="84" t="s">
        <v>402</v>
      </c>
      <c r="B302" s="70" t="s">
        <v>185</v>
      </c>
      <c r="C302" s="93">
        <v>6.0</v>
      </c>
      <c r="D302" s="94">
        <v>225.0</v>
      </c>
      <c r="E302" s="70" t="s">
        <v>31</v>
      </c>
      <c r="F302" s="283">
        <v>45961.0</v>
      </c>
      <c r="G302" s="77">
        <f t="shared" si="4"/>
        <v>1350</v>
      </c>
      <c r="H302" s="250"/>
      <c r="I302" s="250"/>
      <c r="J302" s="250"/>
      <c r="K302" s="250"/>
      <c r="L302" s="250"/>
      <c r="M302" s="250"/>
      <c r="N302" s="250"/>
      <c r="O302" s="250"/>
      <c r="P302" s="250"/>
      <c r="Q302" s="250"/>
      <c r="R302" s="250"/>
      <c r="S302" s="250"/>
      <c r="T302" s="250"/>
      <c r="U302" s="250"/>
      <c r="V302" s="250"/>
      <c r="W302" s="250"/>
      <c r="X302" s="250"/>
      <c r="Y302" s="250"/>
      <c r="Z302" s="250"/>
    </row>
    <row r="303" ht="14.25" customHeight="1">
      <c r="A303" s="84" t="s">
        <v>768</v>
      </c>
      <c r="B303" s="70" t="s">
        <v>169</v>
      </c>
      <c r="C303" s="93">
        <v>8.0</v>
      </c>
      <c r="D303" s="94">
        <v>30.0</v>
      </c>
      <c r="E303" s="70" t="s">
        <v>31</v>
      </c>
      <c r="F303" s="283">
        <v>45961.0</v>
      </c>
      <c r="G303" s="77">
        <f t="shared" si="4"/>
        <v>240</v>
      </c>
      <c r="H303" s="250"/>
      <c r="I303" s="250"/>
      <c r="J303" s="250"/>
      <c r="K303" s="250"/>
      <c r="L303" s="250"/>
      <c r="M303" s="250"/>
      <c r="N303" s="250"/>
      <c r="O303" s="250"/>
      <c r="P303" s="250"/>
      <c r="Q303" s="250"/>
      <c r="R303" s="250"/>
      <c r="S303" s="250"/>
      <c r="T303" s="250"/>
      <c r="U303" s="250"/>
      <c r="V303" s="250"/>
      <c r="W303" s="250"/>
      <c r="X303" s="250"/>
      <c r="Y303" s="250"/>
      <c r="Z303" s="250"/>
    </row>
    <row r="304" ht="14.25" customHeight="1">
      <c r="A304" s="84" t="s">
        <v>511</v>
      </c>
      <c r="B304" s="70" t="s">
        <v>169</v>
      </c>
      <c r="C304" s="93">
        <v>10.0</v>
      </c>
      <c r="D304" s="94">
        <v>40.0</v>
      </c>
      <c r="E304" s="70" t="s">
        <v>31</v>
      </c>
      <c r="F304" s="283">
        <v>45961.0</v>
      </c>
      <c r="G304" s="77">
        <f t="shared" si="4"/>
        <v>400</v>
      </c>
      <c r="H304" s="250"/>
      <c r="I304" s="250"/>
      <c r="J304" s="250"/>
      <c r="K304" s="250"/>
      <c r="L304" s="250"/>
      <c r="M304" s="250"/>
      <c r="N304" s="250"/>
      <c r="O304" s="250"/>
      <c r="P304" s="250"/>
      <c r="Q304" s="250"/>
      <c r="R304" s="250"/>
      <c r="S304" s="250"/>
      <c r="T304" s="250"/>
      <c r="U304" s="250"/>
      <c r="V304" s="250"/>
      <c r="W304" s="250"/>
      <c r="X304" s="250"/>
      <c r="Y304" s="250"/>
      <c r="Z304" s="250"/>
    </row>
    <row r="305" ht="14.25" customHeight="1">
      <c r="A305" s="70" t="s">
        <v>165</v>
      </c>
      <c r="B305" s="70" t="s">
        <v>238</v>
      </c>
      <c r="C305" s="93">
        <v>10.0</v>
      </c>
      <c r="D305" s="94">
        <v>85.0</v>
      </c>
      <c r="E305" s="70" t="s">
        <v>31</v>
      </c>
      <c r="F305" s="283">
        <v>45961.0</v>
      </c>
      <c r="G305" s="77">
        <f t="shared" si="4"/>
        <v>850</v>
      </c>
      <c r="H305" s="250"/>
      <c r="I305" s="250"/>
      <c r="J305" s="250"/>
      <c r="K305" s="250"/>
      <c r="L305" s="250"/>
      <c r="M305" s="250"/>
      <c r="N305" s="250"/>
      <c r="O305" s="250"/>
      <c r="P305" s="250"/>
      <c r="Q305" s="250"/>
      <c r="R305" s="250"/>
      <c r="S305" s="250"/>
      <c r="T305" s="250"/>
      <c r="U305" s="250"/>
      <c r="V305" s="250"/>
      <c r="W305" s="250"/>
      <c r="X305" s="250"/>
      <c r="Y305" s="250"/>
      <c r="Z305" s="250"/>
    </row>
    <row r="306" ht="14.25" customHeight="1">
      <c r="A306" s="70" t="s">
        <v>194</v>
      </c>
      <c r="B306" s="70" t="s">
        <v>238</v>
      </c>
      <c r="C306" s="93">
        <v>3.0</v>
      </c>
      <c r="D306" s="94">
        <v>155.0</v>
      </c>
      <c r="E306" s="70" t="s">
        <v>31</v>
      </c>
      <c r="F306" s="283">
        <v>45961.0</v>
      </c>
      <c r="G306" s="77">
        <f t="shared" si="4"/>
        <v>465</v>
      </c>
      <c r="H306" s="250"/>
      <c r="I306" s="250"/>
      <c r="J306" s="250"/>
      <c r="K306" s="250"/>
      <c r="L306" s="250"/>
      <c r="M306" s="250"/>
      <c r="N306" s="250"/>
      <c r="O306" s="250"/>
      <c r="P306" s="250"/>
      <c r="Q306" s="250"/>
      <c r="R306" s="250"/>
      <c r="S306" s="250"/>
      <c r="T306" s="250"/>
      <c r="U306" s="250"/>
      <c r="V306" s="250"/>
      <c r="W306" s="250"/>
      <c r="X306" s="250"/>
      <c r="Y306" s="250"/>
      <c r="Z306" s="250"/>
    </row>
    <row r="307" ht="14.25" customHeight="1">
      <c r="A307" s="70" t="s">
        <v>172</v>
      </c>
      <c r="B307" s="70" t="s">
        <v>68</v>
      </c>
      <c r="C307" s="93">
        <v>24.0</v>
      </c>
      <c r="D307" s="94">
        <v>27.0</v>
      </c>
      <c r="E307" s="70" t="s">
        <v>31</v>
      </c>
      <c r="F307" s="283">
        <v>45961.0</v>
      </c>
      <c r="G307" s="77">
        <f t="shared" si="4"/>
        <v>648</v>
      </c>
      <c r="H307" s="250"/>
      <c r="I307" s="250"/>
      <c r="J307" s="250"/>
      <c r="K307" s="250"/>
      <c r="L307" s="250"/>
      <c r="M307" s="250"/>
      <c r="N307" s="250"/>
      <c r="O307" s="250"/>
      <c r="P307" s="250"/>
      <c r="Q307" s="250"/>
      <c r="R307" s="250"/>
      <c r="S307" s="250"/>
      <c r="T307" s="250"/>
      <c r="U307" s="250"/>
      <c r="V307" s="250"/>
      <c r="W307" s="250"/>
      <c r="X307" s="250"/>
      <c r="Y307" s="250"/>
      <c r="Z307" s="250"/>
    </row>
    <row r="308" ht="14.25" customHeight="1">
      <c r="D308" s="284"/>
      <c r="F308" s="283">
        <v>45961.0</v>
      </c>
      <c r="H308" s="250"/>
      <c r="I308" s="250"/>
      <c r="J308" s="250"/>
      <c r="K308" s="250"/>
      <c r="L308" s="250"/>
      <c r="M308" s="250"/>
      <c r="N308" s="250"/>
      <c r="O308" s="250"/>
      <c r="P308" s="250"/>
      <c r="Q308" s="250"/>
      <c r="R308" s="250"/>
      <c r="S308" s="250"/>
      <c r="T308" s="250"/>
      <c r="U308" s="250"/>
      <c r="V308" s="250"/>
      <c r="W308" s="250"/>
      <c r="X308" s="250"/>
      <c r="Y308" s="250"/>
      <c r="Z308" s="250"/>
    </row>
    <row r="309" ht="14.25" customHeight="1">
      <c r="A309" s="84" t="s">
        <v>783</v>
      </c>
      <c r="B309" s="70" t="s">
        <v>185</v>
      </c>
      <c r="C309" s="93">
        <v>2.0</v>
      </c>
      <c r="D309" s="94">
        <v>145.0</v>
      </c>
      <c r="E309" s="70" t="s">
        <v>31</v>
      </c>
      <c r="F309" s="283">
        <v>45961.0</v>
      </c>
      <c r="G309" s="77">
        <f t="shared" ref="G309:G310" si="5">D309*C309</f>
        <v>290</v>
      </c>
      <c r="H309" s="250"/>
      <c r="I309" s="250"/>
      <c r="J309" s="250"/>
      <c r="K309" s="250"/>
      <c r="L309" s="250"/>
      <c r="M309" s="250"/>
      <c r="N309" s="250"/>
      <c r="O309" s="250"/>
      <c r="P309" s="250"/>
      <c r="Q309" s="250"/>
      <c r="R309" s="250"/>
      <c r="S309" s="250"/>
      <c r="T309" s="250"/>
      <c r="U309" s="250"/>
      <c r="V309" s="250"/>
      <c r="W309" s="250"/>
      <c r="X309" s="250"/>
      <c r="Y309" s="250"/>
      <c r="Z309" s="250"/>
    </row>
    <row r="310" ht="14.25" customHeight="1">
      <c r="A310" s="84" t="s">
        <v>452</v>
      </c>
      <c r="B310" s="70" t="s">
        <v>68</v>
      </c>
      <c r="C310" s="93">
        <v>36.0</v>
      </c>
      <c r="D310" s="94">
        <v>16.0</v>
      </c>
      <c r="E310" s="70" t="s">
        <v>31</v>
      </c>
      <c r="F310" s="283">
        <v>45961.0</v>
      </c>
      <c r="G310" s="77">
        <f t="shared" si="5"/>
        <v>576</v>
      </c>
      <c r="H310" s="250"/>
      <c r="I310" s="250"/>
      <c r="J310" s="250"/>
      <c r="K310" s="250"/>
      <c r="L310" s="250"/>
      <c r="M310" s="250"/>
      <c r="N310" s="250"/>
      <c r="O310" s="250"/>
      <c r="P310" s="250"/>
      <c r="Q310" s="250"/>
      <c r="R310" s="250"/>
      <c r="S310" s="250"/>
      <c r="T310" s="250"/>
      <c r="U310" s="250"/>
      <c r="V310" s="250"/>
      <c r="W310" s="250"/>
      <c r="X310" s="250"/>
      <c r="Y310" s="250"/>
      <c r="Z310" s="250"/>
    </row>
    <row r="311" ht="14.25" customHeight="1">
      <c r="A311" s="77" t="s">
        <v>4366</v>
      </c>
      <c r="B311" s="77">
        <f>SUBTOTAL(109,' طلبيات'!$B$210:$B$225)</f>
        <v>0</v>
      </c>
      <c r="C311" s="77">
        <f>SUBTOTAL(109,' طلبيات'!$C$210:$C$225)</f>
        <v>108</v>
      </c>
      <c r="D311" s="112">
        <f>SUBTOTAL(109,' طلبيات'!$D$210:$D$225)</f>
        <v>3120</v>
      </c>
      <c r="E311" s="77">
        <f>SUBTOTAL(109,' طلبيات'!$E$210:$E$225)</f>
        <v>0</v>
      </c>
      <c r="F311" s="283" t="s">
        <v>4553</v>
      </c>
      <c r="G311" s="77">
        <f>SUM(جدول_11[المجموع])</f>
        <v>11399</v>
      </c>
      <c r="H311" s="250"/>
      <c r="I311" s="250"/>
      <c r="J311" s="250"/>
      <c r="K311" s="250"/>
      <c r="L311" s="250"/>
      <c r="M311" s="250"/>
      <c r="N311" s="250"/>
      <c r="O311" s="250"/>
      <c r="P311" s="250"/>
      <c r="Q311" s="250"/>
      <c r="R311" s="250"/>
      <c r="S311" s="250"/>
      <c r="T311" s="250"/>
      <c r="U311" s="250"/>
      <c r="V311" s="250"/>
      <c r="W311" s="250"/>
      <c r="X311" s="250"/>
      <c r="Y311" s="250"/>
      <c r="Z311" s="250"/>
    </row>
    <row r="312" ht="14.25" customHeight="1">
      <c r="A312" s="250"/>
      <c r="B312" s="250"/>
      <c r="C312" s="250"/>
      <c r="D312" s="254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250"/>
      <c r="P312" s="250"/>
      <c r="Q312" s="250"/>
      <c r="R312" s="250"/>
      <c r="S312" s="250"/>
      <c r="T312" s="250"/>
      <c r="U312" s="250"/>
      <c r="V312" s="250"/>
      <c r="W312" s="250"/>
      <c r="X312" s="250"/>
      <c r="Y312" s="250"/>
      <c r="Z312" s="250"/>
    </row>
    <row r="313" ht="14.25" customHeight="1">
      <c r="A313" s="250"/>
      <c r="B313" s="250"/>
      <c r="C313" s="250"/>
      <c r="D313" s="254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250"/>
      <c r="P313" s="250"/>
      <c r="Q313" s="250"/>
      <c r="R313" s="250"/>
      <c r="S313" s="250"/>
      <c r="T313" s="250"/>
      <c r="U313" s="250"/>
      <c r="V313" s="250"/>
      <c r="W313" s="250"/>
      <c r="X313" s="250"/>
      <c r="Y313" s="250"/>
      <c r="Z313" s="250"/>
    </row>
    <row r="314" ht="14.25" customHeight="1">
      <c r="A314" s="250"/>
      <c r="B314" s="250"/>
      <c r="C314" s="250"/>
      <c r="D314" s="254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250"/>
      <c r="P314" s="250"/>
      <c r="Q314" s="250"/>
      <c r="R314" s="250"/>
      <c r="S314" s="250"/>
      <c r="T314" s="250"/>
      <c r="U314" s="250"/>
      <c r="V314" s="250"/>
      <c r="W314" s="250"/>
      <c r="X314" s="250"/>
      <c r="Y314" s="250"/>
      <c r="Z314" s="250"/>
    </row>
    <row r="315" ht="14.25" customHeight="1">
      <c r="A315" s="250"/>
      <c r="B315" s="250"/>
      <c r="C315" s="250"/>
      <c r="D315" s="254"/>
      <c r="E315" s="250"/>
      <c r="F315" s="250"/>
      <c r="G315" s="250"/>
      <c r="H315" s="250"/>
      <c r="I315" s="250"/>
      <c r="J315" s="250"/>
      <c r="K315" s="250"/>
      <c r="L315" s="250"/>
      <c r="M315" s="250"/>
      <c r="N315" s="250"/>
      <c r="O315" s="250"/>
      <c r="P315" s="250"/>
      <c r="Q315" s="250"/>
      <c r="R315" s="250"/>
      <c r="S315" s="250"/>
      <c r="T315" s="250"/>
      <c r="U315" s="250"/>
      <c r="V315" s="250"/>
      <c r="W315" s="250"/>
      <c r="X315" s="250"/>
      <c r="Y315" s="250"/>
      <c r="Z315" s="250"/>
    </row>
    <row r="316" ht="14.25" customHeight="1">
      <c r="A316" s="250"/>
      <c r="B316" s="250"/>
      <c r="C316" s="250"/>
      <c r="D316" s="254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250"/>
      <c r="Q316" s="250"/>
      <c r="R316" s="250"/>
      <c r="S316" s="250"/>
      <c r="T316" s="250"/>
      <c r="U316" s="250"/>
      <c r="V316" s="250"/>
      <c r="W316" s="250"/>
      <c r="X316" s="250"/>
      <c r="Y316" s="250"/>
      <c r="Z316" s="250"/>
    </row>
    <row r="317" ht="14.25" customHeight="1">
      <c r="A317" s="280" t="s">
        <v>4369</v>
      </c>
      <c r="B317" s="280" t="s">
        <v>4350</v>
      </c>
      <c r="C317" s="280" t="s">
        <v>4352</v>
      </c>
      <c r="D317" s="281" t="s">
        <v>4370</v>
      </c>
      <c r="E317" s="280" t="s">
        <v>4433</v>
      </c>
      <c r="F317" s="280" t="s">
        <v>4372</v>
      </c>
      <c r="G317" s="280" t="s">
        <v>4353</v>
      </c>
      <c r="H317" s="250"/>
      <c r="I317" s="250"/>
      <c r="J317" s="250"/>
      <c r="K317" s="250"/>
      <c r="L317" s="250"/>
      <c r="M317" s="250"/>
      <c r="N317" s="250"/>
      <c r="O317" s="250"/>
      <c r="P317" s="250"/>
      <c r="Q317" s="250"/>
      <c r="R317" s="250"/>
      <c r="S317" s="250"/>
      <c r="T317" s="250"/>
      <c r="U317" s="250"/>
      <c r="V317" s="250"/>
      <c r="W317" s="250"/>
      <c r="X317" s="250"/>
      <c r="Y317" s="250"/>
      <c r="Z317" s="250"/>
    </row>
    <row r="318" ht="14.25" customHeight="1">
      <c r="A318" s="73" t="s">
        <v>187</v>
      </c>
      <c r="B318" s="70" t="s">
        <v>30</v>
      </c>
      <c r="C318" s="285">
        <v>12.0</v>
      </c>
      <c r="D318" s="286">
        <v>350.0</v>
      </c>
      <c r="E318" s="73" t="s">
        <v>136</v>
      </c>
      <c r="F318" s="287">
        <v>45979.0</v>
      </c>
      <c r="G318" s="77">
        <f t="shared" ref="G318:G319" si="6">D318*C318</f>
        <v>4200</v>
      </c>
      <c r="H318" s="250"/>
      <c r="I318" s="250"/>
      <c r="J318" s="250"/>
      <c r="K318" s="250"/>
      <c r="L318" s="250"/>
      <c r="M318" s="250"/>
      <c r="N318" s="250"/>
      <c r="O318" s="250"/>
      <c r="P318" s="250"/>
      <c r="Q318" s="250"/>
      <c r="R318" s="250"/>
      <c r="S318" s="250"/>
      <c r="T318" s="250"/>
      <c r="U318" s="250"/>
      <c r="V318" s="250"/>
      <c r="W318" s="250"/>
      <c r="X318" s="250"/>
      <c r="Y318" s="250"/>
      <c r="Z318" s="250"/>
    </row>
    <row r="319" ht="14.25" customHeight="1">
      <c r="A319" s="288" t="s">
        <v>135</v>
      </c>
      <c r="B319" s="73" t="s">
        <v>30</v>
      </c>
      <c r="C319" s="285">
        <v>12.0</v>
      </c>
      <c r="D319" s="286">
        <v>450.0</v>
      </c>
      <c r="E319" s="73" t="s">
        <v>136</v>
      </c>
      <c r="F319" s="287">
        <v>45979.0</v>
      </c>
      <c r="G319" s="77">
        <f t="shared" si="6"/>
        <v>5400</v>
      </c>
      <c r="H319" s="250"/>
      <c r="I319" s="250"/>
      <c r="J319" s="250"/>
      <c r="K319" s="250"/>
      <c r="L319" s="250"/>
      <c r="M319" s="250"/>
      <c r="N319" s="250"/>
      <c r="O319" s="250"/>
      <c r="P319" s="250"/>
      <c r="Q319" s="250"/>
      <c r="R319" s="250"/>
      <c r="S319" s="250"/>
      <c r="T319" s="250"/>
      <c r="U319" s="250"/>
      <c r="V319" s="250"/>
      <c r="W319" s="250"/>
      <c r="X319" s="250"/>
      <c r="Y319" s="250"/>
      <c r="Z319" s="250"/>
    </row>
    <row r="320" ht="14.25" customHeight="1">
      <c r="A320" s="77" t="s">
        <v>4366</v>
      </c>
      <c r="B320" s="77">
        <f>SUBTOTAL(109,' طلبيات'!$B$210:$B$225)</f>
        <v>0</v>
      </c>
      <c r="C320" s="77">
        <f>SUM(جدول_9[الكمية])</f>
        <v>24</v>
      </c>
      <c r="D320" s="112">
        <f>SUM(جدول_9[سعر الشراء])</f>
        <v>800</v>
      </c>
      <c r="E320" s="77">
        <f>SUBTOTAL(109,' طلبيات'!$E$210:$E$225)</f>
        <v>0</v>
      </c>
      <c r="F320" s="282" t="s">
        <v>4519</v>
      </c>
      <c r="G320" s="77">
        <f>SUM(جدول_9[المجموع])</f>
        <v>9600</v>
      </c>
      <c r="H320" s="250"/>
      <c r="I320" s="250"/>
      <c r="J320" s="250"/>
      <c r="K320" s="250"/>
      <c r="L320" s="250"/>
      <c r="M320" s="250"/>
      <c r="N320" s="250"/>
      <c r="O320" s="250"/>
      <c r="P320" s="250"/>
      <c r="Q320" s="250"/>
      <c r="R320" s="250"/>
      <c r="S320" s="250"/>
      <c r="T320" s="250"/>
      <c r="U320" s="250"/>
      <c r="V320" s="250"/>
      <c r="W320" s="250"/>
      <c r="X320" s="250"/>
      <c r="Y320" s="250"/>
      <c r="Z320" s="250"/>
    </row>
    <row r="321" ht="14.25" customHeight="1">
      <c r="A321" s="250"/>
      <c r="B321" s="250"/>
      <c r="C321" s="250"/>
      <c r="D321" s="254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250"/>
      <c r="P321" s="250"/>
      <c r="Q321" s="250"/>
      <c r="R321" s="250"/>
      <c r="S321" s="250"/>
      <c r="T321" s="250"/>
      <c r="U321" s="250"/>
      <c r="V321" s="250"/>
      <c r="W321" s="250"/>
      <c r="X321" s="250"/>
      <c r="Y321" s="250"/>
      <c r="Z321" s="250"/>
    </row>
    <row r="322" ht="14.25" customHeight="1">
      <c r="A322" s="250"/>
      <c r="B322" s="250"/>
      <c r="C322" s="250"/>
      <c r="D322" s="254"/>
      <c r="E322" s="250"/>
      <c r="F322" s="250"/>
      <c r="G322" s="250"/>
      <c r="H322" s="250"/>
      <c r="I322" s="250"/>
      <c r="J322" s="25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</row>
    <row r="323" ht="14.25" customHeight="1">
      <c r="B323" s="250"/>
      <c r="C323" s="250"/>
      <c r="D323" s="254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250"/>
      <c r="P323" s="250"/>
      <c r="Q323" s="250"/>
      <c r="R323" s="250"/>
      <c r="S323" s="250"/>
      <c r="T323" s="250"/>
      <c r="U323" s="250"/>
      <c r="V323" s="250"/>
      <c r="W323" s="250"/>
      <c r="X323" s="250"/>
      <c r="Y323" s="250"/>
      <c r="Z323" s="250"/>
    </row>
    <row r="324" ht="14.25" customHeight="1">
      <c r="A324" s="250"/>
      <c r="B324" s="250"/>
      <c r="C324" s="250"/>
      <c r="D324" s="254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0"/>
      <c r="X324" s="250"/>
      <c r="Y324" s="250"/>
      <c r="Z324" s="250"/>
    </row>
    <row r="325" ht="14.25" customHeight="1">
      <c r="A325" s="280" t="s">
        <v>4369</v>
      </c>
      <c r="B325" s="280" t="s">
        <v>4350</v>
      </c>
      <c r="C325" s="280" t="s">
        <v>4352</v>
      </c>
      <c r="D325" s="281" t="s">
        <v>4370</v>
      </c>
      <c r="E325" s="280" t="s">
        <v>4433</v>
      </c>
      <c r="F325" s="280" t="s">
        <v>4372</v>
      </c>
      <c r="G325" s="280" t="s">
        <v>4353</v>
      </c>
      <c r="H325" s="250"/>
      <c r="I325" s="250"/>
      <c r="J325" s="250"/>
      <c r="K325" s="250"/>
      <c r="L325" s="250"/>
      <c r="M325" s="250"/>
      <c r="N325" s="250"/>
      <c r="O325" s="250"/>
      <c r="P325" s="250"/>
      <c r="Q325" s="250"/>
      <c r="R325" s="250"/>
      <c r="S325" s="250"/>
      <c r="T325" s="250"/>
      <c r="U325" s="250"/>
      <c r="V325" s="250"/>
      <c r="W325" s="250"/>
      <c r="X325" s="250"/>
      <c r="Y325" s="250"/>
      <c r="Z325" s="250"/>
    </row>
    <row r="326" ht="14.25" customHeight="1">
      <c r="A326" s="288" t="s">
        <v>741</v>
      </c>
      <c r="B326" s="73" t="s">
        <v>472</v>
      </c>
      <c r="C326" s="285">
        <v>12.0</v>
      </c>
      <c r="D326" s="286">
        <v>150.0</v>
      </c>
      <c r="E326" s="73" t="s">
        <v>51</v>
      </c>
      <c r="F326" s="74">
        <v>45987.0</v>
      </c>
      <c r="G326" s="77">
        <f t="shared" ref="G326:G337" si="7">D326*C326</f>
        <v>1800</v>
      </c>
      <c r="H326" s="250"/>
      <c r="I326" s="250"/>
      <c r="J326" s="250"/>
      <c r="K326" s="250"/>
      <c r="L326" s="250"/>
      <c r="M326" s="250"/>
      <c r="N326" s="250"/>
      <c r="O326" s="250"/>
      <c r="P326" s="250"/>
      <c r="Q326" s="250"/>
      <c r="R326" s="250"/>
      <c r="S326" s="250"/>
      <c r="T326" s="250"/>
      <c r="U326" s="250"/>
      <c r="V326" s="250"/>
      <c r="W326" s="250"/>
      <c r="X326" s="250"/>
      <c r="Y326" s="250"/>
      <c r="Z326" s="250"/>
    </row>
    <row r="327" ht="14.25" customHeight="1">
      <c r="A327" s="288" t="s">
        <v>806</v>
      </c>
      <c r="B327" s="73" t="s">
        <v>472</v>
      </c>
      <c r="C327" s="285">
        <v>12.0</v>
      </c>
      <c r="D327" s="286">
        <v>140.0</v>
      </c>
      <c r="E327" s="73" t="s">
        <v>51</v>
      </c>
      <c r="F327" s="74">
        <v>45987.0</v>
      </c>
      <c r="G327" s="77">
        <f t="shared" si="7"/>
        <v>1680</v>
      </c>
      <c r="H327" s="250"/>
      <c r="I327" s="250"/>
      <c r="J327" s="250"/>
      <c r="K327" s="250"/>
      <c r="L327" s="250"/>
      <c r="M327" s="250"/>
      <c r="N327" s="250"/>
      <c r="O327" s="250"/>
      <c r="P327" s="250"/>
      <c r="Q327" s="250"/>
      <c r="R327" s="250"/>
      <c r="S327" s="250"/>
      <c r="T327" s="250"/>
      <c r="U327" s="250"/>
      <c r="V327" s="250"/>
      <c r="W327" s="250"/>
      <c r="X327" s="250"/>
      <c r="Y327" s="250"/>
      <c r="Z327" s="250"/>
    </row>
    <row r="328" ht="14.25" customHeight="1">
      <c r="A328" s="288" t="s">
        <v>500</v>
      </c>
      <c r="B328" s="73" t="s">
        <v>472</v>
      </c>
      <c r="C328" s="285">
        <v>12.0</v>
      </c>
      <c r="D328" s="286">
        <v>125.0</v>
      </c>
      <c r="E328" s="73" t="s">
        <v>51</v>
      </c>
      <c r="F328" s="74">
        <v>45987.0</v>
      </c>
      <c r="G328" s="77">
        <f t="shared" si="7"/>
        <v>1500</v>
      </c>
      <c r="H328" s="250"/>
      <c r="I328" s="250"/>
      <c r="J328" s="250"/>
      <c r="K328" s="250"/>
      <c r="L328" s="250"/>
      <c r="M328" s="250"/>
      <c r="N328" s="250"/>
      <c r="O328" s="250"/>
      <c r="P328" s="250"/>
      <c r="Q328" s="250"/>
      <c r="R328" s="250"/>
      <c r="S328" s="250"/>
      <c r="T328" s="250"/>
      <c r="U328" s="250"/>
      <c r="V328" s="250"/>
      <c r="W328" s="250"/>
      <c r="X328" s="250"/>
      <c r="Y328" s="250"/>
      <c r="Z328" s="250"/>
    </row>
    <row r="329" ht="14.25" customHeight="1">
      <c r="A329" s="288" t="s">
        <v>518</v>
      </c>
      <c r="B329" s="73" t="s">
        <v>472</v>
      </c>
      <c r="C329" s="285">
        <v>24.0</v>
      </c>
      <c r="D329" s="286">
        <v>75.0</v>
      </c>
      <c r="E329" s="73" t="s">
        <v>51</v>
      </c>
      <c r="F329" s="74">
        <v>45987.0</v>
      </c>
      <c r="G329" s="77">
        <f t="shared" si="7"/>
        <v>1800</v>
      </c>
      <c r="H329" s="250"/>
      <c r="I329" s="250"/>
      <c r="J329" s="250"/>
      <c r="K329" s="250"/>
      <c r="L329" s="250"/>
      <c r="M329" s="250"/>
      <c r="N329" s="250"/>
      <c r="O329" s="250"/>
      <c r="P329" s="250"/>
      <c r="Q329" s="250"/>
      <c r="R329" s="250"/>
      <c r="S329" s="250"/>
      <c r="T329" s="250"/>
      <c r="U329" s="250"/>
      <c r="V329" s="250"/>
      <c r="W329" s="250"/>
      <c r="X329" s="250"/>
      <c r="Y329" s="250"/>
      <c r="Z329" s="250"/>
    </row>
    <row r="330" ht="14.25" customHeight="1">
      <c r="A330" s="288" t="s">
        <v>49</v>
      </c>
      <c r="B330" s="73" t="s">
        <v>50</v>
      </c>
      <c r="C330" s="285">
        <v>1.0</v>
      </c>
      <c r="D330" s="286">
        <v>1100.0</v>
      </c>
      <c r="E330" s="73" t="s">
        <v>51</v>
      </c>
      <c r="F330" s="74">
        <v>45987.0</v>
      </c>
      <c r="G330" s="77">
        <f t="shared" si="7"/>
        <v>1100</v>
      </c>
      <c r="H330" s="250"/>
      <c r="I330" s="250"/>
      <c r="J330" s="250"/>
      <c r="K330" s="250"/>
      <c r="L330" s="250"/>
      <c r="M330" s="250"/>
      <c r="N330" s="250"/>
      <c r="O330" s="250"/>
      <c r="P330" s="250"/>
      <c r="Q330" s="250"/>
      <c r="R330" s="250"/>
      <c r="S330" s="250"/>
      <c r="T330" s="250"/>
      <c r="U330" s="250"/>
      <c r="V330" s="250"/>
      <c r="W330" s="250"/>
      <c r="X330" s="250"/>
      <c r="Y330" s="250"/>
      <c r="Z330" s="250"/>
    </row>
    <row r="331" ht="14.25" customHeight="1">
      <c r="A331" s="288" t="s">
        <v>114</v>
      </c>
      <c r="B331" s="73" t="s">
        <v>50</v>
      </c>
      <c r="C331" s="285">
        <v>1.0</v>
      </c>
      <c r="D331" s="286">
        <v>500.0</v>
      </c>
      <c r="E331" s="73" t="s">
        <v>51</v>
      </c>
      <c r="F331" s="74">
        <v>45987.0</v>
      </c>
      <c r="G331" s="77">
        <f t="shared" si="7"/>
        <v>500</v>
      </c>
      <c r="H331" s="250"/>
      <c r="I331" s="250"/>
      <c r="J331" s="250"/>
      <c r="K331" s="250"/>
      <c r="L331" s="250"/>
      <c r="M331" s="250"/>
      <c r="N331" s="250"/>
      <c r="O331" s="250"/>
      <c r="P331" s="250"/>
      <c r="Q331" s="250"/>
      <c r="R331" s="250"/>
      <c r="S331" s="250"/>
      <c r="T331" s="250"/>
      <c r="U331" s="250"/>
      <c r="V331" s="250"/>
      <c r="W331" s="250"/>
      <c r="X331" s="250"/>
      <c r="Y331" s="250"/>
      <c r="Z331" s="250"/>
    </row>
    <row r="332" ht="14.25" customHeight="1">
      <c r="A332" s="288" t="s">
        <v>338</v>
      </c>
      <c r="B332" s="73" t="s">
        <v>339</v>
      </c>
      <c r="C332" s="285">
        <v>1.0</v>
      </c>
      <c r="D332" s="286">
        <v>250.0</v>
      </c>
      <c r="E332" s="73" t="s">
        <v>51</v>
      </c>
      <c r="F332" s="74">
        <v>45987.0</v>
      </c>
      <c r="G332" s="77">
        <f t="shared" si="7"/>
        <v>250</v>
      </c>
      <c r="H332" s="250"/>
      <c r="I332" s="250"/>
      <c r="J332" s="250"/>
      <c r="K332" s="250"/>
      <c r="L332" s="250"/>
      <c r="M332" s="250"/>
      <c r="N332" s="250"/>
      <c r="O332" s="250"/>
      <c r="P332" s="250"/>
      <c r="Q332" s="250"/>
      <c r="R332" s="250"/>
      <c r="S332" s="250"/>
      <c r="T332" s="250"/>
      <c r="U332" s="250"/>
      <c r="V332" s="250"/>
      <c r="W332" s="250"/>
      <c r="X332" s="250"/>
      <c r="Y332" s="250"/>
      <c r="Z332" s="250"/>
    </row>
    <row r="333" ht="14.25" customHeight="1">
      <c r="A333" s="288" t="s">
        <v>342</v>
      </c>
      <c r="B333" s="73" t="s">
        <v>339</v>
      </c>
      <c r="C333" s="285">
        <v>1.0</v>
      </c>
      <c r="D333" s="286">
        <v>250.0</v>
      </c>
      <c r="E333" s="73" t="s">
        <v>51</v>
      </c>
      <c r="F333" s="74">
        <v>45987.0</v>
      </c>
      <c r="G333" s="77">
        <f t="shared" si="7"/>
        <v>250</v>
      </c>
      <c r="H333" s="250"/>
      <c r="I333" s="250"/>
      <c r="J333" s="250"/>
      <c r="K333" s="250"/>
      <c r="L333" s="250"/>
      <c r="M333" s="250"/>
      <c r="N333" s="250"/>
      <c r="O333" s="250"/>
      <c r="P333" s="250"/>
      <c r="Q333" s="250"/>
      <c r="R333" s="250"/>
      <c r="S333" s="250"/>
      <c r="T333" s="250"/>
      <c r="U333" s="250"/>
      <c r="V333" s="250"/>
      <c r="W333" s="250"/>
      <c r="X333" s="250"/>
      <c r="Y333" s="250"/>
      <c r="Z333" s="250"/>
    </row>
    <row r="334" ht="14.25" customHeight="1">
      <c r="A334" s="288" t="s">
        <v>406</v>
      </c>
      <c r="B334" s="73" t="s">
        <v>339</v>
      </c>
      <c r="C334" s="285">
        <v>1.0</v>
      </c>
      <c r="D334" s="286">
        <v>225.0</v>
      </c>
      <c r="E334" s="73" t="s">
        <v>51</v>
      </c>
      <c r="F334" s="74">
        <v>45987.0</v>
      </c>
      <c r="G334" s="77">
        <f t="shared" si="7"/>
        <v>225</v>
      </c>
      <c r="H334" s="250"/>
      <c r="I334" s="250"/>
      <c r="J334" s="250"/>
      <c r="K334" s="250"/>
      <c r="L334" s="250"/>
      <c r="M334" s="250"/>
      <c r="N334" s="250"/>
      <c r="O334" s="250"/>
      <c r="P334" s="250"/>
      <c r="Q334" s="250"/>
      <c r="R334" s="250"/>
      <c r="S334" s="250"/>
      <c r="T334" s="250"/>
      <c r="U334" s="250"/>
      <c r="V334" s="250"/>
      <c r="W334" s="250"/>
      <c r="X334" s="250"/>
      <c r="Y334" s="250"/>
      <c r="Z334" s="250"/>
    </row>
    <row r="335" ht="14.25" customHeight="1">
      <c r="A335" s="288" t="s">
        <v>823</v>
      </c>
      <c r="B335" s="73" t="s">
        <v>339</v>
      </c>
      <c r="C335" s="285">
        <v>2.0</v>
      </c>
      <c r="D335" s="286">
        <v>65.0</v>
      </c>
      <c r="E335" s="73" t="s">
        <v>51</v>
      </c>
      <c r="F335" s="74">
        <v>45987.0</v>
      </c>
      <c r="G335" s="77">
        <f t="shared" si="7"/>
        <v>130</v>
      </c>
      <c r="H335" s="250"/>
      <c r="I335" s="250"/>
      <c r="J335" s="250"/>
      <c r="K335" s="250"/>
      <c r="L335" s="250"/>
      <c r="M335" s="250"/>
      <c r="N335" s="250"/>
      <c r="O335" s="250"/>
      <c r="P335" s="250"/>
      <c r="Q335" s="250"/>
      <c r="R335" s="250"/>
      <c r="S335" s="250"/>
      <c r="T335" s="250"/>
      <c r="U335" s="250"/>
      <c r="V335" s="250"/>
      <c r="W335" s="250"/>
      <c r="X335" s="250"/>
      <c r="Y335" s="250"/>
      <c r="Z335" s="250"/>
    </row>
    <row r="336" ht="14.25" customHeight="1">
      <c r="A336" s="288" t="s">
        <v>347</v>
      </c>
      <c r="B336" s="73" t="s">
        <v>238</v>
      </c>
      <c r="C336" s="285">
        <v>10.0</v>
      </c>
      <c r="D336" s="286">
        <v>20.0</v>
      </c>
      <c r="E336" s="73" t="s">
        <v>51</v>
      </c>
      <c r="F336" s="74">
        <v>45987.0</v>
      </c>
      <c r="G336" s="77">
        <f t="shared" si="7"/>
        <v>200</v>
      </c>
      <c r="H336" s="250"/>
      <c r="I336" s="250"/>
      <c r="J336" s="250"/>
      <c r="K336" s="250"/>
      <c r="L336" s="250"/>
      <c r="M336" s="250"/>
      <c r="N336" s="250"/>
      <c r="O336" s="250"/>
      <c r="P336" s="250"/>
      <c r="Q336" s="250"/>
      <c r="R336" s="250"/>
      <c r="S336" s="250"/>
      <c r="T336" s="250"/>
      <c r="U336" s="250"/>
      <c r="V336" s="250"/>
      <c r="W336" s="250"/>
      <c r="X336" s="250"/>
      <c r="Y336" s="250"/>
      <c r="Z336" s="250"/>
    </row>
    <row r="337" ht="14.25" customHeight="1">
      <c r="A337" s="288" t="s">
        <v>830</v>
      </c>
      <c r="B337" s="73" t="s">
        <v>238</v>
      </c>
      <c r="C337" s="285">
        <v>10.0</v>
      </c>
      <c r="D337" s="286">
        <v>10.0</v>
      </c>
      <c r="E337" s="73" t="s">
        <v>51</v>
      </c>
      <c r="F337" s="74">
        <v>45987.0</v>
      </c>
      <c r="G337" s="77">
        <f t="shared" si="7"/>
        <v>100</v>
      </c>
      <c r="H337" s="250"/>
      <c r="I337" s="250"/>
      <c r="J337" s="250"/>
      <c r="K337" s="250"/>
      <c r="L337" s="250"/>
      <c r="M337" s="250"/>
      <c r="N337" s="250"/>
      <c r="O337" s="250"/>
      <c r="P337" s="250"/>
      <c r="Q337" s="250"/>
      <c r="R337" s="250"/>
      <c r="S337" s="250"/>
      <c r="T337" s="250"/>
      <c r="U337" s="250"/>
      <c r="V337" s="250"/>
      <c r="W337" s="250"/>
      <c r="X337" s="250"/>
      <c r="Y337" s="250"/>
      <c r="Z337" s="250"/>
    </row>
    <row r="338" ht="14.25" customHeight="1">
      <c r="A338" s="77" t="s">
        <v>4366</v>
      </c>
      <c r="B338" s="77">
        <f>SUBTOTAL(109,' طلبيات'!$B$210:$B$225)</f>
        <v>0</v>
      </c>
      <c r="C338" s="77">
        <f>SUM(جدول_8[الكمية])</f>
        <v>87</v>
      </c>
      <c r="D338" s="112">
        <f>SUM(جدول_8[سعر الشراء])</f>
        <v>2910</v>
      </c>
      <c r="E338" s="77">
        <f>SUBTOTAL(109,' طلبيات'!$E$210:$E$225)</f>
        <v>0</v>
      </c>
      <c r="F338" s="139" t="s">
        <v>4519</v>
      </c>
      <c r="G338" s="77">
        <f>SUM(جدول_8[المجموع])</f>
        <v>9535</v>
      </c>
      <c r="H338" s="250"/>
      <c r="J338" s="289"/>
      <c r="K338" s="289"/>
      <c r="L338" s="250"/>
      <c r="M338" s="250"/>
      <c r="N338" s="250"/>
      <c r="O338" s="250"/>
      <c r="P338" s="250"/>
      <c r="Q338" s="250"/>
      <c r="R338" s="250"/>
      <c r="S338" s="250"/>
      <c r="T338" s="250"/>
      <c r="U338" s="250"/>
      <c r="V338" s="250"/>
      <c r="W338" s="250"/>
      <c r="X338" s="250"/>
      <c r="Y338" s="250"/>
      <c r="Z338" s="250"/>
    </row>
    <row r="339" ht="14.25" customHeight="1">
      <c r="A339" s="250"/>
      <c r="B339" s="250"/>
      <c r="C339" s="250"/>
      <c r="D339" s="254"/>
      <c r="E339" s="250"/>
      <c r="F339" s="250"/>
      <c r="G339" s="250"/>
      <c r="H339" s="250"/>
      <c r="J339" s="290"/>
      <c r="K339" s="290"/>
      <c r="L339" s="250"/>
      <c r="M339" s="250"/>
      <c r="N339" s="250"/>
      <c r="O339" s="250"/>
      <c r="P339" s="250"/>
      <c r="Q339" s="250"/>
      <c r="R339" s="250"/>
      <c r="S339" s="250"/>
      <c r="T339" s="250"/>
      <c r="U339" s="250"/>
      <c r="V339" s="250"/>
      <c r="W339" s="250"/>
      <c r="X339" s="250"/>
      <c r="Y339" s="250"/>
      <c r="Z339" s="250"/>
    </row>
    <row r="340" ht="14.25" customHeight="1">
      <c r="A340" s="250"/>
      <c r="B340" s="250"/>
      <c r="C340" s="250"/>
      <c r="D340" s="254"/>
      <c r="E340" s="250"/>
      <c r="F340" s="250"/>
      <c r="G340" s="250"/>
      <c r="H340" s="250"/>
      <c r="J340" s="290"/>
      <c r="K340" s="290"/>
      <c r="L340" s="250"/>
      <c r="M340" s="250"/>
      <c r="N340" s="250"/>
      <c r="O340" s="250"/>
      <c r="P340" s="250"/>
      <c r="Q340" s="250"/>
      <c r="R340" s="250"/>
      <c r="S340" s="250"/>
      <c r="T340" s="250"/>
      <c r="U340" s="250"/>
      <c r="V340" s="250"/>
      <c r="W340" s="250"/>
      <c r="X340" s="250"/>
      <c r="Y340" s="250"/>
      <c r="Z340" s="250"/>
    </row>
    <row r="341" ht="14.25" customHeight="1">
      <c r="A341" s="250"/>
      <c r="B341" s="250"/>
      <c r="C341" s="250"/>
      <c r="D341" s="254"/>
      <c r="E341" s="250"/>
      <c r="F341" s="250"/>
      <c r="G341" s="250"/>
      <c r="H341" s="250"/>
      <c r="J341" s="290"/>
      <c r="K341" s="290"/>
      <c r="L341" s="250"/>
      <c r="M341" s="250"/>
      <c r="N341" s="250"/>
      <c r="O341" s="250"/>
      <c r="P341" s="250"/>
      <c r="Q341" s="250"/>
      <c r="R341" s="250"/>
      <c r="S341" s="250"/>
      <c r="T341" s="250"/>
      <c r="U341" s="250"/>
      <c r="V341" s="250"/>
      <c r="W341" s="250"/>
      <c r="X341" s="250"/>
      <c r="Y341" s="250"/>
      <c r="Z341" s="250"/>
    </row>
    <row r="342" ht="14.25" customHeight="1">
      <c r="A342" s="280" t="s">
        <v>4369</v>
      </c>
      <c r="B342" s="280" t="s">
        <v>4350</v>
      </c>
      <c r="C342" s="280" t="s">
        <v>4352</v>
      </c>
      <c r="D342" s="281" t="s">
        <v>4370</v>
      </c>
      <c r="E342" s="280" t="s">
        <v>4433</v>
      </c>
      <c r="F342" s="280" t="s">
        <v>4372</v>
      </c>
      <c r="G342" s="280" t="s">
        <v>4353</v>
      </c>
      <c r="H342" s="108" t="s">
        <v>4578</v>
      </c>
      <c r="I342" s="1"/>
      <c r="J342" s="1"/>
      <c r="K342" s="1"/>
      <c r="L342" s="289"/>
      <c r="M342" s="289"/>
      <c r="N342" s="250"/>
      <c r="O342" s="250"/>
      <c r="P342" s="250"/>
      <c r="Q342" s="250"/>
      <c r="R342" s="250"/>
      <c r="S342" s="250"/>
      <c r="T342" s="250"/>
      <c r="U342" s="250"/>
      <c r="V342" s="250"/>
      <c r="W342" s="250"/>
      <c r="X342" s="250"/>
      <c r="Y342" s="250"/>
      <c r="Z342" s="250"/>
    </row>
    <row r="343" ht="14.25" customHeight="1">
      <c r="A343" s="106" t="s">
        <v>558</v>
      </c>
      <c r="B343" s="70" t="s">
        <v>224</v>
      </c>
      <c r="C343" s="71">
        <v>14.0</v>
      </c>
      <c r="D343" s="72">
        <v>125.0</v>
      </c>
      <c r="E343" s="73" t="s">
        <v>119</v>
      </c>
      <c r="F343" s="74">
        <v>46004.0</v>
      </c>
      <c r="G343" s="77">
        <f t="shared" ref="G343:G383" si="8">D343*C343</f>
        <v>1750</v>
      </c>
      <c r="H343" s="70" t="s">
        <v>4580</v>
      </c>
      <c r="N343" s="250"/>
      <c r="O343" s="250"/>
      <c r="P343" s="250"/>
      <c r="Q343" s="250"/>
      <c r="R343" s="250"/>
      <c r="S343" s="250"/>
      <c r="T343" s="250"/>
      <c r="U343" s="250"/>
      <c r="V343" s="250"/>
      <c r="W343" s="250"/>
      <c r="X343" s="250"/>
      <c r="Y343" s="250"/>
      <c r="Z343" s="250"/>
    </row>
    <row r="344" ht="14.25" customHeight="1">
      <c r="A344" s="106" t="s">
        <v>547</v>
      </c>
      <c r="B344" s="70" t="s">
        <v>224</v>
      </c>
      <c r="C344" s="71">
        <v>2.0</v>
      </c>
      <c r="D344" s="72">
        <v>135.0</v>
      </c>
      <c r="E344" s="73" t="s">
        <v>119</v>
      </c>
      <c r="F344" s="74">
        <v>46004.0</v>
      </c>
      <c r="G344" s="77">
        <f t="shared" si="8"/>
        <v>270</v>
      </c>
      <c r="H344" s="70" t="s">
        <v>4580</v>
      </c>
      <c r="N344" s="250"/>
      <c r="O344" s="250"/>
      <c r="P344" s="250"/>
      <c r="Q344" s="250"/>
      <c r="R344" s="250"/>
      <c r="S344" s="250"/>
      <c r="T344" s="250"/>
      <c r="U344" s="250"/>
      <c r="V344" s="250"/>
      <c r="W344" s="250"/>
      <c r="X344" s="250"/>
      <c r="Y344" s="250"/>
      <c r="Z344" s="250"/>
    </row>
    <row r="345" ht="14.25" customHeight="1">
      <c r="A345" s="106" t="s">
        <v>549</v>
      </c>
      <c r="B345" s="70" t="s">
        <v>836</v>
      </c>
      <c r="C345" s="71">
        <v>3.0</v>
      </c>
      <c r="D345" s="72">
        <f>17+1/2</f>
        <v>17.5</v>
      </c>
      <c r="E345" s="73" t="s">
        <v>119</v>
      </c>
      <c r="F345" s="74">
        <v>46004.0</v>
      </c>
      <c r="G345" s="77">
        <f t="shared" si="8"/>
        <v>52.5</v>
      </c>
      <c r="H345" s="70" t="s">
        <v>4580</v>
      </c>
      <c r="N345" s="250"/>
      <c r="O345" s="250"/>
      <c r="P345" s="250"/>
      <c r="Q345" s="250"/>
      <c r="R345" s="250"/>
      <c r="S345" s="250"/>
      <c r="T345" s="250"/>
      <c r="U345" s="250"/>
      <c r="V345" s="250"/>
      <c r="W345" s="250"/>
      <c r="X345" s="250"/>
      <c r="Y345" s="250"/>
      <c r="Z345" s="250"/>
    </row>
    <row r="346" ht="14.25" customHeight="1">
      <c r="A346" s="106" t="s">
        <v>536</v>
      </c>
      <c r="B346" s="70" t="s">
        <v>836</v>
      </c>
      <c r="C346" s="71">
        <v>6.0</v>
      </c>
      <c r="D346" s="72">
        <f>11+1/4</f>
        <v>11.25</v>
      </c>
      <c r="E346" s="73" t="s">
        <v>119</v>
      </c>
      <c r="F346" s="74">
        <v>46004.0</v>
      </c>
      <c r="G346" s="77">
        <f t="shared" si="8"/>
        <v>67.5</v>
      </c>
      <c r="H346" s="70" t="s">
        <v>4580</v>
      </c>
      <c r="N346" s="250"/>
      <c r="O346" s="250"/>
      <c r="P346" s="250"/>
      <c r="Q346" s="250"/>
      <c r="R346" s="250"/>
      <c r="S346" s="250"/>
      <c r="T346" s="250"/>
      <c r="U346" s="250"/>
      <c r="V346" s="250"/>
      <c r="W346" s="250"/>
      <c r="X346" s="250"/>
      <c r="Y346" s="250"/>
      <c r="Z346" s="250"/>
    </row>
    <row r="347" ht="14.25" customHeight="1">
      <c r="A347" s="106" t="s">
        <v>680</v>
      </c>
      <c r="B347" s="70" t="s">
        <v>681</v>
      </c>
      <c r="C347" s="71">
        <v>1.0</v>
      </c>
      <c r="D347" s="72">
        <v>160.0</v>
      </c>
      <c r="E347" s="73" t="s">
        <v>119</v>
      </c>
      <c r="F347" s="74">
        <v>46004.0</v>
      </c>
      <c r="G347" s="77">
        <f t="shared" si="8"/>
        <v>160</v>
      </c>
      <c r="H347" s="70" t="s">
        <v>4580</v>
      </c>
      <c r="N347" s="250"/>
      <c r="O347" s="250"/>
      <c r="P347" s="250"/>
      <c r="Q347" s="250"/>
      <c r="R347" s="250"/>
      <c r="S347" s="250"/>
      <c r="T347" s="250"/>
      <c r="U347" s="250"/>
      <c r="V347" s="250"/>
      <c r="W347" s="250"/>
      <c r="X347" s="250"/>
      <c r="Y347" s="250"/>
      <c r="Z347" s="250"/>
    </row>
    <row r="348" ht="14.25" customHeight="1">
      <c r="A348" s="106" t="s">
        <v>540</v>
      </c>
      <c r="B348" s="70" t="s">
        <v>579</v>
      </c>
      <c r="C348" s="75">
        <v>18.0</v>
      </c>
      <c r="D348" s="72">
        <f>(66+3/4)/6</f>
        <v>11.125</v>
      </c>
      <c r="E348" s="73" t="s">
        <v>119</v>
      </c>
      <c r="F348" s="74">
        <v>46004.0</v>
      </c>
      <c r="G348" s="77">
        <f t="shared" si="8"/>
        <v>200.25</v>
      </c>
      <c r="H348" s="70" t="s">
        <v>4580</v>
      </c>
      <c r="N348" s="250"/>
      <c r="O348" s="250"/>
      <c r="P348" s="250"/>
      <c r="Q348" s="250"/>
      <c r="R348" s="250"/>
      <c r="S348" s="250"/>
      <c r="T348" s="250"/>
      <c r="U348" s="250"/>
      <c r="V348" s="250"/>
      <c r="W348" s="250"/>
      <c r="X348" s="250"/>
      <c r="Y348" s="250"/>
      <c r="Z348" s="250"/>
    </row>
    <row r="349" ht="14.25" customHeight="1">
      <c r="A349" s="106" t="s">
        <v>764</v>
      </c>
      <c r="B349" s="70" t="s">
        <v>224</v>
      </c>
      <c r="C349" s="71">
        <v>1.0</v>
      </c>
      <c r="D349" s="76">
        <f>136+1/2</f>
        <v>136.5</v>
      </c>
      <c r="E349" s="73" t="s">
        <v>119</v>
      </c>
      <c r="F349" s="74">
        <v>46004.0</v>
      </c>
      <c r="G349" s="77">
        <f t="shared" si="8"/>
        <v>136.5</v>
      </c>
      <c r="H349" s="70" t="s">
        <v>4580</v>
      </c>
      <c r="N349" s="250"/>
      <c r="O349" s="250"/>
      <c r="P349" s="250"/>
      <c r="Q349" s="250"/>
      <c r="R349" s="250"/>
      <c r="S349" s="250"/>
      <c r="T349" s="250"/>
      <c r="U349" s="250"/>
      <c r="V349" s="250"/>
      <c r="W349" s="250"/>
      <c r="X349" s="250"/>
      <c r="Y349" s="250"/>
      <c r="Z349" s="250"/>
    </row>
    <row r="350" ht="14.25" customHeight="1">
      <c r="A350" s="106" t="s">
        <v>849</v>
      </c>
      <c r="B350" s="70" t="s">
        <v>224</v>
      </c>
      <c r="C350" s="71">
        <v>1.0</v>
      </c>
      <c r="D350" s="72">
        <v>135.0</v>
      </c>
      <c r="E350" s="73" t="s">
        <v>119</v>
      </c>
      <c r="F350" s="74">
        <v>46004.0</v>
      </c>
      <c r="G350" s="77">
        <f t="shared" si="8"/>
        <v>135</v>
      </c>
      <c r="H350" s="70" t="s">
        <v>4580</v>
      </c>
      <c r="N350" s="250"/>
      <c r="O350" s="250"/>
      <c r="P350" s="250"/>
      <c r="Q350" s="250"/>
      <c r="R350" s="250"/>
      <c r="S350" s="250"/>
      <c r="T350" s="250"/>
      <c r="U350" s="250"/>
      <c r="V350" s="250"/>
      <c r="W350" s="250"/>
      <c r="X350" s="250"/>
      <c r="Y350" s="250"/>
      <c r="Z350" s="250"/>
    </row>
    <row r="351" ht="14.25" customHeight="1">
      <c r="A351" s="106" t="s">
        <v>519</v>
      </c>
      <c r="B351" s="70" t="s">
        <v>224</v>
      </c>
      <c r="C351" s="71">
        <v>1.0</v>
      </c>
      <c r="D351" s="72">
        <v>180.0</v>
      </c>
      <c r="E351" s="73" t="s">
        <v>119</v>
      </c>
      <c r="F351" s="74">
        <v>46004.0</v>
      </c>
      <c r="G351" s="77">
        <f t="shared" si="8"/>
        <v>180</v>
      </c>
      <c r="H351" s="70" t="s">
        <v>4580</v>
      </c>
      <c r="N351" s="250"/>
      <c r="O351" s="250"/>
      <c r="P351" s="250"/>
      <c r="Q351" s="250"/>
      <c r="R351" s="250"/>
      <c r="S351" s="250"/>
      <c r="T351" s="250"/>
      <c r="U351" s="250"/>
      <c r="V351" s="250"/>
      <c r="W351" s="250"/>
      <c r="X351" s="250"/>
      <c r="Y351" s="250"/>
      <c r="Z351" s="250"/>
    </row>
    <row r="352" ht="14.25" customHeight="1">
      <c r="A352" s="106" t="s">
        <v>854</v>
      </c>
      <c r="B352" s="70" t="s">
        <v>224</v>
      </c>
      <c r="C352" s="71">
        <v>1.0</v>
      </c>
      <c r="D352" s="72">
        <v>120.0</v>
      </c>
      <c r="E352" s="73" t="s">
        <v>119</v>
      </c>
      <c r="F352" s="74">
        <v>46004.0</v>
      </c>
      <c r="G352" s="77">
        <f t="shared" si="8"/>
        <v>120</v>
      </c>
      <c r="H352" s="70" t="s">
        <v>4580</v>
      </c>
      <c r="N352" s="250"/>
      <c r="O352" s="250"/>
      <c r="P352" s="250"/>
      <c r="Q352" s="250"/>
      <c r="R352" s="250"/>
      <c r="S352" s="250"/>
      <c r="T352" s="250"/>
      <c r="U352" s="250"/>
      <c r="V352" s="250"/>
      <c r="W352" s="250"/>
      <c r="X352" s="250"/>
      <c r="Y352" s="250"/>
      <c r="Z352" s="250"/>
    </row>
    <row r="353" ht="14.25" customHeight="1">
      <c r="A353" s="106" t="s">
        <v>541</v>
      </c>
      <c r="B353" s="70" t="s">
        <v>224</v>
      </c>
      <c r="C353" s="71">
        <v>1.0</v>
      </c>
      <c r="D353" s="72">
        <v>178.0</v>
      </c>
      <c r="E353" s="73" t="s">
        <v>119</v>
      </c>
      <c r="F353" s="74">
        <v>46004.0</v>
      </c>
      <c r="G353" s="77">
        <f t="shared" si="8"/>
        <v>178</v>
      </c>
      <c r="H353" s="70" t="s">
        <v>4580</v>
      </c>
      <c r="N353" s="250"/>
      <c r="O353" s="250"/>
      <c r="P353" s="250"/>
      <c r="Q353" s="250"/>
      <c r="R353" s="250"/>
      <c r="S353" s="250"/>
      <c r="T353" s="250"/>
      <c r="U353" s="250"/>
      <c r="V353" s="250"/>
      <c r="W353" s="250"/>
      <c r="X353" s="250"/>
      <c r="Y353" s="250"/>
      <c r="Z353" s="250"/>
    </row>
    <row r="354" ht="14.25" customHeight="1">
      <c r="A354" s="106" t="s">
        <v>602</v>
      </c>
      <c r="B354" s="70" t="s">
        <v>224</v>
      </c>
      <c r="C354" s="71">
        <v>1.0</v>
      </c>
      <c r="D354" s="72">
        <v>174.0</v>
      </c>
      <c r="E354" s="73" t="s">
        <v>119</v>
      </c>
      <c r="F354" s="74">
        <v>46004.0</v>
      </c>
      <c r="G354" s="77">
        <f t="shared" si="8"/>
        <v>174</v>
      </c>
      <c r="H354" s="70" t="s">
        <v>4580</v>
      </c>
      <c r="N354" s="250"/>
      <c r="O354" s="250"/>
      <c r="P354" s="250"/>
      <c r="Q354" s="250"/>
      <c r="R354" s="250"/>
      <c r="S354" s="250"/>
      <c r="T354" s="250"/>
      <c r="U354" s="250"/>
      <c r="V354" s="250"/>
      <c r="W354" s="250"/>
      <c r="X354" s="250"/>
      <c r="Y354" s="250"/>
      <c r="Z354" s="250"/>
    </row>
    <row r="355" ht="14.25" customHeight="1">
      <c r="A355" s="106" t="s">
        <v>797</v>
      </c>
      <c r="B355" s="70" t="s">
        <v>224</v>
      </c>
      <c r="C355" s="71">
        <v>1.0</v>
      </c>
      <c r="D355" s="72">
        <v>145.0</v>
      </c>
      <c r="E355" s="73" t="s">
        <v>119</v>
      </c>
      <c r="F355" s="74">
        <v>46004.0</v>
      </c>
      <c r="G355" s="77">
        <f t="shared" si="8"/>
        <v>145</v>
      </c>
      <c r="H355" s="70" t="s">
        <v>4580</v>
      </c>
      <c r="J355" s="290"/>
      <c r="K355" s="290"/>
      <c r="N355" s="250"/>
      <c r="O355" s="250"/>
      <c r="P355" s="250"/>
      <c r="Q355" s="250"/>
      <c r="R355" s="250"/>
      <c r="S355" s="250"/>
      <c r="T355" s="250"/>
      <c r="U355" s="250"/>
      <c r="V355" s="250"/>
      <c r="W355" s="250"/>
      <c r="X355" s="250"/>
      <c r="Y355" s="250"/>
      <c r="Z355" s="250"/>
    </row>
    <row r="356" ht="14.25" customHeight="1">
      <c r="A356" s="106" t="s">
        <v>851</v>
      </c>
      <c r="B356" s="70" t="s">
        <v>224</v>
      </c>
      <c r="C356" s="71">
        <v>1.0</v>
      </c>
      <c r="D356" s="72">
        <v>137.0</v>
      </c>
      <c r="E356" s="73" t="s">
        <v>119</v>
      </c>
      <c r="F356" s="74">
        <v>46004.0</v>
      </c>
      <c r="G356" s="77">
        <f t="shared" si="8"/>
        <v>137</v>
      </c>
      <c r="H356" s="70" t="s">
        <v>4580</v>
      </c>
      <c r="J356" s="290"/>
      <c r="K356" s="290"/>
      <c r="N356" s="250"/>
      <c r="O356" s="250"/>
      <c r="P356" s="250"/>
      <c r="Q356" s="250"/>
      <c r="R356" s="250"/>
      <c r="S356" s="250"/>
      <c r="T356" s="250"/>
      <c r="U356" s="250"/>
      <c r="V356" s="250"/>
      <c r="W356" s="250"/>
      <c r="X356" s="250"/>
      <c r="Y356" s="250"/>
      <c r="Z356" s="250"/>
    </row>
    <row r="357" ht="14.25" customHeight="1">
      <c r="A357" s="106" t="s">
        <v>563</v>
      </c>
      <c r="B357" s="70" t="s">
        <v>224</v>
      </c>
      <c r="C357" s="71">
        <v>1.0</v>
      </c>
      <c r="D357" s="72">
        <v>175.0</v>
      </c>
      <c r="E357" s="73" t="s">
        <v>119</v>
      </c>
      <c r="F357" s="74">
        <v>46004.0</v>
      </c>
      <c r="G357" s="77">
        <f t="shared" si="8"/>
        <v>175</v>
      </c>
      <c r="H357" s="70" t="s">
        <v>4580</v>
      </c>
      <c r="J357" s="290"/>
      <c r="K357" s="290"/>
      <c r="N357" s="250"/>
      <c r="O357" s="250"/>
      <c r="P357" s="250"/>
      <c r="Q357" s="250"/>
      <c r="R357" s="250"/>
      <c r="S357" s="250"/>
      <c r="T357" s="250"/>
      <c r="U357" s="250"/>
      <c r="V357" s="250"/>
      <c r="W357" s="250"/>
      <c r="X357" s="250"/>
      <c r="Y357" s="250"/>
      <c r="Z357" s="250"/>
    </row>
    <row r="358" ht="14.25" customHeight="1">
      <c r="A358" s="106" t="s">
        <v>704</v>
      </c>
      <c r="B358" s="70" t="s">
        <v>224</v>
      </c>
      <c r="C358" s="71">
        <v>1.0</v>
      </c>
      <c r="D358" s="72">
        <v>150.0</v>
      </c>
      <c r="E358" s="73" t="s">
        <v>119</v>
      </c>
      <c r="F358" s="74">
        <v>46004.0</v>
      </c>
      <c r="G358" s="77">
        <f t="shared" si="8"/>
        <v>150</v>
      </c>
      <c r="H358" s="70" t="s">
        <v>4580</v>
      </c>
      <c r="J358" s="290"/>
      <c r="K358" s="290"/>
      <c r="N358" s="250"/>
      <c r="O358" s="250"/>
      <c r="P358" s="250"/>
      <c r="Q358" s="250"/>
      <c r="R358" s="250"/>
      <c r="S358" s="250"/>
      <c r="T358" s="250"/>
      <c r="U358" s="250"/>
      <c r="V358" s="250"/>
      <c r="W358" s="250"/>
      <c r="X358" s="250"/>
      <c r="Y358" s="250"/>
      <c r="Z358" s="250"/>
    </row>
    <row r="359" ht="14.25" customHeight="1">
      <c r="A359" s="106" t="s">
        <v>683</v>
      </c>
      <c r="B359" s="70" t="s">
        <v>224</v>
      </c>
      <c r="C359" s="71">
        <v>1.0</v>
      </c>
      <c r="D359" s="72">
        <v>160.0</v>
      </c>
      <c r="E359" s="73" t="s">
        <v>119</v>
      </c>
      <c r="F359" s="74">
        <v>46004.0</v>
      </c>
      <c r="G359" s="77">
        <f t="shared" si="8"/>
        <v>160</v>
      </c>
      <c r="H359" s="70" t="s">
        <v>4580</v>
      </c>
      <c r="J359" s="290"/>
      <c r="K359" s="290"/>
      <c r="N359" s="250"/>
      <c r="O359" s="250"/>
      <c r="P359" s="250"/>
      <c r="Q359" s="250"/>
      <c r="R359" s="250"/>
      <c r="S359" s="250"/>
      <c r="T359" s="250"/>
      <c r="U359" s="250"/>
      <c r="V359" s="250"/>
      <c r="W359" s="250"/>
      <c r="X359" s="250"/>
      <c r="Y359" s="250"/>
      <c r="Z359" s="250"/>
    </row>
    <row r="360" ht="14.25" customHeight="1">
      <c r="A360" s="106" t="s">
        <v>868</v>
      </c>
      <c r="B360" s="70" t="s">
        <v>224</v>
      </c>
      <c r="C360" s="71">
        <v>1.0</v>
      </c>
      <c r="D360" s="72">
        <v>125.0</v>
      </c>
      <c r="E360" s="73" t="s">
        <v>119</v>
      </c>
      <c r="F360" s="74">
        <v>46004.0</v>
      </c>
      <c r="G360" s="77">
        <f t="shared" si="8"/>
        <v>125</v>
      </c>
      <c r="H360" s="70" t="s">
        <v>4580</v>
      </c>
      <c r="J360" s="290"/>
      <c r="K360" s="290"/>
      <c r="N360" s="250"/>
      <c r="O360" s="250"/>
      <c r="P360" s="250"/>
      <c r="Q360" s="250"/>
      <c r="R360" s="250"/>
      <c r="S360" s="250"/>
      <c r="T360" s="250"/>
      <c r="U360" s="250"/>
      <c r="V360" s="250"/>
      <c r="W360" s="250"/>
      <c r="X360" s="250"/>
      <c r="Y360" s="250"/>
      <c r="Z360" s="250"/>
    </row>
    <row r="361" ht="14.25" customHeight="1">
      <c r="A361" s="106" t="s">
        <v>746</v>
      </c>
      <c r="B361" s="70" t="s">
        <v>224</v>
      </c>
      <c r="C361" s="71">
        <v>1.0</v>
      </c>
      <c r="D361" s="72">
        <v>150.0</v>
      </c>
      <c r="E361" s="73" t="s">
        <v>119</v>
      </c>
      <c r="F361" s="74">
        <v>46004.0</v>
      </c>
      <c r="G361" s="77">
        <f t="shared" si="8"/>
        <v>150</v>
      </c>
      <c r="H361" s="70" t="s">
        <v>4580</v>
      </c>
      <c r="J361" s="290"/>
      <c r="K361" s="290"/>
      <c r="N361" s="250"/>
      <c r="O361" s="250"/>
      <c r="P361" s="250"/>
      <c r="Q361" s="250"/>
      <c r="R361" s="250"/>
      <c r="S361" s="250"/>
      <c r="T361" s="250"/>
      <c r="U361" s="250"/>
      <c r="V361" s="250"/>
      <c r="W361" s="250"/>
      <c r="X361" s="250"/>
      <c r="Y361" s="250"/>
      <c r="Z361" s="250"/>
    </row>
    <row r="362" ht="14.25" customHeight="1">
      <c r="A362" s="106" t="s">
        <v>872</v>
      </c>
      <c r="B362" s="70" t="s">
        <v>224</v>
      </c>
      <c r="C362" s="71">
        <v>1.0</v>
      </c>
      <c r="D362" s="72">
        <v>95.0</v>
      </c>
      <c r="E362" s="73" t="s">
        <v>119</v>
      </c>
      <c r="F362" s="74">
        <v>46004.0</v>
      </c>
      <c r="G362" s="77">
        <f t="shared" si="8"/>
        <v>95</v>
      </c>
      <c r="H362" s="70" t="s">
        <v>4580</v>
      </c>
      <c r="J362" s="290"/>
      <c r="K362" s="290"/>
      <c r="N362" s="250"/>
      <c r="O362" s="250"/>
      <c r="P362" s="250"/>
      <c r="Q362" s="250"/>
      <c r="R362" s="250"/>
      <c r="S362" s="250"/>
      <c r="T362" s="250"/>
      <c r="U362" s="250"/>
      <c r="V362" s="250"/>
      <c r="W362" s="250"/>
      <c r="X362" s="250"/>
      <c r="Y362" s="250"/>
      <c r="Z362" s="250"/>
    </row>
    <row r="363" ht="14.25" customHeight="1">
      <c r="A363" s="106" t="s">
        <v>874</v>
      </c>
      <c r="B363" s="70" t="s">
        <v>224</v>
      </c>
      <c r="C363" s="71">
        <v>1.0</v>
      </c>
      <c r="D363" s="72">
        <v>135.0</v>
      </c>
      <c r="E363" s="73" t="s">
        <v>119</v>
      </c>
      <c r="F363" s="74">
        <v>46004.0</v>
      </c>
      <c r="G363" s="77">
        <f t="shared" si="8"/>
        <v>135</v>
      </c>
      <c r="H363" s="70" t="s">
        <v>4580</v>
      </c>
      <c r="J363" s="290"/>
      <c r="K363" s="290"/>
      <c r="N363" s="250"/>
      <c r="O363" s="250"/>
      <c r="P363" s="250"/>
      <c r="Q363" s="250"/>
      <c r="R363" s="250"/>
      <c r="S363" s="250"/>
      <c r="T363" s="250"/>
      <c r="U363" s="250"/>
      <c r="V363" s="250"/>
      <c r="W363" s="250"/>
      <c r="X363" s="250"/>
      <c r="Y363" s="250"/>
      <c r="Z363" s="250"/>
    </row>
    <row r="364" ht="14.25" customHeight="1">
      <c r="A364" s="106" t="s">
        <v>685</v>
      </c>
      <c r="B364" s="70" t="s">
        <v>224</v>
      </c>
      <c r="C364" s="71">
        <v>1.0</v>
      </c>
      <c r="D364" s="72">
        <v>160.0</v>
      </c>
      <c r="E364" s="73" t="s">
        <v>119</v>
      </c>
      <c r="F364" s="74">
        <v>46004.0</v>
      </c>
      <c r="G364" s="77">
        <f t="shared" si="8"/>
        <v>160</v>
      </c>
      <c r="H364" s="70" t="s">
        <v>4580</v>
      </c>
      <c r="J364" s="290"/>
      <c r="K364" s="290"/>
      <c r="N364" s="250"/>
      <c r="O364" s="250"/>
      <c r="P364" s="250"/>
      <c r="Q364" s="250"/>
      <c r="R364" s="250"/>
      <c r="S364" s="250"/>
      <c r="T364" s="250"/>
      <c r="U364" s="250"/>
      <c r="V364" s="250"/>
      <c r="W364" s="250"/>
      <c r="X364" s="250"/>
      <c r="Y364" s="250"/>
      <c r="Z364" s="250"/>
    </row>
    <row r="365" ht="14.25" customHeight="1">
      <c r="A365" s="106" t="s">
        <v>790</v>
      </c>
      <c r="B365" s="70" t="s">
        <v>224</v>
      </c>
      <c r="C365" s="71">
        <v>1.0</v>
      </c>
      <c r="D365" s="72">
        <v>135.0</v>
      </c>
      <c r="E365" s="73" t="s">
        <v>119</v>
      </c>
      <c r="F365" s="74">
        <v>46004.0</v>
      </c>
      <c r="G365" s="77">
        <f t="shared" si="8"/>
        <v>135</v>
      </c>
      <c r="H365" s="70" t="s">
        <v>4580</v>
      </c>
      <c r="J365" s="290"/>
      <c r="K365" s="290"/>
      <c r="N365" s="250"/>
      <c r="O365" s="250"/>
      <c r="P365" s="250"/>
      <c r="Q365" s="250"/>
      <c r="R365" s="250"/>
      <c r="S365" s="250"/>
      <c r="T365" s="250"/>
      <c r="U365" s="250"/>
      <c r="V365" s="250"/>
      <c r="W365" s="250"/>
      <c r="X365" s="250"/>
      <c r="Y365" s="250"/>
      <c r="Z365" s="250"/>
    </row>
    <row r="366" ht="14.25" customHeight="1">
      <c r="A366" s="106" t="s">
        <v>735</v>
      </c>
      <c r="B366" s="70" t="s">
        <v>224</v>
      </c>
      <c r="C366" s="71">
        <v>1.0</v>
      </c>
      <c r="D366" s="72">
        <v>125.0</v>
      </c>
      <c r="E366" s="73" t="s">
        <v>119</v>
      </c>
      <c r="F366" s="74">
        <v>46004.0</v>
      </c>
      <c r="G366" s="77">
        <f t="shared" si="8"/>
        <v>125</v>
      </c>
      <c r="H366" s="70" t="s">
        <v>4580</v>
      </c>
      <c r="J366" s="290"/>
      <c r="K366" s="290"/>
      <c r="N366" s="250"/>
      <c r="O366" s="250"/>
      <c r="P366" s="250"/>
      <c r="Q366" s="250"/>
      <c r="R366" s="250"/>
      <c r="S366" s="250"/>
      <c r="T366" s="250"/>
      <c r="U366" s="250"/>
      <c r="V366" s="250"/>
      <c r="W366" s="250"/>
      <c r="X366" s="250"/>
      <c r="Y366" s="250"/>
      <c r="Z366" s="250"/>
    </row>
    <row r="367" ht="14.25" customHeight="1">
      <c r="A367" s="106" t="s">
        <v>664</v>
      </c>
      <c r="B367" s="70" t="s">
        <v>224</v>
      </c>
      <c r="C367" s="71">
        <v>1.0</v>
      </c>
      <c r="D367" s="72">
        <v>165.0</v>
      </c>
      <c r="E367" s="73" t="s">
        <v>119</v>
      </c>
      <c r="F367" s="74">
        <v>46004.0</v>
      </c>
      <c r="G367" s="77">
        <f t="shared" si="8"/>
        <v>165</v>
      </c>
      <c r="H367" s="70" t="s">
        <v>4580</v>
      </c>
      <c r="J367" s="290"/>
      <c r="K367" s="290"/>
      <c r="N367" s="250"/>
      <c r="O367" s="250"/>
      <c r="P367" s="250"/>
      <c r="Q367" s="250"/>
      <c r="R367" s="250"/>
      <c r="S367" s="250"/>
      <c r="T367" s="250"/>
      <c r="U367" s="250"/>
      <c r="V367" s="250"/>
      <c r="W367" s="250"/>
      <c r="X367" s="250"/>
      <c r="Y367" s="250"/>
      <c r="Z367" s="250"/>
    </row>
    <row r="368" ht="14.25" customHeight="1">
      <c r="A368" s="106" t="s">
        <v>883</v>
      </c>
      <c r="B368" s="70" t="s">
        <v>224</v>
      </c>
      <c r="C368" s="71">
        <v>1.0</v>
      </c>
      <c r="D368" s="72">
        <v>115.0</v>
      </c>
      <c r="E368" s="73" t="s">
        <v>119</v>
      </c>
      <c r="F368" s="74">
        <v>46004.0</v>
      </c>
      <c r="G368" s="77">
        <f t="shared" si="8"/>
        <v>115</v>
      </c>
      <c r="H368" s="70" t="s">
        <v>4580</v>
      </c>
      <c r="J368" s="290"/>
      <c r="K368" s="290"/>
      <c r="N368" s="250"/>
      <c r="O368" s="250"/>
      <c r="P368" s="250"/>
      <c r="Q368" s="250"/>
      <c r="R368" s="250"/>
      <c r="S368" s="250"/>
      <c r="T368" s="250"/>
      <c r="U368" s="250"/>
      <c r="V368" s="250"/>
      <c r="W368" s="250"/>
      <c r="X368" s="250"/>
      <c r="Y368" s="250"/>
      <c r="Z368" s="250"/>
    </row>
    <row r="369" ht="14.25" customHeight="1">
      <c r="A369" s="106" t="s">
        <v>660</v>
      </c>
      <c r="B369" s="70" t="s">
        <v>224</v>
      </c>
      <c r="C369" s="71">
        <v>1.0</v>
      </c>
      <c r="D369" s="72">
        <v>130.0</v>
      </c>
      <c r="E369" s="73" t="s">
        <v>119</v>
      </c>
      <c r="F369" s="74">
        <v>46004.0</v>
      </c>
      <c r="G369" s="77">
        <f t="shared" si="8"/>
        <v>130</v>
      </c>
      <c r="H369" s="70" t="s">
        <v>4580</v>
      </c>
      <c r="J369" s="290"/>
      <c r="K369" s="290"/>
      <c r="N369" s="250"/>
      <c r="O369" s="250"/>
      <c r="P369" s="250"/>
      <c r="Q369" s="250"/>
      <c r="R369" s="250"/>
      <c r="S369" s="250"/>
      <c r="T369" s="250"/>
      <c r="U369" s="250"/>
      <c r="V369" s="250"/>
      <c r="W369" s="250"/>
      <c r="X369" s="250"/>
      <c r="Y369" s="250"/>
      <c r="Z369" s="250"/>
    </row>
    <row r="370" ht="14.25" customHeight="1">
      <c r="A370" s="106" t="s">
        <v>739</v>
      </c>
      <c r="B370" s="70" t="s">
        <v>224</v>
      </c>
      <c r="C370" s="71">
        <v>1.0</v>
      </c>
      <c r="D370" s="72">
        <v>125.0</v>
      </c>
      <c r="E370" s="73" t="s">
        <v>119</v>
      </c>
      <c r="F370" s="74">
        <v>46004.0</v>
      </c>
      <c r="G370" s="77">
        <f t="shared" si="8"/>
        <v>125</v>
      </c>
      <c r="H370" s="70" t="s">
        <v>4580</v>
      </c>
      <c r="J370" s="290"/>
      <c r="K370" s="290"/>
      <c r="N370" s="250"/>
      <c r="O370" s="250"/>
      <c r="P370" s="250"/>
      <c r="Q370" s="250"/>
      <c r="R370" s="250"/>
      <c r="S370" s="250"/>
      <c r="T370" s="250"/>
      <c r="U370" s="250"/>
      <c r="V370" s="250"/>
      <c r="W370" s="250"/>
      <c r="X370" s="250"/>
      <c r="Y370" s="250"/>
      <c r="Z370" s="250"/>
    </row>
    <row r="371" ht="14.25" customHeight="1">
      <c r="A371" s="106" t="s">
        <v>530</v>
      </c>
      <c r="B371" s="70" t="s">
        <v>224</v>
      </c>
      <c r="C371" s="71">
        <v>1.0</v>
      </c>
      <c r="D371" s="76">
        <f>167+1/2</f>
        <v>167.5</v>
      </c>
      <c r="E371" s="73" t="s">
        <v>119</v>
      </c>
      <c r="F371" s="74">
        <v>46004.0</v>
      </c>
      <c r="G371" s="77">
        <f t="shared" si="8"/>
        <v>167.5</v>
      </c>
      <c r="H371" s="70" t="s">
        <v>4580</v>
      </c>
      <c r="J371" s="290"/>
      <c r="K371" s="290"/>
      <c r="N371" s="250"/>
      <c r="O371" s="250"/>
      <c r="P371" s="250"/>
      <c r="Q371" s="250"/>
      <c r="R371" s="250"/>
      <c r="S371" s="250"/>
      <c r="T371" s="250"/>
      <c r="U371" s="250"/>
      <c r="V371" s="250"/>
      <c r="W371" s="250"/>
      <c r="X371" s="250"/>
      <c r="Y371" s="250"/>
      <c r="Z371" s="250"/>
    </row>
    <row r="372" ht="14.25" customHeight="1">
      <c r="A372" s="106" t="s">
        <v>688</v>
      </c>
      <c r="B372" s="70" t="s">
        <v>224</v>
      </c>
      <c r="C372" s="71">
        <v>2.0</v>
      </c>
      <c r="D372" s="72">
        <v>160.0</v>
      </c>
      <c r="E372" s="73" t="s">
        <v>119</v>
      </c>
      <c r="F372" s="74">
        <v>46004.0</v>
      </c>
      <c r="G372" s="77">
        <f t="shared" si="8"/>
        <v>320</v>
      </c>
      <c r="H372" s="70" t="s">
        <v>4580</v>
      </c>
      <c r="J372" s="290"/>
      <c r="K372" s="290"/>
      <c r="N372" s="250"/>
      <c r="O372" s="250"/>
      <c r="P372" s="250"/>
      <c r="Q372" s="250"/>
      <c r="R372" s="250"/>
      <c r="S372" s="250"/>
      <c r="T372" s="250"/>
      <c r="U372" s="250"/>
      <c r="V372" s="250"/>
      <c r="W372" s="250"/>
      <c r="X372" s="250"/>
      <c r="Y372" s="250"/>
      <c r="Z372" s="250"/>
    </row>
    <row r="373" ht="14.25" customHeight="1">
      <c r="A373" s="106" t="s">
        <v>892</v>
      </c>
      <c r="B373" s="70" t="s">
        <v>224</v>
      </c>
      <c r="C373" s="71">
        <v>1.0</v>
      </c>
      <c r="D373" s="72">
        <v>130.0</v>
      </c>
      <c r="E373" s="73" t="s">
        <v>119</v>
      </c>
      <c r="F373" s="74">
        <v>46004.0</v>
      </c>
      <c r="G373" s="77">
        <f t="shared" si="8"/>
        <v>130</v>
      </c>
      <c r="H373" s="70" t="s">
        <v>4580</v>
      </c>
      <c r="J373" s="290"/>
      <c r="K373" s="290"/>
      <c r="N373" s="250"/>
      <c r="O373" s="250"/>
      <c r="P373" s="250"/>
      <c r="Q373" s="250"/>
      <c r="R373" s="250"/>
      <c r="S373" s="250"/>
      <c r="T373" s="250"/>
      <c r="U373" s="250"/>
      <c r="V373" s="250"/>
      <c r="W373" s="250"/>
      <c r="X373" s="250"/>
      <c r="Y373" s="250"/>
      <c r="Z373" s="250"/>
    </row>
    <row r="374" ht="14.25" customHeight="1">
      <c r="A374" s="106" t="s">
        <v>555</v>
      </c>
      <c r="B374" s="70" t="s">
        <v>224</v>
      </c>
      <c r="C374" s="71">
        <v>1.0</v>
      </c>
      <c r="D374" s="72">
        <v>151.0</v>
      </c>
      <c r="E374" s="73" t="s">
        <v>119</v>
      </c>
      <c r="F374" s="74">
        <v>46004.0</v>
      </c>
      <c r="G374" s="77">
        <f t="shared" si="8"/>
        <v>151</v>
      </c>
      <c r="H374" s="70" t="s">
        <v>4580</v>
      </c>
      <c r="J374" s="290"/>
      <c r="K374" s="290"/>
      <c r="N374" s="250"/>
      <c r="O374" s="250"/>
      <c r="P374" s="250"/>
      <c r="Q374" s="250"/>
      <c r="R374" s="250"/>
      <c r="S374" s="250"/>
      <c r="T374" s="250"/>
      <c r="U374" s="250"/>
      <c r="V374" s="250"/>
      <c r="W374" s="250"/>
      <c r="X374" s="250"/>
      <c r="Y374" s="250"/>
      <c r="Z374" s="250"/>
    </row>
    <row r="375" ht="14.25" customHeight="1">
      <c r="A375" s="106" t="s">
        <v>834</v>
      </c>
      <c r="B375" s="70" t="s">
        <v>224</v>
      </c>
      <c r="C375" s="71">
        <v>1.0</v>
      </c>
      <c r="D375" s="72">
        <v>139.0</v>
      </c>
      <c r="E375" s="73" t="s">
        <v>119</v>
      </c>
      <c r="F375" s="74">
        <v>46004.0</v>
      </c>
      <c r="G375" s="77">
        <f t="shared" si="8"/>
        <v>139</v>
      </c>
      <c r="H375" s="70" t="s">
        <v>4580</v>
      </c>
      <c r="J375" s="290"/>
      <c r="K375" s="290"/>
      <c r="N375" s="250"/>
      <c r="O375" s="250"/>
      <c r="P375" s="250"/>
      <c r="Q375" s="250"/>
      <c r="R375" s="250"/>
      <c r="S375" s="250"/>
      <c r="T375" s="250"/>
      <c r="U375" s="250"/>
      <c r="V375" s="250"/>
      <c r="W375" s="250"/>
      <c r="X375" s="250"/>
      <c r="Y375" s="250"/>
      <c r="Z375" s="250"/>
    </row>
    <row r="376" ht="14.25" customHeight="1">
      <c r="A376" s="106" t="s">
        <v>723</v>
      </c>
      <c r="B376" s="70" t="s">
        <v>224</v>
      </c>
      <c r="C376" s="71">
        <v>1.0</v>
      </c>
      <c r="D376" s="72">
        <v>139.0</v>
      </c>
      <c r="E376" s="73" t="s">
        <v>119</v>
      </c>
      <c r="F376" s="74">
        <v>46004.0</v>
      </c>
      <c r="G376" s="77">
        <f t="shared" si="8"/>
        <v>139</v>
      </c>
      <c r="H376" s="70" t="s">
        <v>4580</v>
      </c>
      <c r="J376" s="290"/>
      <c r="K376" s="290"/>
      <c r="N376" s="250"/>
      <c r="O376" s="250"/>
      <c r="P376" s="250"/>
      <c r="Q376" s="250"/>
      <c r="R376" s="250"/>
      <c r="S376" s="250"/>
      <c r="T376" s="250"/>
      <c r="U376" s="250"/>
      <c r="V376" s="250"/>
      <c r="W376" s="250"/>
      <c r="X376" s="250"/>
      <c r="Y376" s="250"/>
      <c r="Z376" s="250"/>
    </row>
    <row r="377" ht="14.25" customHeight="1">
      <c r="A377" s="106" t="s">
        <v>700</v>
      </c>
      <c r="B377" s="70" t="s">
        <v>224</v>
      </c>
      <c r="C377" s="71">
        <v>1.0</v>
      </c>
      <c r="D377" s="72">
        <v>159.0</v>
      </c>
      <c r="E377" s="73" t="s">
        <v>119</v>
      </c>
      <c r="F377" s="74">
        <v>46004.0</v>
      </c>
      <c r="G377" s="77">
        <f t="shared" si="8"/>
        <v>159</v>
      </c>
      <c r="H377" s="70" t="s">
        <v>4580</v>
      </c>
      <c r="J377" s="290"/>
      <c r="K377" s="290"/>
      <c r="N377" s="250"/>
      <c r="O377" s="250"/>
      <c r="P377" s="250"/>
      <c r="Q377" s="250"/>
      <c r="R377" s="250"/>
      <c r="S377" s="250"/>
      <c r="T377" s="250"/>
      <c r="U377" s="250"/>
      <c r="V377" s="250"/>
      <c r="W377" s="250"/>
      <c r="X377" s="250"/>
      <c r="Y377" s="250"/>
      <c r="Z377" s="250"/>
    </row>
    <row r="378" ht="14.25" customHeight="1">
      <c r="A378" s="106" t="s">
        <v>650</v>
      </c>
      <c r="B378" s="70" t="s">
        <v>224</v>
      </c>
      <c r="C378" s="71">
        <v>1.0</v>
      </c>
      <c r="D378" s="72">
        <v>124.0</v>
      </c>
      <c r="E378" s="73" t="s">
        <v>119</v>
      </c>
      <c r="F378" s="74">
        <v>46004.0</v>
      </c>
      <c r="G378" s="77">
        <f t="shared" si="8"/>
        <v>124</v>
      </c>
      <c r="H378" s="70" t="s">
        <v>4580</v>
      </c>
      <c r="J378" s="290"/>
      <c r="K378" s="290"/>
      <c r="N378" s="250"/>
      <c r="O378" s="250"/>
      <c r="P378" s="250"/>
      <c r="Q378" s="250"/>
      <c r="R378" s="250"/>
      <c r="S378" s="250"/>
      <c r="T378" s="250"/>
      <c r="U378" s="250"/>
      <c r="V378" s="250"/>
      <c r="W378" s="250"/>
      <c r="X378" s="250"/>
      <c r="Y378" s="250"/>
      <c r="Z378" s="250"/>
    </row>
    <row r="379" ht="14.25" customHeight="1">
      <c r="A379" s="106" t="s">
        <v>552</v>
      </c>
      <c r="B379" s="70" t="s">
        <v>224</v>
      </c>
      <c r="C379" s="71">
        <v>1.0</v>
      </c>
      <c r="D379" s="72">
        <v>134.0</v>
      </c>
      <c r="E379" s="73" t="s">
        <v>119</v>
      </c>
      <c r="F379" s="74">
        <v>46004.0</v>
      </c>
      <c r="G379" s="77">
        <f t="shared" si="8"/>
        <v>134</v>
      </c>
      <c r="H379" s="70" t="s">
        <v>4580</v>
      </c>
      <c r="J379" s="290"/>
      <c r="K379" s="290"/>
      <c r="N379" s="250"/>
      <c r="O379" s="250"/>
      <c r="P379" s="250"/>
      <c r="Q379" s="250"/>
      <c r="R379" s="250"/>
      <c r="S379" s="250"/>
      <c r="T379" s="250"/>
      <c r="U379" s="250"/>
      <c r="V379" s="250"/>
      <c r="W379" s="250"/>
      <c r="X379" s="250"/>
      <c r="Y379" s="250"/>
      <c r="Z379" s="250"/>
    </row>
    <row r="380" ht="14.25" customHeight="1">
      <c r="A380" s="106" t="s">
        <v>714</v>
      </c>
      <c r="B380" s="70" t="s">
        <v>224</v>
      </c>
      <c r="C380" s="71">
        <v>1.0</v>
      </c>
      <c r="D380" s="72">
        <v>154.0</v>
      </c>
      <c r="E380" s="73" t="s">
        <v>119</v>
      </c>
      <c r="F380" s="74">
        <v>46004.0</v>
      </c>
      <c r="G380" s="77">
        <f t="shared" si="8"/>
        <v>154</v>
      </c>
      <c r="H380" s="70" t="s">
        <v>4580</v>
      </c>
      <c r="J380" s="291"/>
      <c r="K380" s="290"/>
      <c r="N380" s="250"/>
      <c r="O380" s="250"/>
      <c r="P380" s="250"/>
      <c r="Q380" s="250"/>
      <c r="R380" s="250"/>
      <c r="S380" s="250"/>
      <c r="T380" s="250"/>
      <c r="U380" s="250"/>
      <c r="V380" s="250"/>
      <c r="W380" s="250"/>
      <c r="X380" s="250"/>
      <c r="Y380" s="250"/>
      <c r="Z380" s="250"/>
    </row>
    <row r="381" ht="14.25" customHeight="1">
      <c r="A381" s="106" t="s">
        <v>709</v>
      </c>
      <c r="B381" s="70" t="s">
        <v>224</v>
      </c>
      <c r="C381" s="71">
        <v>1.0</v>
      </c>
      <c r="D381" s="72">
        <v>143.0</v>
      </c>
      <c r="E381" s="73" t="s">
        <v>119</v>
      </c>
      <c r="F381" s="74">
        <v>46004.0</v>
      </c>
      <c r="G381" s="77">
        <f t="shared" si="8"/>
        <v>143</v>
      </c>
      <c r="H381" s="70" t="s">
        <v>4580</v>
      </c>
      <c r="J381" s="290"/>
      <c r="K381" s="290"/>
      <c r="N381" s="250"/>
      <c r="O381" s="250"/>
      <c r="P381" s="250"/>
      <c r="Q381" s="250"/>
      <c r="R381" s="250"/>
      <c r="S381" s="250"/>
      <c r="T381" s="250"/>
      <c r="U381" s="250"/>
      <c r="V381" s="250"/>
      <c r="W381" s="250"/>
      <c r="X381" s="250"/>
      <c r="Y381" s="250"/>
      <c r="Z381" s="250"/>
    </row>
    <row r="382" ht="14.25" customHeight="1">
      <c r="A382" s="106" t="s">
        <v>584</v>
      </c>
      <c r="B382" s="73" t="s">
        <v>681</v>
      </c>
      <c r="C382" s="75">
        <v>36.0</v>
      </c>
      <c r="D382" s="76">
        <v>5.0</v>
      </c>
      <c r="E382" s="73" t="s">
        <v>119</v>
      </c>
      <c r="F382" s="74">
        <v>46004.0</v>
      </c>
      <c r="G382" s="77">
        <f t="shared" si="8"/>
        <v>180</v>
      </c>
      <c r="H382" s="70" t="s">
        <v>4580</v>
      </c>
      <c r="J382" s="290"/>
      <c r="K382" s="290"/>
      <c r="N382" s="250"/>
      <c r="O382" s="250"/>
      <c r="P382" s="250"/>
      <c r="Q382" s="250"/>
      <c r="R382" s="250"/>
      <c r="S382" s="250"/>
      <c r="T382" s="250"/>
      <c r="U382" s="250"/>
      <c r="V382" s="250"/>
      <c r="W382" s="250"/>
      <c r="X382" s="250"/>
      <c r="Y382" s="250"/>
      <c r="Z382" s="250"/>
    </row>
    <row r="383" ht="14.25" customHeight="1">
      <c r="A383" s="106" t="s">
        <v>625</v>
      </c>
      <c r="B383" s="77"/>
      <c r="C383" s="71">
        <v>1.0</v>
      </c>
      <c r="D383" s="72">
        <v>39.0</v>
      </c>
      <c r="E383" s="73" t="s">
        <v>119</v>
      </c>
      <c r="F383" s="74">
        <v>46004.0</v>
      </c>
      <c r="G383" s="77">
        <f t="shared" si="8"/>
        <v>39</v>
      </c>
      <c r="H383" s="70" t="s">
        <v>4580</v>
      </c>
      <c r="J383" s="290"/>
      <c r="K383" s="292" t="s">
        <v>4349</v>
      </c>
      <c r="L383" s="292" t="s">
        <v>4618</v>
      </c>
      <c r="M383" s="292" t="s">
        <v>4352</v>
      </c>
      <c r="N383" s="293" t="s">
        <v>4619</v>
      </c>
      <c r="O383" s="292" t="s">
        <v>4620</v>
      </c>
      <c r="P383" s="292" t="s">
        <v>4621</v>
      </c>
      <c r="Q383" s="250"/>
      <c r="R383" s="250"/>
      <c r="S383" s="250"/>
      <c r="T383" s="250"/>
      <c r="U383" s="250"/>
      <c r="V383" s="250"/>
      <c r="W383" s="250"/>
      <c r="X383" s="250"/>
      <c r="Y383" s="250"/>
      <c r="Z383" s="250"/>
    </row>
    <row r="384" ht="14.25" customHeight="1">
      <c r="A384" s="294"/>
      <c r="B384" s="77"/>
      <c r="C384" s="88"/>
      <c r="D384" s="295"/>
      <c r="E384" s="73"/>
      <c r="F384" s="74"/>
      <c r="G384" s="77"/>
      <c r="H384" s="70" t="s">
        <v>4580</v>
      </c>
      <c r="J384" s="290"/>
      <c r="Q384" s="250"/>
      <c r="R384" s="250"/>
      <c r="S384" s="250"/>
      <c r="T384" s="250"/>
      <c r="U384" s="250"/>
      <c r="V384" s="250"/>
      <c r="W384" s="250"/>
      <c r="X384" s="250"/>
      <c r="Y384" s="250"/>
      <c r="Z384" s="250"/>
    </row>
    <row r="385" ht="14.25" customHeight="1">
      <c r="B385" s="77">
        <f>SUBTOTAL(109,' طلبيات'!$B$210:$B$225)</f>
        <v>0</v>
      </c>
      <c r="C385" s="77">
        <f>SUM(جدول_12[الكمية])</f>
        <v>115</v>
      </c>
      <c r="D385" s="112">
        <f>SUM(جدول_12[سعر الشراء])</f>
        <v>5254.875</v>
      </c>
      <c r="E385" s="77">
        <f>SUBTOTAL(109,' طلبيات'!$E$210:$E$225)</f>
        <v>0</v>
      </c>
      <c r="F385" s="139" t="s">
        <v>4519</v>
      </c>
      <c r="G385" s="77">
        <f>SUM(جدول_12[المجموع])</f>
        <v>7630.25</v>
      </c>
      <c r="H385" s="77"/>
      <c r="K385" s="290"/>
      <c r="L385" s="250"/>
      <c r="M385" s="250"/>
      <c r="N385" s="250"/>
      <c r="O385" s="250"/>
      <c r="P385" s="250"/>
      <c r="Q385" s="250"/>
      <c r="R385" s="250"/>
      <c r="S385" s="250"/>
      <c r="T385" s="250"/>
      <c r="U385" s="250"/>
      <c r="V385" s="250"/>
      <c r="W385" s="250"/>
      <c r="X385" s="250"/>
      <c r="Y385" s="250"/>
      <c r="Z385" s="250"/>
    </row>
    <row r="386" ht="14.25" customHeight="1">
      <c r="B386" s="250"/>
      <c r="C386" s="250"/>
      <c r="D386" s="254"/>
      <c r="E386" s="250"/>
      <c r="F386" s="250"/>
      <c r="G386" s="250"/>
      <c r="H386" s="250"/>
      <c r="K386" s="290"/>
      <c r="L386" s="250"/>
      <c r="M386" s="250"/>
      <c r="N386" s="250"/>
      <c r="O386" s="250"/>
      <c r="P386" s="250"/>
      <c r="Q386" s="250"/>
      <c r="R386" s="250"/>
      <c r="S386" s="250"/>
      <c r="T386" s="250"/>
      <c r="U386" s="250"/>
      <c r="V386" s="250"/>
      <c r="W386" s="250"/>
      <c r="X386" s="250"/>
      <c r="Y386" s="250"/>
      <c r="Z386" s="250"/>
    </row>
    <row r="387" ht="14.25" customHeight="1">
      <c r="B387" s="250"/>
      <c r="C387" s="250"/>
      <c r="D387" s="254"/>
      <c r="E387" s="250"/>
      <c r="F387" s="250"/>
      <c r="G387" s="250"/>
      <c r="H387" s="250"/>
      <c r="K387" s="290"/>
      <c r="L387" s="250"/>
      <c r="M387" s="250"/>
      <c r="N387" s="250"/>
      <c r="O387" s="250"/>
      <c r="P387" s="250"/>
      <c r="Q387" s="250"/>
      <c r="R387" s="250"/>
      <c r="S387" s="250"/>
      <c r="T387" s="250"/>
      <c r="U387" s="250"/>
      <c r="V387" s="250"/>
      <c r="W387" s="250"/>
      <c r="X387" s="250"/>
      <c r="Y387" s="250"/>
      <c r="Z387" s="250"/>
    </row>
    <row r="388" ht="14.25" customHeight="1">
      <c r="G388" s="250"/>
      <c r="H388" s="250"/>
      <c r="K388" s="290"/>
      <c r="L388" s="250"/>
      <c r="M388" s="250"/>
      <c r="N388" s="250"/>
      <c r="O388" s="250"/>
      <c r="P388" s="250"/>
      <c r="Q388" s="250"/>
      <c r="R388" s="250"/>
      <c r="S388" s="250"/>
      <c r="T388" s="250"/>
      <c r="U388" s="250"/>
      <c r="V388" s="250"/>
      <c r="W388" s="250"/>
      <c r="X388" s="250"/>
      <c r="Y388" s="250"/>
      <c r="Z388" s="250"/>
    </row>
    <row r="389" ht="14.25" customHeight="1">
      <c r="A389" s="280" t="s">
        <v>4369</v>
      </c>
      <c r="B389" s="280" t="s">
        <v>4350</v>
      </c>
      <c r="C389" s="280" t="s">
        <v>4352</v>
      </c>
      <c r="D389" s="281" t="s">
        <v>4370</v>
      </c>
      <c r="E389" s="280" t="s">
        <v>4433</v>
      </c>
      <c r="F389" s="280" t="s">
        <v>4372</v>
      </c>
      <c r="G389" s="280" t="s">
        <v>4353</v>
      </c>
      <c r="H389" s="108" t="s">
        <v>4578</v>
      </c>
      <c r="K389" s="290"/>
      <c r="L389" s="250"/>
      <c r="M389" s="250"/>
      <c r="N389" s="250"/>
      <c r="O389" s="250"/>
      <c r="P389" s="250"/>
      <c r="Q389" s="250"/>
      <c r="R389" s="250"/>
      <c r="S389" s="250"/>
      <c r="T389" s="250"/>
      <c r="U389" s="250"/>
      <c r="V389" s="250"/>
      <c r="W389" s="250"/>
      <c r="X389" s="250"/>
      <c r="Y389" s="250"/>
      <c r="Z389" s="250"/>
    </row>
    <row r="390" ht="14.25" customHeight="1">
      <c r="A390" s="10" t="s">
        <v>800</v>
      </c>
      <c r="B390" s="10" t="s">
        <v>836</v>
      </c>
      <c r="C390" s="6">
        <v>48.0</v>
      </c>
      <c r="D390" s="82">
        <f>11+1/4</f>
        <v>11.25</v>
      </c>
      <c r="E390" s="10" t="s">
        <v>119</v>
      </c>
      <c r="F390" s="20">
        <v>46007.0</v>
      </c>
      <c r="G390" s="77">
        <f t="shared" ref="G390:G400" si="9">D390*C390</f>
        <v>540</v>
      </c>
      <c r="H390" s="84" t="s">
        <v>4580</v>
      </c>
      <c r="K390" s="290"/>
      <c r="L390" s="250"/>
      <c r="M390" s="250"/>
      <c r="N390" s="250"/>
      <c r="O390" s="250"/>
      <c r="P390" s="250"/>
      <c r="Q390" s="250"/>
      <c r="R390" s="250"/>
      <c r="S390" s="250"/>
      <c r="T390" s="250"/>
      <c r="U390" s="250"/>
      <c r="V390" s="250"/>
      <c r="W390" s="250"/>
      <c r="X390" s="250"/>
      <c r="Y390" s="250"/>
      <c r="Z390" s="250"/>
    </row>
    <row r="391" ht="14.25" customHeight="1">
      <c r="A391" s="288" t="s">
        <v>823</v>
      </c>
      <c r="B391" s="84" t="s">
        <v>339</v>
      </c>
      <c r="C391" s="75">
        <v>6.0</v>
      </c>
      <c r="D391" s="76">
        <v>65.0</v>
      </c>
      <c r="E391" s="84" t="s">
        <v>436</v>
      </c>
      <c r="F391" s="20">
        <v>46007.0</v>
      </c>
      <c r="G391" s="77">
        <f t="shared" si="9"/>
        <v>390</v>
      </c>
      <c r="H391" s="84" t="s">
        <v>4580</v>
      </c>
      <c r="K391" s="290"/>
      <c r="L391" s="250"/>
      <c r="M391" s="250"/>
      <c r="N391" s="250"/>
      <c r="O391" s="250"/>
      <c r="P391" s="250"/>
      <c r="Q391" s="250"/>
      <c r="R391" s="250"/>
      <c r="S391" s="250"/>
      <c r="T391" s="250"/>
      <c r="U391" s="250"/>
      <c r="V391" s="250"/>
      <c r="W391" s="250"/>
      <c r="X391" s="250"/>
      <c r="Y391" s="250"/>
      <c r="Z391" s="250"/>
    </row>
    <row r="392" ht="14.25" customHeight="1">
      <c r="A392" s="70" t="s">
        <v>250</v>
      </c>
      <c r="B392" s="84" t="s">
        <v>50</v>
      </c>
      <c r="C392" s="75">
        <v>4.0</v>
      </c>
      <c r="D392" s="76">
        <v>90.0</v>
      </c>
      <c r="E392" s="84" t="s">
        <v>436</v>
      </c>
      <c r="F392" s="20">
        <v>46007.0</v>
      </c>
      <c r="G392" s="77">
        <f t="shared" si="9"/>
        <v>360</v>
      </c>
      <c r="H392" s="84" t="s">
        <v>4580</v>
      </c>
      <c r="K392" s="290"/>
      <c r="L392" s="250"/>
      <c r="M392" s="250"/>
      <c r="N392" s="250"/>
      <c r="O392" s="250"/>
      <c r="P392" s="250"/>
      <c r="Q392" s="250"/>
      <c r="R392" s="250"/>
      <c r="S392" s="250"/>
      <c r="T392" s="250"/>
      <c r="U392" s="250"/>
      <c r="V392" s="250"/>
      <c r="W392" s="250"/>
      <c r="X392" s="250"/>
      <c r="Y392" s="250"/>
      <c r="Z392" s="250"/>
    </row>
    <row r="393" ht="14.25" customHeight="1">
      <c r="A393" s="10" t="s">
        <v>749</v>
      </c>
      <c r="B393" s="84" t="s">
        <v>50</v>
      </c>
      <c r="C393" s="75">
        <v>2.0</v>
      </c>
      <c r="D393" s="76">
        <v>150.0</v>
      </c>
      <c r="E393" s="84" t="s">
        <v>436</v>
      </c>
      <c r="F393" s="20">
        <v>46007.0</v>
      </c>
      <c r="G393" s="77">
        <f t="shared" si="9"/>
        <v>300</v>
      </c>
      <c r="H393" s="84" t="s">
        <v>4580</v>
      </c>
      <c r="K393" s="290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  <c r="W393" s="250"/>
      <c r="X393" s="250"/>
      <c r="Y393" s="250"/>
      <c r="Z393" s="250"/>
    </row>
    <row r="394" ht="14.25" customHeight="1">
      <c r="A394" s="10" t="s">
        <v>165</v>
      </c>
      <c r="B394" s="84" t="s">
        <v>238</v>
      </c>
      <c r="C394" s="75">
        <v>100.0</v>
      </c>
      <c r="D394" s="76">
        <v>35.0</v>
      </c>
      <c r="E394" s="84" t="s">
        <v>436</v>
      </c>
      <c r="F394" s="20">
        <v>46007.0</v>
      </c>
      <c r="G394" s="77">
        <f t="shared" si="9"/>
        <v>3500</v>
      </c>
      <c r="H394" s="84" t="s">
        <v>4580</v>
      </c>
      <c r="K394" s="290"/>
      <c r="L394" s="250"/>
      <c r="M394" s="250"/>
      <c r="N394" s="250"/>
      <c r="O394" s="250"/>
      <c r="P394" s="250"/>
      <c r="Q394" s="250"/>
      <c r="R394" s="250"/>
      <c r="S394" s="250"/>
      <c r="T394" s="250"/>
      <c r="U394" s="250"/>
      <c r="V394" s="250"/>
      <c r="W394" s="250"/>
      <c r="X394" s="250"/>
      <c r="Y394" s="250"/>
      <c r="Z394" s="250"/>
    </row>
    <row r="395" ht="14.25" customHeight="1">
      <c r="A395" s="10" t="s">
        <v>926</v>
      </c>
      <c r="B395" s="84" t="s">
        <v>927</v>
      </c>
      <c r="C395" s="75">
        <v>50.0</v>
      </c>
      <c r="D395" s="76">
        <v>20.0</v>
      </c>
      <c r="E395" s="84" t="s">
        <v>436</v>
      </c>
      <c r="F395" s="20">
        <v>46007.0</v>
      </c>
      <c r="G395" s="77">
        <f t="shared" si="9"/>
        <v>1000</v>
      </c>
      <c r="H395" s="84" t="s">
        <v>4580</v>
      </c>
      <c r="K395" s="290"/>
      <c r="L395" s="250"/>
      <c r="M395" s="250"/>
      <c r="N395" s="250"/>
      <c r="O395" s="250"/>
      <c r="P395" s="250"/>
      <c r="Q395" s="250"/>
      <c r="R395" s="250"/>
      <c r="S395" s="250"/>
      <c r="T395" s="250"/>
      <c r="U395" s="250"/>
      <c r="V395" s="250"/>
      <c r="W395" s="250"/>
      <c r="X395" s="250"/>
      <c r="Y395" s="250"/>
      <c r="Z395" s="250"/>
    </row>
    <row r="396" ht="14.25" customHeight="1">
      <c r="A396" s="10" t="s">
        <v>929</v>
      </c>
      <c r="B396" s="84" t="s">
        <v>927</v>
      </c>
      <c r="C396" s="75">
        <v>50.0</v>
      </c>
      <c r="D396" s="76">
        <v>20.0</v>
      </c>
      <c r="E396" s="84" t="s">
        <v>436</v>
      </c>
      <c r="F396" s="20">
        <v>46007.0</v>
      </c>
      <c r="G396" s="77">
        <f t="shared" si="9"/>
        <v>1000</v>
      </c>
      <c r="H396" s="84" t="s">
        <v>4580</v>
      </c>
      <c r="K396" s="290"/>
      <c r="L396" s="250"/>
      <c r="M396" s="250"/>
      <c r="N396" s="250"/>
      <c r="O396" s="250"/>
      <c r="P396" s="250"/>
      <c r="Q396" s="250"/>
      <c r="R396" s="250"/>
      <c r="S396" s="250"/>
      <c r="T396" s="250"/>
      <c r="U396" s="250"/>
      <c r="V396" s="250"/>
      <c r="W396" s="250"/>
      <c r="X396" s="250"/>
      <c r="Y396" s="250"/>
      <c r="Z396" s="250"/>
    </row>
    <row r="397" ht="14.25" customHeight="1">
      <c r="A397" s="10" t="s">
        <v>932</v>
      </c>
      <c r="B397" s="84" t="s">
        <v>927</v>
      </c>
      <c r="C397" s="75">
        <v>50.0</v>
      </c>
      <c r="D397" s="76">
        <v>30.0</v>
      </c>
      <c r="E397" s="84" t="s">
        <v>436</v>
      </c>
      <c r="F397" s="20">
        <v>46007.0</v>
      </c>
      <c r="G397" s="77">
        <f t="shared" si="9"/>
        <v>1500</v>
      </c>
      <c r="H397" s="84" t="s">
        <v>4580</v>
      </c>
      <c r="K397" s="290"/>
      <c r="L397" s="250"/>
      <c r="M397" s="250"/>
      <c r="N397" s="250"/>
      <c r="O397" s="250"/>
      <c r="P397" s="250"/>
      <c r="Q397" s="250"/>
      <c r="R397" s="250"/>
      <c r="S397" s="250"/>
      <c r="T397" s="250"/>
      <c r="U397" s="250"/>
      <c r="V397" s="250"/>
      <c r="W397" s="250"/>
      <c r="X397" s="250"/>
      <c r="Y397" s="250"/>
      <c r="Z397" s="250"/>
    </row>
    <row r="398" ht="14.25" customHeight="1">
      <c r="A398" s="10" t="s">
        <v>935</v>
      </c>
      <c r="B398" s="84" t="s">
        <v>238</v>
      </c>
      <c r="C398" s="75">
        <v>50.0</v>
      </c>
      <c r="D398" s="76">
        <v>5.0</v>
      </c>
      <c r="E398" s="84" t="s">
        <v>436</v>
      </c>
      <c r="F398" s="20">
        <v>46007.0</v>
      </c>
      <c r="G398" s="77">
        <f t="shared" si="9"/>
        <v>250</v>
      </c>
      <c r="H398" s="84" t="s">
        <v>4580</v>
      </c>
      <c r="K398" s="290"/>
      <c r="L398" s="250"/>
      <c r="M398" s="250"/>
      <c r="N398" s="250"/>
      <c r="O398" s="250"/>
      <c r="P398" s="250"/>
      <c r="Q398" s="250"/>
      <c r="R398" s="250"/>
      <c r="S398" s="250"/>
      <c r="T398" s="250"/>
      <c r="U398" s="250"/>
      <c r="V398" s="250"/>
      <c r="W398" s="250"/>
      <c r="X398" s="250"/>
      <c r="Y398" s="250"/>
      <c r="Z398" s="250"/>
    </row>
    <row r="399" ht="14.25" customHeight="1">
      <c r="A399" s="10" t="s">
        <v>933</v>
      </c>
      <c r="B399" s="84" t="s">
        <v>238</v>
      </c>
      <c r="C399" s="75">
        <v>50.0</v>
      </c>
      <c r="D399" s="76">
        <v>10.0</v>
      </c>
      <c r="E399" s="84" t="s">
        <v>436</v>
      </c>
      <c r="F399" s="20">
        <v>46007.0</v>
      </c>
      <c r="G399" s="77">
        <f t="shared" si="9"/>
        <v>500</v>
      </c>
      <c r="H399" s="84" t="s">
        <v>4580</v>
      </c>
      <c r="K399" s="290"/>
      <c r="L399" s="250"/>
      <c r="M399" s="250"/>
      <c r="N399" s="250"/>
      <c r="O399" s="250"/>
      <c r="P399" s="250"/>
      <c r="Q399" s="250"/>
      <c r="R399" s="250"/>
      <c r="S399" s="250"/>
      <c r="T399" s="250"/>
      <c r="U399" s="250"/>
      <c r="V399" s="250"/>
      <c r="W399" s="250"/>
      <c r="X399" s="250"/>
      <c r="Y399" s="250"/>
      <c r="Z399" s="250"/>
    </row>
    <row r="400" ht="14.25" customHeight="1">
      <c r="A400" s="84" t="s">
        <v>435</v>
      </c>
      <c r="B400" s="10" t="s">
        <v>339</v>
      </c>
      <c r="C400" s="75">
        <v>6.0</v>
      </c>
      <c r="D400" s="76">
        <v>220.0</v>
      </c>
      <c r="E400" s="84" t="s">
        <v>436</v>
      </c>
      <c r="F400" s="20">
        <v>46007.0</v>
      </c>
      <c r="G400" s="77">
        <f t="shared" si="9"/>
        <v>1320</v>
      </c>
      <c r="H400" s="84" t="s">
        <v>4580</v>
      </c>
      <c r="K400" s="290"/>
      <c r="L400" s="250"/>
      <c r="M400" s="250"/>
      <c r="N400" s="250"/>
      <c r="O400" s="250"/>
      <c r="P400" s="250"/>
      <c r="Q400" s="250"/>
      <c r="R400" s="250"/>
      <c r="S400" s="250"/>
      <c r="T400" s="250"/>
      <c r="U400" s="250"/>
      <c r="V400" s="250"/>
      <c r="W400" s="250"/>
      <c r="X400" s="250"/>
      <c r="Y400" s="250"/>
      <c r="Z400" s="250"/>
    </row>
    <row r="401" ht="14.25" customHeight="1">
      <c r="B401" s="296"/>
      <c r="C401" s="296"/>
      <c r="D401" s="82"/>
      <c r="E401" s="296"/>
      <c r="F401" s="297"/>
      <c r="G401" s="296">
        <f>SUM(G390:G400)</f>
        <v>10660</v>
      </c>
      <c r="H401" s="84" t="s">
        <v>4580</v>
      </c>
      <c r="K401" s="290"/>
      <c r="L401" s="250"/>
      <c r="M401" s="250"/>
      <c r="N401" s="250"/>
      <c r="O401" s="250"/>
      <c r="P401" s="250"/>
      <c r="Q401" s="250"/>
      <c r="R401" s="250"/>
      <c r="S401" s="250"/>
      <c r="T401" s="250"/>
      <c r="U401" s="250"/>
      <c r="V401" s="250"/>
      <c r="W401" s="250"/>
      <c r="X401" s="250"/>
      <c r="Y401" s="250"/>
      <c r="Z401" s="250"/>
    </row>
    <row r="402" ht="14.25" customHeight="1">
      <c r="B402" s="250"/>
      <c r="C402" s="250"/>
      <c r="D402" s="254"/>
      <c r="E402" s="250"/>
      <c r="F402" s="250"/>
      <c r="G402" s="250"/>
      <c r="H402" s="250"/>
      <c r="K402" s="290"/>
      <c r="L402" s="250"/>
      <c r="M402" s="250"/>
      <c r="N402" s="250"/>
      <c r="O402" s="250"/>
      <c r="P402" s="250"/>
      <c r="Q402" s="250"/>
      <c r="R402" s="250"/>
      <c r="S402" s="250"/>
      <c r="T402" s="250"/>
      <c r="U402" s="250"/>
      <c r="V402" s="250"/>
      <c r="W402" s="250"/>
      <c r="X402" s="250"/>
      <c r="Y402" s="250"/>
      <c r="Z402" s="250"/>
    </row>
    <row r="403" ht="14.25" customHeight="1">
      <c r="B403" s="250"/>
      <c r="C403" s="250"/>
      <c r="D403" s="254"/>
      <c r="E403" s="250"/>
      <c r="F403" s="250"/>
      <c r="G403" s="250"/>
      <c r="H403" s="250"/>
      <c r="K403" s="290"/>
      <c r="L403" s="250"/>
      <c r="M403" s="250"/>
      <c r="N403" s="250"/>
      <c r="O403" s="250"/>
      <c r="P403" s="250"/>
      <c r="Q403" s="250"/>
      <c r="R403" s="250"/>
      <c r="S403" s="250"/>
      <c r="T403" s="250"/>
      <c r="U403" s="250"/>
      <c r="V403" s="250"/>
      <c r="W403" s="250"/>
      <c r="X403" s="250"/>
      <c r="Y403" s="250"/>
      <c r="Z403" s="250"/>
    </row>
    <row r="404" ht="14.25" customHeight="1">
      <c r="B404" s="250"/>
      <c r="C404" s="250"/>
      <c r="D404" s="254"/>
      <c r="E404" s="250"/>
      <c r="F404" s="250"/>
      <c r="G404" s="250"/>
      <c r="H404" s="250"/>
      <c r="K404" s="290"/>
      <c r="L404" s="250"/>
      <c r="M404" s="250"/>
      <c r="N404" s="250"/>
      <c r="O404" s="250"/>
      <c r="P404" s="250"/>
      <c r="Q404" s="250"/>
      <c r="R404" s="250"/>
      <c r="S404" s="250"/>
      <c r="T404" s="250"/>
      <c r="U404" s="250"/>
      <c r="V404" s="250"/>
      <c r="W404" s="250"/>
      <c r="X404" s="250"/>
      <c r="Y404" s="250"/>
      <c r="Z404" s="250"/>
    </row>
    <row r="405" ht="14.25" customHeight="1">
      <c r="B405" s="250"/>
      <c r="C405" s="250"/>
      <c r="D405" s="254"/>
      <c r="E405" s="250"/>
      <c r="F405" s="250"/>
      <c r="G405" s="250"/>
      <c r="H405" s="250"/>
      <c r="K405" s="290"/>
      <c r="L405" s="250"/>
      <c r="M405" s="250"/>
      <c r="N405" s="250"/>
      <c r="O405" s="250"/>
      <c r="P405" s="250"/>
      <c r="Q405" s="250"/>
      <c r="R405" s="250"/>
      <c r="S405" s="250"/>
      <c r="T405" s="250"/>
      <c r="U405" s="250"/>
      <c r="V405" s="250"/>
      <c r="W405" s="250"/>
      <c r="X405" s="250"/>
      <c r="Y405" s="250"/>
      <c r="Z405" s="250"/>
    </row>
    <row r="406" ht="14.25" customHeight="1">
      <c r="B406" s="250"/>
      <c r="C406" s="250"/>
      <c r="D406" s="254"/>
      <c r="E406" s="250"/>
      <c r="F406" s="250"/>
      <c r="G406" s="250"/>
      <c r="H406" s="250"/>
      <c r="K406" s="290"/>
      <c r="L406" s="250"/>
      <c r="M406" s="250"/>
      <c r="N406" s="250"/>
      <c r="O406" s="250"/>
      <c r="P406" s="250"/>
      <c r="Q406" s="250"/>
      <c r="R406" s="250"/>
      <c r="S406" s="250"/>
      <c r="T406" s="250"/>
      <c r="U406" s="250"/>
      <c r="V406" s="250"/>
      <c r="W406" s="250"/>
      <c r="X406" s="250"/>
      <c r="Y406" s="250"/>
      <c r="Z406" s="250"/>
    </row>
    <row r="407" ht="14.25" customHeight="1">
      <c r="B407" s="250"/>
      <c r="C407" s="250"/>
      <c r="D407" s="254"/>
      <c r="E407" s="250"/>
      <c r="F407" s="250"/>
      <c r="G407" s="250"/>
      <c r="H407" s="250"/>
      <c r="K407" s="290"/>
      <c r="L407" s="250"/>
      <c r="M407" s="250"/>
      <c r="N407" s="250"/>
      <c r="O407" s="250"/>
      <c r="P407" s="250"/>
      <c r="Q407" s="250"/>
      <c r="R407" s="250"/>
      <c r="S407" s="250"/>
      <c r="T407" s="250"/>
      <c r="U407" s="250"/>
      <c r="V407" s="250"/>
      <c r="W407" s="250"/>
      <c r="X407" s="250"/>
      <c r="Y407" s="250"/>
      <c r="Z407" s="250"/>
    </row>
    <row r="408" ht="14.25" customHeight="1">
      <c r="A408" s="280" t="s">
        <v>4369</v>
      </c>
      <c r="B408" s="280" t="s">
        <v>4350</v>
      </c>
      <c r="C408" s="280" t="s">
        <v>4352</v>
      </c>
      <c r="D408" s="281" t="s">
        <v>4370</v>
      </c>
      <c r="E408" s="280" t="s">
        <v>4433</v>
      </c>
      <c r="F408" s="280" t="s">
        <v>4372</v>
      </c>
      <c r="G408" s="298" t="s">
        <v>4641</v>
      </c>
      <c r="H408" s="108" t="s">
        <v>4578</v>
      </c>
      <c r="K408" s="290"/>
      <c r="L408" s="250"/>
      <c r="M408" s="250"/>
      <c r="N408" s="250"/>
      <c r="O408" s="250"/>
      <c r="P408" s="250"/>
      <c r="Q408" s="250"/>
      <c r="R408" s="250"/>
      <c r="S408" s="250"/>
      <c r="T408" s="250"/>
      <c r="U408" s="250"/>
      <c r="V408" s="250"/>
      <c r="W408" s="250"/>
      <c r="X408" s="250"/>
      <c r="Y408" s="250"/>
      <c r="Z408" s="250"/>
    </row>
    <row r="409" ht="14.25" customHeight="1">
      <c r="A409" s="10" t="s">
        <v>614</v>
      </c>
      <c r="B409" s="10" t="s">
        <v>224</v>
      </c>
      <c r="C409" s="6">
        <v>4.0</v>
      </c>
      <c r="D409" s="6">
        <v>78.0</v>
      </c>
      <c r="E409" s="10" t="s">
        <v>119</v>
      </c>
      <c r="F409" s="87">
        <v>46011.0</v>
      </c>
      <c r="G409" s="77">
        <f t="shared" ref="G409:G433" si="10">D409*C409</f>
        <v>312</v>
      </c>
      <c r="H409" s="296"/>
      <c r="K409" s="290"/>
      <c r="L409" s="250"/>
      <c r="M409" s="250"/>
      <c r="N409" s="250"/>
      <c r="O409" s="250"/>
      <c r="P409" s="250"/>
      <c r="Q409" s="250"/>
      <c r="R409" s="250"/>
      <c r="S409" s="250"/>
      <c r="T409" s="250"/>
      <c r="U409" s="250"/>
      <c r="V409" s="250"/>
      <c r="W409" s="250"/>
      <c r="X409" s="250"/>
      <c r="Y409" s="250"/>
      <c r="Z409" s="250"/>
    </row>
    <row r="410" ht="14.25" customHeight="1">
      <c r="A410" s="10" t="s">
        <v>611</v>
      </c>
      <c r="B410" s="10" t="s">
        <v>944</v>
      </c>
      <c r="C410" s="6">
        <v>6.0</v>
      </c>
      <c r="D410" s="6">
        <v>29.0</v>
      </c>
      <c r="E410" s="10" t="s">
        <v>119</v>
      </c>
      <c r="F410" s="87">
        <v>46011.0</v>
      </c>
      <c r="G410" s="77">
        <f t="shared" si="10"/>
        <v>174</v>
      </c>
      <c r="H410" s="77"/>
      <c r="K410" s="290"/>
      <c r="L410" s="250"/>
      <c r="M410" s="250"/>
      <c r="N410" s="250"/>
      <c r="O410" s="250"/>
      <c r="P410" s="250"/>
      <c r="Q410" s="250"/>
      <c r="R410" s="250"/>
      <c r="S410" s="250"/>
      <c r="T410" s="250"/>
      <c r="U410" s="250"/>
      <c r="V410" s="250"/>
      <c r="W410" s="250"/>
      <c r="X410" s="250"/>
      <c r="Y410" s="250"/>
      <c r="Z410" s="250"/>
    </row>
    <row r="411" ht="14.25" customHeight="1">
      <c r="A411" s="10" t="s">
        <v>633</v>
      </c>
      <c r="B411" s="10" t="s">
        <v>224</v>
      </c>
      <c r="C411" s="6">
        <v>3.0</v>
      </c>
      <c r="D411" s="6">
        <v>128.0</v>
      </c>
      <c r="E411" s="10" t="s">
        <v>119</v>
      </c>
      <c r="F411" s="87">
        <v>46011.0</v>
      </c>
      <c r="G411" s="77">
        <f t="shared" si="10"/>
        <v>384</v>
      </c>
      <c r="H411" s="77"/>
      <c r="J411" s="299"/>
      <c r="K411" s="292"/>
      <c r="L411" s="292"/>
      <c r="M411" s="292"/>
      <c r="N411" s="292"/>
      <c r="O411" s="250"/>
      <c r="P411" s="250"/>
      <c r="Q411" s="250"/>
      <c r="R411" s="250"/>
      <c r="S411" s="250"/>
      <c r="T411" s="250"/>
      <c r="U411" s="250"/>
      <c r="V411" s="250"/>
      <c r="W411" s="250"/>
      <c r="X411" s="250"/>
      <c r="Y411" s="250"/>
      <c r="Z411" s="250"/>
    </row>
    <row r="412" ht="14.25" customHeight="1">
      <c r="A412" s="10" t="s">
        <v>815</v>
      </c>
      <c r="B412" s="10" t="s">
        <v>224</v>
      </c>
      <c r="C412" s="6">
        <v>3.0</v>
      </c>
      <c r="D412" s="6">
        <v>137.0</v>
      </c>
      <c r="E412" s="10" t="s">
        <v>119</v>
      </c>
      <c r="F412" s="87">
        <v>46011.0</v>
      </c>
      <c r="G412" s="77">
        <f t="shared" si="10"/>
        <v>411</v>
      </c>
      <c r="H412" s="77"/>
      <c r="O412" s="250"/>
      <c r="P412" s="250"/>
      <c r="Q412" s="250"/>
      <c r="R412" s="250"/>
      <c r="S412" s="250"/>
      <c r="T412" s="250"/>
      <c r="U412" s="250"/>
      <c r="V412" s="250"/>
      <c r="W412" s="250"/>
      <c r="X412" s="250"/>
      <c r="Y412" s="250"/>
      <c r="Z412" s="250"/>
    </row>
    <row r="413" ht="14.25" customHeight="1">
      <c r="A413" s="10" t="s">
        <v>793</v>
      </c>
      <c r="B413" s="10" t="s">
        <v>224</v>
      </c>
      <c r="C413" s="6">
        <v>3.0</v>
      </c>
      <c r="D413" s="6">
        <v>126.0</v>
      </c>
      <c r="E413" s="10" t="s">
        <v>119</v>
      </c>
      <c r="F413" s="87">
        <v>46011.0</v>
      </c>
      <c r="G413" s="77">
        <f t="shared" si="10"/>
        <v>378</v>
      </c>
      <c r="H413" s="77"/>
      <c r="O413" s="250"/>
      <c r="P413" s="250"/>
      <c r="Q413" s="250"/>
      <c r="R413" s="250"/>
      <c r="S413" s="250"/>
      <c r="T413" s="250"/>
      <c r="U413" s="250"/>
      <c r="V413" s="250"/>
      <c r="W413" s="250"/>
      <c r="X413" s="250"/>
      <c r="Y413" s="250"/>
      <c r="Z413" s="250"/>
    </row>
    <row r="414" ht="14.25" customHeight="1">
      <c r="A414" s="10" t="s">
        <v>684</v>
      </c>
      <c r="B414" s="10" t="s">
        <v>224</v>
      </c>
      <c r="C414" s="6">
        <v>2.0</v>
      </c>
      <c r="D414" s="6">
        <v>120.0</v>
      </c>
      <c r="E414" s="10" t="s">
        <v>119</v>
      </c>
      <c r="F414" s="87">
        <v>46011.0</v>
      </c>
      <c r="G414" s="77">
        <f t="shared" si="10"/>
        <v>240</v>
      </c>
      <c r="H414" s="77"/>
      <c r="I414" s="250"/>
      <c r="O414" s="250"/>
      <c r="P414" s="250"/>
      <c r="Q414" s="250"/>
      <c r="R414" s="250"/>
      <c r="S414" s="250"/>
      <c r="T414" s="250"/>
      <c r="U414" s="250"/>
      <c r="V414" s="250"/>
      <c r="W414" s="250"/>
      <c r="X414" s="250"/>
      <c r="Y414" s="250"/>
      <c r="Z414" s="250"/>
    </row>
    <row r="415" ht="14.25" customHeight="1">
      <c r="A415" s="10" t="s">
        <v>707</v>
      </c>
      <c r="B415" s="10" t="s">
        <v>224</v>
      </c>
      <c r="C415" s="6">
        <v>3.0</v>
      </c>
      <c r="D415" s="6">
        <v>59.0</v>
      </c>
      <c r="E415" s="10" t="s">
        <v>119</v>
      </c>
      <c r="F415" s="87">
        <v>46011.0</v>
      </c>
      <c r="G415" s="77">
        <f t="shared" si="10"/>
        <v>177</v>
      </c>
      <c r="H415" s="77"/>
      <c r="I415" s="250"/>
      <c r="O415" s="250"/>
      <c r="P415" s="250"/>
      <c r="Q415" s="250"/>
      <c r="R415" s="250"/>
      <c r="S415" s="250"/>
      <c r="T415" s="250"/>
      <c r="U415" s="250"/>
      <c r="V415" s="250"/>
      <c r="W415" s="250"/>
      <c r="X415" s="250"/>
      <c r="Y415" s="250"/>
      <c r="Z415" s="250"/>
    </row>
    <row r="416" ht="14.25" customHeight="1">
      <c r="A416" s="10" t="s">
        <v>687</v>
      </c>
      <c r="B416" s="10" t="s">
        <v>224</v>
      </c>
      <c r="C416" s="6">
        <v>2.0</v>
      </c>
      <c r="D416" s="6">
        <v>106.0</v>
      </c>
      <c r="E416" s="10" t="s">
        <v>119</v>
      </c>
      <c r="F416" s="87">
        <v>46011.0</v>
      </c>
      <c r="G416" s="77">
        <f t="shared" si="10"/>
        <v>212</v>
      </c>
      <c r="H416" s="77"/>
      <c r="I416" s="250"/>
      <c r="O416" s="250"/>
      <c r="P416" s="250"/>
      <c r="Q416" s="250"/>
      <c r="R416" s="250"/>
      <c r="S416" s="250"/>
      <c r="T416" s="250"/>
      <c r="U416" s="250"/>
      <c r="V416" s="250"/>
      <c r="W416" s="250"/>
      <c r="X416" s="250"/>
      <c r="Y416" s="250"/>
      <c r="Z416" s="250"/>
    </row>
    <row r="417" ht="14.25" customHeight="1">
      <c r="A417" s="10" t="s">
        <v>694</v>
      </c>
      <c r="B417" s="10" t="s">
        <v>224</v>
      </c>
      <c r="C417" s="6">
        <v>1.0</v>
      </c>
      <c r="D417" s="6">
        <v>106.0</v>
      </c>
      <c r="E417" s="10" t="s">
        <v>119</v>
      </c>
      <c r="F417" s="87">
        <v>46011.0</v>
      </c>
      <c r="G417" s="77">
        <f t="shared" si="10"/>
        <v>106</v>
      </c>
      <c r="H417" s="77"/>
      <c r="I417" s="250"/>
      <c r="O417" s="250"/>
      <c r="P417" s="250"/>
      <c r="Q417" s="250"/>
      <c r="R417" s="250"/>
      <c r="S417" s="250"/>
      <c r="T417" s="250"/>
      <c r="U417" s="250"/>
      <c r="V417" s="250"/>
      <c r="W417" s="250"/>
      <c r="X417" s="250"/>
      <c r="Y417" s="250"/>
      <c r="Z417" s="250"/>
    </row>
    <row r="418" ht="14.25" customHeight="1">
      <c r="A418" s="10" t="s">
        <v>957</v>
      </c>
      <c r="B418" s="10" t="s">
        <v>224</v>
      </c>
      <c r="C418" s="6">
        <v>2.0</v>
      </c>
      <c r="D418" s="6">
        <v>55.0</v>
      </c>
      <c r="E418" s="10" t="s">
        <v>119</v>
      </c>
      <c r="F418" s="87">
        <v>46011.0</v>
      </c>
      <c r="G418" s="77">
        <f t="shared" si="10"/>
        <v>110</v>
      </c>
      <c r="H418" s="77"/>
      <c r="I418" s="250"/>
      <c r="O418" s="250"/>
      <c r="P418" s="250"/>
      <c r="Q418" s="250"/>
      <c r="R418" s="250"/>
      <c r="S418" s="250"/>
      <c r="T418" s="250"/>
      <c r="U418" s="250"/>
      <c r="V418" s="250"/>
      <c r="W418" s="250"/>
      <c r="X418" s="250"/>
      <c r="Y418" s="250"/>
      <c r="Z418" s="250"/>
    </row>
    <row r="419" ht="14.25" customHeight="1">
      <c r="A419" s="10" t="s">
        <v>675</v>
      </c>
      <c r="B419" s="10" t="s">
        <v>224</v>
      </c>
      <c r="C419" s="6">
        <v>6.0</v>
      </c>
      <c r="D419" s="6">
        <f>27.5</f>
        <v>27.5</v>
      </c>
      <c r="E419" s="10" t="s">
        <v>119</v>
      </c>
      <c r="F419" s="87">
        <v>46011.0</v>
      </c>
      <c r="G419" s="77">
        <f t="shared" si="10"/>
        <v>165</v>
      </c>
      <c r="H419" s="77"/>
      <c r="I419" s="250"/>
      <c r="O419" s="250"/>
      <c r="P419" s="250"/>
      <c r="Q419" s="250"/>
      <c r="R419" s="250"/>
      <c r="S419" s="250"/>
      <c r="T419" s="250"/>
      <c r="U419" s="250"/>
      <c r="V419" s="250"/>
      <c r="W419" s="250"/>
      <c r="X419" s="250"/>
      <c r="Y419" s="250"/>
      <c r="Z419" s="250"/>
    </row>
    <row r="420" ht="14.25" customHeight="1">
      <c r="A420" s="10" t="s">
        <v>679</v>
      </c>
      <c r="B420" s="10" t="s">
        <v>224</v>
      </c>
      <c r="C420" s="6">
        <v>2.0</v>
      </c>
      <c r="D420" s="6">
        <v>63.0</v>
      </c>
      <c r="E420" s="10" t="s">
        <v>119</v>
      </c>
      <c r="F420" s="87">
        <v>46011.0</v>
      </c>
      <c r="G420" s="77">
        <f t="shared" si="10"/>
        <v>126</v>
      </c>
      <c r="H420" s="77"/>
      <c r="I420" s="250"/>
      <c r="O420" s="250"/>
      <c r="P420" s="250"/>
      <c r="Q420" s="250"/>
      <c r="R420" s="250"/>
      <c r="S420" s="250"/>
      <c r="T420" s="250"/>
      <c r="U420" s="250"/>
      <c r="V420" s="250"/>
      <c r="W420" s="250"/>
      <c r="X420" s="250"/>
      <c r="Y420" s="250"/>
      <c r="Z420" s="250"/>
    </row>
    <row r="421" ht="14.25" customHeight="1">
      <c r="A421" s="10" t="s">
        <v>808</v>
      </c>
      <c r="B421" s="10" t="s">
        <v>224</v>
      </c>
      <c r="C421" s="6">
        <v>3.0</v>
      </c>
      <c r="D421" s="6">
        <v>63.0</v>
      </c>
      <c r="E421" s="10" t="s">
        <v>119</v>
      </c>
      <c r="F421" s="87">
        <v>46011.0</v>
      </c>
      <c r="G421" s="77">
        <f t="shared" si="10"/>
        <v>189</v>
      </c>
      <c r="H421" s="77"/>
      <c r="I421" s="250"/>
      <c r="O421" s="250"/>
      <c r="P421" s="250"/>
      <c r="Q421" s="250"/>
      <c r="R421" s="250"/>
      <c r="S421" s="250"/>
      <c r="T421" s="250"/>
      <c r="U421" s="250"/>
      <c r="V421" s="250"/>
      <c r="W421" s="250"/>
      <c r="X421" s="250"/>
      <c r="Y421" s="250"/>
      <c r="Z421" s="250"/>
    </row>
    <row r="422" ht="14.25" customHeight="1">
      <c r="A422" s="10" t="s">
        <v>784</v>
      </c>
      <c r="B422" s="10" t="s">
        <v>224</v>
      </c>
      <c r="C422" s="6">
        <v>1.0</v>
      </c>
      <c r="D422" s="6">
        <v>63.0</v>
      </c>
      <c r="E422" s="10" t="s">
        <v>119</v>
      </c>
      <c r="F422" s="87">
        <v>46011.0</v>
      </c>
      <c r="G422" s="77">
        <f t="shared" si="10"/>
        <v>63</v>
      </c>
      <c r="H422" s="77"/>
      <c r="I422" s="250"/>
      <c r="O422" s="250"/>
      <c r="P422" s="250"/>
      <c r="Q422" s="250"/>
      <c r="R422" s="250"/>
      <c r="S422" s="250"/>
      <c r="T422" s="250"/>
      <c r="U422" s="250"/>
      <c r="V422" s="250"/>
      <c r="W422" s="250"/>
      <c r="X422" s="250"/>
      <c r="Y422" s="250"/>
      <c r="Z422" s="250"/>
    </row>
    <row r="423" ht="14.25" customHeight="1">
      <c r="A423" s="10" t="s">
        <v>967</v>
      </c>
      <c r="B423" s="10" t="s">
        <v>224</v>
      </c>
      <c r="C423" s="6">
        <v>3.0</v>
      </c>
      <c r="D423" s="6">
        <v>60.0</v>
      </c>
      <c r="E423" s="10" t="s">
        <v>119</v>
      </c>
      <c r="F423" s="87">
        <v>46011.0</v>
      </c>
      <c r="G423" s="77">
        <f t="shared" si="10"/>
        <v>180</v>
      </c>
      <c r="H423" s="77"/>
      <c r="I423" s="250"/>
      <c r="O423" s="250"/>
      <c r="P423" s="250"/>
      <c r="Q423" s="250"/>
      <c r="R423" s="250"/>
      <c r="S423" s="250"/>
      <c r="T423" s="250"/>
      <c r="U423" s="250"/>
      <c r="V423" s="250"/>
      <c r="W423" s="250"/>
      <c r="X423" s="250"/>
      <c r="Y423" s="250"/>
      <c r="Z423" s="250"/>
    </row>
    <row r="424" ht="14.25" customHeight="1">
      <c r="A424" s="10" t="s">
        <v>691</v>
      </c>
      <c r="B424" s="10" t="s">
        <v>224</v>
      </c>
      <c r="C424" s="6">
        <v>2.0</v>
      </c>
      <c r="D424" s="6">
        <v>81.0</v>
      </c>
      <c r="E424" s="10" t="s">
        <v>119</v>
      </c>
      <c r="F424" s="87">
        <v>46011.0</v>
      </c>
      <c r="G424" s="77">
        <f t="shared" si="10"/>
        <v>162</v>
      </c>
      <c r="H424" s="77"/>
      <c r="I424" s="250"/>
      <c r="O424" s="250"/>
      <c r="P424" s="250"/>
      <c r="Q424" s="250"/>
      <c r="R424" s="250"/>
      <c r="S424" s="250"/>
      <c r="T424" s="250"/>
      <c r="U424" s="250"/>
      <c r="V424" s="250"/>
      <c r="W424" s="250"/>
      <c r="X424" s="250"/>
      <c r="Y424" s="250"/>
      <c r="Z424" s="250"/>
    </row>
    <row r="425" ht="14.25" customHeight="1">
      <c r="A425" s="10" t="s">
        <v>970</v>
      </c>
      <c r="B425" s="10" t="s">
        <v>224</v>
      </c>
      <c r="C425" s="6">
        <v>1.0</v>
      </c>
      <c r="D425" s="6">
        <v>75.0</v>
      </c>
      <c r="E425" s="10" t="s">
        <v>119</v>
      </c>
      <c r="F425" s="87">
        <v>46011.0</v>
      </c>
      <c r="G425" s="77">
        <f t="shared" si="10"/>
        <v>75</v>
      </c>
      <c r="H425" s="77"/>
      <c r="I425" s="250"/>
      <c r="O425" s="250"/>
      <c r="P425" s="250"/>
      <c r="Q425" s="250"/>
      <c r="R425" s="250"/>
      <c r="S425" s="250"/>
      <c r="T425" s="250"/>
      <c r="U425" s="250"/>
      <c r="V425" s="250"/>
      <c r="W425" s="250"/>
      <c r="X425" s="250"/>
      <c r="Y425" s="250"/>
      <c r="Z425" s="250"/>
    </row>
    <row r="426" ht="14.25" customHeight="1">
      <c r="A426" s="10" t="s">
        <v>758</v>
      </c>
      <c r="B426" s="10" t="s">
        <v>579</v>
      </c>
      <c r="C426" s="6">
        <v>12.0</v>
      </c>
      <c r="D426" s="6">
        <f>31.25</f>
        <v>31.25</v>
      </c>
      <c r="E426" s="10" t="s">
        <v>119</v>
      </c>
      <c r="F426" s="87">
        <v>46011.0</v>
      </c>
      <c r="G426" s="77">
        <f t="shared" si="10"/>
        <v>375</v>
      </c>
      <c r="H426" s="77"/>
      <c r="I426" s="250"/>
      <c r="O426" s="250"/>
      <c r="P426" s="250"/>
      <c r="Q426" s="250"/>
      <c r="R426" s="250"/>
      <c r="S426" s="250"/>
      <c r="T426" s="250"/>
      <c r="U426" s="250"/>
      <c r="V426" s="250"/>
      <c r="W426" s="250"/>
      <c r="X426" s="250"/>
      <c r="Y426" s="250"/>
      <c r="Z426" s="250"/>
    </row>
    <row r="427" ht="14.25" customHeight="1">
      <c r="A427" s="10" t="s">
        <v>572</v>
      </c>
      <c r="B427" s="10" t="s">
        <v>579</v>
      </c>
      <c r="C427" s="6">
        <v>2.0</v>
      </c>
      <c r="D427" s="6">
        <f>52.5</f>
        <v>52.5</v>
      </c>
      <c r="E427" s="10" t="s">
        <v>119</v>
      </c>
      <c r="F427" s="87">
        <v>46011.0</v>
      </c>
      <c r="G427" s="77">
        <f t="shared" si="10"/>
        <v>105</v>
      </c>
      <c r="H427" s="77"/>
      <c r="I427" s="250"/>
      <c r="O427" s="250"/>
      <c r="P427" s="250"/>
      <c r="Q427" s="250"/>
      <c r="R427" s="250"/>
      <c r="S427" s="250"/>
      <c r="T427" s="250"/>
      <c r="U427" s="250"/>
      <c r="V427" s="250"/>
      <c r="W427" s="250"/>
      <c r="X427" s="250"/>
      <c r="Y427" s="250"/>
      <c r="Z427" s="250"/>
    </row>
    <row r="428" ht="14.25" customHeight="1">
      <c r="A428" s="10" t="s">
        <v>575</v>
      </c>
      <c r="B428" s="10" t="s">
        <v>579</v>
      </c>
      <c r="C428" s="6">
        <f>2*8</f>
        <v>16</v>
      </c>
      <c r="D428" s="6">
        <f>36/8</f>
        <v>4.5</v>
      </c>
      <c r="E428" s="10" t="s">
        <v>119</v>
      </c>
      <c r="F428" s="87">
        <v>46011.0</v>
      </c>
      <c r="G428" s="77">
        <f t="shared" si="10"/>
        <v>72</v>
      </c>
      <c r="H428" s="77"/>
      <c r="I428" s="250"/>
      <c r="O428" s="250"/>
      <c r="P428" s="250"/>
      <c r="Q428" s="250"/>
      <c r="R428" s="250"/>
      <c r="S428" s="250"/>
      <c r="T428" s="250"/>
      <c r="U428" s="250"/>
      <c r="V428" s="250"/>
      <c r="W428" s="250"/>
      <c r="X428" s="250"/>
      <c r="Y428" s="250"/>
      <c r="Z428" s="250"/>
    </row>
    <row r="429" ht="14.25" customHeight="1">
      <c r="A429" s="10" t="s">
        <v>4661</v>
      </c>
      <c r="B429" s="10" t="s">
        <v>579</v>
      </c>
      <c r="C429" s="6">
        <f>6*6</f>
        <v>36</v>
      </c>
      <c r="D429" s="6">
        <f>11.125</f>
        <v>11.125</v>
      </c>
      <c r="E429" s="10" t="s">
        <v>119</v>
      </c>
      <c r="F429" s="87">
        <v>46011.0</v>
      </c>
      <c r="G429" s="77">
        <f t="shared" si="10"/>
        <v>400.5</v>
      </c>
      <c r="H429" s="77"/>
      <c r="I429" s="250"/>
      <c r="O429" s="250"/>
      <c r="P429" s="250"/>
      <c r="Q429" s="250"/>
      <c r="R429" s="250"/>
      <c r="S429" s="250"/>
      <c r="T429" s="250"/>
      <c r="U429" s="250"/>
      <c r="V429" s="250"/>
      <c r="W429" s="250"/>
      <c r="X429" s="250"/>
      <c r="Y429" s="250"/>
      <c r="Z429" s="250"/>
    </row>
    <row r="430" ht="14.25" customHeight="1">
      <c r="A430" s="106" t="s">
        <v>549</v>
      </c>
      <c r="B430" s="10" t="s">
        <v>836</v>
      </c>
      <c r="C430" s="6">
        <v>8.0</v>
      </c>
      <c r="D430" s="6">
        <f>17.5</f>
        <v>17.5</v>
      </c>
      <c r="E430" s="10" t="s">
        <v>119</v>
      </c>
      <c r="F430" s="87">
        <v>46011.0</v>
      </c>
      <c r="G430" s="77">
        <f t="shared" si="10"/>
        <v>140</v>
      </c>
      <c r="H430" s="77"/>
      <c r="I430" s="250"/>
      <c r="O430" s="250"/>
      <c r="P430" s="250"/>
      <c r="Q430" s="250"/>
      <c r="R430" s="250"/>
      <c r="S430" s="250"/>
      <c r="T430" s="250"/>
      <c r="U430" s="250"/>
      <c r="V430" s="250"/>
      <c r="W430" s="250"/>
      <c r="X430" s="250"/>
      <c r="Y430" s="250"/>
      <c r="Z430" s="250"/>
    </row>
    <row r="431" ht="14.25" customHeight="1">
      <c r="A431" s="10" t="s">
        <v>567</v>
      </c>
      <c r="B431" s="10" t="s">
        <v>579</v>
      </c>
      <c r="C431" s="6">
        <v>3.0</v>
      </c>
      <c r="D431" s="6">
        <v>51.0</v>
      </c>
      <c r="E431" s="10" t="s">
        <v>119</v>
      </c>
      <c r="F431" s="87">
        <v>46011.0</v>
      </c>
      <c r="G431" s="77">
        <f t="shared" si="10"/>
        <v>153</v>
      </c>
      <c r="H431" s="77"/>
      <c r="I431" s="250"/>
      <c r="O431" s="250"/>
      <c r="P431" s="250"/>
      <c r="Q431" s="250"/>
      <c r="R431" s="250"/>
      <c r="S431" s="250"/>
      <c r="T431" s="250"/>
      <c r="U431" s="250"/>
      <c r="V431" s="250"/>
      <c r="W431" s="250"/>
      <c r="X431" s="250"/>
      <c r="Y431" s="250"/>
      <c r="Z431" s="250"/>
    </row>
    <row r="432" ht="14.25" customHeight="1">
      <c r="A432" s="10" t="s">
        <v>580</v>
      </c>
      <c r="B432" s="10" t="s">
        <v>579</v>
      </c>
      <c r="C432" s="6">
        <v>2.0</v>
      </c>
      <c r="D432" s="6">
        <f>43.75</f>
        <v>43.75</v>
      </c>
      <c r="E432" s="10" t="s">
        <v>119</v>
      </c>
      <c r="F432" s="87">
        <v>46011.0</v>
      </c>
      <c r="G432" s="77">
        <f t="shared" si="10"/>
        <v>87.5</v>
      </c>
      <c r="H432" s="77"/>
      <c r="I432" s="250"/>
      <c r="O432" s="250"/>
      <c r="P432" s="250"/>
      <c r="Q432" s="250"/>
      <c r="R432" s="250"/>
      <c r="S432" s="250"/>
      <c r="T432" s="250"/>
      <c r="U432" s="250"/>
      <c r="V432" s="250"/>
      <c r="W432" s="250"/>
      <c r="X432" s="250"/>
      <c r="Y432" s="250"/>
      <c r="Z432" s="250"/>
    </row>
    <row r="433" ht="14.25" customHeight="1">
      <c r="A433" s="10" t="s">
        <v>993</v>
      </c>
      <c r="B433" s="10" t="s">
        <v>994</v>
      </c>
      <c r="C433" s="6">
        <v>1.0</v>
      </c>
      <c r="D433" s="6">
        <v>234.0</v>
      </c>
      <c r="E433" s="10" t="s">
        <v>119</v>
      </c>
      <c r="F433" s="87">
        <v>46011.0</v>
      </c>
      <c r="G433" s="77">
        <f t="shared" si="10"/>
        <v>234</v>
      </c>
      <c r="H433" s="77"/>
      <c r="I433" s="250"/>
      <c r="O433" s="250"/>
      <c r="P433" s="250"/>
      <c r="Q433" s="250"/>
      <c r="R433" s="250"/>
      <c r="S433" s="250"/>
      <c r="T433" s="250"/>
      <c r="U433" s="250"/>
      <c r="V433" s="250"/>
      <c r="W433" s="250"/>
      <c r="X433" s="250"/>
      <c r="Y433" s="250"/>
      <c r="Z433" s="250"/>
    </row>
    <row r="434" ht="14.25" customHeight="1">
      <c r="A434" s="250"/>
      <c r="B434" s="250"/>
      <c r="C434" s="250"/>
      <c r="D434" s="254"/>
      <c r="E434" s="250"/>
      <c r="F434" s="250"/>
      <c r="G434" s="250"/>
      <c r="H434" s="250"/>
      <c r="I434" s="250"/>
      <c r="O434" s="250"/>
      <c r="P434" s="250"/>
      <c r="Q434" s="250"/>
      <c r="R434" s="250"/>
      <c r="S434" s="250"/>
      <c r="T434" s="250"/>
      <c r="U434" s="250"/>
      <c r="V434" s="250"/>
      <c r="W434" s="250"/>
      <c r="X434" s="250"/>
      <c r="Y434" s="250"/>
      <c r="Z434" s="250"/>
    </row>
    <row r="435" ht="14.25" customHeight="1">
      <c r="A435" s="280" t="s">
        <v>4369</v>
      </c>
      <c r="B435" s="280" t="s">
        <v>4350</v>
      </c>
      <c r="C435" s="280" t="s">
        <v>4352</v>
      </c>
      <c r="D435" s="281" t="s">
        <v>4370</v>
      </c>
      <c r="E435" s="280" t="s">
        <v>4433</v>
      </c>
      <c r="F435" s="280" t="s">
        <v>4372</v>
      </c>
      <c r="G435" s="298" t="s">
        <v>4641</v>
      </c>
      <c r="H435" s="108" t="s">
        <v>4578</v>
      </c>
      <c r="I435" s="250"/>
      <c r="O435" s="250"/>
      <c r="P435" s="250"/>
      <c r="Q435" s="250"/>
      <c r="R435" s="250"/>
      <c r="S435" s="250"/>
      <c r="T435" s="250"/>
      <c r="U435" s="250"/>
      <c r="V435" s="250"/>
      <c r="W435" s="250"/>
      <c r="X435" s="250"/>
      <c r="Y435" s="250"/>
      <c r="Z435" s="250"/>
    </row>
    <row r="436" ht="14.25" customHeight="1">
      <c r="A436" s="10" t="s">
        <v>997</v>
      </c>
      <c r="B436" s="10" t="s">
        <v>827</v>
      </c>
      <c r="C436" s="6">
        <v>3.0</v>
      </c>
      <c r="D436" s="98">
        <v>112.0</v>
      </c>
      <c r="E436" s="10" t="s">
        <v>119</v>
      </c>
      <c r="F436" s="89">
        <v>46018.0</v>
      </c>
      <c r="G436" s="298">
        <f t="shared" ref="G436:G460" si="11">D436*C436</f>
        <v>336</v>
      </c>
      <c r="H436" s="108"/>
      <c r="I436" s="250"/>
      <c r="O436" s="250"/>
      <c r="P436" s="250"/>
      <c r="Q436" s="250"/>
      <c r="R436" s="250"/>
      <c r="S436" s="250"/>
      <c r="T436" s="250"/>
      <c r="U436" s="250"/>
      <c r="V436" s="250"/>
      <c r="W436" s="250"/>
      <c r="X436" s="250"/>
      <c r="Y436" s="250"/>
      <c r="Z436" s="250"/>
    </row>
    <row r="437" ht="14.25" customHeight="1">
      <c r="A437" s="10" t="s">
        <v>846</v>
      </c>
      <c r="B437" s="10" t="s">
        <v>827</v>
      </c>
      <c r="C437" s="6">
        <v>1.0</v>
      </c>
      <c r="D437" s="98">
        <f>137+1/2</f>
        <v>137.5</v>
      </c>
      <c r="E437" s="10" t="s">
        <v>119</v>
      </c>
      <c r="F437" s="89">
        <v>46018.0</v>
      </c>
      <c r="G437" s="298">
        <f t="shared" si="11"/>
        <v>137.5</v>
      </c>
      <c r="H437" s="108"/>
      <c r="I437" s="250"/>
      <c r="O437" s="250"/>
      <c r="P437" s="250"/>
      <c r="Q437" s="250"/>
      <c r="R437" s="250"/>
      <c r="S437" s="250"/>
      <c r="T437" s="250"/>
      <c r="U437" s="250"/>
      <c r="V437" s="250"/>
      <c r="W437" s="250"/>
      <c r="X437" s="250"/>
      <c r="Y437" s="250"/>
      <c r="Z437" s="250"/>
    </row>
    <row r="438" ht="14.25" customHeight="1">
      <c r="A438" s="10" t="s">
        <v>826</v>
      </c>
      <c r="B438" s="10" t="s">
        <v>827</v>
      </c>
      <c r="C438" s="6">
        <v>1.0</v>
      </c>
      <c r="D438" s="98">
        <v>140.0</v>
      </c>
      <c r="E438" s="10" t="s">
        <v>119</v>
      </c>
      <c r="F438" s="89">
        <v>46018.0</v>
      </c>
      <c r="G438" s="298">
        <f t="shared" si="11"/>
        <v>140</v>
      </c>
      <c r="H438" s="108"/>
      <c r="I438" s="250"/>
      <c r="O438" s="250"/>
      <c r="P438" s="250"/>
      <c r="Q438" s="250"/>
      <c r="R438" s="250"/>
      <c r="S438" s="250"/>
      <c r="T438" s="250"/>
      <c r="U438" s="250"/>
      <c r="V438" s="250"/>
      <c r="W438" s="250"/>
      <c r="X438" s="250"/>
      <c r="Y438" s="250"/>
      <c r="Z438" s="250"/>
    </row>
    <row r="439" ht="14.25" customHeight="1">
      <c r="A439" s="10" t="s">
        <v>913</v>
      </c>
      <c r="B439" s="10" t="s">
        <v>827</v>
      </c>
      <c r="C439" s="6">
        <v>1.0</v>
      </c>
      <c r="D439" s="98">
        <v>130.0</v>
      </c>
      <c r="E439" s="10" t="s">
        <v>119</v>
      </c>
      <c r="F439" s="89">
        <v>46018.0</v>
      </c>
      <c r="G439" s="298">
        <f t="shared" si="11"/>
        <v>130</v>
      </c>
      <c r="H439" s="108"/>
      <c r="I439" s="250"/>
      <c r="O439" s="250"/>
      <c r="P439" s="250"/>
      <c r="Q439" s="250"/>
      <c r="R439" s="250"/>
      <c r="S439" s="250"/>
      <c r="T439" s="250"/>
      <c r="U439" s="250"/>
      <c r="V439" s="250"/>
      <c r="W439" s="250"/>
      <c r="X439" s="250"/>
      <c r="Y439" s="250"/>
      <c r="Z439" s="250"/>
    </row>
    <row r="440" ht="14.25" customHeight="1">
      <c r="A440" s="10" t="s">
        <v>950</v>
      </c>
      <c r="B440" s="10" t="s">
        <v>827</v>
      </c>
      <c r="C440" s="6">
        <v>2.0</v>
      </c>
      <c r="D440" s="98">
        <v>72.0</v>
      </c>
      <c r="E440" s="10" t="s">
        <v>119</v>
      </c>
      <c r="F440" s="89">
        <v>46018.0</v>
      </c>
      <c r="G440" s="298">
        <f t="shared" si="11"/>
        <v>144</v>
      </c>
      <c r="H440" s="108"/>
      <c r="I440" s="250"/>
      <c r="O440" s="250"/>
      <c r="P440" s="250"/>
      <c r="Q440" s="250"/>
      <c r="R440" s="250"/>
      <c r="S440" s="250"/>
      <c r="T440" s="250"/>
      <c r="U440" s="250"/>
      <c r="V440" s="250"/>
      <c r="W440" s="250"/>
      <c r="X440" s="250"/>
      <c r="Y440" s="250"/>
      <c r="Z440" s="250"/>
    </row>
    <row r="441" ht="14.25" customHeight="1">
      <c r="A441" s="10" t="s">
        <v>643</v>
      </c>
      <c r="B441" s="10" t="s">
        <v>30</v>
      </c>
      <c r="C441" s="6">
        <v>1.0</v>
      </c>
      <c r="D441" s="98">
        <v>166.0</v>
      </c>
      <c r="E441" s="10" t="s">
        <v>119</v>
      </c>
      <c r="F441" s="89">
        <v>46018.0</v>
      </c>
      <c r="G441" s="298">
        <f t="shared" si="11"/>
        <v>166</v>
      </c>
      <c r="H441" s="108"/>
      <c r="I441" s="250"/>
      <c r="O441" s="250"/>
      <c r="P441" s="250"/>
      <c r="Q441" s="250"/>
      <c r="R441" s="250"/>
      <c r="S441" s="250"/>
      <c r="T441" s="250"/>
      <c r="U441" s="250"/>
      <c r="V441" s="250"/>
      <c r="W441" s="250"/>
      <c r="X441" s="250"/>
      <c r="Y441" s="250"/>
      <c r="Z441" s="250"/>
    </row>
    <row r="442" ht="14.25" customHeight="1">
      <c r="A442" s="10" t="s">
        <v>740</v>
      </c>
      <c r="B442" s="10" t="s">
        <v>30</v>
      </c>
      <c r="C442" s="6">
        <v>1.0</v>
      </c>
      <c r="D442" s="98">
        <f>137+1/2</f>
        <v>137.5</v>
      </c>
      <c r="E442" s="10" t="s">
        <v>119</v>
      </c>
      <c r="F442" s="89">
        <v>46018.0</v>
      </c>
      <c r="G442" s="298">
        <f t="shared" si="11"/>
        <v>137.5</v>
      </c>
      <c r="H442" s="108"/>
      <c r="I442" s="250"/>
      <c r="O442" s="250"/>
      <c r="P442" s="250"/>
      <c r="Q442" s="250"/>
      <c r="R442" s="250"/>
      <c r="S442" s="250"/>
      <c r="T442" s="250"/>
      <c r="U442" s="250"/>
      <c r="V442" s="250"/>
      <c r="W442" s="250"/>
      <c r="X442" s="250"/>
      <c r="Y442" s="250"/>
      <c r="Z442" s="250"/>
    </row>
    <row r="443" ht="14.25" customHeight="1">
      <c r="A443" s="10" t="s">
        <v>646</v>
      </c>
      <c r="B443" s="10" t="s">
        <v>30</v>
      </c>
      <c r="C443" s="6">
        <v>1.0</v>
      </c>
      <c r="D443" s="98">
        <v>166.0</v>
      </c>
      <c r="E443" s="10" t="s">
        <v>119</v>
      </c>
      <c r="F443" s="89">
        <v>46018.0</v>
      </c>
      <c r="G443" s="298">
        <f t="shared" si="11"/>
        <v>166</v>
      </c>
      <c r="H443" s="108"/>
      <c r="I443" s="250"/>
      <c r="O443" s="250"/>
      <c r="P443" s="250"/>
      <c r="Q443" s="250"/>
      <c r="R443" s="250"/>
      <c r="S443" s="250"/>
      <c r="T443" s="250"/>
      <c r="U443" s="250"/>
      <c r="V443" s="250"/>
      <c r="W443" s="250"/>
      <c r="X443" s="250"/>
      <c r="Y443" s="250"/>
      <c r="Z443" s="250"/>
    </row>
    <row r="444" ht="14.25" customHeight="1">
      <c r="A444" s="10" t="s">
        <v>567</v>
      </c>
      <c r="B444" s="10" t="s">
        <v>579</v>
      </c>
      <c r="C444" s="6">
        <v>3.0</v>
      </c>
      <c r="D444" s="98">
        <v>51.0</v>
      </c>
      <c r="E444" s="10" t="s">
        <v>119</v>
      </c>
      <c r="F444" s="89">
        <v>46018.0</v>
      </c>
      <c r="G444" s="298">
        <f t="shared" si="11"/>
        <v>153</v>
      </c>
      <c r="H444" s="108"/>
      <c r="I444" s="250"/>
      <c r="O444" s="250"/>
      <c r="P444" s="250"/>
      <c r="Q444" s="250"/>
      <c r="R444" s="250"/>
      <c r="S444" s="250"/>
      <c r="T444" s="250"/>
      <c r="U444" s="250"/>
      <c r="V444" s="250"/>
      <c r="W444" s="250"/>
      <c r="X444" s="250"/>
      <c r="Y444" s="250"/>
      <c r="Z444" s="250"/>
    </row>
    <row r="445" ht="14.25" customHeight="1">
      <c r="A445" s="10" t="s">
        <v>618</v>
      </c>
      <c r="B445" s="10" t="s">
        <v>30</v>
      </c>
      <c r="C445" s="6">
        <v>1.0</v>
      </c>
      <c r="D445" s="98">
        <v>141.0</v>
      </c>
      <c r="E445" s="10" t="s">
        <v>119</v>
      </c>
      <c r="F445" s="89">
        <v>46018.0</v>
      </c>
      <c r="G445" s="298">
        <f t="shared" si="11"/>
        <v>141</v>
      </c>
      <c r="H445" s="108"/>
      <c r="I445" s="250"/>
      <c r="O445" s="250"/>
      <c r="P445" s="250"/>
      <c r="Q445" s="250"/>
      <c r="R445" s="250"/>
      <c r="S445" s="250"/>
      <c r="T445" s="250"/>
      <c r="U445" s="250"/>
      <c r="V445" s="250"/>
      <c r="W445" s="250"/>
      <c r="X445" s="250"/>
      <c r="Y445" s="250"/>
      <c r="Z445" s="250"/>
    </row>
    <row r="446" ht="14.25" customHeight="1">
      <c r="A446" s="10" t="s">
        <v>496</v>
      </c>
      <c r="B446" s="10" t="s">
        <v>579</v>
      </c>
      <c r="C446" s="6">
        <v>3.0</v>
      </c>
      <c r="D446" s="98">
        <f>44.25</f>
        <v>44.25</v>
      </c>
      <c r="E446" s="10" t="s">
        <v>119</v>
      </c>
      <c r="F446" s="89">
        <v>46018.0</v>
      </c>
      <c r="G446" s="298">
        <f t="shared" si="11"/>
        <v>132.75</v>
      </c>
      <c r="H446" s="108"/>
      <c r="I446" s="250"/>
      <c r="O446" s="250"/>
      <c r="P446" s="250"/>
      <c r="Q446" s="250"/>
      <c r="R446" s="250"/>
      <c r="S446" s="250"/>
      <c r="T446" s="250"/>
      <c r="U446" s="250"/>
      <c r="V446" s="250"/>
      <c r="W446" s="250"/>
      <c r="X446" s="250"/>
      <c r="Y446" s="250"/>
      <c r="Z446" s="250"/>
    </row>
    <row r="447" ht="14.25" customHeight="1">
      <c r="A447" s="10" t="s">
        <v>522</v>
      </c>
      <c r="B447" s="10" t="s">
        <v>30</v>
      </c>
      <c r="C447" s="6">
        <v>1.0</v>
      </c>
      <c r="D447" s="98">
        <v>180.0</v>
      </c>
      <c r="E447" s="10" t="s">
        <v>119</v>
      </c>
      <c r="F447" s="89">
        <v>46018.0</v>
      </c>
      <c r="G447" s="298">
        <f t="shared" si="11"/>
        <v>180</v>
      </c>
      <c r="H447" s="108"/>
      <c r="I447" s="250"/>
      <c r="O447" s="250"/>
      <c r="P447" s="250"/>
      <c r="Q447" s="250"/>
      <c r="R447" s="250"/>
      <c r="S447" s="250"/>
      <c r="T447" s="250"/>
      <c r="U447" s="250"/>
      <c r="V447" s="250"/>
      <c r="W447" s="250"/>
      <c r="X447" s="250"/>
      <c r="Y447" s="250"/>
      <c r="Z447" s="250"/>
    </row>
    <row r="448" ht="14.25" customHeight="1">
      <c r="A448" s="10" t="s">
        <v>630</v>
      </c>
      <c r="B448" s="10" t="s">
        <v>30</v>
      </c>
      <c r="C448" s="6">
        <v>2.0</v>
      </c>
      <c r="D448" s="98">
        <v>160.0</v>
      </c>
      <c r="E448" s="10" t="s">
        <v>119</v>
      </c>
      <c r="F448" s="89">
        <v>46018.0</v>
      </c>
      <c r="G448" s="298">
        <f t="shared" si="11"/>
        <v>320</v>
      </c>
      <c r="H448" s="108"/>
      <c r="I448" s="250"/>
      <c r="O448" s="250"/>
      <c r="P448" s="250"/>
      <c r="Q448" s="250"/>
      <c r="R448" s="250"/>
      <c r="S448" s="250"/>
      <c r="T448" s="250"/>
      <c r="U448" s="250"/>
      <c r="V448" s="250"/>
      <c r="W448" s="250"/>
      <c r="X448" s="250"/>
      <c r="Y448" s="250"/>
      <c r="Z448" s="250"/>
    </row>
    <row r="449" ht="14.25" customHeight="1">
      <c r="A449" s="10" t="s">
        <v>754</v>
      </c>
      <c r="B449" s="10" t="s">
        <v>30</v>
      </c>
      <c r="C449" s="6">
        <v>1.0</v>
      </c>
      <c r="D449" s="98">
        <v>150.0</v>
      </c>
      <c r="E449" s="10" t="s">
        <v>119</v>
      </c>
      <c r="F449" s="89">
        <v>46018.0</v>
      </c>
      <c r="G449" s="298">
        <f t="shared" si="11"/>
        <v>150</v>
      </c>
      <c r="H449" s="108"/>
      <c r="I449" s="250"/>
      <c r="O449" s="250"/>
      <c r="P449" s="250"/>
      <c r="Q449" s="250"/>
      <c r="R449" s="250"/>
      <c r="S449" s="250"/>
      <c r="T449" s="250"/>
      <c r="U449" s="250"/>
      <c r="V449" s="250"/>
      <c r="W449" s="250"/>
      <c r="X449" s="250"/>
      <c r="Y449" s="250"/>
      <c r="Z449" s="250"/>
    </row>
    <row r="450" ht="14.25" customHeight="1">
      <c r="A450" s="10" t="s">
        <v>668</v>
      </c>
      <c r="B450" s="10" t="s">
        <v>30</v>
      </c>
      <c r="C450" s="6">
        <v>1.0</v>
      </c>
      <c r="D450" s="98">
        <v>126.0</v>
      </c>
      <c r="E450" s="10" t="s">
        <v>119</v>
      </c>
      <c r="F450" s="89">
        <v>46018.0</v>
      </c>
      <c r="G450" s="298">
        <f t="shared" si="11"/>
        <v>126</v>
      </c>
      <c r="H450" s="108"/>
      <c r="I450" s="250"/>
      <c r="O450" s="250"/>
      <c r="P450" s="250"/>
      <c r="Q450" s="250"/>
      <c r="R450" s="250"/>
      <c r="S450" s="250"/>
      <c r="T450" s="250"/>
      <c r="U450" s="250"/>
      <c r="V450" s="250"/>
      <c r="W450" s="250"/>
      <c r="X450" s="250"/>
      <c r="Y450" s="250"/>
      <c r="Z450" s="250"/>
    </row>
    <row r="451" ht="14.25" customHeight="1">
      <c r="A451" s="10" t="s">
        <v>1019</v>
      </c>
      <c r="B451" s="10" t="s">
        <v>994</v>
      </c>
      <c r="C451" s="6">
        <v>12.0</v>
      </c>
      <c r="D451" s="98">
        <f>120/12</f>
        <v>10</v>
      </c>
      <c r="E451" s="10" t="s">
        <v>119</v>
      </c>
      <c r="F451" s="89">
        <v>46018.0</v>
      </c>
      <c r="G451" s="298">
        <f t="shared" si="11"/>
        <v>120</v>
      </c>
      <c r="H451" s="108"/>
      <c r="I451" s="250"/>
      <c r="O451" s="250"/>
      <c r="P451" s="250"/>
      <c r="Q451" s="250"/>
      <c r="R451" s="250"/>
      <c r="S451" s="250"/>
      <c r="T451" s="250"/>
      <c r="U451" s="250"/>
      <c r="V451" s="250"/>
      <c r="W451" s="250"/>
      <c r="X451" s="250"/>
      <c r="Y451" s="250"/>
      <c r="Z451" s="250"/>
    </row>
    <row r="452" ht="14.25" customHeight="1">
      <c r="A452" s="10" t="s">
        <v>588</v>
      </c>
      <c r="B452" s="10" t="s">
        <v>498</v>
      </c>
      <c r="C452" s="6">
        <v>2.0</v>
      </c>
      <c r="D452" s="98">
        <v>115.0</v>
      </c>
      <c r="E452" s="10" t="s">
        <v>119</v>
      </c>
      <c r="F452" s="89">
        <v>46018.0</v>
      </c>
      <c r="G452" s="298">
        <f t="shared" si="11"/>
        <v>230</v>
      </c>
      <c r="H452" s="108"/>
      <c r="I452" s="250"/>
      <c r="O452" s="250"/>
      <c r="P452" s="250"/>
      <c r="Q452" s="250"/>
      <c r="R452" s="250"/>
      <c r="S452" s="250"/>
      <c r="T452" s="250"/>
      <c r="U452" s="250"/>
      <c r="V452" s="250"/>
      <c r="W452" s="250"/>
      <c r="X452" s="250"/>
      <c r="Y452" s="250"/>
      <c r="Z452" s="250"/>
    </row>
    <row r="453" ht="14.25" customHeight="1">
      <c r="A453" s="10" t="s">
        <v>497</v>
      </c>
      <c r="B453" s="10" t="s">
        <v>498</v>
      </c>
      <c r="C453" s="6">
        <v>2.0</v>
      </c>
      <c r="D453" s="98">
        <v>195.0</v>
      </c>
      <c r="E453" s="10" t="s">
        <v>119</v>
      </c>
      <c r="F453" s="89">
        <v>46018.0</v>
      </c>
      <c r="G453" s="298">
        <f t="shared" si="11"/>
        <v>390</v>
      </c>
      <c r="H453" s="108"/>
      <c r="I453" s="250"/>
      <c r="O453" s="250"/>
      <c r="P453" s="250"/>
      <c r="Q453" s="250"/>
      <c r="R453" s="250"/>
      <c r="S453" s="250"/>
      <c r="T453" s="250"/>
      <c r="U453" s="250"/>
      <c r="V453" s="250"/>
      <c r="W453" s="250"/>
      <c r="X453" s="250"/>
      <c r="Y453" s="250"/>
      <c r="Z453" s="250"/>
    </row>
    <row r="454" ht="14.25" customHeight="1">
      <c r="A454" s="10" t="s">
        <v>633</v>
      </c>
      <c r="B454" s="10" t="s">
        <v>30</v>
      </c>
      <c r="C454" s="6">
        <v>3.0</v>
      </c>
      <c r="D454" s="98">
        <v>128.0</v>
      </c>
      <c r="E454" s="10" t="s">
        <v>119</v>
      </c>
      <c r="F454" s="89">
        <v>46018.0</v>
      </c>
      <c r="G454" s="298">
        <f t="shared" si="11"/>
        <v>384</v>
      </c>
      <c r="H454" s="108"/>
      <c r="I454" s="250"/>
      <c r="O454" s="250"/>
      <c r="P454" s="250"/>
      <c r="Q454" s="250"/>
      <c r="R454" s="250"/>
      <c r="S454" s="250"/>
      <c r="T454" s="250"/>
      <c r="U454" s="250"/>
      <c r="V454" s="250"/>
      <c r="W454" s="250"/>
      <c r="X454" s="250"/>
      <c r="Y454" s="250"/>
      <c r="Z454" s="250"/>
    </row>
    <row r="455" ht="14.25" customHeight="1">
      <c r="A455" s="10" t="s">
        <v>673</v>
      </c>
      <c r="B455" s="10" t="s">
        <v>994</v>
      </c>
      <c r="C455" s="6">
        <v>12.0</v>
      </c>
      <c r="D455" s="98">
        <f>81/12</f>
        <v>6.75</v>
      </c>
      <c r="E455" s="10" t="s">
        <v>119</v>
      </c>
      <c r="F455" s="89">
        <v>46018.0</v>
      </c>
      <c r="G455" s="298">
        <f t="shared" si="11"/>
        <v>81</v>
      </c>
      <c r="H455" s="108"/>
      <c r="I455" s="250"/>
      <c r="O455" s="250"/>
      <c r="P455" s="250"/>
      <c r="Q455" s="250"/>
      <c r="R455" s="250"/>
      <c r="S455" s="250"/>
      <c r="T455" s="250"/>
      <c r="U455" s="250"/>
      <c r="V455" s="250"/>
      <c r="W455" s="250"/>
      <c r="X455" s="250"/>
      <c r="Y455" s="250"/>
      <c r="Z455" s="250"/>
    </row>
    <row r="456" ht="14.25" customHeight="1">
      <c r="A456" s="10" t="s">
        <v>1030</v>
      </c>
      <c r="B456" s="10" t="s">
        <v>994</v>
      </c>
      <c r="C456" s="6">
        <v>12.0</v>
      </c>
      <c r="D456" s="98">
        <f>100/12</f>
        <v>8.333333333</v>
      </c>
      <c r="E456" s="10" t="s">
        <v>119</v>
      </c>
      <c r="F456" s="89">
        <v>46018.0</v>
      </c>
      <c r="G456" s="298">
        <f t="shared" si="11"/>
        <v>100</v>
      </c>
      <c r="H456" s="108"/>
      <c r="I456" s="250"/>
      <c r="O456" s="250"/>
      <c r="P456" s="250"/>
      <c r="Q456" s="250"/>
      <c r="R456" s="250"/>
      <c r="S456" s="250"/>
      <c r="T456" s="250"/>
      <c r="U456" s="250"/>
      <c r="V456" s="250"/>
      <c r="W456" s="250"/>
      <c r="X456" s="250"/>
      <c r="Y456" s="250"/>
      <c r="Z456" s="250"/>
    </row>
    <row r="457" ht="14.25" customHeight="1">
      <c r="A457" s="10" t="s">
        <v>596</v>
      </c>
      <c r="B457" s="10" t="s">
        <v>1032</v>
      </c>
      <c r="C457" s="6">
        <v>12.0</v>
      </c>
      <c r="D457" s="98">
        <f t="shared" ref="D457:D458" si="12">215/12</f>
        <v>17.91666667</v>
      </c>
      <c r="E457" s="10" t="s">
        <v>119</v>
      </c>
      <c r="F457" s="89">
        <v>46018.0</v>
      </c>
      <c r="G457" s="298">
        <f t="shared" si="11"/>
        <v>215</v>
      </c>
      <c r="H457" s="108"/>
      <c r="I457" s="250"/>
      <c r="O457" s="250"/>
      <c r="P457" s="250"/>
      <c r="Q457" s="250"/>
      <c r="R457" s="250"/>
      <c r="S457" s="250"/>
      <c r="T457" s="250"/>
      <c r="U457" s="250"/>
      <c r="V457" s="250"/>
      <c r="W457" s="250"/>
      <c r="X457" s="250"/>
      <c r="Y457" s="250"/>
      <c r="Z457" s="250"/>
    </row>
    <row r="458" ht="14.25" customHeight="1">
      <c r="A458" s="10" t="s">
        <v>601</v>
      </c>
      <c r="B458" s="10" t="s">
        <v>1032</v>
      </c>
      <c r="C458" s="6">
        <v>12.0</v>
      </c>
      <c r="D458" s="98">
        <f t="shared" si="12"/>
        <v>17.91666667</v>
      </c>
      <c r="E458" s="10" t="s">
        <v>119</v>
      </c>
      <c r="F458" s="89">
        <v>46018.0</v>
      </c>
      <c r="G458" s="298">
        <f t="shared" si="11"/>
        <v>215</v>
      </c>
      <c r="H458" s="108"/>
      <c r="I458" s="250"/>
      <c r="O458" s="250"/>
      <c r="P458" s="250"/>
      <c r="Q458" s="250"/>
      <c r="R458" s="250"/>
      <c r="S458" s="250"/>
      <c r="T458" s="250"/>
      <c r="U458" s="250"/>
      <c r="V458" s="250"/>
      <c r="W458" s="250"/>
      <c r="X458" s="250"/>
      <c r="Y458" s="250"/>
      <c r="Z458" s="250"/>
    </row>
    <row r="459" ht="14.25" customHeight="1">
      <c r="A459" s="10" t="s">
        <v>1035</v>
      </c>
      <c r="B459" s="10" t="s">
        <v>1036</v>
      </c>
      <c r="C459" s="6">
        <v>2.0</v>
      </c>
      <c r="D459" s="98">
        <f>89.75</f>
        <v>89.75</v>
      </c>
      <c r="E459" s="10" t="s">
        <v>119</v>
      </c>
      <c r="F459" s="89">
        <v>46018.0</v>
      </c>
      <c r="G459" s="298">
        <f t="shared" si="11"/>
        <v>179.5</v>
      </c>
      <c r="H459" s="108"/>
      <c r="I459" s="250"/>
      <c r="O459" s="250"/>
      <c r="P459" s="250"/>
      <c r="Q459" s="250"/>
      <c r="R459" s="250"/>
      <c r="S459" s="250"/>
      <c r="T459" s="250"/>
      <c r="U459" s="250"/>
      <c r="V459" s="250"/>
      <c r="W459" s="250"/>
      <c r="X459" s="250"/>
      <c r="Y459" s="250"/>
      <c r="Z459" s="250"/>
    </row>
    <row r="460" ht="14.25" customHeight="1">
      <c r="A460" s="10" t="s">
        <v>4691</v>
      </c>
      <c r="B460" s="15"/>
      <c r="C460" s="6">
        <v>3.0</v>
      </c>
      <c r="D460" s="98">
        <v>30.0</v>
      </c>
      <c r="E460" s="10" t="s">
        <v>119</v>
      </c>
      <c r="F460" s="89">
        <v>46018.0</v>
      </c>
      <c r="G460" s="298">
        <f t="shared" si="11"/>
        <v>90</v>
      </c>
      <c r="H460" s="108"/>
      <c r="I460" s="250"/>
      <c r="O460" s="250"/>
      <c r="P460" s="250"/>
      <c r="Q460" s="250"/>
      <c r="R460" s="250"/>
      <c r="S460" s="250"/>
      <c r="T460" s="250"/>
      <c r="U460" s="250"/>
      <c r="V460" s="250"/>
      <c r="W460" s="250"/>
      <c r="X460" s="250"/>
      <c r="Y460" s="250"/>
      <c r="Z460" s="250"/>
    </row>
    <row r="461" ht="14.25" customHeight="1">
      <c r="A461" s="6"/>
      <c r="B461" s="15"/>
      <c r="C461" s="10"/>
      <c r="D461" s="98"/>
      <c r="E461" s="10"/>
      <c r="F461" s="300"/>
      <c r="G461" s="296"/>
      <c r="H461" s="296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250"/>
      <c r="V461" s="250"/>
      <c r="W461" s="250"/>
      <c r="X461" s="250"/>
      <c r="Y461" s="250"/>
      <c r="Z461" s="250"/>
    </row>
    <row r="462" ht="14.25" customHeight="1">
      <c r="B462" s="1"/>
      <c r="D462" s="293"/>
      <c r="E462" s="292"/>
      <c r="F462" s="292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250"/>
      <c r="V462" s="250"/>
      <c r="W462" s="250"/>
      <c r="X462" s="250"/>
      <c r="Y462" s="250"/>
      <c r="Z462" s="250"/>
    </row>
    <row r="463" ht="14.25" customHeight="1">
      <c r="D463" s="301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250"/>
      <c r="V463" s="250"/>
      <c r="W463" s="250"/>
      <c r="X463" s="250"/>
      <c r="Y463" s="250"/>
      <c r="Z463" s="250"/>
    </row>
    <row r="464" ht="14.25" customHeight="1">
      <c r="D464" s="301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250"/>
      <c r="W464" s="250"/>
      <c r="X464" s="250"/>
      <c r="Y464" s="250"/>
      <c r="Z464" s="250"/>
    </row>
    <row r="465" ht="14.25" customHeight="1">
      <c r="D465" s="301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250"/>
      <c r="W465" s="250"/>
      <c r="X465" s="250"/>
      <c r="Y465" s="250"/>
      <c r="Z465" s="250"/>
    </row>
    <row r="466" ht="14.25" customHeight="1">
      <c r="D466" s="301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250"/>
      <c r="W466" s="250"/>
      <c r="X466" s="250"/>
      <c r="Y466" s="250"/>
      <c r="Z466" s="250"/>
    </row>
    <row r="467" ht="14.25" customHeight="1">
      <c r="D467" s="301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250"/>
      <c r="W467" s="250"/>
      <c r="X467" s="250"/>
      <c r="Y467" s="250"/>
      <c r="Z467" s="250"/>
    </row>
    <row r="468" ht="14.25" customHeight="1">
      <c r="D468" s="301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250"/>
      <c r="W468" s="250"/>
      <c r="X468" s="250"/>
      <c r="Y468" s="250"/>
      <c r="Z468" s="250"/>
    </row>
    <row r="469" ht="14.25" customHeight="1">
      <c r="D469" s="301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250"/>
      <c r="W469" s="250"/>
      <c r="X469" s="250"/>
      <c r="Y469" s="250"/>
      <c r="Z469" s="250"/>
    </row>
    <row r="470" ht="14.25" customHeight="1">
      <c r="D470" s="301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250"/>
      <c r="W470" s="250"/>
      <c r="X470" s="250"/>
      <c r="Y470" s="250"/>
      <c r="Z470" s="250"/>
    </row>
    <row r="471" ht="14.25" customHeight="1">
      <c r="A471" s="280" t="s">
        <v>4369</v>
      </c>
      <c r="B471" s="280" t="s">
        <v>4350</v>
      </c>
      <c r="C471" s="280" t="s">
        <v>4352</v>
      </c>
      <c r="D471" s="281" t="s">
        <v>4370</v>
      </c>
      <c r="E471" s="280" t="s">
        <v>4433</v>
      </c>
      <c r="F471" s="280" t="s">
        <v>4372</v>
      </c>
      <c r="G471" s="298" t="s">
        <v>4641</v>
      </c>
      <c r="H471" s="108" t="s">
        <v>4578</v>
      </c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250"/>
      <c r="W471" s="250"/>
      <c r="X471" s="250"/>
      <c r="Y471" s="250"/>
      <c r="Z471" s="250"/>
    </row>
    <row r="472" ht="14.25" customHeight="1">
      <c r="A472" s="10" t="s">
        <v>4697</v>
      </c>
      <c r="B472" s="10" t="s">
        <v>185</v>
      </c>
      <c r="C472" s="6">
        <v>24.0</v>
      </c>
      <c r="D472" s="8">
        <v>45.0</v>
      </c>
      <c r="E472" s="73" t="s">
        <v>51</v>
      </c>
      <c r="F472" s="302"/>
      <c r="G472" s="296">
        <f t="shared" ref="G472:G473" si="13">D472*C472</f>
        <v>1080</v>
      </c>
      <c r="H472" s="84" t="s">
        <v>4699</v>
      </c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250"/>
      <c r="W472" s="250"/>
      <c r="X472" s="250"/>
      <c r="Y472" s="250"/>
      <c r="Z472" s="250"/>
    </row>
    <row r="473" ht="14.25" customHeight="1">
      <c r="A473" s="288" t="s">
        <v>741</v>
      </c>
      <c r="B473" s="10" t="s">
        <v>185</v>
      </c>
      <c r="C473" s="6">
        <v>1.0</v>
      </c>
      <c r="D473" s="8">
        <v>150.0</v>
      </c>
      <c r="E473" s="73" t="s">
        <v>51</v>
      </c>
      <c r="F473" s="302"/>
      <c r="G473" s="296">
        <f t="shared" si="13"/>
        <v>150</v>
      </c>
      <c r="H473" s="84" t="s">
        <v>4699</v>
      </c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250"/>
      <c r="W473" s="250"/>
      <c r="X473" s="250"/>
      <c r="Y473" s="250"/>
      <c r="Z473" s="250"/>
    </row>
    <row r="474" ht="14.25" customHeight="1">
      <c r="D474" s="301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250"/>
      <c r="W474" s="250"/>
      <c r="X474" s="250"/>
      <c r="Y474" s="250"/>
      <c r="Z474" s="250"/>
    </row>
    <row r="475" ht="14.25" customHeight="1">
      <c r="D475" s="301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250"/>
      <c r="W475" s="250"/>
      <c r="X475" s="250"/>
      <c r="Y475" s="250"/>
      <c r="Z475" s="250"/>
    </row>
    <row r="476" ht="14.25" customHeight="1">
      <c r="A476" s="280" t="s">
        <v>4369</v>
      </c>
      <c r="B476" s="280" t="s">
        <v>4350</v>
      </c>
      <c r="C476" s="280" t="s">
        <v>4352</v>
      </c>
      <c r="D476" s="281" t="s">
        <v>4370</v>
      </c>
      <c r="E476" s="280" t="s">
        <v>4433</v>
      </c>
      <c r="F476" s="280" t="s">
        <v>4372</v>
      </c>
      <c r="G476" s="298" t="s">
        <v>4641</v>
      </c>
      <c r="H476" s="250"/>
      <c r="I476" s="292"/>
      <c r="J476" s="292"/>
      <c r="K476" s="292"/>
      <c r="L476" s="303"/>
      <c r="M476" s="303"/>
      <c r="N476" s="303"/>
      <c r="O476" s="250"/>
      <c r="P476" s="250"/>
      <c r="Q476" s="250"/>
      <c r="R476" s="250"/>
      <c r="S476" s="250"/>
      <c r="T476" s="250"/>
      <c r="U476" s="250"/>
      <c r="V476" s="250"/>
      <c r="W476" s="250"/>
      <c r="X476" s="250"/>
      <c r="Y476" s="250"/>
      <c r="Z476" s="250"/>
    </row>
    <row r="477" ht="14.25" customHeight="1">
      <c r="A477" s="106" t="s">
        <v>356</v>
      </c>
      <c r="B477" s="106" t="s">
        <v>472</v>
      </c>
      <c r="C477" s="304">
        <v>12.0</v>
      </c>
      <c r="D477" s="98">
        <f>85</f>
        <v>85</v>
      </c>
      <c r="E477" s="73" t="s">
        <v>51</v>
      </c>
      <c r="F477" s="305">
        <v>46025.0</v>
      </c>
      <c r="G477" s="296">
        <f t="shared" ref="G477:G487" si="14">D477*C477</f>
        <v>1020</v>
      </c>
      <c r="H477" s="250"/>
      <c r="N477" s="306"/>
      <c r="O477" s="250"/>
      <c r="P477" s="250"/>
      <c r="Q477" s="250"/>
      <c r="R477" s="250"/>
      <c r="S477" s="250"/>
      <c r="T477" s="250"/>
      <c r="U477" s="250"/>
      <c r="V477" s="250"/>
      <c r="W477" s="250"/>
      <c r="X477" s="250"/>
      <c r="Y477" s="250"/>
      <c r="Z477" s="250"/>
    </row>
    <row r="478" ht="14.25" customHeight="1">
      <c r="A478" s="106" t="s">
        <v>638</v>
      </c>
      <c r="B478" s="106" t="s">
        <v>472</v>
      </c>
      <c r="C478" s="304">
        <v>4.0</v>
      </c>
      <c r="D478" s="98">
        <v>100.0</v>
      </c>
      <c r="E478" s="73" t="s">
        <v>51</v>
      </c>
      <c r="F478" s="305">
        <v>46025.0</v>
      </c>
      <c r="G478" s="296">
        <f t="shared" si="14"/>
        <v>400</v>
      </c>
      <c r="H478" s="250"/>
      <c r="N478" s="306"/>
      <c r="O478" s="250"/>
      <c r="P478" s="250"/>
      <c r="Q478" s="250"/>
      <c r="R478" s="250"/>
      <c r="S478" s="250"/>
      <c r="T478" s="250"/>
      <c r="U478" s="250"/>
      <c r="V478" s="250"/>
      <c r="W478" s="250"/>
      <c r="X478" s="250"/>
      <c r="Y478" s="250"/>
      <c r="Z478" s="250"/>
    </row>
    <row r="479" ht="14.25" customHeight="1">
      <c r="A479" s="106" t="s">
        <v>1041</v>
      </c>
      <c r="B479" s="199" t="s">
        <v>1041</v>
      </c>
      <c r="C479" s="304">
        <v>2.0</v>
      </c>
      <c r="D479" s="98">
        <v>35.0</v>
      </c>
      <c r="E479" s="73" t="s">
        <v>51</v>
      </c>
      <c r="F479" s="305">
        <v>46025.0</v>
      </c>
      <c r="G479" s="296">
        <f t="shared" si="14"/>
        <v>70</v>
      </c>
      <c r="H479" s="250"/>
      <c r="N479" s="306"/>
      <c r="O479" s="250"/>
      <c r="P479" s="250"/>
      <c r="Q479" s="250"/>
      <c r="R479" s="250"/>
      <c r="S479" s="250"/>
      <c r="T479" s="250"/>
      <c r="U479" s="250"/>
      <c r="V479" s="250"/>
      <c r="W479" s="250"/>
      <c r="X479" s="250"/>
      <c r="Y479" s="250"/>
      <c r="Z479" s="250"/>
    </row>
    <row r="480" ht="14.25" customHeight="1">
      <c r="A480" s="106" t="s">
        <v>1043</v>
      </c>
      <c r="B480" s="106" t="s">
        <v>472</v>
      </c>
      <c r="C480" s="304">
        <v>6.0</v>
      </c>
      <c r="D480" s="98">
        <v>80.0</v>
      </c>
      <c r="E480" s="73" t="s">
        <v>51</v>
      </c>
      <c r="F480" s="305">
        <v>46025.0</v>
      </c>
      <c r="G480" s="296">
        <f t="shared" si="14"/>
        <v>480</v>
      </c>
      <c r="H480" s="250"/>
      <c r="N480" s="306"/>
      <c r="O480" s="250"/>
      <c r="P480" s="250"/>
      <c r="Q480" s="250"/>
      <c r="R480" s="250"/>
      <c r="S480" s="250"/>
      <c r="T480" s="250"/>
      <c r="U480" s="250"/>
      <c r="V480" s="250"/>
      <c r="W480" s="250"/>
      <c r="X480" s="250"/>
      <c r="Y480" s="250"/>
      <c r="Z480" s="250"/>
    </row>
    <row r="481" ht="14.25" customHeight="1">
      <c r="A481" s="106" t="s">
        <v>1010</v>
      </c>
      <c r="B481" s="106"/>
      <c r="C481" s="304">
        <v>10.0</v>
      </c>
      <c r="D481" s="98">
        <v>15.0</v>
      </c>
      <c r="E481" s="73" t="s">
        <v>51</v>
      </c>
      <c r="F481" s="305">
        <v>46025.0</v>
      </c>
      <c r="G481" s="296">
        <f t="shared" si="14"/>
        <v>150</v>
      </c>
      <c r="H481" s="250"/>
      <c r="N481" s="306"/>
      <c r="O481" s="250"/>
      <c r="P481" s="250"/>
      <c r="Q481" s="250"/>
      <c r="R481" s="250"/>
      <c r="S481" s="250"/>
      <c r="T481" s="250"/>
      <c r="U481" s="250"/>
      <c r="V481" s="250"/>
      <c r="W481" s="250"/>
      <c r="X481" s="250"/>
      <c r="Y481" s="250"/>
      <c r="Z481" s="250"/>
    </row>
    <row r="482" ht="14.25" customHeight="1">
      <c r="A482" s="106" t="s">
        <v>1046</v>
      </c>
      <c r="B482" s="106" t="s">
        <v>472</v>
      </c>
      <c r="C482" s="304">
        <v>12.0</v>
      </c>
      <c r="D482" s="98">
        <v>35.0</v>
      </c>
      <c r="E482" s="73" t="s">
        <v>51</v>
      </c>
      <c r="F482" s="305">
        <v>46025.0</v>
      </c>
      <c r="G482" s="296">
        <f t="shared" si="14"/>
        <v>420</v>
      </c>
      <c r="H482" s="250"/>
      <c r="N482" s="306"/>
      <c r="O482" s="250"/>
      <c r="P482" s="250"/>
      <c r="Q482" s="250"/>
      <c r="R482" s="250"/>
      <c r="S482" s="250"/>
      <c r="T482" s="250"/>
      <c r="U482" s="250"/>
      <c r="V482" s="250"/>
      <c r="W482" s="250"/>
      <c r="X482" s="250"/>
      <c r="Y482" s="250"/>
      <c r="Z482" s="250"/>
    </row>
    <row r="483" ht="14.25" customHeight="1">
      <c r="A483" s="106" t="s">
        <v>216</v>
      </c>
      <c r="B483" s="106" t="s">
        <v>472</v>
      </c>
      <c r="C483" s="304">
        <v>5.0</v>
      </c>
      <c r="D483" s="98">
        <v>50.0</v>
      </c>
      <c r="E483" s="73" t="s">
        <v>51</v>
      </c>
      <c r="F483" s="305">
        <v>46025.0</v>
      </c>
      <c r="G483" s="296">
        <f t="shared" si="14"/>
        <v>250</v>
      </c>
      <c r="H483" s="250"/>
      <c r="N483" s="306"/>
      <c r="O483" s="250"/>
      <c r="P483" s="250"/>
      <c r="Q483" s="250"/>
      <c r="R483" s="250"/>
      <c r="S483" s="250"/>
      <c r="T483" s="250"/>
      <c r="U483" s="250"/>
      <c r="V483" s="250"/>
      <c r="W483" s="250"/>
      <c r="X483" s="250"/>
      <c r="Y483" s="250"/>
      <c r="Z483" s="250"/>
    </row>
    <row r="484" ht="14.25" customHeight="1">
      <c r="A484" s="199" t="s">
        <v>645</v>
      </c>
      <c r="B484" s="199" t="s">
        <v>68</v>
      </c>
      <c r="C484" s="307">
        <v>50.0</v>
      </c>
      <c r="D484" s="101">
        <v>17.0</v>
      </c>
      <c r="E484" s="73" t="s">
        <v>1052</v>
      </c>
      <c r="F484" s="305">
        <v>46025.0</v>
      </c>
      <c r="G484" s="77">
        <f t="shared" si="14"/>
        <v>850</v>
      </c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250"/>
      <c r="W484" s="250"/>
      <c r="X484" s="250"/>
      <c r="Y484" s="250"/>
      <c r="Z484" s="250"/>
    </row>
    <row r="485" ht="14.25" customHeight="1">
      <c r="A485" s="199" t="s">
        <v>662</v>
      </c>
      <c r="B485" s="199" t="s">
        <v>68</v>
      </c>
      <c r="C485" s="307">
        <v>3.0</v>
      </c>
      <c r="D485" s="101">
        <v>50.0</v>
      </c>
      <c r="E485" s="91" t="s">
        <v>1052</v>
      </c>
      <c r="F485" s="308">
        <v>46025.0</v>
      </c>
      <c r="G485" s="77">
        <f t="shared" si="14"/>
        <v>150</v>
      </c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250"/>
      <c r="W485" s="250"/>
      <c r="X485" s="250"/>
      <c r="Y485" s="250"/>
      <c r="Z485" s="250"/>
    </row>
    <row r="486" ht="14.25" customHeight="1">
      <c r="A486" s="199" t="s">
        <v>667</v>
      </c>
      <c r="B486" s="199" t="s">
        <v>68</v>
      </c>
      <c r="C486" s="307">
        <v>2.0</v>
      </c>
      <c r="D486" s="101">
        <v>55.0</v>
      </c>
      <c r="E486" s="91" t="s">
        <v>1052</v>
      </c>
      <c r="F486" s="308">
        <v>46025.0</v>
      </c>
      <c r="G486" s="77">
        <f t="shared" si="14"/>
        <v>110</v>
      </c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250"/>
      <c r="W486" s="250"/>
      <c r="X486" s="250"/>
      <c r="Y486" s="250"/>
      <c r="Z486" s="250"/>
    </row>
    <row r="487" ht="14.25" customHeight="1">
      <c r="A487" s="199" t="s">
        <v>717</v>
      </c>
      <c r="B487" s="199" t="s">
        <v>68</v>
      </c>
      <c r="C487" s="307">
        <v>1.0</v>
      </c>
      <c r="D487" s="101">
        <v>80.0</v>
      </c>
      <c r="E487" s="91" t="s">
        <v>1052</v>
      </c>
      <c r="F487" s="308">
        <v>46025.0</v>
      </c>
      <c r="G487" s="77">
        <f t="shared" si="14"/>
        <v>80</v>
      </c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250"/>
      <c r="W487" s="250"/>
      <c r="X487" s="250"/>
      <c r="Y487" s="250"/>
      <c r="Z487" s="250"/>
    </row>
    <row r="488" ht="14.25" customHeight="1">
      <c r="D488" s="301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250"/>
      <c r="W488" s="250"/>
      <c r="X488" s="250"/>
      <c r="Y488" s="250"/>
      <c r="Z488" s="250"/>
    </row>
    <row r="489" ht="14.25" customHeight="1">
      <c r="A489" s="250"/>
      <c r="B489" s="250"/>
      <c r="C489" s="250"/>
      <c r="D489" s="254"/>
      <c r="E489" s="250"/>
      <c r="F489" s="250"/>
      <c r="G489" s="250"/>
      <c r="H489" s="250"/>
      <c r="I489" s="250"/>
      <c r="J489" s="250"/>
      <c r="K489" s="250"/>
      <c r="L489" s="250"/>
      <c r="M489" s="250"/>
      <c r="N489" s="250"/>
      <c r="O489" s="250"/>
      <c r="P489" s="250"/>
      <c r="Q489" s="250"/>
      <c r="R489" s="250"/>
      <c r="S489" s="250"/>
      <c r="T489" s="250"/>
      <c r="U489" s="250"/>
      <c r="V489" s="250"/>
      <c r="W489" s="250"/>
      <c r="X489" s="250"/>
      <c r="Y489" s="250"/>
      <c r="Z489" s="250"/>
    </row>
    <row r="490" ht="14.25" customHeight="1">
      <c r="A490" s="250"/>
      <c r="B490" s="250"/>
      <c r="C490" s="250"/>
      <c r="D490" s="254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250"/>
      <c r="W490" s="250"/>
      <c r="X490" s="250"/>
      <c r="Y490" s="250"/>
      <c r="Z490" s="250"/>
    </row>
    <row r="491" ht="14.25" customHeight="1">
      <c r="A491" s="280" t="s">
        <v>4369</v>
      </c>
      <c r="B491" s="280" t="s">
        <v>4350</v>
      </c>
      <c r="C491" s="280" t="s">
        <v>4352</v>
      </c>
      <c r="D491" s="281" t="s">
        <v>4370</v>
      </c>
      <c r="E491" s="280" t="s">
        <v>4433</v>
      </c>
      <c r="F491" s="280" t="s">
        <v>4372</v>
      </c>
      <c r="G491" s="298" t="s">
        <v>4641</v>
      </c>
      <c r="H491" s="250"/>
      <c r="I491" s="250"/>
      <c r="J491" s="250"/>
      <c r="K491" s="250"/>
      <c r="L491" s="250"/>
      <c r="M491" s="250"/>
      <c r="N491" s="250"/>
      <c r="O491" s="250"/>
      <c r="P491" s="250"/>
      <c r="Q491" s="250"/>
      <c r="R491" s="250"/>
      <c r="S491" s="250"/>
      <c r="T491" s="250"/>
      <c r="U491" s="250"/>
      <c r="V491" s="250"/>
      <c r="W491" s="250"/>
      <c r="X491" s="250"/>
      <c r="Y491" s="250"/>
      <c r="Z491" s="250"/>
    </row>
    <row r="492" ht="14.25" customHeight="1">
      <c r="A492" s="19" t="s">
        <v>662</v>
      </c>
      <c r="B492" s="19" t="s">
        <v>68</v>
      </c>
      <c r="C492" s="5">
        <v>6.0</v>
      </c>
      <c r="D492" s="33">
        <v>50.0</v>
      </c>
      <c r="E492" s="91" t="s">
        <v>1052</v>
      </c>
      <c r="F492" s="87">
        <v>46032.0</v>
      </c>
      <c r="G492" s="77">
        <f t="shared" ref="G492:G499" si="15">D492*C492</f>
        <v>300</v>
      </c>
      <c r="H492" s="250"/>
      <c r="I492" s="250"/>
      <c r="J492" s="250"/>
      <c r="K492" s="250"/>
      <c r="L492" s="250"/>
      <c r="M492" s="250"/>
      <c r="N492" s="250"/>
      <c r="O492" s="250"/>
      <c r="P492" s="250"/>
      <c r="Q492" s="250"/>
      <c r="R492" s="250"/>
      <c r="S492" s="250"/>
      <c r="T492" s="250"/>
      <c r="U492" s="250"/>
      <c r="V492" s="250"/>
      <c r="W492" s="250"/>
      <c r="X492" s="250"/>
      <c r="Y492" s="250"/>
      <c r="Z492" s="250"/>
    </row>
    <row r="493" ht="14.25" customHeight="1">
      <c r="A493" s="19" t="s">
        <v>667</v>
      </c>
      <c r="B493" s="19" t="s">
        <v>68</v>
      </c>
      <c r="C493" s="5">
        <v>10.0</v>
      </c>
      <c r="D493" s="33">
        <v>55.0</v>
      </c>
      <c r="E493" s="91" t="s">
        <v>1052</v>
      </c>
      <c r="F493" s="87">
        <v>46032.0</v>
      </c>
      <c r="G493" s="77">
        <f t="shared" si="15"/>
        <v>550</v>
      </c>
      <c r="H493" s="250"/>
      <c r="I493" s="250"/>
      <c r="J493" s="250"/>
      <c r="K493" s="250"/>
      <c r="L493" s="250"/>
      <c r="M493" s="250"/>
      <c r="N493" s="250"/>
      <c r="O493" s="250"/>
      <c r="P493" s="250"/>
      <c r="Q493" s="250"/>
      <c r="R493" s="250"/>
      <c r="S493" s="250"/>
      <c r="T493" s="250"/>
      <c r="U493" s="250"/>
      <c r="V493" s="250"/>
      <c r="W493" s="250"/>
      <c r="X493" s="250"/>
      <c r="Y493" s="250"/>
      <c r="Z493" s="250"/>
    </row>
    <row r="494" ht="14.25" customHeight="1">
      <c r="A494" s="84" t="s">
        <v>724</v>
      </c>
      <c r="B494" s="84" t="s">
        <v>68</v>
      </c>
      <c r="C494" s="75">
        <v>7.0</v>
      </c>
      <c r="D494" s="76">
        <v>35.0</v>
      </c>
      <c r="E494" s="84" t="s">
        <v>1052</v>
      </c>
      <c r="F494" s="87">
        <v>46032.0</v>
      </c>
      <c r="G494" s="77">
        <f t="shared" si="15"/>
        <v>245</v>
      </c>
      <c r="H494" s="250"/>
      <c r="I494" s="250"/>
      <c r="J494" s="250"/>
      <c r="K494" s="250"/>
      <c r="L494" s="250"/>
      <c r="M494" s="250"/>
      <c r="N494" s="250"/>
      <c r="O494" s="250"/>
      <c r="P494" s="250"/>
      <c r="Q494" s="250"/>
      <c r="R494" s="250"/>
      <c r="S494" s="250"/>
      <c r="T494" s="250"/>
      <c r="U494" s="250"/>
      <c r="V494" s="250"/>
      <c r="W494" s="250"/>
      <c r="X494" s="250"/>
      <c r="Y494" s="250"/>
      <c r="Z494" s="250"/>
    </row>
    <row r="495" ht="14.25" customHeight="1">
      <c r="A495" s="84" t="s">
        <v>733</v>
      </c>
      <c r="B495" s="84" t="s">
        <v>68</v>
      </c>
      <c r="C495" s="75">
        <v>15.0</v>
      </c>
      <c r="D495" s="76">
        <v>26.0</v>
      </c>
      <c r="E495" s="84" t="s">
        <v>1052</v>
      </c>
      <c r="F495" s="87">
        <v>46032.0</v>
      </c>
      <c r="G495" s="77">
        <f t="shared" si="15"/>
        <v>390</v>
      </c>
      <c r="H495" s="250"/>
      <c r="I495" s="250"/>
      <c r="J495" s="250"/>
      <c r="K495" s="250"/>
      <c r="L495" s="250"/>
      <c r="M495" s="250"/>
      <c r="N495" s="250"/>
      <c r="O495" s="250"/>
      <c r="P495" s="250"/>
      <c r="Q495" s="250"/>
      <c r="R495" s="250"/>
      <c r="S495" s="250"/>
      <c r="T495" s="250"/>
      <c r="U495" s="250"/>
      <c r="V495" s="250"/>
      <c r="W495" s="250"/>
      <c r="X495" s="250"/>
      <c r="Y495" s="250"/>
      <c r="Z495" s="250"/>
    </row>
    <row r="496" ht="14.25" customHeight="1">
      <c r="A496" s="84" t="s">
        <v>177</v>
      </c>
      <c r="B496" s="84" t="s">
        <v>68</v>
      </c>
      <c r="C496" s="75">
        <v>10.0</v>
      </c>
      <c r="D496" s="76">
        <v>75.0</v>
      </c>
      <c r="E496" s="84" t="s">
        <v>1052</v>
      </c>
      <c r="F496" s="87">
        <v>46032.0</v>
      </c>
      <c r="G496" s="77">
        <f t="shared" si="15"/>
        <v>750</v>
      </c>
      <c r="H496" s="250"/>
      <c r="I496" s="250"/>
      <c r="J496" s="250"/>
      <c r="K496" s="250"/>
      <c r="L496" s="250"/>
      <c r="M496" s="250"/>
      <c r="N496" s="250"/>
      <c r="O496" s="250"/>
      <c r="P496" s="250"/>
      <c r="Q496" s="250"/>
      <c r="R496" s="250"/>
      <c r="S496" s="250"/>
      <c r="T496" s="250"/>
      <c r="U496" s="250"/>
      <c r="V496" s="250"/>
      <c r="W496" s="250"/>
      <c r="X496" s="250"/>
      <c r="Y496" s="250"/>
      <c r="Z496" s="250"/>
    </row>
    <row r="497" ht="14.25" customHeight="1">
      <c r="A497" s="84" t="s">
        <v>674</v>
      </c>
      <c r="B497" s="84" t="s">
        <v>68</v>
      </c>
      <c r="C497" s="75">
        <v>6.0</v>
      </c>
      <c r="D497" s="111">
        <v>45.0</v>
      </c>
      <c r="E497" s="84" t="s">
        <v>436</v>
      </c>
      <c r="F497" s="87">
        <v>46032.0</v>
      </c>
      <c r="G497" s="77">
        <f t="shared" si="15"/>
        <v>270</v>
      </c>
      <c r="H497" s="250"/>
      <c r="I497" s="250"/>
      <c r="J497" s="250"/>
      <c r="K497" s="250"/>
      <c r="L497" s="250"/>
      <c r="M497" s="250"/>
      <c r="N497" s="250"/>
      <c r="O497" s="250"/>
      <c r="P497" s="250"/>
      <c r="Q497" s="250"/>
      <c r="R497" s="250"/>
      <c r="S497" s="250"/>
      <c r="T497" s="250"/>
      <c r="U497" s="250"/>
      <c r="V497" s="250"/>
      <c r="W497" s="250"/>
      <c r="X497" s="250"/>
      <c r="Y497" s="250"/>
      <c r="Z497" s="250"/>
    </row>
    <row r="498" ht="14.25" customHeight="1">
      <c r="A498" s="84"/>
      <c r="B498" s="84"/>
      <c r="C498" s="75"/>
      <c r="D498" s="111"/>
      <c r="E498" s="84"/>
      <c r="F498" s="87"/>
      <c r="G498" s="77">
        <f t="shared" si="15"/>
        <v>0</v>
      </c>
      <c r="H498" s="250"/>
      <c r="I498" s="250"/>
      <c r="J498" s="250"/>
      <c r="K498" s="250"/>
      <c r="L498" s="250"/>
      <c r="M498" s="250"/>
      <c r="N498" s="250"/>
      <c r="O498" s="250"/>
      <c r="P498" s="250"/>
      <c r="Q498" s="250"/>
      <c r="R498" s="250"/>
      <c r="S498" s="250"/>
      <c r="T498" s="250"/>
      <c r="U498" s="250"/>
      <c r="V498" s="250"/>
      <c r="W498" s="250"/>
      <c r="X498" s="250"/>
      <c r="Y498" s="250"/>
      <c r="Z498" s="250"/>
    </row>
    <row r="499" ht="14.25" customHeight="1">
      <c r="A499" s="84" t="s">
        <v>1078</v>
      </c>
      <c r="B499" s="84" t="s">
        <v>68</v>
      </c>
      <c r="C499" s="75">
        <v>1.0</v>
      </c>
      <c r="D499" s="111">
        <v>55.0</v>
      </c>
      <c r="E499" s="84" t="s">
        <v>1052</v>
      </c>
      <c r="F499" s="87">
        <v>46032.0</v>
      </c>
      <c r="G499" s="77">
        <f t="shared" si="15"/>
        <v>55</v>
      </c>
      <c r="H499" s="250"/>
      <c r="I499" s="250"/>
      <c r="J499" s="250"/>
      <c r="K499" s="250"/>
      <c r="L499" s="250"/>
      <c r="M499" s="250"/>
      <c r="N499" s="250"/>
      <c r="O499" s="250"/>
      <c r="P499" s="250"/>
      <c r="Q499" s="250"/>
      <c r="R499" s="250"/>
      <c r="S499" s="250"/>
      <c r="T499" s="250"/>
      <c r="U499" s="250"/>
      <c r="V499" s="250"/>
      <c r="W499" s="250"/>
      <c r="X499" s="250"/>
      <c r="Y499" s="250"/>
      <c r="Z499" s="250"/>
    </row>
    <row r="500" ht="14.25" customHeight="1">
      <c r="H500" s="250"/>
      <c r="I500" s="250"/>
      <c r="J500" s="250"/>
      <c r="K500" s="250"/>
      <c r="L500" s="250"/>
      <c r="M500" s="250"/>
      <c r="N500" s="250"/>
      <c r="O500" s="250"/>
      <c r="P500" s="250"/>
      <c r="Q500" s="250"/>
      <c r="R500" s="250"/>
      <c r="S500" s="250"/>
      <c r="T500" s="250"/>
      <c r="U500" s="250"/>
      <c r="V500" s="250"/>
      <c r="W500" s="250"/>
      <c r="X500" s="250"/>
      <c r="Y500" s="250"/>
      <c r="Z500" s="250"/>
    </row>
    <row r="501" ht="14.25" customHeight="1">
      <c r="H501" s="250"/>
      <c r="I501" s="250"/>
      <c r="J501" s="250"/>
      <c r="K501" s="250"/>
      <c r="L501" s="250"/>
      <c r="M501" s="250"/>
      <c r="N501" s="250"/>
      <c r="O501" s="250"/>
      <c r="P501" s="250"/>
      <c r="Q501" s="250"/>
      <c r="R501" s="250"/>
      <c r="S501" s="250"/>
      <c r="T501" s="250"/>
      <c r="U501" s="250"/>
      <c r="V501" s="250"/>
      <c r="W501" s="250"/>
      <c r="X501" s="250"/>
      <c r="Y501" s="250"/>
      <c r="Z501" s="250"/>
    </row>
    <row r="502" ht="14.25" customHeight="1">
      <c r="H502" s="250"/>
      <c r="I502" s="250"/>
      <c r="J502" s="250"/>
      <c r="K502" s="250"/>
      <c r="L502" s="250"/>
      <c r="M502" s="250"/>
      <c r="N502" s="250"/>
      <c r="O502" s="250"/>
      <c r="P502" s="250"/>
      <c r="Q502" s="250"/>
      <c r="R502" s="250"/>
      <c r="S502" s="250"/>
      <c r="T502" s="250"/>
      <c r="U502" s="250"/>
      <c r="V502" s="250"/>
      <c r="W502" s="250"/>
      <c r="X502" s="250"/>
      <c r="Y502" s="250"/>
      <c r="Z502" s="250"/>
    </row>
    <row r="503" ht="14.25" customHeight="1">
      <c r="H503" s="250"/>
      <c r="I503" s="250"/>
      <c r="J503" s="250"/>
      <c r="K503" s="250"/>
      <c r="L503" s="250"/>
      <c r="M503" s="250"/>
      <c r="N503" s="250"/>
      <c r="O503" s="250"/>
      <c r="P503" s="250"/>
      <c r="Q503" s="250"/>
      <c r="R503" s="250"/>
      <c r="S503" s="250"/>
      <c r="T503" s="250"/>
      <c r="U503" s="250"/>
      <c r="V503" s="250"/>
      <c r="W503" s="250"/>
      <c r="X503" s="250"/>
      <c r="Y503" s="250"/>
      <c r="Z503" s="250"/>
    </row>
    <row r="504" ht="14.25" customHeight="1">
      <c r="H504" s="250"/>
      <c r="I504" s="250"/>
      <c r="J504" s="250"/>
      <c r="K504" s="250"/>
      <c r="L504" s="250"/>
      <c r="M504" s="250"/>
      <c r="N504" s="250"/>
      <c r="O504" s="250"/>
      <c r="P504" s="250"/>
      <c r="Q504" s="250"/>
      <c r="R504" s="250"/>
      <c r="S504" s="250"/>
      <c r="T504" s="250"/>
      <c r="U504" s="250"/>
      <c r="V504" s="250"/>
      <c r="W504" s="250"/>
      <c r="X504" s="250"/>
      <c r="Y504" s="250"/>
      <c r="Z504" s="250"/>
    </row>
    <row r="505" ht="14.25" customHeight="1">
      <c r="A505" s="280" t="s">
        <v>4369</v>
      </c>
      <c r="B505" s="280" t="s">
        <v>4350</v>
      </c>
      <c r="C505" s="280" t="s">
        <v>4352</v>
      </c>
      <c r="D505" s="281" t="s">
        <v>4370</v>
      </c>
      <c r="E505" s="280" t="s">
        <v>4433</v>
      </c>
      <c r="F505" s="280" t="s">
        <v>4372</v>
      </c>
      <c r="G505" s="298" t="s">
        <v>4641</v>
      </c>
      <c r="H505" s="250"/>
      <c r="I505" s="250"/>
      <c r="J505" s="250"/>
      <c r="K505" s="250"/>
      <c r="L505" s="250"/>
      <c r="M505" s="250"/>
      <c r="N505" s="250"/>
      <c r="O505" s="250"/>
      <c r="P505" s="250"/>
      <c r="Q505" s="250"/>
      <c r="R505" s="250"/>
      <c r="S505" s="250"/>
      <c r="T505" s="250"/>
      <c r="U505" s="250"/>
      <c r="V505" s="250"/>
      <c r="W505" s="250"/>
      <c r="X505" s="250"/>
      <c r="Y505" s="250"/>
      <c r="Z505" s="250"/>
    </row>
    <row r="506" ht="14.25" customHeight="1">
      <c r="A506" s="84" t="s">
        <v>852</v>
      </c>
      <c r="B506" s="84" t="s">
        <v>238</v>
      </c>
      <c r="C506" s="75">
        <v>18.0</v>
      </c>
      <c r="D506" s="111">
        <v>10.0</v>
      </c>
      <c r="E506" s="84" t="s">
        <v>154</v>
      </c>
      <c r="F506" s="309">
        <v>46039.0</v>
      </c>
      <c r="G506" s="296">
        <f>جدول_21[الكمية]*جدول_21[سعر الشراء]</f>
        <v>180</v>
      </c>
      <c r="H506" s="250"/>
      <c r="I506" s="250"/>
      <c r="J506" s="250"/>
      <c r="K506" s="250"/>
      <c r="L506" s="250"/>
      <c r="M506" s="250"/>
      <c r="N506" s="250"/>
      <c r="O506" s="250"/>
      <c r="P506" s="250"/>
      <c r="Q506" s="250"/>
      <c r="R506" s="250"/>
      <c r="S506" s="250"/>
      <c r="T506" s="250"/>
      <c r="U506" s="250"/>
      <c r="V506" s="250"/>
      <c r="W506" s="250"/>
      <c r="X506" s="250"/>
      <c r="Y506" s="250"/>
      <c r="Z506" s="250"/>
    </row>
    <row r="507" ht="14.25" customHeight="1">
      <c r="A507" s="84" t="s">
        <v>1064</v>
      </c>
      <c r="B507" s="84" t="s">
        <v>238</v>
      </c>
      <c r="C507" s="75">
        <v>18.0</v>
      </c>
      <c r="D507" s="111">
        <v>20.0</v>
      </c>
      <c r="E507" s="84" t="s">
        <v>154</v>
      </c>
      <c r="F507" s="309">
        <v>46039.0</v>
      </c>
      <c r="G507" s="296">
        <f>جدول_21[الكمية]*جدول_21[سعر الشراء]</f>
        <v>360</v>
      </c>
      <c r="H507" s="250"/>
      <c r="I507" s="250"/>
      <c r="J507" s="250"/>
      <c r="K507" s="250"/>
      <c r="L507" s="250"/>
      <c r="M507" s="250"/>
      <c r="N507" s="250"/>
      <c r="O507" s="250"/>
      <c r="P507" s="250"/>
      <c r="Q507" s="250"/>
      <c r="R507" s="250"/>
      <c r="S507" s="250"/>
      <c r="T507" s="250"/>
      <c r="U507" s="250"/>
      <c r="V507" s="250"/>
      <c r="W507" s="250"/>
      <c r="X507" s="250"/>
      <c r="Y507" s="250"/>
      <c r="Z507" s="250"/>
    </row>
    <row r="508" ht="14.25" customHeight="1">
      <c r="A508" s="84" t="s">
        <v>1067</v>
      </c>
      <c r="B508" s="84" t="s">
        <v>68</v>
      </c>
      <c r="C508" s="75">
        <v>2.0</v>
      </c>
      <c r="D508" s="111">
        <v>65.0</v>
      </c>
      <c r="E508" s="84" t="s">
        <v>154</v>
      </c>
      <c r="F508" s="309">
        <v>46039.0</v>
      </c>
      <c r="G508" s="296">
        <f>جدول_21[الكمية]*جدول_21[سعر الشراء]</f>
        <v>130</v>
      </c>
      <c r="H508" s="250"/>
      <c r="I508" s="250"/>
      <c r="J508" s="250"/>
      <c r="K508" s="250"/>
      <c r="L508" s="250"/>
      <c r="M508" s="250"/>
      <c r="N508" s="250"/>
      <c r="O508" s="250"/>
      <c r="P508" s="250"/>
      <c r="Q508" s="250"/>
      <c r="R508" s="250"/>
      <c r="S508" s="250"/>
      <c r="T508" s="250"/>
      <c r="U508" s="250"/>
      <c r="V508" s="250"/>
      <c r="W508" s="250"/>
      <c r="X508" s="250"/>
      <c r="Y508" s="250"/>
      <c r="Z508" s="250"/>
    </row>
    <row r="509" ht="14.25" customHeight="1">
      <c r="A509" s="84" t="s">
        <v>756</v>
      </c>
      <c r="B509" s="84" t="s">
        <v>68</v>
      </c>
      <c r="C509" s="75">
        <v>12.0</v>
      </c>
      <c r="D509" s="111">
        <v>30.0</v>
      </c>
      <c r="E509" s="84" t="s">
        <v>154</v>
      </c>
      <c r="F509" s="309">
        <v>46039.0</v>
      </c>
      <c r="G509" s="296">
        <f>جدول_21[الكمية]*جدول_21[سعر الشراء]</f>
        <v>360</v>
      </c>
      <c r="H509" s="250"/>
      <c r="I509" s="250"/>
      <c r="J509" s="250"/>
      <c r="K509" s="250"/>
      <c r="L509" s="250"/>
      <c r="M509" s="250"/>
      <c r="N509" s="250"/>
      <c r="O509" s="250"/>
      <c r="P509" s="250"/>
      <c r="Q509" s="250"/>
      <c r="R509" s="250"/>
      <c r="S509" s="250"/>
      <c r="T509" s="250"/>
      <c r="U509" s="250"/>
      <c r="V509" s="250"/>
      <c r="W509" s="250"/>
      <c r="X509" s="250"/>
      <c r="Y509" s="250"/>
      <c r="Z509" s="250"/>
    </row>
    <row r="510" ht="14.25" customHeight="1">
      <c r="A510" s="250"/>
      <c r="B510" s="250"/>
      <c r="C510" s="250"/>
      <c r="D510" s="254"/>
      <c r="E510" s="250"/>
      <c r="F510" s="250"/>
      <c r="G510" s="250"/>
      <c r="H510" s="250"/>
      <c r="I510" s="250"/>
      <c r="J510" s="250"/>
      <c r="K510" s="250"/>
      <c r="L510" s="250"/>
      <c r="M510" s="250"/>
      <c r="N510" s="250"/>
      <c r="O510" s="250"/>
      <c r="P510" s="250"/>
      <c r="Q510" s="250"/>
      <c r="R510" s="250"/>
      <c r="S510" s="250"/>
      <c r="T510" s="250"/>
      <c r="U510" s="250"/>
      <c r="V510" s="250"/>
      <c r="W510" s="250"/>
      <c r="X510" s="250"/>
      <c r="Y510" s="250"/>
      <c r="Z510" s="250"/>
    </row>
    <row r="511" ht="14.25" customHeight="1">
      <c r="A511" s="250"/>
      <c r="B511" s="250"/>
      <c r="C511" s="250"/>
      <c r="D511" s="254"/>
      <c r="E511" s="250"/>
      <c r="F511" s="250"/>
      <c r="G511" s="250"/>
      <c r="H511" s="250"/>
      <c r="I511" s="250"/>
      <c r="J511" s="250"/>
      <c r="K511" s="250"/>
      <c r="L511" s="250"/>
      <c r="M511" s="250"/>
      <c r="N511" s="250"/>
      <c r="O511" s="250"/>
      <c r="P511" s="250"/>
      <c r="Q511" s="250"/>
      <c r="R511" s="250"/>
      <c r="S511" s="250"/>
      <c r="T511" s="250"/>
      <c r="U511" s="250"/>
      <c r="V511" s="250"/>
      <c r="W511" s="250"/>
      <c r="X511" s="250"/>
      <c r="Y511" s="250"/>
      <c r="Z511" s="250"/>
    </row>
    <row r="512" ht="14.25" customHeight="1">
      <c r="A512" s="280" t="s">
        <v>4369</v>
      </c>
      <c r="B512" s="280" t="s">
        <v>4350</v>
      </c>
      <c r="C512" s="280" t="s">
        <v>4352</v>
      </c>
      <c r="D512" s="281" t="s">
        <v>4370</v>
      </c>
      <c r="E512" s="280" t="s">
        <v>4433</v>
      </c>
      <c r="F512" s="280" t="s">
        <v>4372</v>
      </c>
      <c r="G512" s="298" t="s">
        <v>4641</v>
      </c>
      <c r="H512" s="250"/>
      <c r="I512" s="250"/>
      <c r="J512" s="250"/>
      <c r="K512" s="250"/>
      <c r="L512" s="250"/>
      <c r="M512" s="250"/>
      <c r="N512" s="250"/>
      <c r="O512" s="250"/>
      <c r="P512" s="250"/>
      <c r="Q512" s="250"/>
      <c r="R512" s="250"/>
      <c r="S512" s="250"/>
      <c r="T512" s="250"/>
      <c r="U512" s="250"/>
      <c r="V512" s="250"/>
      <c r="W512" s="250"/>
      <c r="X512" s="250"/>
      <c r="Y512" s="250"/>
      <c r="Z512" s="250"/>
    </row>
    <row r="513" ht="14.25" customHeight="1">
      <c r="A513" s="70" t="s">
        <v>4731</v>
      </c>
      <c r="B513" s="70" t="s">
        <v>472</v>
      </c>
      <c r="C513" s="93">
        <v>6.0</v>
      </c>
      <c r="D513" s="94">
        <v>85.0</v>
      </c>
      <c r="E513" s="73" t="s">
        <v>51</v>
      </c>
      <c r="F513" s="95">
        <v>46048.0</v>
      </c>
      <c r="G513" s="77">
        <f>جدول_22[سعر الشراء]*جدول_22[الكمية]</f>
        <v>510</v>
      </c>
      <c r="H513" s="250"/>
      <c r="I513" s="250"/>
      <c r="J513" s="250"/>
      <c r="K513" s="250"/>
      <c r="L513" s="250"/>
      <c r="M513" s="250"/>
      <c r="N513" s="250"/>
      <c r="O513" s="250"/>
      <c r="P513" s="250"/>
      <c r="Q513" s="250"/>
      <c r="R513" s="250"/>
      <c r="S513" s="250"/>
      <c r="T513" s="250"/>
      <c r="U513" s="250"/>
      <c r="V513" s="250"/>
      <c r="W513" s="250"/>
      <c r="X513" s="250"/>
      <c r="Y513" s="250"/>
      <c r="Z513" s="250"/>
    </row>
    <row r="514" ht="14.25" customHeight="1">
      <c r="A514" s="70" t="s">
        <v>306</v>
      </c>
      <c r="B514" s="70" t="s">
        <v>472</v>
      </c>
      <c r="C514" s="93">
        <v>12.0</v>
      </c>
      <c r="D514" s="94">
        <f>110/12</f>
        <v>9.166666667</v>
      </c>
      <c r="E514" s="73" t="s">
        <v>51</v>
      </c>
      <c r="F514" s="95">
        <v>46048.0</v>
      </c>
      <c r="G514" s="77">
        <f>جدول_22[سعر الشراء]*جدول_22[الكمية]</f>
        <v>110</v>
      </c>
      <c r="H514" s="250"/>
      <c r="I514" s="250"/>
      <c r="J514" s="250"/>
      <c r="K514" s="250"/>
      <c r="L514" s="250"/>
      <c r="M514" s="250"/>
      <c r="N514" s="250"/>
      <c r="O514" s="250"/>
      <c r="P514" s="250"/>
      <c r="Q514" s="250"/>
      <c r="R514" s="250"/>
      <c r="S514" s="250"/>
      <c r="T514" s="250"/>
      <c r="U514" s="250"/>
      <c r="V514" s="250"/>
      <c r="W514" s="250"/>
      <c r="X514" s="250"/>
      <c r="Y514" s="250"/>
      <c r="Z514" s="250"/>
    </row>
    <row r="515" ht="14.25" customHeight="1">
      <c r="A515" s="70" t="s">
        <v>4735</v>
      </c>
      <c r="B515" s="70" t="s">
        <v>472</v>
      </c>
      <c r="C515" s="93">
        <v>6.0</v>
      </c>
      <c r="D515" s="94">
        <v>65.0</v>
      </c>
      <c r="E515" s="73" t="s">
        <v>51</v>
      </c>
      <c r="F515" s="95">
        <v>46048.0</v>
      </c>
      <c r="G515" s="77">
        <f>جدول_22[سعر الشراء]*جدول_22[الكمية]</f>
        <v>390</v>
      </c>
      <c r="H515" s="250"/>
      <c r="I515" s="250"/>
      <c r="J515" s="250"/>
      <c r="K515" s="250"/>
      <c r="L515" s="250"/>
      <c r="M515" s="250"/>
      <c r="N515" s="250"/>
      <c r="O515" s="250"/>
      <c r="P515" s="250"/>
      <c r="Q515" s="250"/>
      <c r="R515" s="250"/>
      <c r="S515" s="250"/>
      <c r="T515" s="250"/>
      <c r="U515" s="250"/>
      <c r="V515" s="250"/>
      <c r="W515" s="250"/>
      <c r="X515" s="250"/>
      <c r="Y515" s="250"/>
      <c r="Z515" s="250"/>
    </row>
    <row r="516" ht="14.25" customHeight="1">
      <c r="A516" s="70"/>
      <c r="B516" s="70"/>
      <c r="C516" s="93"/>
      <c r="D516" s="94"/>
      <c r="E516" s="73"/>
      <c r="F516" s="95"/>
      <c r="G516" s="77"/>
      <c r="H516" s="250"/>
      <c r="I516" s="250"/>
      <c r="J516" s="250"/>
      <c r="K516" s="250"/>
      <c r="L516" s="250"/>
      <c r="M516" s="250"/>
      <c r="N516" s="250"/>
      <c r="O516" s="250"/>
      <c r="P516" s="250"/>
      <c r="Q516" s="250"/>
      <c r="R516" s="250"/>
      <c r="S516" s="250"/>
      <c r="T516" s="250"/>
      <c r="U516" s="250"/>
      <c r="V516" s="250"/>
      <c r="W516" s="250"/>
      <c r="X516" s="250"/>
      <c r="Y516" s="250"/>
      <c r="Z516" s="250"/>
    </row>
    <row r="517" ht="14.25" customHeight="1">
      <c r="A517" s="70"/>
      <c r="B517" s="70"/>
      <c r="C517" s="93"/>
      <c r="D517" s="94"/>
      <c r="E517" s="73"/>
      <c r="F517" s="95"/>
      <c r="G517" s="77"/>
      <c r="H517" s="250"/>
      <c r="I517" s="250"/>
      <c r="J517" s="250"/>
      <c r="K517" s="250"/>
      <c r="L517" s="250"/>
      <c r="M517" s="250"/>
      <c r="N517" s="250"/>
      <c r="O517" s="250"/>
      <c r="P517" s="250"/>
      <c r="Q517" s="250"/>
      <c r="R517" s="250"/>
      <c r="S517" s="250"/>
      <c r="T517" s="250"/>
      <c r="U517" s="250"/>
      <c r="V517" s="250"/>
      <c r="W517" s="250"/>
      <c r="X517" s="250"/>
      <c r="Y517" s="250"/>
      <c r="Z517" s="250"/>
    </row>
    <row r="518" ht="14.25" customHeight="1">
      <c r="A518" s="250"/>
      <c r="B518" s="250"/>
      <c r="C518" s="250"/>
      <c r="D518" s="254"/>
      <c r="E518" s="250"/>
      <c r="F518" s="250"/>
      <c r="G518" s="250"/>
      <c r="H518" s="250"/>
      <c r="I518" s="250"/>
      <c r="J518" s="250"/>
      <c r="K518" s="250"/>
      <c r="L518" s="250"/>
      <c r="M518" s="250"/>
      <c r="N518" s="250"/>
      <c r="O518" s="250"/>
      <c r="P518" s="250"/>
      <c r="Q518" s="250"/>
      <c r="R518" s="250"/>
      <c r="S518" s="250"/>
      <c r="T518" s="250"/>
      <c r="U518" s="250"/>
      <c r="V518" s="250"/>
      <c r="W518" s="250"/>
      <c r="X518" s="250"/>
      <c r="Y518" s="250"/>
      <c r="Z518" s="250"/>
    </row>
    <row r="519" ht="14.25" customHeight="1">
      <c r="A519" s="265" t="s">
        <v>4738</v>
      </c>
      <c r="B519" s="250"/>
      <c r="C519" s="250"/>
      <c r="D519" s="254"/>
      <c r="E519" s="250"/>
      <c r="F519" s="250"/>
      <c r="G519" s="250"/>
      <c r="H519" s="250"/>
      <c r="I519" s="250"/>
      <c r="J519" s="250"/>
      <c r="K519" s="250"/>
      <c r="L519" s="250"/>
      <c r="M519" s="250"/>
      <c r="N519" s="250"/>
      <c r="O519" s="250"/>
      <c r="P519" s="250"/>
      <c r="Q519" s="250"/>
      <c r="R519" s="250"/>
      <c r="S519" s="250"/>
      <c r="T519" s="250"/>
      <c r="U519" s="250"/>
      <c r="V519" s="250"/>
      <c r="W519" s="250"/>
      <c r="X519" s="250"/>
      <c r="Y519" s="250"/>
      <c r="Z519" s="250"/>
    </row>
    <row r="520" ht="14.25" customHeight="1">
      <c r="A520" s="280" t="s">
        <v>4369</v>
      </c>
      <c r="B520" s="280" t="s">
        <v>4350</v>
      </c>
      <c r="C520" s="280" t="s">
        <v>4352</v>
      </c>
      <c r="D520" s="281" t="s">
        <v>4370</v>
      </c>
      <c r="E520" s="280" t="s">
        <v>4433</v>
      </c>
      <c r="F520" s="280" t="s">
        <v>4372</v>
      </c>
      <c r="G520" s="298" t="s">
        <v>4641</v>
      </c>
      <c r="H520" s="250"/>
      <c r="I520" s="250"/>
      <c r="J520" s="250"/>
      <c r="K520" s="250"/>
      <c r="L520" s="250"/>
      <c r="M520" s="250"/>
      <c r="N520" s="250"/>
      <c r="O520" s="250"/>
      <c r="P520" s="250"/>
      <c r="Q520" s="250"/>
      <c r="R520" s="250"/>
      <c r="S520" s="250"/>
      <c r="T520" s="250"/>
      <c r="U520" s="250"/>
      <c r="V520" s="250"/>
      <c r="W520" s="250"/>
      <c r="X520" s="250"/>
      <c r="Y520" s="250"/>
      <c r="Z520" s="250"/>
    </row>
    <row r="521" ht="14.25" customHeight="1">
      <c r="A521" s="294" t="s">
        <v>415</v>
      </c>
      <c r="B521" s="70" t="s">
        <v>224</v>
      </c>
      <c r="C521" s="93">
        <v>3.0</v>
      </c>
      <c r="D521" s="94">
        <v>225.0</v>
      </c>
      <c r="E521" s="70" t="s">
        <v>119</v>
      </c>
      <c r="F521" s="95">
        <v>46058.0</v>
      </c>
      <c r="G521" s="77">
        <f>جدول_23[سعر الشراء]*جدول_23[الكمية]</f>
        <v>675</v>
      </c>
      <c r="H521" s="250"/>
      <c r="I521" s="250"/>
      <c r="J521" s="250"/>
      <c r="K521" s="250"/>
      <c r="L521" s="250"/>
      <c r="M521" s="250"/>
      <c r="N521" s="250"/>
      <c r="O521" s="250"/>
      <c r="P521" s="250"/>
      <c r="Q521" s="250"/>
      <c r="R521" s="250"/>
      <c r="S521" s="250"/>
      <c r="T521" s="250"/>
      <c r="U521" s="250"/>
      <c r="V521" s="250"/>
      <c r="W521" s="250"/>
      <c r="X521" s="250"/>
      <c r="Y521" s="250"/>
      <c r="Z521" s="250"/>
    </row>
    <row r="522" ht="14.25" customHeight="1">
      <c r="A522" s="70" t="s">
        <v>861</v>
      </c>
      <c r="B522" s="70" t="s">
        <v>836</v>
      </c>
      <c r="C522" s="93">
        <v>12.0</v>
      </c>
      <c r="D522" s="94">
        <f>280/12</f>
        <v>23.33333333</v>
      </c>
      <c r="E522" s="70"/>
      <c r="F522" s="95">
        <v>46058.0</v>
      </c>
      <c r="G522" s="77">
        <f>جدول_23[سعر الشراء]*جدول_23[الكمية]</f>
        <v>280</v>
      </c>
      <c r="H522" s="250"/>
      <c r="I522" s="250"/>
      <c r="J522" s="250"/>
      <c r="K522" s="250"/>
      <c r="L522" s="250"/>
      <c r="M522" s="250"/>
      <c r="N522" s="250"/>
      <c r="O522" s="250"/>
      <c r="P522" s="250"/>
      <c r="Q522" s="250"/>
      <c r="R522" s="250"/>
      <c r="S522" s="250"/>
      <c r="T522" s="250"/>
      <c r="U522" s="250"/>
      <c r="V522" s="250"/>
      <c r="W522" s="250"/>
      <c r="X522" s="250"/>
      <c r="Y522" s="250"/>
      <c r="Z522" s="250"/>
    </row>
    <row r="523" ht="14.25" customHeight="1">
      <c r="A523" s="70" t="s">
        <v>802</v>
      </c>
      <c r="B523" s="70" t="s">
        <v>836</v>
      </c>
      <c r="C523" s="93">
        <v>24.0</v>
      </c>
      <c r="D523" s="94">
        <f>1280/24</f>
        <v>53.33333333</v>
      </c>
      <c r="E523" s="70"/>
      <c r="F523" s="95">
        <v>46058.0</v>
      </c>
      <c r="G523" s="77">
        <f>جدول_23[سعر الشراء]*جدول_23[الكمية]</f>
        <v>1280</v>
      </c>
      <c r="H523" s="250"/>
      <c r="I523" s="250"/>
      <c r="J523" s="250"/>
      <c r="K523" s="250"/>
      <c r="L523" s="250"/>
      <c r="M523" s="250"/>
      <c r="N523" s="250"/>
      <c r="O523" s="250"/>
      <c r="P523" s="250"/>
      <c r="Q523" s="250"/>
      <c r="R523" s="250"/>
      <c r="S523" s="250"/>
      <c r="T523" s="250"/>
      <c r="U523" s="250"/>
      <c r="V523" s="250"/>
      <c r="W523" s="250"/>
      <c r="X523" s="250"/>
      <c r="Y523" s="250"/>
      <c r="Z523" s="250"/>
    </row>
    <row r="524" ht="14.25" customHeight="1">
      <c r="A524" s="70" t="s">
        <v>1096</v>
      </c>
      <c r="B524" s="70" t="s">
        <v>836</v>
      </c>
      <c r="C524" s="93">
        <v>12.0</v>
      </c>
      <c r="D524" s="94">
        <f>410/12</f>
        <v>34.16666667</v>
      </c>
      <c r="E524" s="70"/>
      <c r="F524" s="95">
        <v>46058.0</v>
      </c>
      <c r="G524" s="77">
        <f>جدول_23[سعر الشراء]*جدول_23[الكمية]</f>
        <v>410</v>
      </c>
      <c r="H524" s="250"/>
      <c r="I524" s="250"/>
      <c r="J524" s="250"/>
      <c r="K524" s="250"/>
      <c r="L524" s="250"/>
      <c r="M524" s="250"/>
      <c r="N524" s="250"/>
      <c r="O524" s="250"/>
      <c r="P524" s="250"/>
      <c r="Q524" s="250"/>
      <c r="R524" s="250"/>
      <c r="S524" s="250"/>
      <c r="T524" s="250"/>
      <c r="U524" s="250"/>
      <c r="V524" s="250"/>
      <c r="W524" s="250"/>
      <c r="X524" s="250"/>
      <c r="Y524" s="250"/>
      <c r="Z524" s="250"/>
    </row>
    <row r="525" ht="14.25" customHeight="1">
      <c r="A525" s="250"/>
      <c r="B525" s="250"/>
      <c r="C525" s="250"/>
      <c r="D525" s="254"/>
      <c r="E525" s="250"/>
      <c r="F525" s="250"/>
      <c r="G525" s="250"/>
      <c r="H525" s="250"/>
      <c r="I525" s="250"/>
      <c r="J525" s="250"/>
      <c r="K525" s="250"/>
      <c r="L525" s="250"/>
      <c r="M525" s="250"/>
      <c r="N525" s="250"/>
      <c r="O525" s="250"/>
      <c r="P525" s="250"/>
      <c r="Q525" s="250"/>
      <c r="R525" s="250"/>
      <c r="S525" s="250"/>
      <c r="T525" s="250"/>
      <c r="U525" s="250"/>
      <c r="V525" s="250"/>
      <c r="W525" s="250"/>
      <c r="X525" s="250"/>
      <c r="Y525" s="250"/>
      <c r="Z525" s="250"/>
    </row>
    <row r="526" ht="14.25" customHeight="1">
      <c r="A526" s="280" t="s">
        <v>4369</v>
      </c>
      <c r="B526" s="280" t="s">
        <v>4350</v>
      </c>
      <c r="C526" s="280" t="s">
        <v>4352</v>
      </c>
      <c r="D526" s="281" t="s">
        <v>4370</v>
      </c>
      <c r="E526" s="280" t="s">
        <v>4433</v>
      </c>
      <c r="F526" s="280" t="s">
        <v>4372</v>
      </c>
      <c r="G526" s="298" t="s">
        <v>4641</v>
      </c>
      <c r="H526" s="250"/>
      <c r="I526" s="250"/>
      <c r="J526" s="250"/>
      <c r="K526" s="250"/>
      <c r="L526" s="250"/>
      <c r="M526" s="250"/>
      <c r="N526" s="250"/>
      <c r="O526" s="250"/>
      <c r="P526" s="250"/>
      <c r="Q526" s="250"/>
      <c r="R526" s="250"/>
      <c r="S526" s="250"/>
      <c r="T526" s="250"/>
      <c r="U526" s="250"/>
      <c r="V526" s="250"/>
      <c r="W526" s="250"/>
      <c r="X526" s="250"/>
      <c r="Y526" s="250"/>
      <c r="Z526" s="250"/>
    </row>
    <row r="527" ht="14.25" customHeight="1">
      <c r="A527" s="70" t="s">
        <v>1100</v>
      </c>
      <c r="B527" s="70" t="s">
        <v>327</v>
      </c>
      <c r="C527" s="93">
        <v>5.0</v>
      </c>
      <c r="D527" s="94">
        <v>50.0</v>
      </c>
      <c r="E527" s="70" t="s">
        <v>119</v>
      </c>
      <c r="F527" s="95">
        <v>46060.0</v>
      </c>
      <c r="G527" s="77">
        <f>جدول_24[سعر الشراء]*جدول_24[الكمية]</f>
        <v>250</v>
      </c>
      <c r="H527" s="250"/>
      <c r="I527" s="250"/>
      <c r="J527" s="250"/>
      <c r="K527" s="250"/>
      <c r="L527" s="250"/>
      <c r="M527" s="250"/>
      <c r="N527" s="250"/>
      <c r="O527" s="250"/>
      <c r="P527" s="250"/>
      <c r="Q527" s="250"/>
      <c r="R527" s="250"/>
      <c r="S527" s="250"/>
      <c r="T527" s="250"/>
      <c r="U527" s="250"/>
      <c r="V527" s="250"/>
      <c r="W527" s="250"/>
      <c r="X527" s="250"/>
      <c r="Y527" s="250"/>
      <c r="Z527" s="250"/>
    </row>
    <row r="528" ht="14.25" customHeight="1">
      <c r="A528" s="294" t="s">
        <v>415</v>
      </c>
      <c r="B528" s="70" t="s">
        <v>224</v>
      </c>
      <c r="C528" s="93">
        <v>5.0</v>
      </c>
      <c r="D528" s="94">
        <v>225.0</v>
      </c>
      <c r="E528" s="70" t="s">
        <v>119</v>
      </c>
      <c r="F528" s="95">
        <v>46060.0</v>
      </c>
      <c r="G528" s="77">
        <f>جدول_24[سعر الشراء]*جدول_24[الكمية]</f>
        <v>1125</v>
      </c>
      <c r="H528" s="250"/>
      <c r="I528" s="250"/>
      <c r="J528" s="250"/>
      <c r="K528" s="250"/>
      <c r="L528" s="250"/>
      <c r="M528" s="250"/>
      <c r="N528" s="250"/>
      <c r="O528" s="250"/>
      <c r="P528" s="250"/>
      <c r="Q528" s="250"/>
      <c r="R528" s="250"/>
      <c r="S528" s="250"/>
      <c r="T528" s="250"/>
      <c r="U528" s="250"/>
      <c r="V528" s="250"/>
      <c r="W528" s="250"/>
      <c r="X528" s="250"/>
      <c r="Y528" s="250"/>
      <c r="Z528" s="250"/>
    </row>
    <row r="529" ht="14.25" customHeight="1">
      <c r="A529" s="70" t="s">
        <v>787</v>
      </c>
      <c r="B529" s="70" t="s">
        <v>224</v>
      </c>
      <c r="C529" s="93">
        <v>4.0</v>
      </c>
      <c r="D529" s="94">
        <v>135.0</v>
      </c>
      <c r="E529" s="70" t="s">
        <v>119</v>
      </c>
      <c r="F529" s="95">
        <v>46060.0</v>
      </c>
      <c r="G529" s="77">
        <f>جدول_24[سعر الشراء]*جدول_24[الكمية]</f>
        <v>540</v>
      </c>
      <c r="H529" s="250"/>
      <c r="I529" s="250"/>
      <c r="J529" s="250"/>
      <c r="K529" s="250"/>
      <c r="L529" s="250"/>
      <c r="M529" s="250"/>
      <c r="N529" s="250"/>
      <c r="O529" s="250"/>
      <c r="P529" s="250"/>
      <c r="Q529" s="250"/>
      <c r="R529" s="250"/>
      <c r="S529" s="250"/>
      <c r="T529" s="250"/>
      <c r="U529" s="250"/>
      <c r="V529" s="250"/>
      <c r="W529" s="250"/>
      <c r="X529" s="250"/>
      <c r="Y529" s="250"/>
      <c r="Z529" s="250"/>
    </row>
    <row r="530" ht="14.25" customHeight="1">
      <c r="A530" s="70" t="s">
        <v>953</v>
      </c>
      <c r="B530" s="70" t="s">
        <v>1094</v>
      </c>
      <c r="C530" s="93">
        <v>3.0</v>
      </c>
      <c r="D530" s="94">
        <v>94.0</v>
      </c>
      <c r="E530" s="70" t="s">
        <v>119</v>
      </c>
      <c r="F530" s="95">
        <v>46060.0</v>
      </c>
      <c r="G530" s="77">
        <f>جدول_24[سعر الشراء]*جدول_24[الكمية]</f>
        <v>282</v>
      </c>
      <c r="H530" s="250"/>
      <c r="I530" s="250"/>
      <c r="J530" s="250"/>
      <c r="K530" s="250"/>
      <c r="L530" s="250"/>
      <c r="M530" s="250"/>
      <c r="N530" s="250"/>
      <c r="O530" s="250"/>
      <c r="P530" s="250"/>
      <c r="Q530" s="250"/>
      <c r="R530" s="250"/>
      <c r="S530" s="250"/>
      <c r="T530" s="250"/>
      <c r="U530" s="250"/>
      <c r="V530" s="250"/>
      <c r="W530" s="250"/>
      <c r="X530" s="250"/>
      <c r="Y530" s="250"/>
      <c r="Z530" s="250"/>
    </row>
    <row r="531" ht="14.25" customHeight="1">
      <c r="A531" s="70" t="s">
        <v>775</v>
      </c>
      <c r="B531" s="70" t="s">
        <v>1094</v>
      </c>
      <c r="C531" s="93">
        <v>3.0</v>
      </c>
      <c r="D531" s="94">
        <v>94.0</v>
      </c>
      <c r="E531" s="70" t="s">
        <v>119</v>
      </c>
      <c r="F531" s="95">
        <v>46060.0</v>
      </c>
      <c r="G531" s="77">
        <f>جدول_24[سعر الشراء]*جدول_24[الكمية]</f>
        <v>282</v>
      </c>
      <c r="H531" s="250"/>
      <c r="I531" s="250"/>
      <c r="J531" s="250"/>
      <c r="K531" s="250"/>
      <c r="L531" s="250"/>
      <c r="M531" s="250"/>
      <c r="N531" s="250"/>
      <c r="O531" s="250"/>
      <c r="P531" s="250"/>
      <c r="Q531" s="250"/>
      <c r="R531" s="250"/>
      <c r="S531" s="250"/>
      <c r="T531" s="250"/>
      <c r="U531" s="250"/>
      <c r="V531" s="250"/>
      <c r="W531" s="250"/>
      <c r="X531" s="250"/>
      <c r="Y531" s="250"/>
      <c r="Z531" s="250"/>
    </row>
    <row r="532" ht="14.25" customHeight="1">
      <c r="A532" s="70" t="s">
        <v>778</v>
      </c>
      <c r="B532" s="70" t="s">
        <v>1094</v>
      </c>
      <c r="C532" s="93">
        <v>1.0</v>
      </c>
      <c r="D532" s="94">
        <v>100.0</v>
      </c>
      <c r="E532" s="70" t="s">
        <v>119</v>
      </c>
      <c r="F532" s="95">
        <v>46060.0</v>
      </c>
      <c r="G532" s="77">
        <f>جدول_24[سعر الشراء]*جدول_24[الكمية]</f>
        <v>100</v>
      </c>
      <c r="H532" s="250"/>
      <c r="I532" s="250"/>
      <c r="J532" s="250"/>
      <c r="K532" s="250"/>
      <c r="L532" s="250"/>
      <c r="M532" s="250"/>
      <c r="N532" s="250"/>
      <c r="O532" s="250"/>
      <c r="P532" s="250"/>
      <c r="Q532" s="250"/>
      <c r="R532" s="250"/>
      <c r="S532" s="250"/>
      <c r="T532" s="250"/>
      <c r="U532" s="250"/>
      <c r="V532" s="250"/>
      <c r="W532" s="250"/>
      <c r="X532" s="250"/>
      <c r="Y532" s="250"/>
      <c r="Z532" s="250"/>
    </row>
    <row r="533" ht="14.25" customHeight="1">
      <c r="A533" s="70" t="s">
        <v>1050</v>
      </c>
      <c r="B533" s="70" t="s">
        <v>224</v>
      </c>
      <c r="C533" s="93">
        <v>3.0</v>
      </c>
      <c r="D533" s="94">
        <v>110.0</v>
      </c>
      <c r="E533" s="70" t="s">
        <v>119</v>
      </c>
      <c r="F533" s="95">
        <v>46060.0</v>
      </c>
      <c r="G533" s="77">
        <f>جدول_24[سعر الشراء]*جدول_24[الكمية]</f>
        <v>330</v>
      </c>
      <c r="H533" s="250"/>
      <c r="I533" s="250"/>
      <c r="J533" s="250"/>
      <c r="K533" s="250"/>
      <c r="L533" s="250"/>
      <c r="M533" s="250"/>
      <c r="N533" s="250"/>
      <c r="O533" s="250"/>
      <c r="P533" s="250"/>
      <c r="Q533" s="250"/>
      <c r="R533" s="250"/>
      <c r="S533" s="250"/>
      <c r="T533" s="250"/>
      <c r="U533" s="250"/>
      <c r="V533" s="250"/>
      <c r="W533" s="250"/>
      <c r="X533" s="250"/>
      <c r="Y533" s="250"/>
      <c r="Z533" s="250"/>
    </row>
    <row r="534" ht="14.25" customHeight="1">
      <c r="A534" s="70" t="s">
        <v>839</v>
      </c>
      <c r="B534" s="70" t="s">
        <v>840</v>
      </c>
      <c r="C534" s="93">
        <v>2.0</v>
      </c>
      <c r="D534" s="94">
        <v>139.0</v>
      </c>
      <c r="E534" s="70" t="s">
        <v>119</v>
      </c>
      <c r="F534" s="95">
        <v>46060.0</v>
      </c>
      <c r="G534" s="77">
        <f>جدول_24[سعر الشراء]*جدول_24[الكمية]</f>
        <v>278</v>
      </c>
      <c r="H534" s="250"/>
      <c r="I534" s="250"/>
      <c r="J534" s="250"/>
      <c r="K534" s="250"/>
      <c r="L534" s="250"/>
      <c r="M534" s="250"/>
      <c r="N534" s="250"/>
      <c r="O534" s="250"/>
      <c r="P534" s="250"/>
      <c r="Q534" s="250"/>
      <c r="R534" s="250"/>
      <c r="S534" s="250"/>
      <c r="T534" s="250"/>
      <c r="U534" s="250"/>
      <c r="V534" s="250"/>
      <c r="W534" s="250"/>
      <c r="X534" s="250"/>
      <c r="Y534" s="250"/>
      <c r="Z534" s="250"/>
    </row>
    <row r="535" ht="14.25" customHeight="1">
      <c r="A535" s="70" t="s">
        <v>445</v>
      </c>
      <c r="B535" s="70" t="s">
        <v>840</v>
      </c>
      <c r="C535" s="93">
        <v>2.0</v>
      </c>
      <c r="D535" s="94">
        <v>52.0</v>
      </c>
      <c r="E535" s="70" t="s">
        <v>119</v>
      </c>
      <c r="F535" s="95">
        <v>46060.0</v>
      </c>
      <c r="G535" s="77">
        <f>جدول_24[سعر الشراء]*جدول_24[الكمية]</f>
        <v>104</v>
      </c>
      <c r="H535" s="250"/>
      <c r="I535" s="250"/>
      <c r="J535" s="250"/>
      <c r="K535" s="250"/>
      <c r="L535" s="250"/>
      <c r="M535" s="250"/>
      <c r="N535" s="250"/>
      <c r="O535" s="250"/>
      <c r="P535" s="250"/>
      <c r="Q535" s="250"/>
      <c r="R535" s="250"/>
      <c r="S535" s="250"/>
      <c r="T535" s="250"/>
      <c r="U535" s="250"/>
      <c r="V535" s="250"/>
      <c r="W535" s="250"/>
      <c r="X535" s="250"/>
      <c r="Y535" s="250"/>
      <c r="Z535" s="250"/>
    </row>
    <row r="536" ht="14.25" customHeight="1">
      <c r="A536" s="70" t="s">
        <v>975</v>
      </c>
      <c r="B536" s="70" t="s">
        <v>840</v>
      </c>
      <c r="C536" s="93">
        <v>2.0</v>
      </c>
      <c r="D536" s="94">
        <v>49.0</v>
      </c>
      <c r="E536" s="70" t="s">
        <v>119</v>
      </c>
      <c r="F536" s="95">
        <v>46060.0</v>
      </c>
      <c r="G536" s="77">
        <f>جدول_24[سعر الشراء]*جدول_24[الكمية]</f>
        <v>98</v>
      </c>
      <c r="H536" s="250"/>
      <c r="I536" s="250"/>
      <c r="J536" s="250"/>
      <c r="K536" s="250"/>
      <c r="L536" s="250"/>
      <c r="M536" s="250"/>
      <c r="N536" s="250"/>
      <c r="O536" s="250"/>
      <c r="P536" s="250"/>
      <c r="Q536" s="250"/>
      <c r="R536" s="250"/>
      <c r="S536" s="250"/>
      <c r="T536" s="250"/>
      <c r="U536" s="250"/>
      <c r="V536" s="250"/>
      <c r="W536" s="250"/>
      <c r="X536" s="250"/>
      <c r="Y536" s="250"/>
      <c r="Z536" s="250"/>
    </row>
    <row r="537" ht="14.25" customHeight="1">
      <c r="A537" s="70" t="s">
        <v>693</v>
      </c>
      <c r="B537" s="70" t="s">
        <v>224</v>
      </c>
      <c r="C537" s="93">
        <v>6.0</v>
      </c>
      <c r="D537" s="94">
        <v>160.0</v>
      </c>
      <c r="E537" s="70" t="s">
        <v>119</v>
      </c>
      <c r="F537" s="95">
        <v>46060.0</v>
      </c>
      <c r="G537" s="77">
        <f>جدول_24[سعر الشراء]*جدول_24[الكمية]</f>
        <v>960</v>
      </c>
      <c r="H537" s="250"/>
      <c r="I537" s="250"/>
      <c r="J537" s="250"/>
      <c r="K537" s="250"/>
      <c r="L537" s="250"/>
      <c r="M537" s="250"/>
      <c r="N537" s="250"/>
      <c r="O537" s="250"/>
      <c r="P537" s="250"/>
      <c r="Q537" s="250"/>
      <c r="R537" s="250"/>
      <c r="S537" s="250"/>
      <c r="T537" s="250"/>
      <c r="U537" s="250"/>
      <c r="V537" s="250"/>
      <c r="W537" s="250"/>
      <c r="X537" s="250"/>
      <c r="Y537" s="250"/>
      <c r="Z537" s="250"/>
    </row>
    <row r="538" ht="14.25" customHeight="1">
      <c r="A538" s="10" t="s">
        <v>918</v>
      </c>
      <c r="B538" s="70" t="s">
        <v>472</v>
      </c>
      <c r="C538" s="96">
        <v>6.0</v>
      </c>
      <c r="D538" s="98">
        <v>135.0</v>
      </c>
      <c r="E538" s="73" t="s">
        <v>51</v>
      </c>
      <c r="F538" s="95">
        <v>46060.0</v>
      </c>
      <c r="G538" s="77">
        <f>جدول_24[سعر الشراء]*جدول_24[الكمية]</f>
        <v>810</v>
      </c>
      <c r="H538" s="250"/>
      <c r="I538" s="250"/>
      <c r="J538" s="250"/>
      <c r="K538" s="250"/>
      <c r="L538" s="250"/>
      <c r="M538" s="250"/>
      <c r="N538" s="250"/>
      <c r="O538" s="250"/>
      <c r="P538" s="250"/>
      <c r="Q538" s="250"/>
      <c r="R538" s="250"/>
      <c r="S538" s="250"/>
      <c r="T538" s="250"/>
      <c r="U538" s="250"/>
      <c r="V538" s="250"/>
      <c r="W538" s="250"/>
      <c r="X538" s="250"/>
      <c r="Y538" s="250"/>
      <c r="Z538" s="250"/>
    </row>
    <row r="539" ht="14.25" customHeight="1">
      <c r="A539" s="10" t="s">
        <v>1118</v>
      </c>
      <c r="B539" s="70" t="s">
        <v>472</v>
      </c>
      <c r="C539" s="96">
        <v>6.0</v>
      </c>
      <c r="D539" s="98">
        <v>55.0</v>
      </c>
      <c r="E539" s="73" t="s">
        <v>51</v>
      </c>
      <c r="F539" s="95">
        <v>46060.0</v>
      </c>
      <c r="G539" s="77">
        <f>جدول_24[سعر الشراء]*جدول_24[الكمية]</f>
        <v>330</v>
      </c>
      <c r="H539" s="250"/>
      <c r="I539" s="250"/>
      <c r="J539" s="250"/>
      <c r="K539" s="250"/>
      <c r="L539" s="292"/>
      <c r="M539" s="292"/>
      <c r="N539" s="292"/>
      <c r="O539" s="292"/>
      <c r="P539" s="292"/>
      <c r="Q539" s="292"/>
      <c r="R539" s="250"/>
      <c r="S539" s="250"/>
      <c r="T539" s="250"/>
      <c r="U539" s="250"/>
      <c r="V539" s="250"/>
      <c r="W539" s="250"/>
      <c r="X539" s="250"/>
      <c r="Y539" s="250"/>
      <c r="Z539" s="250"/>
    </row>
    <row r="540" ht="14.25" customHeight="1">
      <c r="A540" s="10" t="s">
        <v>865</v>
      </c>
      <c r="B540" s="70" t="s">
        <v>472</v>
      </c>
      <c r="C540" s="96">
        <v>6.0</v>
      </c>
      <c r="D540" s="98">
        <v>125.0</v>
      </c>
      <c r="E540" s="73" t="s">
        <v>51</v>
      </c>
      <c r="F540" s="95">
        <v>46060.0</v>
      </c>
      <c r="G540" s="77">
        <f>جدول_24[سعر الشراء]*جدول_24[الكمية]</f>
        <v>750</v>
      </c>
      <c r="H540" s="250"/>
      <c r="I540" s="250"/>
      <c r="J540" s="250"/>
      <c r="K540" s="250"/>
      <c r="N540" s="1"/>
      <c r="R540" s="250"/>
      <c r="S540" s="250"/>
      <c r="T540" s="250"/>
      <c r="U540" s="250"/>
      <c r="V540" s="250"/>
      <c r="W540" s="250"/>
      <c r="X540" s="250"/>
      <c r="Y540" s="250"/>
      <c r="Z540" s="250"/>
    </row>
    <row r="541" ht="14.25" customHeight="1">
      <c r="A541" s="10" t="s">
        <v>220</v>
      </c>
      <c r="B541" s="70" t="s">
        <v>472</v>
      </c>
      <c r="C541" s="96">
        <v>6.0</v>
      </c>
      <c r="D541" s="98">
        <v>85.0</v>
      </c>
      <c r="E541" s="73" t="s">
        <v>51</v>
      </c>
      <c r="F541" s="95">
        <v>46060.0</v>
      </c>
      <c r="G541" s="77">
        <f>جدول_24[سعر الشراء]*جدول_24[الكمية]</f>
        <v>510</v>
      </c>
      <c r="H541" s="250"/>
      <c r="I541" s="250"/>
      <c r="J541" s="250"/>
      <c r="K541" s="250"/>
      <c r="N541" s="1"/>
      <c r="R541" s="250"/>
      <c r="S541" s="250"/>
      <c r="T541" s="250"/>
      <c r="U541" s="250"/>
      <c r="V541" s="250"/>
      <c r="W541" s="250"/>
      <c r="X541" s="250"/>
      <c r="Y541" s="250"/>
      <c r="Z541" s="250"/>
    </row>
    <row r="542" ht="14.25" customHeight="1">
      <c r="A542" s="310" t="s">
        <v>1004</v>
      </c>
      <c r="B542" s="70" t="s">
        <v>472</v>
      </c>
      <c r="C542" s="100">
        <v>12.0</v>
      </c>
      <c r="D542" s="101">
        <v>65.0</v>
      </c>
      <c r="E542" s="73" t="s">
        <v>154</v>
      </c>
      <c r="F542" s="95">
        <v>46060.0</v>
      </c>
      <c r="G542" s="77">
        <f>جدول_24[سعر الشراء]*جدول_24[الكمية]</f>
        <v>780</v>
      </c>
      <c r="H542" s="250"/>
      <c r="I542" s="250"/>
      <c r="J542" s="250"/>
      <c r="K542" s="250"/>
      <c r="N542" s="1"/>
      <c r="R542" s="250"/>
      <c r="S542" s="250"/>
      <c r="T542" s="250"/>
      <c r="U542" s="250"/>
      <c r="V542" s="250"/>
      <c r="W542" s="250"/>
      <c r="X542" s="250"/>
      <c r="Y542" s="250"/>
      <c r="Z542" s="250"/>
    </row>
    <row r="543" ht="14.25" customHeight="1">
      <c r="A543" s="310" t="s">
        <v>848</v>
      </c>
      <c r="B543" s="70" t="s">
        <v>30</v>
      </c>
      <c r="C543" s="100">
        <v>4.0</v>
      </c>
      <c r="D543" s="101">
        <v>120.0</v>
      </c>
      <c r="E543" s="73" t="s">
        <v>154</v>
      </c>
      <c r="F543" s="95">
        <v>46060.0</v>
      </c>
      <c r="G543" s="77">
        <f>جدول_24[سعر الشراء]*جدول_24[الكمية]</f>
        <v>480</v>
      </c>
      <c r="H543" s="250"/>
      <c r="I543" s="250"/>
      <c r="J543" s="250"/>
      <c r="K543" s="250"/>
      <c r="N543" s="1"/>
      <c r="R543" s="250"/>
      <c r="S543" s="250"/>
      <c r="T543" s="250"/>
      <c r="U543" s="250"/>
      <c r="V543" s="250"/>
      <c r="W543" s="250"/>
      <c r="X543" s="250"/>
      <c r="Y543" s="250"/>
      <c r="Z543" s="250"/>
    </row>
    <row r="544" ht="14.25" customHeight="1">
      <c r="A544" s="310" t="s">
        <v>788</v>
      </c>
      <c r="B544" s="70" t="s">
        <v>30</v>
      </c>
      <c r="C544" s="100">
        <v>2.0</v>
      </c>
      <c r="D544" s="101">
        <v>85.0</v>
      </c>
      <c r="E544" s="73" t="s">
        <v>154</v>
      </c>
      <c r="F544" s="95">
        <v>46060.0</v>
      </c>
      <c r="G544" s="77">
        <f>جدول_24[سعر الشراء]*جدول_24[الكمية]</f>
        <v>170</v>
      </c>
      <c r="H544" s="250"/>
      <c r="I544" s="250"/>
      <c r="J544" s="250"/>
      <c r="K544" s="250"/>
      <c r="L544" s="250"/>
      <c r="M544" s="250"/>
      <c r="N544" s="250"/>
      <c r="O544" s="250"/>
      <c r="P544" s="250"/>
      <c r="Q544" s="250"/>
      <c r="R544" s="250"/>
      <c r="S544" s="250"/>
      <c r="T544" s="250"/>
      <c r="U544" s="250"/>
      <c r="V544" s="250"/>
      <c r="W544" s="250"/>
      <c r="X544" s="250"/>
      <c r="Y544" s="250"/>
      <c r="Z544" s="250"/>
    </row>
    <row r="545" ht="22.5" customHeight="1">
      <c r="A545" s="310" t="s">
        <v>902</v>
      </c>
      <c r="B545" s="70" t="s">
        <v>1036</v>
      </c>
      <c r="C545" s="100">
        <v>3.0</v>
      </c>
      <c r="D545" s="101">
        <v>75.0</v>
      </c>
      <c r="E545" s="73" t="s">
        <v>154</v>
      </c>
      <c r="F545" s="95">
        <v>46060.0</v>
      </c>
      <c r="G545" s="77">
        <f>جدول_24[سعر الشراء]*جدول_24[الكمية]</f>
        <v>225</v>
      </c>
      <c r="H545" s="250"/>
      <c r="I545" s="250"/>
      <c r="J545" s="250"/>
      <c r="K545" s="250"/>
      <c r="L545" s="250"/>
      <c r="M545" s="250"/>
      <c r="N545" s="250"/>
      <c r="O545" s="250"/>
      <c r="P545" s="250"/>
      <c r="Q545" s="250"/>
      <c r="R545" s="250"/>
      <c r="S545" s="250"/>
      <c r="T545" s="250"/>
      <c r="U545" s="250"/>
      <c r="V545" s="250"/>
      <c r="W545" s="250"/>
      <c r="X545" s="250"/>
      <c r="Y545" s="250"/>
      <c r="Z545" s="250"/>
    </row>
    <row r="546" ht="14.25" customHeight="1">
      <c r="A546" s="310" t="s">
        <v>438</v>
      </c>
      <c r="B546" s="70" t="s">
        <v>472</v>
      </c>
      <c r="C546" s="100">
        <v>6.0</v>
      </c>
      <c r="D546" s="101">
        <v>135.0</v>
      </c>
      <c r="E546" s="73" t="s">
        <v>154</v>
      </c>
      <c r="F546" s="95">
        <v>46060.0</v>
      </c>
      <c r="G546" s="77">
        <f>جدول_24[سعر الشراء]*جدول_24[الكمية]</f>
        <v>810</v>
      </c>
      <c r="H546" s="250"/>
      <c r="I546" s="250"/>
      <c r="J546" s="250"/>
      <c r="K546" s="250"/>
      <c r="L546" s="250"/>
      <c r="M546" s="250"/>
      <c r="N546" s="250"/>
      <c r="O546" s="250"/>
      <c r="P546" s="250"/>
      <c r="Q546" s="250"/>
      <c r="R546" s="250"/>
      <c r="S546" s="250"/>
      <c r="T546" s="250"/>
      <c r="U546" s="250"/>
      <c r="V546" s="250"/>
      <c r="W546" s="250"/>
      <c r="X546" s="250"/>
      <c r="Y546" s="250"/>
      <c r="Z546" s="250"/>
    </row>
    <row r="547" ht="14.25" customHeight="1">
      <c r="A547" s="310" t="s">
        <v>431</v>
      </c>
      <c r="B547" s="70" t="s">
        <v>472</v>
      </c>
      <c r="C547" s="100">
        <v>6.0</v>
      </c>
      <c r="D547" s="101">
        <v>135.0</v>
      </c>
      <c r="E547" s="73" t="s">
        <v>154</v>
      </c>
      <c r="F547" s="95">
        <v>46060.0</v>
      </c>
      <c r="G547" s="77">
        <f>جدول_24[سعر الشراء]*جدول_24[الكمية]</f>
        <v>810</v>
      </c>
      <c r="H547" s="250"/>
      <c r="I547" s="250"/>
      <c r="J547" s="250"/>
      <c r="K547" s="250"/>
      <c r="L547" s="250"/>
      <c r="M547" s="250"/>
      <c r="N547" s="250"/>
      <c r="O547" s="250"/>
      <c r="P547" s="250"/>
      <c r="Q547" s="250"/>
      <c r="R547" s="250"/>
      <c r="S547" s="250"/>
      <c r="T547" s="250"/>
      <c r="U547" s="250"/>
      <c r="V547" s="250"/>
      <c r="W547" s="250"/>
      <c r="X547" s="250"/>
      <c r="Y547" s="250"/>
      <c r="Z547" s="250"/>
    </row>
    <row r="548" ht="14.25" customHeight="1">
      <c r="A548" s="310" t="s">
        <v>885</v>
      </c>
      <c r="B548" s="70" t="s">
        <v>472</v>
      </c>
      <c r="C548" s="100">
        <v>6.0</v>
      </c>
      <c r="D548" s="101">
        <v>135.0</v>
      </c>
      <c r="E548" s="73" t="s">
        <v>154</v>
      </c>
      <c r="F548" s="95">
        <v>46060.0</v>
      </c>
      <c r="G548" s="77">
        <f>جدول_24[سعر الشراء]*جدول_24[الكمية]</f>
        <v>810</v>
      </c>
      <c r="H548" s="250"/>
      <c r="I548" s="250"/>
      <c r="J548" s="250"/>
      <c r="K548" s="250"/>
      <c r="L548" s="250"/>
      <c r="M548" s="250"/>
      <c r="N548" s="250"/>
      <c r="O548" s="250"/>
      <c r="P548" s="250"/>
      <c r="Q548" s="250"/>
      <c r="R548" s="250"/>
      <c r="S548" s="250"/>
      <c r="T548" s="250"/>
      <c r="U548" s="250"/>
      <c r="V548" s="250"/>
      <c r="W548" s="250"/>
      <c r="X548" s="250"/>
      <c r="Y548" s="250"/>
      <c r="Z548" s="250"/>
    </row>
    <row r="549" ht="14.25" customHeight="1">
      <c r="A549" s="310" t="s">
        <v>1139</v>
      </c>
      <c r="B549" s="70" t="s">
        <v>472</v>
      </c>
      <c r="C549" s="100">
        <v>6.0</v>
      </c>
      <c r="D549" s="101">
        <v>75.0</v>
      </c>
      <c r="E549" s="73" t="s">
        <v>154</v>
      </c>
      <c r="F549" s="95">
        <v>46060.0</v>
      </c>
      <c r="G549" s="77">
        <f>جدول_24[سعر الشراء]*جدول_24[الكمية]</f>
        <v>450</v>
      </c>
      <c r="H549" s="250"/>
      <c r="I549" s="250"/>
      <c r="J549" s="250"/>
      <c r="K549" s="250"/>
      <c r="L549" s="250"/>
      <c r="M549" s="250"/>
      <c r="N549" s="250"/>
      <c r="O549" s="250"/>
      <c r="P549" s="250"/>
      <c r="Q549" s="250"/>
      <c r="R549" s="250"/>
      <c r="S549" s="250"/>
      <c r="T549" s="250"/>
      <c r="U549" s="250"/>
      <c r="V549" s="250"/>
      <c r="W549" s="250"/>
      <c r="X549" s="250"/>
      <c r="Y549" s="250"/>
      <c r="Z549" s="250"/>
    </row>
    <row r="550" ht="14.25" customHeight="1">
      <c r="A550" s="310" t="s">
        <v>812</v>
      </c>
      <c r="B550" s="70" t="s">
        <v>472</v>
      </c>
      <c r="C550" s="100">
        <v>30.0</v>
      </c>
      <c r="D550" s="101">
        <v>15.0</v>
      </c>
      <c r="E550" s="73" t="s">
        <v>154</v>
      </c>
      <c r="F550" s="95">
        <v>46060.0</v>
      </c>
      <c r="G550" s="77">
        <f>جدول_24[سعر الشراء]*جدول_24[الكمية]</f>
        <v>450</v>
      </c>
      <c r="H550" s="250"/>
      <c r="I550" s="250"/>
      <c r="J550" s="250"/>
      <c r="K550" s="250"/>
      <c r="L550" s="250"/>
      <c r="M550" s="250"/>
      <c r="N550" s="250"/>
      <c r="O550" s="250"/>
      <c r="P550" s="250"/>
      <c r="Q550" s="250"/>
      <c r="R550" s="250"/>
      <c r="S550" s="250"/>
      <c r="T550" s="250"/>
      <c r="U550" s="250"/>
      <c r="V550" s="250"/>
      <c r="W550" s="250"/>
      <c r="X550" s="250"/>
      <c r="Y550" s="250"/>
      <c r="Z550" s="250"/>
    </row>
    <row r="551" ht="14.25" customHeight="1">
      <c r="A551" s="250"/>
      <c r="B551" s="250"/>
      <c r="C551" s="250"/>
      <c r="D551" s="254"/>
      <c r="E551" s="250"/>
      <c r="F551" s="250"/>
      <c r="G551" s="250"/>
      <c r="H551" s="250"/>
      <c r="I551" s="250"/>
      <c r="J551" s="250"/>
      <c r="K551" s="250"/>
      <c r="L551" s="250"/>
      <c r="M551" s="250"/>
      <c r="N551" s="250"/>
      <c r="O551" s="250"/>
      <c r="P551" s="250"/>
      <c r="Q551" s="250"/>
      <c r="R551" s="250"/>
      <c r="S551" s="250"/>
      <c r="T551" s="250"/>
      <c r="U551" s="250"/>
      <c r="V551" s="250"/>
      <c r="W551" s="250"/>
      <c r="X551" s="250"/>
      <c r="Y551" s="250"/>
      <c r="Z551" s="250"/>
    </row>
    <row r="552" ht="14.25" customHeight="1">
      <c r="A552" s="280" t="s">
        <v>4369</v>
      </c>
      <c r="B552" s="280" t="s">
        <v>4350</v>
      </c>
      <c r="C552" s="280" t="s">
        <v>4352</v>
      </c>
      <c r="D552" s="281" t="s">
        <v>4370</v>
      </c>
      <c r="E552" s="280" t="s">
        <v>4433</v>
      </c>
      <c r="F552" s="280" t="s">
        <v>4372</v>
      </c>
      <c r="G552" s="280" t="s">
        <v>4353</v>
      </c>
      <c r="H552" s="108" t="s">
        <v>4578</v>
      </c>
      <c r="I552" s="250"/>
      <c r="J552" s="250"/>
      <c r="K552" s="299"/>
      <c r="L552" s="292"/>
      <c r="M552" s="292"/>
      <c r="N552" s="292"/>
      <c r="O552" s="292"/>
      <c r="P552" s="250"/>
      <c r="Q552" s="250"/>
      <c r="R552" s="250"/>
      <c r="S552" s="250"/>
      <c r="T552" s="250"/>
      <c r="U552" s="250"/>
      <c r="V552" s="250"/>
      <c r="W552" s="250"/>
      <c r="X552" s="250"/>
      <c r="Y552" s="250"/>
      <c r="Z552" s="250"/>
    </row>
    <row r="553" ht="14.25" customHeight="1">
      <c r="A553" s="10" t="s">
        <v>799</v>
      </c>
      <c r="B553" s="70" t="s">
        <v>224</v>
      </c>
      <c r="C553" s="6">
        <v>2.0</v>
      </c>
      <c r="D553" s="6">
        <v>145.0</v>
      </c>
      <c r="E553" s="70" t="s">
        <v>119</v>
      </c>
      <c r="F553" s="95">
        <v>46067.0</v>
      </c>
      <c r="G553" s="77">
        <f t="shared" ref="G553:G585" si="16">D553*C553</f>
        <v>290</v>
      </c>
      <c r="H553" s="77"/>
      <c r="I553" s="250"/>
      <c r="J553" s="250"/>
      <c r="L553" s="1"/>
      <c r="P553" s="250"/>
      <c r="Q553" s="250"/>
      <c r="R553" s="250"/>
      <c r="S553" s="250"/>
      <c r="T553" s="250"/>
      <c r="U553" s="250"/>
      <c r="V553" s="250"/>
      <c r="W553" s="250"/>
      <c r="X553" s="250"/>
      <c r="Y553" s="250"/>
      <c r="Z553" s="250"/>
    </row>
    <row r="554" ht="14.25" customHeight="1">
      <c r="A554" s="10" t="s">
        <v>801</v>
      </c>
      <c r="B554" s="70" t="s">
        <v>224</v>
      </c>
      <c r="C554" s="6">
        <v>4.0</v>
      </c>
      <c r="D554" s="6">
        <v>145.0</v>
      </c>
      <c r="E554" s="70" t="s">
        <v>119</v>
      </c>
      <c r="F554" s="95">
        <v>46067.0</v>
      </c>
      <c r="G554" s="77">
        <f t="shared" si="16"/>
        <v>580</v>
      </c>
      <c r="H554" s="77"/>
      <c r="I554" s="250"/>
      <c r="J554" s="250"/>
      <c r="L554" s="1"/>
      <c r="P554" s="250"/>
      <c r="Q554" s="250"/>
      <c r="R554" s="250"/>
      <c r="S554" s="250"/>
      <c r="T554" s="250"/>
      <c r="U554" s="250"/>
      <c r="V554" s="250"/>
      <c r="W554" s="250"/>
      <c r="X554" s="250"/>
      <c r="Y554" s="250"/>
      <c r="Z554" s="250"/>
    </row>
    <row r="555" ht="14.25" customHeight="1">
      <c r="A555" s="10" t="s">
        <v>730</v>
      </c>
      <c r="B555" s="70" t="s">
        <v>362</v>
      </c>
      <c r="C555" s="6">
        <v>1.0</v>
      </c>
      <c r="D555" s="6">
        <v>140.0</v>
      </c>
      <c r="E555" s="70" t="s">
        <v>119</v>
      </c>
      <c r="F555" s="95">
        <v>46067.0</v>
      </c>
      <c r="G555" s="77">
        <f t="shared" si="16"/>
        <v>140</v>
      </c>
      <c r="H555" s="77"/>
      <c r="I555" s="250"/>
      <c r="J555" s="250"/>
      <c r="L555" s="1"/>
      <c r="P555" s="250"/>
      <c r="Q555" s="250"/>
      <c r="R555" s="250"/>
      <c r="S555" s="250"/>
      <c r="T555" s="250"/>
      <c r="U555" s="250"/>
      <c r="V555" s="250"/>
      <c r="W555" s="250"/>
      <c r="X555" s="250"/>
      <c r="Y555" s="250"/>
      <c r="Z555" s="250"/>
    </row>
    <row r="556" ht="14.25" customHeight="1">
      <c r="A556" s="10" t="s">
        <v>737</v>
      </c>
      <c r="B556" s="70" t="s">
        <v>362</v>
      </c>
      <c r="C556" s="6">
        <v>1.0</v>
      </c>
      <c r="D556" s="6">
        <v>151.0</v>
      </c>
      <c r="E556" s="70" t="s">
        <v>119</v>
      </c>
      <c r="F556" s="95">
        <v>46067.0</v>
      </c>
      <c r="G556" s="77">
        <f t="shared" si="16"/>
        <v>151</v>
      </c>
      <c r="H556" s="77"/>
      <c r="I556" s="250"/>
      <c r="J556" s="250"/>
      <c r="L556" s="1"/>
      <c r="P556" s="250"/>
      <c r="Q556" s="250"/>
      <c r="R556" s="250"/>
      <c r="S556" s="250"/>
      <c r="T556" s="250"/>
      <c r="U556" s="250"/>
      <c r="V556" s="250"/>
      <c r="W556" s="250"/>
      <c r="X556" s="250"/>
      <c r="Y556" s="250"/>
      <c r="Z556" s="250"/>
    </row>
    <row r="557" ht="14.25" customHeight="1">
      <c r="A557" s="10" t="s">
        <v>1123</v>
      </c>
      <c r="B557" s="70" t="s">
        <v>362</v>
      </c>
      <c r="C557" s="6">
        <v>1.0</v>
      </c>
      <c r="D557" s="6">
        <v>95.0</v>
      </c>
      <c r="E557" s="70" t="s">
        <v>119</v>
      </c>
      <c r="F557" s="95">
        <v>46067.0</v>
      </c>
      <c r="G557" s="77">
        <f t="shared" si="16"/>
        <v>95</v>
      </c>
      <c r="H557" s="77"/>
      <c r="I557" s="250"/>
      <c r="J557" s="250"/>
      <c r="L557" s="1"/>
      <c r="P557" s="250"/>
      <c r="Q557" s="250"/>
      <c r="R557" s="250"/>
      <c r="S557" s="250"/>
      <c r="T557" s="250"/>
      <c r="U557" s="250"/>
      <c r="V557" s="250"/>
      <c r="W557" s="250"/>
      <c r="X557" s="250"/>
      <c r="Y557" s="250"/>
      <c r="Z557" s="250"/>
    </row>
    <row r="558" ht="14.25" customHeight="1">
      <c r="A558" s="10" t="s">
        <v>729</v>
      </c>
      <c r="B558" s="70" t="s">
        <v>362</v>
      </c>
      <c r="C558" s="6">
        <v>2.0</v>
      </c>
      <c r="D558" s="6">
        <v>154.0</v>
      </c>
      <c r="E558" s="70" t="s">
        <v>119</v>
      </c>
      <c r="F558" s="95">
        <v>46067.0</v>
      </c>
      <c r="G558" s="77">
        <f t="shared" si="16"/>
        <v>308</v>
      </c>
      <c r="H558" s="77"/>
      <c r="I558" s="250"/>
      <c r="J558" s="250"/>
      <c r="L558" s="1"/>
      <c r="P558" s="250"/>
      <c r="Q558" s="250"/>
      <c r="R558" s="250"/>
      <c r="S558" s="250"/>
      <c r="T558" s="250"/>
      <c r="U558" s="250"/>
      <c r="V558" s="250"/>
      <c r="W558" s="250"/>
      <c r="X558" s="250"/>
      <c r="Y558" s="250"/>
      <c r="Z558" s="250"/>
    </row>
    <row r="559" ht="14.25" customHeight="1">
      <c r="A559" s="10" t="s">
        <v>1126</v>
      </c>
      <c r="B559" s="70" t="s">
        <v>362</v>
      </c>
      <c r="C559" s="6">
        <v>1.0</v>
      </c>
      <c r="D559" s="6">
        <v>95.0</v>
      </c>
      <c r="E559" s="70" t="s">
        <v>119</v>
      </c>
      <c r="F559" s="95">
        <v>46067.0</v>
      </c>
      <c r="G559" s="77">
        <f t="shared" si="16"/>
        <v>95</v>
      </c>
      <c r="H559" s="77"/>
      <c r="I559" s="250"/>
      <c r="J559" s="250"/>
      <c r="L559" s="1"/>
      <c r="P559" s="250"/>
      <c r="Q559" s="250"/>
      <c r="R559" s="250"/>
      <c r="S559" s="250"/>
      <c r="T559" s="250"/>
      <c r="U559" s="250"/>
      <c r="V559" s="250"/>
      <c r="W559" s="250"/>
      <c r="X559" s="250"/>
      <c r="Y559" s="250"/>
      <c r="Z559" s="250"/>
    </row>
    <row r="560" ht="14.25" customHeight="1">
      <c r="A560" s="10" t="s">
        <v>666</v>
      </c>
      <c r="B560" s="70" t="s">
        <v>362</v>
      </c>
      <c r="C560" s="6">
        <v>1.0</v>
      </c>
      <c r="D560" s="6">
        <v>165.0</v>
      </c>
      <c r="E560" s="70" t="s">
        <v>119</v>
      </c>
      <c r="F560" s="95">
        <v>46067.0</v>
      </c>
      <c r="G560" s="77">
        <f t="shared" si="16"/>
        <v>165</v>
      </c>
      <c r="H560" s="77"/>
      <c r="I560" s="250"/>
      <c r="J560" s="250"/>
      <c r="L560" s="1"/>
      <c r="P560" s="250"/>
      <c r="Q560" s="250"/>
      <c r="R560" s="250"/>
      <c r="S560" s="250"/>
      <c r="T560" s="250"/>
      <c r="U560" s="250"/>
      <c r="V560" s="250"/>
      <c r="W560" s="250"/>
      <c r="X560" s="250"/>
      <c r="Y560" s="250"/>
      <c r="Z560" s="250"/>
    </row>
    <row r="561" ht="14.25" customHeight="1">
      <c r="A561" s="10" t="s">
        <v>360</v>
      </c>
      <c r="B561" s="70" t="s">
        <v>362</v>
      </c>
      <c r="C561" s="6">
        <v>1.0</v>
      </c>
      <c r="D561" s="6">
        <v>245.0</v>
      </c>
      <c r="E561" s="70" t="s">
        <v>119</v>
      </c>
      <c r="F561" s="95">
        <v>46067.0</v>
      </c>
      <c r="G561" s="77">
        <f t="shared" si="16"/>
        <v>245</v>
      </c>
      <c r="H561" s="77"/>
      <c r="I561" s="250"/>
      <c r="J561" s="250"/>
      <c r="L561" s="1"/>
      <c r="P561" s="250"/>
      <c r="Q561" s="250"/>
      <c r="R561" s="250"/>
      <c r="S561" s="250"/>
      <c r="T561" s="250"/>
      <c r="U561" s="250"/>
      <c r="V561" s="250"/>
      <c r="W561" s="250"/>
      <c r="X561" s="250"/>
      <c r="Y561" s="250"/>
      <c r="Z561" s="250"/>
    </row>
    <row r="562" ht="14.25" customHeight="1">
      <c r="A562" s="10" t="s">
        <v>627</v>
      </c>
      <c r="B562" s="70" t="s">
        <v>362</v>
      </c>
      <c r="C562" s="6">
        <v>1.0</v>
      </c>
      <c r="D562" s="6">
        <f>167.5</f>
        <v>167.5</v>
      </c>
      <c r="E562" s="70" t="s">
        <v>119</v>
      </c>
      <c r="F562" s="95">
        <v>46067.0</v>
      </c>
      <c r="G562" s="77">
        <f t="shared" si="16"/>
        <v>167.5</v>
      </c>
      <c r="H562" s="77"/>
      <c r="I562" s="250"/>
      <c r="J562" s="250"/>
      <c r="L562" s="1"/>
      <c r="P562" s="250"/>
      <c r="Q562" s="250"/>
      <c r="R562" s="250"/>
      <c r="S562" s="250"/>
      <c r="T562" s="250"/>
      <c r="U562" s="250"/>
      <c r="V562" s="250"/>
      <c r="W562" s="250"/>
      <c r="X562" s="250"/>
      <c r="Y562" s="250"/>
      <c r="Z562" s="250"/>
    </row>
    <row r="563" ht="14.25" customHeight="1">
      <c r="A563" s="10" t="s">
        <v>820</v>
      </c>
      <c r="B563" s="70" t="s">
        <v>110</v>
      </c>
      <c r="C563" s="6">
        <v>1.0</v>
      </c>
      <c r="D563" s="6">
        <v>126.0</v>
      </c>
      <c r="E563" s="70" t="s">
        <v>119</v>
      </c>
      <c r="F563" s="95">
        <v>46067.0</v>
      </c>
      <c r="G563" s="77">
        <f t="shared" si="16"/>
        <v>126</v>
      </c>
      <c r="H563" s="77"/>
      <c r="I563" s="250"/>
      <c r="J563" s="250"/>
      <c r="L563" s="1"/>
      <c r="P563" s="250"/>
      <c r="Q563" s="250"/>
      <c r="R563" s="250"/>
      <c r="S563" s="250"/>
      <c r="T563" s="250"/>
      <c r="U563" s="250"/>
      <c r="V563" s="250"/>
      <c r="W563" s="250"/>
      <c r="X563" s="250"/>
      <c r="Y563" s="250"/>
      <c r="Z563" s="250"/>
    </row>
    <row r="564" ht="14.25" customHeight="1">
      <c r="A564" s="10" t="s">
        <v>888</v>
      </c>
      <c r="B564" s="70" t="s">
        <v>110</v>
      </c>
      <c r="C564" s="6">
        <v>2.0</v>
      </c>
      <c r="D564" s="6">
        <v>129.0</v>
      </c>
      <c r="E564" s="70" t="s">
        <v>119</v>
      </c>
      <c r="F564" s="95">
        <v>46067.0</v>
      </c>
      <c r="G564" s="77">
        <f t="shared" si="16"/>
        <v>258</v>
      </c>
      <c r="H564" s="77"/>
      <c r="I564" s="250"/>
      <c r="J564" s="250"/>
      <c r="L564" s="1"/>
      <c r="P564" s="250"/>
      <c r="Q564" s="250"/>
      <c r="R564" s="250"/>
      <c r="S564" s="250"/>
      <c r="T564" s="250"/>
      <c r="U564" s="250"/>
      <c r="V564" s="250"/>
      <c r="W564" s="250"/>
      <c r="X564" s="250"/>
      <c r="Y564" s="250"/>
      <c r="Z564" s="250"/>
    </row>
    <row r="565" ht="14.25" customHeight="1">
      <c r="A565" s="10" t="s">
        <v>813</v>
      </c>
      <c r="B565" s="70" t="s">
        <v>110</v>
      </c>
      <c r="C565" s="6">
        <v>2.0</v>
      </c>
      <c r="D565" s="6">
        <v>141.0</v>
      </c>
      <c r="E565" s="70" t="s">
        <v>119</v>
      </c>
      <c r="F565" s="95">
        <v>46067.0</v>
      </c>
      <c r="G565" s="77">
        <f t="shared" si="16"/>
        <v>282</v>
      </c>
      <c r="H565" s="77"/>
      <c r="I565" s="250"/>
      <c r="J565" s="250"/>
      <c r="L565" s="1"/>
      <c r="P565" s="250"/>
      <c r="Q565" s="250"/>
      <c r="R565" s="250"/>
      <c r="S565" s="250"/>
      <c r="T565" s="250"/>
      <c r="U565" s="250"/>
      <c r="V565" s="250"/>
      <c r="W565" s="250"/>
      <c r="X565" s="250"/>
      <c r="Y565" s="250"/>
      <c r="Z565" s="250"/>
    </row>
    <row r="566" ht="14.25" customHeight="1">
      <c r="A566" s="10" t="s">
        <v>816</v>
      </c>
      <c r="B566" s="70" t="s">
        <v>110</v>
      </c>
      <c r="C566" s="6">
        <v>2.0</v>
      </c>
      <c r="D566" s="6">
        <v>141.0</v>
      </c>
      <c r="E566" s="70" t="s">
        <v>119</v>
      </c>
      <c r="F566" s="95">
        <v>46067.0</v>
      </c>
      <c r="G566" s="77">
        <f t="shared" si="16"/>
        <v>282</v>
      </c>
      <c r="H566" s="77"/>
      <c r="I566" s="250"/>
      <c r="J566" s="250"/>
      <c r="L566" s="1"/>
      <c r="P566" s="250"/>
      <c r="Q566" s="250"/>
      <c r="R566" s="250"/>
      <c r="S566" s="250"/>
      <c r="T566" s="250"/>
      <c r="U566" s="250"/>
      <c r="V566" s="250"/>
      <c r="W566" s="250"/>
      <c r="X566" s="250"/>
      <c r="Y566" s="250"/>
      <c r="Z566" s="250"/>
    </row>
    <row r="567" ht="14.25" customHeight="1">
      <c r="A567" s="10" t="s">
        <v>1179</v>
      </c>
      <c r="B567" s="70" t="s">
        <v>1180</v>
      </c>
      <c r="C567" s="6">
        <v>2.0</v>
      </c>
      <c r="D567" s="6">
        <v>46.0</v>
      </c>
      <c r="E567" s="70" t="s">
        <v>119</v>
      </c>
      <c r="F567" s="95">
        <v>46067.0</v>
      </c>
      <c r="G567" s="77">
        <f t="shared" si="16"/>
        <v>92</v>
      </c>
      <c r="H567" s="77"/>
      <c r="I567" s="250"/>
      <c r="J567" s="250"/>
      <c r="L567" s="1"/>
      <c r="P567" s="250"/>
      <c r="Q567" s="250"/>
      <c r="R567" s="250"/>
      <c r="S567" s="250"/>
      <c r="T567" s="250"/>
      <c r="U567" s="250"/>
      <c r="V567" s="250"/>
      <c r="W567" s="250"/>
      <c r="X567" s="250"/>
      <c r="Y567" s="250"/>
      <c r="Z567" s="250"/>
    </row>
    <row r="568" ht="14.25" customHeight="1">
      <c r="A568" s="10" t="s">
        <v>653</v>
      </c>
      <c r="B568" s="70" t="s">
        <v>327</v>
      </c>
      <c r="C568" s="6">
        <v>3.0</v>
      </c>
      <c r="D568" s="6">
        <f>165.5</f>
        <v>165.5</v>
      </c>
      <c r="E568" s="70" t="s">
        <v>119</v>
      </c>
      <c r="F568" s="95">
        <v>46067.0</v>
      </c>
      <c r="G568" s="77">
        <f t="shared" si="16"/>
        <v>496.5</v>
      </c>
      <c r="H568" s="77"/>
      <c r="I568" s="250"/>
      <c r="J568" s="250"/>
      <c r="L568" s="1"/>
      <c r="P568" s="250"/>
      <c r="Q568" s="250"/>
      <c r="R568" s="250"/>
      <c r="S568" s="250"/>
      <c r="T568" s="250"/>
      <c r="U568" s="250"/>
      <c r="V568" s="250"/>
      <c r="W568" s="250"/>
      <c r="X568" s="250"/>
      <c r="Y568" s="250"/>
      <c r="Z568" s="250"/>
    </row>
    <row r="569" ht="14.25" customHeight="1">
      <c r="A569" s="10" t="s">
        <v>1183</v>
      </c>
      <c r="B569" s="70" t="s">
        <v>1180</v>
      </c>
      <c r="C569" s="6">
        <v>2.0</v>
      </c>
      <c r="D569" s="6">
        <v>22.0</v>
      </c>
      <c r="E569" s="70" t="s">
        <v>119</v>
      </c>
      <c r="F569" s="95">
        <v>46067.0</v>
      </c>
      <c r="G569" s="77">
        <f t="shared" si="16"/>
        <v>44</v>
      </c>
      <c r="H569" s="77"/>
      <c r="I569" s="250"/>
      <c r="J569" s="250"/>
      <c r="L569" s="1"/>
      <c r="P569" s="250"/>
      <c r="Q569" s="250"/>
      <c r="R569" s="250"/>
      <c r="S569" s="250"/>
      <c r="T569" s="250"/>
      <c r="U569" s="250"/>
      <c r="V569" s="250"/>
      <c r="W569" s="250"/>
      <c r="X569" s="250"/>
      <c r="Y569" s="250"/>
      <c r="Z569" s="250"/>
    </row>
    <row r="570" ht="14.25" customHeight="1">
      <c r="A570" s="10" t="s">
        <v>942</v>
      </c>
      <c r="B570" s="70" t="s">
        <v>110</v>
      </c>
      <c r="C570" s="6">
        <v>2.0</v>
      </c>
      <c r="D570" s="6">
        <v>126.0</v>
      </c>
      <c r="E570" s="70" t="s">
        <v>119</v>
      </c>
      <c r="F570" s="95">
        <v>46067.0</v>
      </c>
      <c r="G570" s="77">
        <f t="shared" si="16"/>
        <v>252</v>
      </c>
      <c r="H570" s="77"/>
      <c r="I570" s="250"/>
      <c r="J570" s="250"/>
      <c r="L570" s="1"/>
      <c r="P570" s="250"/>
      <c r="Q570" s="250"/>
      <c r="R570" s="250"/>
      <c r="S570" s="250"/>
      <c r="T570" s="250"/>
      <c r="U570" s="250"/>
      <c r="V570" s="250"/>
      <c r="W570" s="250"/>
      <c r="X570" s="250"/>
      <c r="Y570" s="250"/>
      <c r="Z570" s="250"/>
    </row>
    <row r="571" ht="14.25" customHeight="1">
      <c r="A571" s="10" t="s">
        <v>300</v>
      </c>
      <c r="B571" s="70" t="s">
        <v>110</v>
      </c>
      <c r="C571" s="6">
        <v>1.0</v>
      </c>
      <c r="D571" s="6">
        <v>288.0</v>
      </c>
      <c r="E571" s="70" t="s">
        <v>119</v>
      </c>
      <c r="F571" s="95">
        <v>46067.0</v>
      </c>
      <c r="G571" s="77">
        <f t="shared" si="16"/>
        <v>288</v>
      </c>
      <c r="H571" s="77"/>
      <c r="I571" s="250"/>
      <c r="J571" s="250"/>
      <c r="L571" s="1"/>
      <c r="P571" s="250"/>
      <c r="Q571" s="250"/>
      <c r="R571" s="250"/>
      <c r="S571" s="250"/>
      <c r="T571" s="250"/>
      <c r="U571" s="250"/>
      <c r="V571" s="250"/>
      <c r="W571" s="250"/>
      <c r="X571" s="250"/>
      <c r="Y571" s="250"/>
      <c r="Z571" s="250"/>
    </row>
    <row r="572" ht="14.25" customHeight="1">
      <c r="A572" s="10" t="s">
        <v>711</v>
      </c>
      <c r="B572" s="70" t="s">
        <v>224</v>
      </c>
      <c r="C572" s="6">
        <v>1.0</v>
      </c>
      <c r="D572" s="6">
        <v>155.0</v>
      </c>
      <c r="E572" s="70" t="s">
        <v>119</v>
      </c>
      <c r="F572" s="95">
        <v>46067.0</v>
      </c>
      <c r="G572" s="77">
        <f t="shared" si="16"/>
        <v>155</v>
      </c>
      <c r="H572" s="77"/>
      <c r="I572" s="250"/>
      <c r="J572" s="250"/>
      <c r="L572" s="1"/>
      <c r="P572" s="250"/>
      <c r="Q572" s="250"/>
      <c r="R572" s="250"/>
      <c r="S572" s="250"/>
      <c r="T572" s="250"/>
      <c r="U572" s="250"/>
      <c r="V572" s="250"/>
      <c r="W572" s="250"/>
      <c r="X572" s="250"/>
      <c r="Y572" s="250"/>
      <c r="Z572" s="250"/>
    </row>
    <row r="573" ht="14.25" customHeight="1">
      <c r="A573" s="10" t="s">
        <v>965</v>
      </c>
      <c r="B573" s="70" t="s">
        <v>224</v>
      </c>
      <c r="C573" s="6">
        <v>3.0</v>
      </c>
      <c r="D573" s="6">
        <v>125.0</v>
      </c>
      <c r="E573" s="70" t="s">
        <v>119</v>
      </c>
      <c r="F573" s="95">
        <v>46067.0</v>
      </c>
      <c r="G573" s="77">
        <f t="shared" si="16"/>
        <v>375</v>
      </c>
      <c r="H573" s="77"/>
      <c r="I573" s="250"/>
      <c r="J573" s="250"/>
      <c r="L573" s="1"/>
      <c r="P573" s="250"/>
      <c r="Q573" s="250"/>
      <c r="R573" s="250"/>
      <c r="S573" s="250"/>
      <c r="T573" s="250"/>
      <c r="U573" s="250"/>
      <c r="V573" s="250"/>
      <c r="W573" s="250"/>
      <c r="X573" s="250"/>
      <c r="Y573" s="250"/>
      <c r="Z573" s="250"/>
    </row>
    <row r="574" ht="14.25" customHeight="1">
      <c r="A574" s="10" t="s">
        <v>1189</v>
      </c>
      <c r="B574" s="70" t="s">
        <v>994</v>
      </c>
      <c r="C574" s="6">
        <v>12.0</v>
      </c>
      <c r="D574" s="6">
        <f>150/12</f>
        <v>12.5</v>
      </c>
      <c r="E574" s="70" t="s">
        <v>119</v>
      </c>
      <c r="F574" s="95">
        <v>46067.0</v>
      </c>
      <c r="G574" s="77">
        <f t="shared" si="16"/>
        <v>150</v>
      </c>
      <c r="H574" s="77"/>
      <c r="I574" s="250"/>
      <c r="J574" s="250"/>
      <c r="L574" s="1"/>
      <c r="P574" s="250"/>
      <c r="Q574" s="250"/>
      <c r="R574" s="250"/>
      <c r="S574" s="250"/>
      <c r="T574" s="250"/>
      <c r="U574" s="250"/>
      <c r="V574" s="250"/>
      <c r="W574" s="250"/>
      <c r="X574" s="250"/>
      <c r="Y574" s="250"/>
      <c r="Z574" s="250"/>
    </row>
    <row r="575" ht="14.25" customHeight="1">
      <c r="A575" s="10" t="s">
        <v>856</v>
      </c>
      <c r="B575" s="70" t="s">
        <v>224</v>
      </c>
      <c r="C575" s="6">
        <v>24.0</v>
      </c>
      <c r="D575" s="6">
        <f>110/24</f>
        <v>4.583333333</v>
      </c>
      <c r="E575" s="70" t="s">
        <v>119</v>
      </c>
      <c r="F575" s="95">
        <v>46067.0</v>
      </c>
      <c r="G575" s="77">
        <f t="shared" si="16"/>
        <v>110</v>
      </c>
      <c r="H575" s="77"/>
      <c r="I575" s="250"/>
      <c r="J575" s="250"/>
      <c r="L575" s="1"/>
      <c r="P575" s="250"/>
      <c r="Q575" s="250"/>
      <c r="R575" s="250"/>
      <c r="S575" s="250"/>
      <c r="T575" s="250"/>
      <c r="U575" s="250"/>
      <c r="V575" s="250"/>
      <c r="W575" s="250"/>
      <c r="X575" s="250"/>
      <c r="Y575" s="250"/>
      <c r="Z575" s="250"/>
    </row>
    <row r="576" ht="14.25" customHeight="1">
      <c r="A576" s="10" t="s">
        <v>331</v>
      </c>
      <c r="B576" s="70" t="s">
        <v>224</v>
      </c>
      <c r="C576" s="6">
        <v>5.0</v>
      </c>
      <c r="D576" s="6">
        <v>255.0</v>
      </c>
      <c r="E576" s="70" t="s">
        <v>119</v>
      </c>
      <c r="F576" s="95">
        <v>46067.0</v>
      </c>
      <c r="G576" s="77">
        <f t="shared" si="16"/>
        <v>1275</v>
      </c>
      <c r="H576" s="77"/>
      <c r="I576" s="250"/>
      <c r="J576" s="250"/>
      <c r="L576" s="1"/>
      <c r="P576" s="250"/>
      <c r="Q576" s="250"/>
      <c r="R576" s="250"/>
      <c r="S576" s="250"/>
      <c r="T576" s="250"/>
      <c r="U576" s="250"/>
      <c r="V576" s="250"/>
      <c r="W576" s="250"/>
      <c r="X576" s="250"/>
      <c r="Y576" s="250"/>
      <c r="Z576" s="250"/>
    </row>
    <row r="577" ht="14.25" customHeight="1">
      <c r="A577" s="10" t="s">
        <v>349</v>
      </c>
      <c r="B577" s="70" t="s">
        <v>224</v>
      </c>
      <c r="C577" s="6">
        <v>3.0</v>
      </c>
      <c r="D577" s="6">
        <v>250.0</v>
      </c>
      <c r="E577" s="70" t="s">
        <v>119</v>
      </c>
      <c r="F577" s="95">
        <v>46067.0</v>
      </c>
      <c r="G577" s="77">
        <f t="shared" si="16"/>
        <v>750</v>
      </c>
      <c r="H577" s="77"/>
      <c r="I577" s="250"/>
      <c r="J577" s="250"/>
      <c r="L577" s="1"/>
      <c r="P577" s="250"/>
      <c r="Q577" s="250"/>
      <c r="R577" s="250"/>
      <c r="S577" s="250"/>
      <c r="T577" s="250"/>
      <c r="U577" s="250"/>
      <c r="V577" s="250"/>
      <c r="W577" s="250"/>
      <c r="X577" s="250"/>
      <c r="Y577" s="250"/>
      <c r="Z577" s="250"/>
    </row>
    <row r="578" ht="14.25" customHeight="1">
      <c r="A578" s="10" t="s">
        <v>367</v>
      </c>
      <c r="B578" s="70" t="s">
        <v>224</v>
      </c>
      <c r="C578" s="6">
        <v>5.0</v>
      </c>
      <c r="D578" s="6">
        <v>242.0</v>
      </c>
      <c r="E578" s="70" t="s">
        <v>119</v>
      </c>
      <c r="F578" s="95">
        <v>46067.0</v>
      </c>
      <c r="G578" s="77">
        <f t="shared" si="16"/>
        <v>1210</v>
      </c>
      <c r="H578" s="77"/>
      <c r="I578" s="250"/>
      <c r="J578" s="250"/>
      <c r="L578" s="1"/>
      <c r="P578" s="250"/>
      <c r="Q578" s="250"/>
      <c r="R578" s="250"/>
      <c r="S578" s="250"/>
      <c r="T578" s="250"/>
      <c r="U578" s="250"/>
      <c r="V578" s="250"/>
      <c r="W578" s="250"/>
      <c r="X578" s="250"/>
      <c r="Y578" s="250"/>
      <c r="Z578" s="250"/>
    </row>
    <row r="579" ht="14.25" customHeight="1">
      <c r="A579" s="10" t="s">
        <v>845</v>
      </c>
      <c r="B579" s="70" t="s">
        <v>224</v>
      </c>
      <c r="C579" s="6">
        <v>3.0</v>
      </c>
      <c r="D579" s="6">
        <v>115.0</v>
      </c>
      <c r="E579" s="70" t="s">
        <v>119</v>
      </c>
      <c r="F579" s="95">
        <v>46067.0</v>
      </c>
      <c r="G579" s="77">
        <f t="shared" si="16"/>
        <v>345</v>
      </c>
      <c r="H579" s="77"/>
      <c r="I579" s="250"/>
      <c r="J579" s="250"/>
      <c r="L579" s="1"/>
      <c r="P579" s="250"/>
      <c r="Q579" s="250"/>
      <c r="R579" s="250"/>
      <c r="S579" s="250"/>
      <c r="T579" s="250"/>
      <c r="U579" s="250"/>
      <c r="V579" s="250"/>
      <c r="W579" s="250"/>
      <c r="X579" s="250"/>
      <c r="Y579" s="250"/>
      <c r="Z579" s="250"/>
    </row>
    <row r="580" ht="14.25" customHeight="1">
      <c r="A580" s="10" t="s">
        <v>631</v>
      </c>
      <c r="B580" s="70" t="s">
        <v>224</v>
      </c>
      <c r="C580" s="6">
        <v>2.0</v>
      </c>
      <c r="D580" s="6">
        <v>167.0</v>
      </c>
      <c r="E580" s="70" t="s">
        <v>119</v>
      </c>
      <c r="F580" s="95">
        <v>46067.0</v>
      </c>
      <c r="G580" s="77">
        <f t="shared" si="16"/>
        <v>334</v>
      </c>
      <c r="H580" s="77"/>
      <c r="I580" s="250"/>
      <c r="J580" s="250"/>
      <c r="L580" s="1"/>
      <c r="P580" s="250"/>
      <c r="Q580" s="250"/>
      <c r="R580" s="250"/>
      <c r="S580" s="250"/>
      <c r="T580" s="250"/>
      <c r="U580" s="250"/>
      <c r="V580" s="250"/>
      <c r="W580" s="250"/>
      <c r="X580" s="250"/>
      <c r="Y580" s="250"/>
      <c r="Z580" s="250"/>
    </row>
    <row r="581" ht="14.25" customHeight="1">
      <c r="A581" s="10" t="s">
        <v>528</v>
      </c>
      <c r="B581" s="70" t="s">
        <v>110</v>
      </c>
      <c r="C581" s="6">
        <v>2.0</v>
      </c>
      <c r="D581" s="6">
        <v>180.0</v>
      </c>
      <c r="E581" s="70" t="s">
        <v>119</v>
      </c>
      <c r="F581" s="95">
        <v>46067.0</v>
      </c>
      <c r="G581" s="77">
        <f t="shared" si="16"/>
        <v>360</v>
      </c>
      <c r="H581" s="77"/>
      <c r="I581" s="250"/>
      <c r="J581" s="250"/>
      <c r="L581" s="1"/>
      <c r="P581" s="250"/>
      <c r="Q581" s="250"/>
      <c r="R581" s="250"/>
      <c r="S581" s="250"/>
      <c r="T581" s="250"/>
      <c r="U581" s="250"/>
      <c r="V581" s="250"/>
      <c r="W581" s="250"/>
      <c r="X581" s="250"/>
      <c r="Y581" s="250"/>
      <c r="Z581" s="250"/>
    </row>
    <row r="582" ht="14.25" customHeight="1">
      <c r="A582" s="10" t="s">
        <v>1055</v>
      </c>
      <c r="B582" s="70" t="s">
        <v>1201</v>
      </c>
      <c r="C582" s="6">
        <v>40.0</v>
      </c>
      <c r="D582" s="6">
        <f>220/20</f>
        <v>11</v>
      </c>
      <c r="E582" s="70" t="s">
        <v>119</v>
      </c>
      <c r="F582" s="95">
        <v>46067.0</v>
      </c>
      <c r="G582" s="77">
        <f t="shared" si="16"/>
        <v>440</v>
      </c>
      <c r="H582" s="77"/>
      <c r="I582" s="250"/>
      <c r="J582" s="250"/>
      <c r="L582" s="1"/>
      <c r="P582" s="250"/>
      <c r="Q582" s="250"/>
      <c r="R582" s="250"/>
      <c r="S582" s="250"/>
      <c r="T582" s="250"/>
      <c r="U582" s="250"/>
      <c r="V582" s="250"/>
      <c r="W582" s="250"/>
      <c r="X582" s="250"/>
      <c r="Y582" s="250"/>
      <c r="Z582" s="250"/>
    </row>
    <row r="583" ht="14.25" customHeight="1">
      <c r="A583" s="10" t="s">
        <v>893</v>
      </c>
      <c r="B583" s="70" t="s">
        <v>224</v>
      </c>
      <c r="C583" s="6">
        <v>2.0</v>
      </c>
      <c r="D583" s="6">
        <v>135.0</v>
      </c>
      <c r="E583" s="70" t="s">
        <v>119</v>
      </c>
      <c r="F583" s="95">
        <v>46067.0</v>
      </c>
      <c r="G583" s="77">
        <f t="shared" si="16"/>
        <v>270</v>
      </c>
      <c r="H583" s="77"/>
      <c r="I583" s="250"/>
      <c r="J583" s="250"/>
      <c r="L583" s="1"/>
      <c r="P583" s="250"/>
      <c r="Q583" s="250"/>
      <c r="R583" s="250"/>
      <c r="S583" s="250"/>
      <c r="T583" s="250"/>
      <c r="U583" s="250"/>
      <c r="V583" s="250"/>
      <c r="W583" s="250"/>
      <c r="X583" s="250"/>
      <c r="Y583" s="250"/>
      <c r="Z583" s="250"/>
    </row>
    <row r="584" ht="14.25" customHeight="1">
      <c r="A584" s="10" t="s">
        <v>604</v>
      </c>
      <c r="B584" s="70" t="s">
        <v>224</v>
      </c>
      <c r="C584" s="6">
        <v>2.0</v>
      </c>
      <c r="D584" s="6">
        <v>171.0</v>
      </c>
      <c r="E584" s="70" t="s">
        <v>119</v>
      </c>
      <c r="F584" s="95">
        <v>46067.0</v>
      </c>
      <c r="G584" s="77">
        <f t="shared" si="16"/>
        <v>342</v>
      </c>
      <c r="H584" s="77"/>
      <c r="I584" s="250"/>
      <c r="J584" s="250"/>
      <c r="L584" s="1"/>
      <c r="P584" s="250"/>
      <c r="Q584" s="250"/>
      <c r="R584" s="250"/>
      <c r="S584" s="250"/>
      <c r="T584" s="250"/>
      <c r="U584" s="250"/>
      <c r="V584" s="250"/>
      <c r="W584" s="250"/>
      <c r="X584" s="250"/>
      <c r="Y584" s="250"/>
      <c r="Z584" s="250"/>
    </row>
    <row r="585" ht="14.25" customHeight="1">
      <c r="A585" s="10" t="s">
        <v>828</v>
      </c>
      <c r="B585" s="70" t="s">
        <v>224</v>
      </c>
      <c r="C585" s="6">
        <v>1.0</v>
      </c>
      <c r="D585" s="6">
        <v>130.0</v>
      </c>
      <c r="E585" s="70" t="s">
        <v>119</v>
      </c>
      <c r="F585" s="95">
        <v>46067.0</v>
      </c>
      <c r="G585" s="77">
        <f t="shared" si="16"/>
        <v>130</v>
      </c>
      <c r="H585" s="77"/>
      <c r="I585" s="250"/>
      <c r="J585" s="250"/>
      <c r="L585" s="1"/>
      <c r="P585" s="250"/>
      <c r="Q585" s="250"/>
      <c r="R585" s="250"/>
      <c r="S585" s="250"/>
      <c r="T585" s="250"/>
      <c r="U585" s="250"/>
      <c r="V585" s="250"/>
      <c r="W585" s="250"/>
      <c r="X585" s="250"/>
      <c r="Y585" s="250"/>
      <c r="Z585" s="250"/>
    </row>
    <row r="586" ht="14.25" customHeight="1">
      <c r="A586" s="250"/>
      <c r="B586" s="250"/>
      <c r="C586" s="250"/>
      <c r="D586" s="254"/>
      <c r="E586" s="250"/>
      <c r="F586" s="250"/>
      <c r="G586" s="250"/>
      <c r="H586" s="250"/>
      <c r="I586" s="250"/>
      <c r="J586" s="250"/>
      <c r="K586" s="250"/>
      <c r="L586" s="250"/>
      <c r="M586" s="250"/>
      <c r="N586" s="250"/>
      <c r="O586" s="250"/>
      <c r="P586" s="250"/>
      <c r="Q586" s="250"/>
      <c r="R586" s="250"/>
      <c r="S586" s="250"/>
      <c r="T586" s="250"/>
      <c r="U586" s="250"/>
      <c r="V586" s="250"/>
      <c r="W586" s="250"/>
      <c r="X586" s="250"/>
      <c r="Y586" s="250"/>
      <c r="Z586" s="250"/>
    </row>
    <row r="587" ht="14.25" customHeight="1">
      <c r="A587" s="312"/>
      <c r="B587" s="312"/>
      <c r="C587" s="312"/>
      <c r="D587" s="313"/>
      <c r="E587" s="312"/>
      <c r="F587" s="312"/>
      <c r="G587" s="312"/>
      <c r="H587" s="314"/>
      <c r="I587" s="250"/>
      <c r="J587" s="250"/>
      <c r="K587" s="250"/>
      <c r="L587" s="250"/>
      <c r="M587" s="250"/>
      <c r="N587" s="250"/>
      <c r="O587" s="250"/>
      <c r="P587" s="250"/>
      <c r="Q587" s="250"/>
      <c r="R587" s="250"/>
      <c r="S587" s="250"/>
      <c r="T587" s="250"/>
      <c r="U587" s="250"/>
      <c r="V587" s="250"/>
      <c r="W587" s="250"/>
      <c r="X587" s="250"/>
      <c r="Y587" s="250"/>
      <c r="Z587" s="250"/>
    </row>
    <row r="588" ht="14.25" customHeight="1">
      <c r="A588" s="312"/>
      <c r="B588" s="312"/>
      <c r="C588" s="312"/>
      <c r="D588" s="313"/>
      <c r="E588" s="312"/>
      <c r="F588" s="312"/>
      <c r="G588" s="312"/>
      <c r="H588" s="314"/>
      <c r="I588" s="250"/>
      <c r="J588" s="250"/>
      <c r="K588" s="250"/>
      <c r="L588" s="250"/>
      <c r="M588" s="250"/>
      <c r="N588" s="250"/>
      <c r="O588" s="250"/>
      <c r="P588" s="250"/>
      <c r="Q588" s="250"/>
      <c r="R588" s="250"/>
      <c r="S588" s="250"/>
      <c r="T588" s="250"/>
      <c r="U588" s="250"/>
      <c r="V588" s="250"/>
      <c r="W588" s="250"/>
      <c r="X588" s="250"/>
      <c r="Y588" s="250"/>
      <c r="Z588" s="250"/>
    </row>
    <row r="589" ht="14.25" customHeight="1">
      <c r="A589" s="312"/>
      <c r="B589" s="312"/>
      <c r="C589" s="312"/>
      <c r="D589" s="313"/>
      <c r="E589" s="312"/>
      <c r="F589" s="312"/>
      <c r="G589" s="312"/>
      <c r="H589" s="314"/>
      <c r="I589" s="250"/>
      <c r="J589" s="250"/>
      <c r="K589" s="250"/>
      <c r="L589" s="250"/>
      <c r="M589" s="250"/>
      <c r="N589" s="250"/>
      <c r="O589" s="250"/>
      <c r="P589" s="250"/>
      <c r="Q589" s="250"/>
      <c r="R589" s="250"/>
      <c r="S589" s="250"/>
      <c r="T589" s="250"/>
      <c r="U589" s="250"/>
      <c r="V589" s="250"/>
      <c r="W589" s="250"/>
      <c r="X589" s="250"/>
      <c r="Y589" s="250"/>
      <c r="Z589" s="250"/>
    </row>
    <row r="590" ht="14.25" customHeight="1">
      <c r="A590" s="312"/>
      <c r="B590" s="312"/>
      <c r="C590" s="312"/>
      <c r="D590" s="313"/>
      <c r="E590" s="312"/>
      <c r="F590" s="312"/>
      <c r="G590" s="312"/>
      <c r="H590" s="314"/>
      <c r="I590" s="250"/>
      <c r="J590" s="250"/>
      <c r="K590" s="250"/>
      <c r="L590" s="250"/>
      <c r="M590" s="250"/>
      <c r="N590" s="250"/>
      <c r="O590" s="250"/>
      <c r="P590" s="250"/>
      <c r="Q590" s="250"/>
      <c r="R590" s="250"/>
      <c r="S590" s="250"/>
      <c r="T590" s="250"/>
      <c r="U590" s="250"/>
      <c r="V590" s="250"/>
      <c r="W590" s="250"/>
      <c r="X590" s="250"/>
      <c r="Y590" s="250"/>
      <c r="Z590" s="250"/>
    </row>
    <row r="591" ht="14.25" customHeight="1">
      <c r="A591" s="312"/>
      <c r="B591" s="312"/>
      <c r="C591" s="312"/>
      <c r="D591" s="313"/>
      <c r="E591" s="312"/>
      <c r="F591" s="312"/>
      <c r="G591" s="312"/>
      <c r="H591" s="314"/>
      <c r="I591" s="250"/>
      <c r="J591" s="250"/>
      <c r="K591" s="250"/>
      <c r="L591" s="250"/>
      <c r="M591" s="250"/>
      <c r="N591" s="250"/>
      <c r="O591" s="250"/>
      <c r="P591" s="250"/>
      <c r="Q591" s="250"/>
      <c r="R591" s="250"/>
      <c r="S591" s="250"/>
      <c r="T591" s="250"/>
      <c r="U591" s="250"/>
      <c r="V591" s="250"/>
      <c r="W591" s="250"/>
      <c r="X591" s="250"/>
      <c r="Y591" s="250"/>
      <c r="Z591" s="250"/>
    </row>
    <row r="592" ht="14.25" customHeight="1">
      <c r="A592" s="312"/>
      <c r="B592" s="312"/>
      <c r="C592" s="312"/>
      <c r="D592" s="313"/>
      <c r="E592" s="312"/>
      <c r="F592" s="312"/>
      <c r="G592" s="312"/>
      <c r="H592" s="314"/>
      <c r="I592" s="250"/>
      <c r="J592" s="250"/>
      <c r="K592" s="250"/>
      <c r="L592" s="250"/>
      <c r="M592" s="250"/>
      <c r="N592" s="250"/>
      <c r="O592" s="250"/>
      <c r="P592" s="250"/>
      <c r="Q592" s="250"/>
      <c r="R592" s="250"/>
      <c r="S592" s="250"/>
      <c r="T592" s="250"/>
      <c r="U592" s="250"/>
      <c r="V592" s="250"/>
      <c r="W592" s="250"/>
      <c r="X592" s="250"/>
      <c r="Y592" s="250"/>
      <c r="Z592" s="250"/>
    </row>
    <row r="593" ht="14.25" customHeight="1">
      <c r="A593" s="312"/>
      <c r="B593" s="312"/>
      <c r="C593" s="312"/>
      <c r="D593" s="313"/>
      <c r="E593" s="312"/>
      <c r="F593" s="312"/>
      <c r="G593" s="312"/>
      <c r="H593" s="314"/>
      <c r="I593" s="250"/>
      <c r="J593" s="250"/>
      <c r="K593" s="250"/>
      <c r="L593" s="250"/>
      <c r="M593" s="250"/>
      <c r="N593" s="250"/>
      <c r="O593" s="250"/>
      <c r="P593" s="250"/>
      <c r="Q593" s="250"/>
      <c r="R593" s="250"/>
      <c r="S593" s="250"/>
      <c r="T593" s="250"/>
      <c r="U593" s="250"/>
      <c r="V593" s="250"/>
      <c r="W593" s="250"/>
      <c r="X593" s="250"/>
      <c r="Y593" s="250"/>
      <c r="Z593" s="250"/>
    </row>
    <row r="594" ht="14.25" customHeight="1">
      <c r="A594" s="312"/>
      <c r="B594" s="312"/>
      <c r="C594" s="312"/>
      <c r="D594" s="313"/>
      <c r="E594" s="312"/>
      <c r="F594" s="312"/>
      <c r="G594" s="312"/>
      <c r="H594" s="314"/>
      <c r="I594" s="250"/>
      <c r="J594" s="250"/>
      <c r="K594" s="250"/>
      <c r="L594" s="250"/>
      <c r="M594" s="250"/>
      <c r="N594" s="250"/>
      <c r="O594" s="250"/>
      <c r="P594" s="250"/>
      <c r="Q594" s="250"/>
      <c r="R594" s="250"/>
      <c r="S594" s="250"/>
      <c r="T594" s="250"/>
      <c r="U594" s="250"/>
      <c r="V594" s="250"/>
      <c r="W594" s="250"/>
      <c r="X594" s="250"/>
      <c r="Y594" s="250"/>
      <c r="Z594" s="250"/>
    </row>
    <row r="595" ht="14.25" customHeight="1">
      <c r="A595" s="312"/>
      <c r="B595" s="312"/>
      <c r="C595" s="312"/>
      <c r="D595" s="313"/>
      <c r="E595" s="312"/>
      <c r="F595" s="312"/>
      <c r="G595" s="312"/>
      <c r="H595" s="314"/>
      <c r="I595" s="250"/>
      <c r="J595" s="250"/>
      <c r="K595" s="250"/>
      <c r="L595" s="250"/>
      <c r="M595" s="250"/>
      <c r="N595" s="250"/>
      <c r="O595" s="250"/>
      <c r="P595" s="250"/>
      <c r="Q595" s="250"/>
      <c r="R595" s="250"/>
      <c r="S595" s="250"/>
      <c r="T595" s="250"/>
      <c r="U595" s="250"/>
      <c r="V595" s="250"/>
      <c r="W595" s="250"/>
      <c r="X595" s="250"/>
      <c r="Y595" s="250"/>
      <c r="Z595" s="250"/>
    </row>
    <row r="596" ht="14.25" customHeight="1">
      <c r="A596" s="312"/>
      <c r="B596" s="312"/>
      <c r="C596" s="312"/>
      <c r="D596" s="313"/>
      <c r="E596" s="312"/>
      <c r="F596" s="312"/>
      <c r="G596" s="312"/>
      <c r="H596" s="314"/>
      <c r="I596" s="250"/>
      <c r="J596" s="250"/>
      <c r="K596" s="250"/>
      <c r="L596" s="250"/>
      <c r="M596" s="250"/>
      <c r="N596" s="250"/>
      <c r="O596" s="250"/>
      <c r="P596" s="250"/>
      <c r="Q596" s="250"/>
      <c r="R596" s="250"/>
      <c r="S596" s="250"/>
      <c r="T596" s="250"/>
      <c r="U596" s="250"/>
      <c r="V596" s="250"/>
      <c r="W596" s="250"/>
      <c r="X596" s="250"/>
      <c r="Y596" s="250"/>
      <c r="Z596" s="250"/>
    </row>
    <row r="597" ht="14.25" customHeight="1">
      <c r="A597" s="280" t="s">
        <v>4369</v>
      </c>
      <c r="B597" s="280" t="s">
        <v>4350</v>
      </c>
      <c r="C597" s="280" t="s">
        <v>4352</v>
      </c>
      <c r="D597" s="281" t="s">
        <v>4370</v>
      </c>
      <c r="E597" s="280" t="s">
        <v>4433</v>
      </c>
      <c r="F597" s="280" t="s">
        <v>4372</v>
      </c>
      <c r="G597" s="280" t="s">
        <v>4353</v>
      </c>
      <c r="H597" s="108" t="s">
        <v>4578</v>
      </c>
      <c r="I597" s="250"/>
      <c r="J597" s="250"/>
      <c r="K597" s="250"/>
      <c r="L597" s="250"/>
      <c r="M597" s="250"/>
      <c r="N597" s="250"/>
      <c r="O597" s="250"/>
      <c r="P597" s="250"/>
      <c r="Q597" s="250"/>
      <c r="R597" s="250"/>
      <c r="S597" s="250"/>
      <c r="T597" s="250"/>
      <c r="U597" s="250"/>
      <c r="V597" s="250"/>
      <c r="W597" s="250"/>
      <c r="X597" s="250"/>
      <c r="Y597" s="250"/>
      <c r="Z597" s="250"/>
    </row>
    <row r="598" ht="14.25" customHeight="1">
      <c r="A598" s="108" t="s">
        <v>837</v>
      </c>
      <c r="B598" s="108" t="s">
        <v>472</v>
      </c>
      <c r="C598" s="109">
        <v>10.0</v>
      </c>
      <c r="D598" s="110">
        <v>17.0</v>
      </c>
      <c r="E598" s="108" t="s">
        <v>154</v>
      </c>
      <c r="F598" s="95">
        <v>46067.0</v>
      </c>
      <c r="G598" s="280">
        <f t="shared" ref="G598:G600" si="17">C598*D598</f>
        <v>170</v>
      </c>
      <c r="H598" s="108"/>
      <c r="I598" s="250"/>
      <c r="J598" s="250"/>
      <c r="K598" s="250"/>
      <c r="L598" s="250"/>
      <c r="M598" s="250"/>
      <c r="N598" s="250"/>
      <c r="O598" s="250"/>
      <c r="P598" s="250"/>
      <c r="Q598" s="250"/>
      <c r="R598" s="250"/>
      <c r="S598" s="250"/>
      <c r="T598" s="250"/>
      <c r="U598" s="250"/>
      <c r="V598" s="250"/>
      <c r="W598" s="250"/>
      <c r="X598" s="250"/>
      <c r="Y598" s="250"/>
      <c r="Z598" s="250"/>
    </row>
    <row r="599" ht="14.25" customHeight="1">
      <c r="A599" s="108" t="s">
        <v>1097</v>
      </c>
      <c r="B599" s="108" t="s">
        <v>472</v>
      </c>
      <c r="C599" s="75">
        <v>24.0</v>
      </c>
      <c r="D599" s="111">
        <v>30.0</v>
      </c>
      <c r="E599" s="108" t="s">
        <v>154</v>
      </c>
      <c r="F599" s="95">
        <v>46067.0</v>
      </c>
      <c r="G599" s="280">
        <f t="shared" si="17"/>
        <v>720</v>
      </c>
      <c r="H599" s="108"/>
      <c r="I599" s="250"/>
      <c r="J599" s="250"/>
      <c r="K599" s="250"/>
      <c r="L599" s="250"/>
      <c r="M599" s="250"/>
      <c r="N599" s="250"/>
      <c r="O599" s="250"/>
      <c r="P599" s="250"/>
      <c r="Q599" s="250"/>
      <c r="R599" s="250"/>
      <c r="S599" s="250"/>
      <c r="T599" s="250"/>
      <c r="U599" s="250"/>
      <c r="V599" s="250"/>
      <c r="W599" s="250"/>
      <c r="X599" s="250"/>
      <c r="Y599" s="250"/>
      <c r="Z599" s="250"/>
    </row>
    <row r="600" ht="14.25" customHeight="1">
      <c r="A600" s="108" t="s">
        <v>435</v>
      </c>
      <c r="B600" s="108" t="s">
        <v>472</v>
      </c>
      <c r="C600" s="109">
        <v>7.0</v>
      </c>
      <c r="D600" s="110">
        <v>180.0</v>
      </c>
      <c r="E600" s="108" t="s">
        <v>534</v>
      </c>
      <c r="F600" s="95">
        <v>46067.0</v>
      </c>
      <c r="G600" s="280">
        <f t="shared" si="17"/>
        <v>1260</v>
      </c>
      <c r="H600" s="108"/>
      <c r="I600" s="250"/>
      <c r="J600" s="250"/>
      <c r="K600" s="250"/>
      <c r="L600" s="250"/>
      <c r="M600" s="250"/>
      <c r="N600" s="250"/>
      <c r="O600" s="250"/>
      <c r="P600" s="250"/>
      <c r="Q600" s="250"/>
      <c r="R600" s="250"/>
      <c r="S600" s="250"/>
      <c r="T600" s="250"/>
      <c r="U600" s="250"/>
      <c r="V600" s="250"/>
      <c r="W600" s="250"/>
      <c r="X600" s="250"/>
      <c r="Y600" s="250"/>
      <c r="Z600" s="250"/>
    </row>
    <row r="601" ht="14.25" customHeight="1">
      <c r="A601" s="250"/>
      <c r="B601" s="250"/>
      <c r="C601" s="250"/>
      <c r="D601" s="254"/>
      <c r="E601" s="250"/>
      <c r="F601" s="250"/>
      <c r="G601" s="250"/>
      <c r="H601" s="250"/>
      <c r="I601" s="250"/>
      <c r="J601" s="250"/>
      <c r="K601" s="250"/>
      <c r="L601" s="250"/>
      <c r="M601" s="250"/>
      <c r="N601" s="250"/>
      <c r="O601" s="250"/>
      <c r="P601" s="250"/>
      <c r="Q601" s="250"/>
      <c r="R601" s="250"/>
      <c r="S601" s="250"/>
      <c r="T601" s="250"/>
      <c r="U601" s="250"/>
      <c r="V601" s="250"/>
      <c r="W601" s="250"/>
      <c r="X601" s="250"/>
      <c r="Y601" s="250"/>
      <c r="Z601" s="250"/>
    </row>
    <row r="602" ht="14.25" customHeight="1">
      <c r="A602" s="280" t="s">
        <v>4369</v>
      </c>
      <c r="B602" s="280" t="s">
        <v>4350</v>
      </c>
      <c r="C602" s="280" t="s">
        <v>4352</v>
      </c>
      <c r="D602" s="281" t="s">
        <v>4370</v>
      </c>
      <c r="E602" s="280" t="s">
        <v>4433</v>
      </c>
      <c r="F602" s="280" t="s">
        <v>4372</v>
      </c>
      <c r="G602" s="280" t="s">
        <v>4353</v>
      </c>
      <c r="H602" s="108" t="s">
        <v>4578</v>
      </c>
      <c r="I602" s="250"/>
      <c r="J602" s="250"/>
      <c r="K602" s="250"/>
      <c r="L602" s="250"/>
      <c r="M602" s="250"/>
      <c r="N602" s="250"/>
      <c r="O602" s="250"/>
      <c r="P602" s="250"/>
      <c r="Q602" s="250"/>
      <c r="R602" s="250"/>
      <c r="S602" s="250"/>
      <c r="T602" s="250"/>
      <c r="U602" s="250"/>
      <c r="V602" s="250"/>
      <c r="W602" s="250"/>
      <c r="X602" s="250"/>
      <c r="Y602" s="250"/>
      <c r="Z602" s="250"/>
    </row>
    <row r="603" ht="14.25" customHeight="1">
      <c r="A603" s="70" t="s">
        <v>879</v>
      </c>
      <c r="B603" s="70" t="s">
        <v>1215</v>
      </c>
      <c r="C603" s="93">
        <v>40.0</v>
      </c>
      <c r="D603" s="112">
        <f>65/20</f>
        <v>3.25</v>
      </c>
      <c r="E603" s="77"/>
      <c r="F603" s="95">
        <v>46071.0</v>
      </c>
      <c r="G603" s="77">
        <f>جدول_27[سعر الشراء]*جدول_27[الكمية]</f>
        <v>130</v>
      </c>
      <c r="H603" s="77"/>
      <c r="I603" s="250"/>
      <c r="J603" s="250"/>
      <c r="K603" s="250"/>
      <c r="L603" s="250"/>
      <c r="M603" s="250"/>
      <c r="N603" s="250"/>
      <c r="O603" s="250"/>
      <c r="P603" s="250"/>
      <c r="Q603" s="250"/>
      <c r="R603" s="250"/>
      <c r="S603" s="250"/>
      <c r="T603" s="250"/>
      <c r="U603" s="250"/>
      <c r="V603" s="250"/>
      <c r="W603" s="250"/>
      <c r="X603" s="250"/>
      <c r="Y603" s="250"/>
      <c r="Z603" s="250"/>
    </row>
    <row r="604" ht="14.25" customHeight="1">
      <c r="A604" s="70" t="s">
        <v>1087</v>
      </c>
      <c r="B604" s="70" t="s">
        <v>1215</v>
      </c>
      <c r="C604" s="93">
        <v>40.0</v>
      </c>
      <c r="D604" s="112">
        <f>220/20</f>
        <v>11</v>
      </c>
      <c r="E604" s="77"/>
      <c r="F604" s="95">
        <v>46071.0</v>
      </c>
      <c r="G604" s="77">
        <f>جدول_27[سعر الشراء]*جدول_27[الكمية]</f>
        <v>440</v>
      </c>
      <c r="H604" s="77"/>
      <c r="I604" s="250"/>
      <c r="J604" s="250"/>
      <c r="K604" s="250"/>
      <c r="L604" s="250"/>
      <c r="M604" s="250"/>
      <c r="N604" s="250"/>
      <c r="O604" s="250"/>
      <c r="P604" s="250"/>
      <c r="Q604" s="250"/>
      <c r="R604" s="250"/>
      <c r="S604" s="250"/>
      <c r="T604" s="250"/>
      <c r="U604" s="250"/>
      <c r="V604" s="250"/>
      <c r="W604" s="250"/>
      <c r="X604" s="250"/>
      <c r="Y604" s="250"/>
      <c r="Z604" s="250"/>
    </row>
    <row r="605" ht="14.25" customHeight="1">
      <c r="A605" s="70" t="s">
        <v>852</v>
      </c>
      <c r="B605" s="70" t="s">
        <v>238</v>
      </c>
      <c r="C605" s="93">
        <v>24.0</v>
      </c>
      <c r="D605" s="94">
        <v>10.0</v>
      </c>
      <c r="E605" s="77"/>
      <c r="F605" s="95">
        <v>46071.0</v>
      </c>
      <c r="G605" s="77">
        <f>جدول_27[سعر الشراء]*جدول_27[الكمية]</f>
        <v>240</v>
      </c>
      <c r="H605" s="77"/>
      <c r="I605" s="250"/>
      <c r="J605" s="250"/>
      <c r="K605" s="250"/>
      <c r="L605" s="250"/>
      <c r="M605" s="250"/>
      <c r="N605" s="250"/>
      <c r="O605" s="250"/>
      <c r="P605" s="250"/>
      <c r="Q605" s="250"/>
      <c r="R605" s="250"/>
      <c r="S605" s="250"/>
      <c r="T605" s="250"/>
      <c r="U605" s="250"/>
      <c r="V605" s="250"/>
      <c r="W605" s="250"/>
      <c r="X605" s="250"/>
      <c r="Y605" s="250"/>
      <c r="Z605" s="250"/>
    </row>
    <row r="606" ht="14.25" customHeight="1">
      <c r="A606" s="70" t="s">
        <v>255</v>
      </c>
      <c r="B606" s="70" t="s">
        <v>238</v>
      </c>
      <c r="C606" s="93">
        <v>24.0</v>
      </c>
      <c r="D606" s="94">
        <v>20.0</v>
      </c>
      <c r="E606" s="77"/>
      <c r="F606" s="95">
        <v>46071.0</v>
      </c>
      <c r="G606" s="77">
        <f>جدول_27[سعر الشراء]*جدول_27[الكمية]</f>
        <v>480</v>
      </c>
      <c r="H606" s="77"/>
      <c r="I606" s="250"/>
      <c r="J606" s="250"/>
      <c r="K606" s="250"/>
      <c r="L606" s="250"/>
      <c r="M606" s="250"/>
      <c r="N606" s="250"/>
      <c r="O606" s="250"/>
      <c r="P606" s="250"/>
      <c r="Q606" s="250"/>
      <c r="R606" s="250"/>
      <c r="S606" s="250"/>
      <c r="T606" s="250"/>
      <c r="U606" s="250"/>
      <c r="V606" s="250"/>
      <c r="W606" s="250"/>
      <c r="X606" s="250"/>
      <c r="Y606" s="250"/>
      <c r="Z606" s="250"/>
    </row>
    <row r="607" ht="14.25" customHeight="1">
      <c r="A607" s="70" t="s">
        <v>841</v>
      </c>
      <c r="B607" s="70" t="s">
        <v>1224</v>
      </c>
      <c r="C607" s="93">
        <v>12.0</v>
      </c>
      <c r="D607" s="94">
        <v>15.0</v>
      </c>
      <c r="E607" s="77"/>
      <c r="F607" s="95">
        <v>46071.0</v>
      </c>
      <c r="G607" s="77">
        <f>جدول_27[سعر الشراء]*جدول_27[الكمية]</f>
        <v>180</v>
      </c>
      <c r="H607" s="77"/>
      <c r="I607" s="250"/>
      <c r="J607" s="250"/>
      <c r="K607" s="250"/>
      <c r="L607" s="250"/>
      <c r="M607" s="250"/>
      <c r="N607" s="250"/>
      <c r="O607" s="250"/>
      <c r="P607" s="250"/>
      <c r="Q607" s="250"/>
      <c r="R607" s="250"/>
      <c r="S607" s="250"/>
      <c r="T607" s="250"/>
      <c r="U607" s="250"/>
      <c r="V607" s="250"/>
      <c r="W607" s="250"/>
      <c r="X607" s="250"/>
      <c r="Y607" s="250"/>
      <c r="Z607" s="250"/>
    </row>
    <row r="608" ht="14.25" customHeight="1">
      <c r="A608" s="70" t="s">
        <v>1124</v>
      </c>
      <c r="B608" s="70" t="s">
        <v>1224</v>
      </c>
      <c r="C608" s="93">
        <v>12.0</v>
      </c>
      <c r="D608" s="94">
        <v>20.0</v>
      </c>
      <c r="E608" s="77"/>
      <c r="F608" s="95">
        <v>46071.0</v>
      </c>
      <c r="G608" s="77">
        <f>جدول_27[سعر الشراء]*جدول_27[الكمية]</f>
        <v>240</v>
      </c>
      <c r="H608" s="77"/>
      <c r="I608" s="250"/>
      <c r="J608" s="250"/>
      <c r="K608" s="250"/>
      <c r="L608" s="250"/>
      <c r="M608" s="250"/>
      <c r="N608" s="250"/>
      <c r="O608" s="250"/>
      <c r="P608" s="250"/>
      <c r="Q608" s="250"/>
      <c r="R608" s="250"/>
      <c r="S608" s="250"/>
      <c r="T608" s="250"/>
      <c r="U608" s="250"/>
      <c r="V608" s="250"/>
      <c r="W608" s="250"/>
      <c r="X608" s="250"/>
      <c r="Y608" s="250"/>
      <c r="Z608" s="250"/>
    </row>
    <row r="609" ht="14.25" customHeight="1">
      <c r="A609" s="70" t="s">
        <v>936</v>
      </c>
      <c r="B609" s="70" t="s">
        <v>1224</v>
      </c>
      <c r="C609" s="93">
        <v>12.0</v>
      </c>
      <c r="D609" s="94">
        <v>28.0</v>
      </c>
      <c r="E609" s="77"/>
      <c r="F609" s="95">
        <v>46071.0</v>
      </c>
      <c r="G609" s="77">
        <f>جدول_27[سعر الشراء]*جدول_27[الكمية]</f>
        <v>336</v>
      </c>
      <c r="H609" s="77"/>
      <c r="I609" s="250"/>
      <c r="J609" s="250"/>
      <c r="K609" s="250"/>
      <c r="L609" s="250"/>
      <c r="M609" s="250"/>
      <c r="N609" s="250"/>
      <c r="O609" s="250"/>
      <c r="P609" s="250"/>
      <c r="Q609" s="250"/>
      <c r="R609" s="250"/>
      <c r="S609" s="250"/>
      <c r="T609" s="250"/>
      <c r="U609" s="250"/>
      <c r="V609" s="250"/>
      <c r="W609" s="250"/>
      <c r="X609" s="250"/>
      <c r="Y609" s="250"/>
      <c r="Z609" s="250"/>
    </row>
    <row r="610" ht="14.25" customHeight="1">
      <c r="A610" s="250"/>
      <c r="B610" s="250"/>
      <c r="C610" s="250"/>
      <c r="D610" s="254"/>
      <c r="E610" s="250"/>
      <c r="F610" s="250"/>
      <c r="G610" s="250"/>
      <c r="H610" s="250"/>
      <c r="I610" s="250"/>
      <c r="J610" s="250"/>
      <c r="K610" s="250"/>
      <c r="L610" s="250"/>
      <c r="M610" s="250"/>
      <c r="N610" s="250"/>
      <c r="O610" s="250"/>
      <c r="P610" s="250"/>
      <c r="Q610" s="250"/>
      <c r="R610" s="250"/>
      <c r="S610" s="250"/>
      <c r="T610" s="250"/>
      <c r="U610" s="250"/>
      <c r="V610" s="250"/>
      <c r="W610" s="250"/>
      <c r="X610" s="250"/>
      <c r="Y610" s="250"/>
      <c r="Z610" s="250"/>
    </row>
    <row r="611" ht="14.25" customHeight="1">
      <c r="A611" s="250"/>
      <c r="B611" s="250"/>
      <c r="C611" s="250"/>
      <c r="D611" s="254"/>
      <c r="E611" s="250"/>
      <c r="F611" s="250"/>
      <c r="G611" s="250"/>
      <c r="H611" s="250"/>
      <c r="I611" s="250"/>
      <c r="J611" s="250"/>
      <c r="K611" s="250"/>
      <c r="L611" s="250"/>
      <c r="M611" s="250"/>
      <c r="N611" s="250"/>
      <c r="O611" s="250"/>
      <c r="P611" s="250"/>
      <c r="Q611" s="250"/>
      <c r="R611" s="250"/>
      <c r="S611" s="250"/>
      <c r="T611" s="250"/>
      <c r="U611" s="250"/>
      <c r="V611" s="250"/>
      <c r="W611" s="250"/>
      <c r="X611" s="250"/>
      <c r="Y611" s="250"/>
      <c r="Z611" s="250"/>
    </row>
    <row r="612" ht="14.25" customHeight="1">
      <c r="A612" s="250"/>
      <c r="B612" s="250"/>
      <c r="C612" s="250"/>
      <c r="D612" s="254"/>
      <c r="E612" s="250"/>
      <c r="F612" s="250"/>
      <c r="G612" s="250"/>
      <c r="H612" s="250"/>
      <c r="I612" s="250"/>
      <c r="J612" s="250"/>
      <c r="K612" s="250"/>
      <c r="L612" s="250"/>
      <c r="M612" s="250"/>
      <c r="N612" s="250"/>
      <c r="O612" s="250"/>
      <c r="P612" s="250"/>
      <c r="Q612" s="250"/>
      <c r="R612" s="250"/>
      <c r="S612" s="250"/>
      <c r="T612" s="250"/>
      <c r="U612" s="250"/>
      <c r="V612" s="250"/>
      <c r="W612" s="250"/>
      <c r="X612" s="250"/>
      <c r="Y612" s="250"/>
      <c r="Z612" s="250"/>
    </row>
    <row r="613" ht="14.25" customHeight="1">
      <c r="A613" s="280" t="s">
        <v>4369</v>
      </c>
      <c r="B613" s="280" t="s">
        <v>4350</v>
      </c>
      <c r="C613" s="280" t="s">
        <v>4352</v>
      </c>
      <c r="D613" s="281" t="s">
        <v>4370</v>
      </c>
      <c r="E613" s="280" t="s">
        <v>4433</v>
      </c>
      <c r="F613" s="280" t="s">
        <v>4372</v>
      </c>
      <c r="G613" s="280" t="s">
        <v>4353</v>
      </c>
      <c r="H613" s="298" t="s">
        <v>4578</v>
      </c>
      <c r="I613" s="250"/>
      <c r="J613" s="250"/>
      <c r="K613" s="250"/>
      <c r="L613" s="250"/>
      <c r="M613" s="250"/>
      <c r="N613" s="250"/>
      <c r="O613" s="250"/>
      <c r="P613" s="250"/>
      <c r="Q613" s="250"/>
      <c r="R613" s="250"/>
      <c r="S613" s="250"/>
      <c r="T613" s="250"/>
      <c r="U613" s="250"/>
      <c r="V613" s="250"/>
      <c r="W613" s="250"/>
      <c r="X613" s="250"/>
      <c r="Y613" s="250"/>
      <c r="Z613" s="250"/>
    </row>
    <row r="614" ht="14.25" customHeight="1">
      <c r="A614" s="315" t="s">
        <v>168</v>
      </c>
      <c r="B614" s="113" t="s">
        <v>169</v>
      </c>
      <c r="C614" s="114">
        <v>6.0</v>
      </c>
      <c r="D614" s="115">
        <v>110.0</v>
      </c>
      <c r="E614" s="116" t="s">
        <v>154</v>
      </c>
      <c r="F614" s="117">
        <v>46083.0</v>
      </c>
      <c r="G614" s="207">
        <f t="shared" ref="G614:G663" si="18">D614*C614</f>
        <v>660</v>
      </c>
      <c r="H614" s="316" t="s">
        <v>72</v>
      </c>
      <c r="I614" s="250"/>
      <c r="J614" s="250"/>
      <c r="K614" s="250"/>
      <c r="L614" s="250"/>
      <c r="M614" s="250"/>
      <c r="N614" s="250"/>
      <c r="O614" s="250"/>
      <c r="P614" s="250"/>
      <c r="Q614" s="250"/>
      <c r="R614" s="250"/>
      <c r="S614" s="250"/>
      <c r="T614" s="250"/>
      <c r="U614" s="250"/>
      <c r="V614" s="250"/>
      <c r="W614" s="250"/>
      <c r="X614" s="250"/>
      <c r="Y614" s="250"/>
      <c r="Z614" s="250"/>
    </row>
    <row r="615" ht="14.25" customHeight="1">
      <c r="A615" s="317" t="s">
        <v>159</v>
      </c>
      <c r="B615" s="119" t="s">
        <v>50</v>
      </c>
      <c r="C615" s="26">
        <v>4.0</v>
      </c>
      <c r="D615" s="120">
        <v>225.0</v>
      </c>
      <c r="E615" s="116" t="s">
        <v>154</v>
      </c>
      <c r="F615" s="117">
        <v>46083.0</v>
      </c>
      <c r="G615" s="205">
        <f t="shared" si="18"/>
        <v>900</v>
      </c>
      <c r="H615" s="318" t="s">
        <v>72</v>
      </c>
      <c r="I615" s="250"/>
      <c r="J615" s="250"/>
      <c r="K615" s="250"/>
      <c r="L615" s="250"/>
      <c r="M615" s="250"/>
      <c r="N615" s="250"/>
      <c r="O615" s="250"/>
      <c r="P615" s="250"/>
      <c r="Q615" s="250"/>
      <c r="R615" s="250"/>
      <c r="S615" s="250"/>
      <c r="T615" s="250"/>
      <c r="U615" s="250"/>
      <c r="V615" s="250"/>
      <c r="W615" s="250"/>
      <c r="X615" s="250"/>
      <c r="Y615" s="250"/>
      <c r="Z615" s="250"/>
    </row>
    <row r="616" ht="14.25" customHeight="1">
      <c r="A616" s="315" t="s">
        <v>898</v>
      </c>
      <c r="B616" s="113" t="s">
        <v>753</v>
      </c>
      <c r="C616" s="114">
        <v>20.0</v>
      </c>
      <c r="D616" s="115">
        <v>15.0</v>
      </c>
      <c r="E616" s="116" t="s">
        <v>154</v>
      </c>
      <c r="F616" s="117">
        <v>46083.0</v>
      </c>
      <c r="G616" s="207">
        <f t="shared" si="18"/>
        <v>300</v>
      </c>
      <c r="H616" s="316" t="s">
        <v>72</v>
      </c>
      <c r="I616" s="250"/>
      <c r="J616" s="250"/>
      <c r="K616" s="250"/>
      <c r="L616" s="250"/>
      <c r="M616" s="250"/>
      <c r="N616" s="250"/>
      <c r="O616" s="250"/>
      <c r="P616" s="250"/>
      <c r="Q616" s="250"/>
      <c r="R616" s="250"/>
      <c r="S616" s="250"/>
      <c r="T616" s="250"/>
      <c r="U616" s="250"/>
      <c r="V616" s="250"/>
      <c r="W616" s="250"/>
      <c r="X616" s="250"/>
      <c r="Y616" s="250"/>
      <c r="Z616" s="250"/>
    </row>
    <row r="617" ht="14.25" customHeight="1">
      <c r="A617" s="317" t="s">
        <v>908</v>
      </c>
      <c r="B617" s="119" t="s">
        <v>472</v>
      </c>
      <c r="C617" s="26">
        <v>12.0</v>
      </c>
      <c r="D617" s="120">
        <v>35.0</v>
      </c>
      <c r="E617" s="116" t="s">
        <v>154</v>
      </c>
      <c r="F617" s="117">
        <v>46083.0</v>
      </c>
      <c r="G617" s="205">
        <f t="shared" si="18"/>
        <v>420</v>
      </c>
      <c r="H617" s="318" t="s">
        <v>72</v>
      </c>
      <c r="I617" s="250"/>
      <c r="J617" s="250"/>
      <c r="K617" s="250"/>
      <c r="L617" s="250"/>
      <c r="M617" s="250"/>
      <c r="N617" s="250"/>
      <c r="O617" s="250"/>
      <c r="P617" s="250"/>
      <c r="Q617" s="250"/>
      <c r="R617" s="250"/>
      <c r="S617" s="250"/>
      <c r="T617" s="250"/>
      <c r="U617" s="250"/>
      <c r="V617" s="250"/>
      <c r="W617" s="250"/>
      <c r="X617" s="250"/>
      <c r="Y617" s="250"/>
      <c r="Z617" s="250"/>
    </row>
    <row r="618" ht="14.25" customHeight="1">
      <c r="A618" s="315" t="s">
        <v>462</v>
      </c>
      <c r="B618" s="113" t="s">
        <v>50</v>
      </c>
      <c r="C618" s="114">
        <v>2.0</v>
      </c>
      <c r="D618" s="115">
        <v>210.0</v>
      </c>
      <c r="E618" s="116" t="s">
        <v>154</v>
      </c>
      <c r="F618" s="117">
        <v>46083.0</v>
      </c>
      <c r="G618" s="207">
        <f t="shared" si="18"/>
        <v>420</v>
      </c>
      <c r="H618" s="316" t="s">
        <v>72</v>
      </c>
      <c r="I618" s="250"/>
      <c r="J618" s="250"/>
      <c r="K618" s="250"/>
      <c r="L618" s="250"/>
      <c r="M618" s="250"/>
      <c r="N618" s="250"/>
      <c r="O618" s="250"/>
      <c r="P618" s="250"/>
      <c r="Q618" s="250"/>
      <c r="R618" s="250"/>
      <c r="S618" s="250"/>
      <c r="T618" s="250"/>
      <c r="U618" s="250"/>
      <c r="V618" s="250"/>
      <c r="W618" s="250"/>
      <c r="X618" s="250"/>
      <c r="Y618" s="250"/>
      <c r="Z618" s="250"/>
    </row>
    <row r="619" ht="14.25" customHeight="1">
      <c r="A619" s="317" t="s">
        <v>236</v>
      </c>
      <c r="B619" s="119" t="s">
        <v>472</v>
      </c>
      <c r="C619" s="26">
        <v>4.0</v>
      </c>
      <c r="D619" s="120">
        <v>150.0</v>
      </c>
      <c r="E619" s="116" t="s">
        <v>154</v>
      </c>
      <c r="F619" s="117">
        <v>46083.0</v>
      </c>
      <c r="G619" s="205">
        <f t="shared" si="18"/>
        <v>600</v>
      </c>
      <c r="H619" s="318" t="s">
        <v>72</v>
      </c>
      <c r="I619" s="250"/>
      <c r="J619" s="250"/>
      <c r="K619" s="250"/>
      <c r="L619" s="250"/>
      <c r="M619" s="250"/>
      <c r="N619" s="250"/>
      <c r="O619" s="250"/>
      <c r="P619" s="250"/>
      <c r="Q619" s="250"/>
      <c r="R619" s="250"/>
      <c r="S619" s="250"/>
      <c r="T619" s="250"/>
      <c r="U619" s="250"/>
      <c r="V619" s="250"/>
      <c r="W619" s="250"/>
      <c r="X619" s="250"/>
      <c r="Y619" s="250"/>
      <c r="Z619" s="250"/>
    </row>
    <row r="620" ht="14.25" customHeight="1">
      <c r="A620" s="315" t="s">
        <v>410</v>
      </c>
      <c r="B620" s="113" t="s">
        <v>411</v>
      </c>
      <c r="C620" s="114">
        <v>2.0</v>
      </c>
      <c r="D620" s="115">
        <v>225.0</v>
      </c>
      <c r="E620" s="116" t="s">
        <v>154</v>
      </c>
      <c r="F620" s="117">
        <v>46083.0</v>
      </c>
      <c r="G620" s="207">
        <f t="shared" si="18"/>
        <v>450</v>
      </c>
      <c r="H620" s="316" t="s">
        <v>72</v>
      </c>
      <c r="I620" s="250"/>
      <c r="J620" s="250"/>
      <c r="K620" s="250"/>
      <c r="L620" s="250"/>
      <c r="M620" s="250"/>
      <c r="N620" s="250"/>
      <c r="O620" s="250"/>
      <c r="P620" s="250"/>
      <c r="Q620" s="250"/>
      <c r="R620" s="250"/>
      <c r="S620" s="250"/>
      <c r="T620" s="250"/>
      <c r="U620" s="250"/>
      <c r="V620" s="250"/>
      <c r="W620" s="250"/>
      <c r="X620" s="250"/>
      <c r="Y620" s="250"/>
      <c r="Z620" s="250"/>
    </row>
    <row r="621" ht="14.25" customHeight="1">
      <c r="A621" s="319" t="s">
        <v>268</v>
      </c>
      <c r="B621" s="122" t="s">
        <v>30</v>
      </c>
      <c r="C621" s="123">
        <v>2.0</v>
      </c>
      <c r="D621" s="124">
        <v>175.0</v>
      </c>
      <c r="E621" s="116" t="s">
        <v>154</v>
      </c>
      <c r="F621" s="117">
        <v>46083.0</v>
      </c>
      <c r="G621" s="205">
        <f t="shared" si="18"/>
        <v>350</v>
      </c>
      <c r="H621" s="316" t="s">
        <v>72</v>
      </c>
      <c r="I621" s="250"/>
      <c r="J621" s="250"/>
      <c r="K621" s="250"/>
      <c r="L621" s="250"/>
      <c r="M621" s="250"/>
      <c r="N621" s="250"/>
      <c r="O621" s="250"/>
      <c r="P621" s="250"/>
      <c r="Q621" s="250"/>
      <c r="R621" s="250"/>
      <c r="S621" s="250"/>
      <c r="T621" s="250"/>
      <c r="U621" s="250"/>
      <c r="V621" s="250"/>
      <c r="W621" s="250"/>
      <c r="X621" s="250"/>
      <c r="Y621" s="250"/>
      <c r="Z621" s="250"/>
    </row>
    <row r="622" ht="14.25" customHeight="1">
      <c r="A622" s="320" t="s">
        <v>871</v>
      </c>
      <c r="B622" s="116" t="s">
        <v>30</v>
      </c>
      <c r="C622" s="126">
        <v>4.0</v>
      </c>
      <c r="D622" s="127">
        <v>90.0</v>
      </c>
      <c r="E622" s="116" t="s">
        <v>154</v>
      </c>
      <c r="F622" s="117">
        <v>46083.0</v>
      </c>
      <c r="G622" s="207">
        <f t="shared" si="18"/>
        <v>360</v>
      </c>
      <c r="H622" s="316" t="s">
        <v>72</v>
      </c>
      <c r="I622" s="250"/>
      <c r="J622" s="250"/>
      <c r="K622" s="250"/>
      <c r="L622" s="250"/>
      <c r="M622" s="250"/>
      <c r="N622" s="250"/>
      <c r="O622" s="250"/>
      <c r="P622" s="250"/>
      <c r="Q622" s="250"/>
      <c r="R622" s="250"/>
      <c r="S622" s="250"/>
      <c r="T622" s="250"/>
      <c r="U622" s="250"/>
      <c r="V622" s="250"/>
      <c r="W622" s="250"/>
      <c r="X622" s="250"/>
      <c r="Y622" s="250"/>
      <c r="Z622" s="250"/>
    </row>
    <row r="623" ht="14.25" customHeight="1">
      <c r="A623" s="319" t="s">
        <v>1000</v>
      </c>
      <c r="B623" s="122" t="s">
        <v>238</v>
      </c>
      <c r="C623" s="123">
        <v>10.0</v>
      </c>
      <c r="D623" s="124">
        <v>10.0</v>
      </c>
      <c r="E623" s="122" t="s">
        <v>1052</v>
      </c>
      <c r="F623" s="117">
        <v>46083.0</v>
      </c>
      <c r="G623" s="205">
        <f t="shared" si="18"/>
        <v>100</v>
      </c>
      <c r="H623" s="316" t="s">
        <v>72</v>
      </c>
      <c r="I623" s="250"/>
      <c r="J623" s="250"/>
      <c r="K623" s="250"/>
      <c r="L623" s="250"/>
      <c r="M623" s="250"/>
      <c r="N623" s="250"/>
      <c r="O623" s="250"/>
      <c r="P623" s="250"/>
      <c r="Q623" s="250"/>
      <c r="R623" s="250"/>
      <c r="S623" s="250"/>
      <c r="T623" s="250"/>
      <c r="U623" s="250"/>
      <c r="V623" s="250"/>
      <c r="W623" s="250"/>
      <c r="X623" s="250"/>
      <c r="Y623" s="250"/>
      <c r="Z623" s="250"/>
    </row>
    <row r="624" ht="14.25" customHeight="1">
      <c r="A624" s="320" t="s">
        <v>933</v>
      </c>
      <c r="B624" s="116" t="s">
        <v>238</v>
      </c>
      <c r="C624" s="126">
        <v>10.0</v>
      </c>
      <c r="D624" s="127">
        <v>8.0</v>
      </c>
      <c r="E624" s="116" t="s">
        <v>1052</v>
      </c>
      <c r="F624" s="117">
        <v>46083.0</v>
      </c>
      <c r="G624" s="207">
        <f t="shared" si="18"/>
        <v>80</v>
      </c>
      <c r="H624" s="316" t="s">
        <v>72</v>
      </c>
      <c r="I624" s="250"/>
      <c r="J624" s="250"/>
      <c r="K624" s="250"/>
      <c r="L624" s="250"/>
      <c r="M624" s="250"/>
      <c r="N624" s="250"/>
      <c r="O624" s="250"/>
      <c r="P624" s="250"/>
      <c r="Q624" s="250"/>
      <c r="R624" s="250"/>
      <c r="S624" s="250"/>
      <c r="T624" s="250"/>
      <c r="U624" s="250"/>
      <c r="V624" s="250"/>
      <c r="W624" s="250"/>
      <c r="X624" s="250"/>
      <c r="Y624" s="250"/>
      <c r="Z624" s="250"/>
    </row>
    <row r="625" ht="14.25" customHeight="1">
      <c r="A625" s="319" t="s">
        <v>1155</v>
      </c>
      <c r="B625" s="122" t="s">
        <v>169</v>
      </c>
      <c r="C625" s="123">
        <v>19.0</v>
      </c>
      <c r="D625" s="124">
        <v>11.0</v>
      </c>
      <c r="E625" s="122" t="s">
        <v>1052</v>
      </c>
      <c r="F625" s="117">
        <v>46083.0</v>
      </c>
      <c r="G625" s="205">
        <f t="shared" si="18"/>
        <v>209</v>
      </c>
      <c r="H625" s="316" t="s">
        <v>72</v>
      </c>
      <c r="I625" s="250"/>
      <c r="J625" s="250"/>
      <c r="K625" s="250"/>
      <c r="L625" s="250"/>
      <c r="M625" s="250"/>
      <c r="N625" s="250"/>
      <c r="O625" s="250"/>
      <c r="P625" s="250"/>
      <c r="Q625" s="250"/>
      <c r="R625" s="250"/>
      <c r="S625" s="250"/>
      <c r="T625" s="250"/>
      <c r="U625" s="250"/>
      <c r="V625" s="250"/>
      <c r="W625" s="250"/>
      <c r="X625" s="250"/>
      <c r="Y625" s="250"/>
      <c r="Z625" s="250"/>
    </row>
    <row r="626" ht="14.25" customHeight="1">
      <c r="A626" s="320" t="s">
        <v>1248</v>
      </c>
      <c r="B626" s="116" t="s">
        <v>169</v>
      </c>
      <c r="C626" s="126">
        <v>15.0</v>
      </c>
      <c r="D626" s="127">
        <v>14.0</v>
      </c>
      <c r="E626" s="116" t="s">
        <v>1052</v>
      </c>
      <c r="F626" s="117">
        <v>46083.0</v>
      </c>
      <c r="G626" s="207">
        <f t="shared" si="18"/>
        <v>210</v>
      </c>
      <c r="H626" s="316" t="s">
        <v>72</v>
      </c>
      <c r="I626" s="250"/>
      <c r="J626" s="250"/>
      <c r="K626" s="250"/>
      <c r="L626" s="292"/>
      <c r="M626" s="292"/>
      <c r="N626" s="292"/>
      <c r="O626" s="292"/>
      <c r="P626" s="292"/>
      <c r="Q626" s="250"/>
      <c r="R626" s="250"/>
      <c r="S626" s="250"/>
      <c r="T626" s="250"/>
      <c r="U626" s="250"/>
      <c r="V626" s="250"/>
      <c r="W626" s="250"/>
      <c r="X626" s="250"/>
      <c r="Y626" s="250"/>
      <c r="Z626" s="250"/>
    </row>
    <row r="627" ht="14.25" customHeight="1">
      <c r="A627" s="10" t="s">
        <v>1250</v>
      </c>
      <c r="B627" s="122" t="s">
        <v>238</v>
      </c>
      <c r="C627" s="123">
        <v>24.0</v>
      </c>
      <c r="D627" s="128">
        <f>144/24</f>
        <v>6</v>
      </c>
      <c r="E627" s="122" t="s">
        <v>1052</v>
      </c>
      <c r="F627" s="117">
        <v>46083.0</v>
      </c>
      <c r="G627" s="205">
        <f t="shared" si="18"/>
        <v>144</v>
      </c>
      <c r="H627" s="316" t="s">
        <v>72</v>
      </c>
      <c r="I627" s="250"/>
      <c r="J627" s="250"/>
      <c r="K627" s="250"/>
      <c r="Q627" s="250"/>
      <c r="R627" s="250"/>
      <c r="S627" s="250"/>
      <c r="T627" s="250"/>
      <c r="U627" s="250"/>
      <c r="V627" s="250"/>
      <c r="W627" s="250"/>
      <c r="X627" s="250"/>
      <c r="Y627" s="250"/>
      <c r="Z627" s="250"/>
    </row>
    <row r="628" ht="14.25" customHeight="1">
      <c r="A628" s="319" t="s">
        <v>906</v>
      </c>
      <c r="B628" s="129" t="s">
        <v>238</v>
      </c>
      <c r="C628" s="130">
        <v>24.0</v>
      </c>
      <c r="D628" s="131">
        <f>120/24</f>
        <v>5</v>
      </c>
      <c r="E628" s="129" t="s">
        <v>1052</v>
      </c>
      <c r="F628" s="117">
        <v>46083.0</v>
      </c>
      <c r="G628" s="321">
        <f t="shared" si="18"/>
        <v>120</v>
      </c>
      <c r="H628" s="316" t="s">
        <v>72</v>
      </c>
      <c r="I628" s="250"/>
      <c r="J628" s="250"/>
      <c r="K628" s="250"/>
      <c r="O628" s="322"/>
      <c r="Q628" s="250"/>
      <c r="R628" s="250"/>
      <c r="S628" s="250"/>
      <c r="T628" s="250"/>
      <c r="U628" s="250"/>
      <c r="V628" s="250"/>
      <c r="W628" s="250"/>
      <c r="X628" s="250"/>
      <c r="Y628" s="250"/>
      <c r="Z628" s="250"/>
    </row>
    <row r="629" ht="14.25" customHeight="1">
      <c r="A629" s="10" t="s">
        <v>896</v>
      </c>
      <c r="B629" s="132"/>
      <c r="C629" s="6">
        <v>6.0</v>
      </c>
      <c r="D629" s="6">
        <v>135.0</v>
      </c>
      <c r="E629" s="129" t="s">
        <v>119</v>
      </c>
      <c r="F629" s="117">
        <v>46083.0</v>
      </c>
      <c r="G629" s="321">
        <f t="shared" si="18"/>
        <v>810</v>
      </c>
      <c r="H629" s="323" t="s">
        <v>72</v>
      </c>
      <c r="I629" s="250"/>
      <c r="J629" s="250"/>
      <c r="K629" s="250"/>
      <c r="Q629" s="250"/>
      <c r="R629" s="250"/>
      <c r="S629" s="250"/>
      <c r="T629" s="250"/>
      <c r="U629" s="250"/>
      <c r="V629" s="250"/>
      <c r="W629" s="250"/>
      <c r="X629" s="250"/>
      <c r="Y629" s="250"/>
      <c r="Z629" s="250"/>
    </row>
    <row r="630" ht="14.25" customHeight="1">
      <c r="A630" s="10" t="s">
        <v>689</v>
      </c>
      <c r="B630" s="132"/>
      <c r="C630" s="6">
        <v>8.0</v>
      </c>
      <c r="D630" s="6">
        <v>130.0</v>
      </c>
      <c r="E630" s="129" t="s">
        <v>119</v>
      </c>
      <c r="F630" s="117">
        <v>46083.0</v>
      </c>
      <c r="G630" s="321">
        <f t="shared" si="18"/>
        <v>1040</v>
      </c>
      <c r="H630" s="323" t="s">
        <v>72</v>
      </c>
      <c r="I630" s="250"/>
      <c r="J630" s="250"/>
      <c r="K630" s="250"/>
      <c r="Q630" s="250"/>
      <c r="R630" s="250"/>
      <c r="S630" s="250"/>
      <c r="T630" s="250"/>
      <c r="U630" s="250"/>
      <c r="V630" s="250"/>
      <c r="W630" s="250"/>
      <c r="X630" s="250"/>
      <c r="Y630" s="250"/>
      <c r="Z630" s="250"/>
    </row>
    <row r="631" ht="14.25" customHeight="1">
      <c r="A631" s="10" t="s">
        <v>383</v>
      </c>
      <c r="B631" s="132"/>
      <c r="C631" s="6">
        <v>2.0</v>
      </c>
      <c r="D631" s="6">
        <f t="shared" ref="D631:D632" si="19">229.5</f>
        <v>229.5</v>
      </c>
      <c r="E631" s="129" t="s">
        <v>119</v>
      </c>
      <c r="F631" s="117">
        <v>46083.0</v>
      </c>
      <c r="G631" s="321">
        <f t="shared" si="18"/>
        <v>459</v>
      </c>
      <c r="H631" s="323" t="s">
        <v>72</v>
      </c>
      <c r="I631" s="250"/>
      <c r="J631" s="250"/>
      <c r="K631" s="250"/>
      <c r="Q631" s="250"/>
      <c r="R631" s="250"/>
      <c r="S631" s="250"/>
      <c r="T631" s="250"/>
      <c r="U631" s="250"/>
      <c r="V631" s="250"/>
      <c r="W631" s="250"/>
      <c r="X631" s="250"/>
      <c r="Y631" s="250"/>
      <c r="Z631" s="250"/>
    </row>
    <row r="632" ht="14.25" customHeight="1">
      <c r="A632" s="10" t="s">
        <v>385</v>
      </c>
      <c r="B632" s="132"/>
      <c r="C632" s="6">
        <v>2.0</v>
      </c>
      <c r="D632" s="6">
        <f t="shared" si="19"/>
        <v>229.5</v>
      </c>
      <c r="E632" s="129" t="s">
        <v>119</v>
      </c>
      <c r="F632" s="117">
        <v>46083.0</v>
      </c>
      <c r="G632" s="321">
        <f t="shared" si="18"/>
        <v>459</v>
      </c>
      <c r="H632" s="323" t="s">
        <v>72</v>
      </c>
      <c r="I632" s="250"/>
      <c r="J632" s="250"/>
      <c r="K632" s="250"/>
      <c r="Q632" s="250"/>
      <c r="R632" s="250"/>
      <c r="S632" s="250"/>
      <c r="T632" s="250"/>
      <c r="U632" s="250"/>
      <c r="V632" s="250"/>
      <c r="W632" s="250"/>
      <c r="X632" s="250"/>
      <c r="Y632" s="250"/>
      <c r="Z632" s="250"/>
    </row>
    <row r="633" ht="14.25" customHeight="1">
      <c r="A633" s="10" t="s">
        <v>634</v>
      </c>
      <c r="B633" s="132"/>
      <c r="C633" s="6">
        <v>2.0</v>
      </c>
      <c r="D633" s="6">
        <v>167.0</v>
      </c>
      <c r="E633" s="129" t="s">
        <v>119</v>
      </c>
      <c r="F633" s="117">
        <v>46083.0</v>
      </c>
      <c r="G633" s="321">
        <f t="shared" si="18"/>
        <v>334</v>
      </c>
      <c r="H633" s="323" t="s">
        <v>72</v>
      </c>
      <c r="I633" s="250"/>
      <c r="J633" s="250"/>
      <c r="K633" s="250"/>
      <c r="Q633" s="250"/>
      <c r="R633" s="250"/>
      <c r="S633" s="250"/>
      <c r="T633" s="250"/>
      <c r="U633" s="250"/>
      <c r="V633" s="250"/>
      <c r="W633" s="250"/>
      <c r="X633" s="250"/>
      <c r="Y633" s="250"/>
      <c r="Z633" s="250"/>
    </row>
    <row r="634" ht="14.25" customHeight="1">
      <c r="A634" s="10" t="s">
        <v>761</v>
      </c>
      <c r="B634" s="132"/>
      <c r="C634" s="6">
        <v>2.0</v>
      </c>
      <c r="D634" s="6">
        <v>150.0</v>
      </c>
      <c r="E634" s="129" t="s">
        <v>119</v>
      </c>
      <c r="F634" s="117">
        <v>46083.0</v>
      </c>
      <c r="G634" s="321">
        <f t="shared" si="18"/>
        <v>300</v>
      </c>
      <c r="H634" s="130" t="s">
        <v>72</v>
      </c>
      <c r="I634" s="250"/>
      <c r="J634" s="250"/>
      <c r="K634" s="250"/>
      <c r="Q634" s="250"/>
      <c r="R634" s="250"/>
      <c r="S634" s="250"/>
      <c r="T634" s="250"/>
      <c r="U634" s="250"/>
      <c r="V634" s="250"/>
      <c r="W634" s="250"/>
      <c r="X634" s="250"/>
      <c r="Y634" s="250"/>
      <c r="Z634" s="250"/>
    </row>
    <row r="635" ht="14.25" customHeight="1">
      <c r="A635" s="10" t="s">
        <v>637</v>
      </c>
      <c r="B635" s="132"/>
      <c r="C635" s="6">
        <v>2.0</v>
      </c>
      <c r="D635" s="6">
        <v>167.0</v>
      </c>
      <c r="E635" s="129" t="s">
        <v>119</v>
      </c>
      <c r="F635" s="117">
        <v>46083.0</v>
      </c>
      <c r="G635" s="321">
        <f t="shared" si="18"/>
        <v>334</v>
      </c>
      <c r="H635" s="130" t="s">
        <v>72</v>
      </c>
      <c r="I635" s="250"/>
      <c r="J635" s="250"/>
      <c r="K635" s="250"/>
      <c r="Q635" s="250"/>
      <c r="R635" s="250"/>
      <c r="S635" s="250"/>
      <c r="T635" s="250"/>
      <c r="U635" s="250"/>
      <c r="V635" s="250"/>
      <c r="W635" s="250"/>
      <c r="X635" s="250"/>
      <c r="Y635" s="250"/>
      <c r="Z635" s="250"/>
    </row>
    <row r="636" ht="14.25" customHeight="1">
      <c r="A636" s="10" t="s">
        <v>763</v>
      </c>
      <c r="B636" s="132"/>
      <c r="C636" s="6">
        <v>2.0</v>
      </c>
      <c r="D636" s="6">
        <v>150.0</v>
      </c>
      <c r="E636" s="129" t="s">
        <v>119</v>
      </c>
      <c r="F636" s="117">
        <v>46083.0</v>
      </c>
      <c r="G636" s="321">
        <f t="shared" si="18"/>
        <v>300</v>
      </c>
      <c r="H636" s="130" t="s">
        <v>72</v>
      </c>
      <c r="I636" s="250"/>
      <c r="J636" s="250"/>
      <c r="K636" s="250"/>
      <c r="Q636" s="250"/>
      <c r="R636" s="250"/>
      <c r="S636" s="250"/>
      <c r="T636" s="250"/>
      <c r="U636" s="250"/>
      <c r="V636" s="250"/>
      <c r="W636" s="250"/>
      <c r="X636" s="250"/>
      <c r="Y636" s="250"/>
      <c r="Z636" s="250"/>
    </row>
    <row r="637" ht="14.25" customHeight="1">
      <c r="A637" s="10" t="s">
        <v>766</v>
      </c>
      <c r="B637" s="132"/>
      <c r="C637" s="6">
        <v>2.0</v>
      </c>
      <c r="D637" s="6">
        <v>150.0</v>
      </c>
      <c r="E637" s="129" t="s">
        <v>119</v>
      </c>
      <c r="F637" s="117">
        <v>46083.0</v>
      </c>
      <c r="G637" s="321">
        <f t="shared" si="18"/>
        <v>300</v>
      </c>
      <c r="H637" s="130" t="s">
        <v>72</v>
      </c>
      <c r="I637" s="250"/>
      <c r="J637" s="250"/>
      <c r="K637" s="250"/>
      <c r="Q637" s="250"/>
      <c r="R637" s="250"/>
      <c r="S637" s="250"/>
      <c r="T637" s="250"/>
      <c r="U637" s="250"/>
      <c r="V637" s="250"/>
      <c r="W637" s="250"/>
      <c r="X637" s="250"/>
      <c r="Y637" s="250"/>
      <c r="Z637" s="250"/>
    </row>
    <row r="638" ht="14.25" customHeight="1">
      <c r="A638" s="10" t="s">
        <v>640</v>
      </c>
      <c r="B638" s="132"/>
      <c r="C638" s="6">
        <v>2.0</v>
      </c>
      <c r="D638" s="6">
        <v>167.0</v>
      </c>
      <c r="E638" s="129" t="s">
        <v>119</v>
      </c>
      <c r="F638" s="117">
        <v>46083.0</v>
      </c>
      <c r="G638" s="321">
        <f t="shared" si="18"/>
        <v>334</v>
      </c>
      <c r="H638" s="130" t="s">
        <v>72</v>
      </c>
      <c r="I638" s="250"/>
      <c r="J638" s="250"/>
      <c r="K638" s="250"/>
      <c r="Q638" s="250"/>
      <c r="R638" s="250"/>
      <c r="S638" s="250"/>
      <c r="T638" s="250"/>
      <c r="U638" s="250"/>
      <c r="V638" s="250"/>
      <c r="W638" s="250"/>
      <c r="X638" s="250"/>
      <c r="Y638" s="250"/>
      <c r="Z638" s="250"/>
    </row>
    <row r="639" ht="14.25" customHeight="1">
      <c r="A639" s="10" t="s">
        <v>279</v>
      </c>
      <c r="B639" s="132"/>
      <c r="C639" s="6">
        <v>2.0</v>
      </c>
      <c r="D639" s="6">
        <v>300.0</v>
      </c>
      <c r="E639" s="129" t="s">
        <v>119</v>
      </c>
      <c r="F639" s="117">
        <v>46083.0</v>
      </c>
      <c r="G639" s="321">
        <f t="shared" si="18"/>
        <v>600</v>
      </c>
      <c r="H639" s="130" t="s">
        <v>72</v>
      </c>
      <c r="I639" s="250"/>
      <c r="J639" s="250"/>
      <c r="K639" s="250"/>
      <c r="Q639" s="250"/>
      <c r="R639" s="250"/>
      <c r="S639" s="250"/>
      <c r="T639" s="250"/>
      <c r="U639" s="250"/>
      <c r="V639" s="250"/>
      <c r="W639" s="250"/>
      <c r="X639" s="250"/>
      <c r="Y639" s="250"/>
      <c r="Z639" s="250"/>
    </row>
    <row r="640" ht="14.25" customHeight="1">
      <c r="A640" s="10" t="s">
        <v>334</v>
      </c>
      <c r="B640" s="132"/>
      <c r="C640" s="6">
        <v>2.0</v>
      </c>
      <c r="D640" s="6">
        <v>255.0</v>
      </c>
      <c r="E640" s="129" t="s">
        <v>119</v>
      </c>
      <c r="F640" s="117">
        <v>46083.0</v>
      </c>
      <c r="G640" s="321">
        <f t="shared" si="18"/>
        <v>510</v>
      </c>
      <c r="H640" s="130" t="s">
        <v>72</v>
      </c>
      <c r="I640" s="250"/>
      <c r="J640" s="250"/>
      <c r="K640" s="250"/>
      <c r="L640" s="1"/>
      <c r="M640" s="331"/>
      <c r="N640" s="331"/>
      <c r="P640" s="1"/>
      <c r="Q640" s="250"/>
      <c r="R640" s="250"/>
      <c r="S640" s="250"/>
      <c r="T640" s="250"/>
      <c r="U640" s="250"/>
      <c r="V640" s="250"/>
      <c r="W640" s="250"/>
      <c r="X640" s="250"/>
      <c r="Y640" s="250"/>
      <c r="Z640" s="250"/>
    </row>
    <row r="641" ht="14.25" customHeight="1">
      <c r="A641" s="106" t="s">
        <v>549</v>
      </c>
      <c r="B641" s="70" t="s">
        <v>836</v>
      </c>
      <c r="C641" s="130">
        <v>24.0</v>
      </c>
      <c r="D641" s="131">
        <f>17.5</f>
        <v>17.5</v>
      </c>
      <c r="E641" s="129" t="s">
        <v>119</v>
      </c>
      <c r="F641" s="117">
        <v>46083.0</v>
      </c>
      <c r="G641" s="321">
        <f t="shared" si="18"/>
        <v>420</v>
      </c>
      <c r="H641" s="130" t="s">
        <v>72</v>
      </c>
      <c r="I641" s="250"/>
      <c r="J641" s="250"/>
      <c r="K641" s="250"/>
      <c r="L641" s="250"/>
      <c r="M641" s="250"/>
      <c r="N641" s="250"/>
      <c r="O641" s="250"/>
      <c r="P641" s="250"/>
      <c r="Q641" s="250"/>
      <c r="R641" s="250"/>
      <c r="S641" s="250"/>
      <c r="T641" s="250"/>
      <c r="U641" s="250"/>
      <c r="V641" s="250"/>
      <c r="W641" s="250"/>
      <c r="X641" s="250"/>
      <c r="Y641" s="250"/>
      <c r="Z641" s="250"/>
    </row>
    <row r="642" ht="14.25" customHeight="1">
      <c r="A642" s="10" t="s">
        <v>1276</v>
      </c>
      <c r="B642" s="132"/>
      <c r="C642" s="6">
        <v>4.0</v>
      </c>
      <c r="D642" s="6">
        <v>60.0</v>
      </c>
      <c r="E642" s="129" t="s">
        <v>119</v>
      </c>
      <c r="F642" s="117">
        <v>46083.0</v>
      </c>
      <c r="G642" s="321">
        <f t="shared" si="18"/>
        <v>240</v>
      </c>
      <c r="H642" s="130" t="s">
        <v>72</v>
      </c>
      <c r="I642" s="250"/>
      <c r="J642" s="250"/>
      <c r="K642" s="250"/>
      <c r="L642" s="292"/>
      <c r="M642" s="292"/>
      <c r="N642" s="292"/>
      <c r="O642" s="292"/>
      <c r="P642" s="292"/>
      <c r="Q642" s="250"/>
      <c r="R642" s="250"/>
      <c r="S642" s="250"/>
      <c r="T642" s="250"/>
      <c r="U642" s="250"/>
      <c r="V642" s="250"/>
      <c r="W642" s="250"/>
      <c r="X642" s="250"/>
      <c r="Y642" s="250"/>
      <c r="Z642" s="250"/>
    </row>
    <row r="643" ht="14.25" customHeight="1">
      <c r="A643" s="10" t="s">
        <v>987</v>
      </c>
      <c r="B643" s="132"/>
      <c r="C643" s="6">
        <v>4.0</v>
      </c>
      <c r="D643" s="6">
        <v>19.0</v>
      </c>
      <c r="E643" s="129" t="s">
        <v>119</v>
      </c>
      <c r="F643" s="117">
        <v>46083.0</v>
      </c>
      <c r="G643" s="321">
        <f t="shared" si="18"/>
        <v>76</v>
      </c>
      <c r="H643" s="130" t="s">
        <v>72</v>
      </c>
      <c r="I643" s="250"/>
      <c r="J643" s="250"/>
      <c r="K643" s="250"/>
      <c r="Q643" s="250"/>
      <c r="R643" s="250"/>
      <c r="S643" s="250"/>
      <c r="T643" s="250"/>
      <c r="U643" s="250"/>
      <c r="V643" s="250"/>
      <c r="W643" s="250"/>
      <c r="X643" s="250"/>
      <c r="Y643" s="250"/>
      <c r="Z643" s="250"/>
    </row>
    <row r="644" ht="14.25" customHeight="1">
      <c r="A644" s="10" t="s">
        <v>1152</v>
      </c>
      <c r="B644" s="132"/>
      <c r="C644" s="6">
        <v>3.0</v>
      </c>
      <c r="D644" s="134">
        <f>12.5</f>
        <v>12.5</v>
      </c>
      <c r="E644" s="129" t="s">
        <v>119</v>
      </c>
      <c r="F644" s="117">
        <v>46083.0</v>
      </c>
      <c r="G644" s="321">
        <f t="shared" si="18"/>
        <v>37.5</v>
      </c>
      <c r="H644" s="130" t="s">
        <v>72</v>
      </c>
      <c r="I644" s="250"/>
      <c r="J644" s="250"/>
      <c r="K644" s="250"/>
      <c r="Q644" s="250"/>
      <c r="R644" s="250"/>
      <c r="S644" s="250"/>
      <c r="T644" s="250"/>
      <c r="U644" s="250"/>
      <c r="V644" s="250"/>
      <c r="W644" s="250"/>
      <c r="X644" s="250"/>
      <c r="Y644" s="250"/>
      <c r="Z644" s="250"/>
    </row>
    <row r="645" ht="14.25" customHeight="1">
      <c r="A645" s="10" t="s">
        <v>1014</v>
      </c>
      <c r="B645" s="132"/>
      <c r="C645" s="6">
        <v>3.0</v>
      </c>
      <c r="D645" s="6">
        <v>50.0</v>
      </c>
      <c r="E645" s="129" t="s">
        <v>119</v>
      </c>
      <c r="F645" s="117">
        <v>46083.0</v>
      </c>
      <c r="G645" s="321">
        <f t="shared" si="18"/>
        <v>150</v>
      </c>
      <c r="H645" s="130" t="s">
        <v>72</v>
      </c>
      <c r="I645" s="250"/>
      <c r="J645" s="250"/>
      <c r="K645" s="250"/>
      <c r="N645" s="332"/>
      <c r="Q645" s="250"/>
      <c r="R645" s="250"/>
      <c r="S645" s="250"/>
      <c r="T645" s="250"/>
      <c r="U645" s="250"/>
      <c r="V645" s="250"/>
      <c r="W645" s="250"/>
      <c r="X645" s="250"/>
      <c r="Y645" s="250"/>
      <c r="Z645" s="250"/>
    </row>
    <row r="646" ht="14.25" customHeight="1">
      <c r="A646" s="10" t="s">
        <v>1284</v>
      </c>
      <c r="B646" s="132"/>
      <c r="C646" s="6">
        <v>1.0</v>
      </c>
      <c r="D646" s="6">
        <v>63.0</v>
      </c>
      <c r="E646" s="129" t="s">
        <v>119</v>
      </c>
      <c r="F646" s="117">
        <v>46083.0</v>
      </c>
      <c r="G646" s="321">
        <f t="shared" si="18"/>
        <v>63</v>
      </c>
      <c r="H646" s="130" t="s">
        <v>72</v>
      </c>
      <c r="I646" s="250"/>
      <c r="J646" s="250"/>
      <c r="K646" s="250"/>
      <c r="Q646" s="250"/>
      <c r="R646" s="250"/>
      <c r="S646" s="250"/>
      <c r="T646" s="250"/>
      <c r="U646" s="250"/>
      <c r="V646" s="250"/>
      <c r="W646" s="250"/>
      <c r="X646" s="250"/>
      <c r="Y646" s="250"/>
      <c r="Z646" s="250"/>
    </row>
    <row r="647" ht="14.25" customHeight="1">
      <c r="A647" s="10" t="s">
        <v>1271</v>
      </c>
      <c r="B647" s="132"/>
      <c r="C647" s="6">
        <v>1.0</v>
      </c>
      <c r="D647" s="6">
        <v>69.0</v>
      </c>
      <c r="E647" s="129" t="s">
        <v>119</v>
      </c>
      <c r="F647" s="117">
        <v>46083.0</v>
      </c>
      <c r="G647" s="321">
        <f t="shared" si="18"/>
        <v>69</v>
      </c>
      <c r="H647" s="130" t="s">
        <v>72</v>
      </c>
      <c r="I647" s="250"/>
      <c r="J647" s="250"/>
      <c r="K647" s="250"/>
      <c r="Q647" s="250"/>
      <c r="R647" s="250"/>
      <c r="S647" s="250"/>
      <c r="T647" s="250"/>
      <c r="U647" s="250"/>
      <c r="V647" s="250"/>
      <c r="W647" s="250"/>
      <c r="X647" s="250"/>
      <c r="Y647" s="250"/>
      <c r="Z647" s="250"/>
    </row>
    <row r="648" ht="14.25" customHeight="1">
      <c r="A648" s="10" t="s">
        <v>1206</v>
      </c>
      <c r="B648" s="132"/>
      <c r="C648" s="6">
        <v>1.0</v>
      </c>
      <c r="D648" s="6">
        <v>82.0</v>
      </c>
      <c r="E648" s="129" t="s">
        <v>119</v>
      </c>
      <c r="F648" s="117">
        <v>46083.0</v>
      </c>
      <c r="G648" s="321">
        <f t="shared" si="18"/>
        <v>82</v>
      </c>
      <c r="H648" s="130" t="s">
        <v>72</v>
      </c>
      <c r="I648" s="250"/>
      <c r="J648" s="250"/>
      <c r="K648" s="250"/>
      <c r="Q648" s="250"/>
      <c r="R648" s="250"/>
      <c r="S648" s="250"/>
      <c r="T648" s="250"/>
      <c r="U648" s="250"/>
      <c r="V648" s="250"/>
      <c r="W648" s="250"/>
      <c r="X648" s="250"/>
      <c r="Y648" s="250"/>
      <c r="Z648" s="250"/>
    </row>
    <row r="649" ht="14.25" customHeight="1">
      <c r="A649" s="106" t="s">
        <v>960</v>
      </c>
      <c r="B649" s="135"/>
      <c r="C649" s="96">
        <v>4.0</v>
      </c>
      <c r="D649" s="96">
        <v>80.0</v>
      </c>
      <c r="E649" s="136" t="s">
        <v>51</v>
      </c>
      <c r="F649" s="117">
        <v>46083.0</v>
      </c>
      <c r="G649" s="333">
        <f t="shared" si="18"/>
        <v>320</v>
      </c>
      <c r="H649" s="137" t="s">
        <v>72</v>
      </c>
      <c r="I649" s="250"/>
      <c r="J649" s="292"/>
      <c r="K649" s="292"/>
      <c r="L649" s="292"/>
      <c r="M649" s="292"/>
      <c r="N649" s="292"/>
      <c r="O649" s="292"/>
      <c r="P649" s="292"/>
      <c r="Q649" s="250"/>
      <c r="R649" s="250"/>
      <c r="S649" s="250"/>
      <c r="T649" s="250"/>
      <c r="U649" s="250"/>
      <c r="V649" s="250"/>
      <c r="W649" s="250"/>
      <c r="X649" s="250"/>
      <c r="Y649" s="250"/>
      <c r="Z649" s="250"/>
    </row>
    <row r="650" ht="14.25" customHeight="1">
      <c r="A650" s="106" t="s">
        <v>142</v>
      </c>
      <c r="B650" s="135"/>
      <c r="C650" s="96">
        <v>1.0</v>
      </c>
      <c r="D650" s="96">
        <v>300.0</v>
      </c>
      <c r="E650" s="136" t="s">
        <v>51</v>
      </c>
      <c r="F650" s="117">
        <v>46083.0</v>
      </c>
      <c r="G650" s="333">
        <f t="shared" si="18"/>
        <v>300</v>
      </c>
      <c r="H650" s="137" t="s">
        <v>72</v>
      </c>
      <c r="I650" s="250"/>
      <c r="L650" s="1"/>
      <c r="Q650" s="250"/>
      <c r="R650" s="250"/>
      <c r="S650" s="250"/>
      <c r="T650" s="250"/>
      <c r="U650" s="250"/>
      <c r="V650" s="250"/>
      <c r="W650" s="250"/>
      <c r="X650" s="250"/>
      <c r="Y650" s="250"/>
      <c r="Z650" s="250"/>
    </row>
    <row r="651" ht="14.25" customHeight="1">
      <c r="A651" s="106" t="s">
        <v>370</v>
      </c>
      <c r="B651" s="135"/>
      <c r="C651" s="96">
        <v>1.0</v>
      </c>
      <c r="D651" s="96">
        <v>240.0</v>
      </c>
      <c r="E651" s="136" t="s">
        <v>51</v>
      </c>
      <c r="F651" s="117">
        <v>46083.0</v>
      </c>
      <c r="G651" s="333">
        <f t="shared" si="18"/>
        <v>240</v>
      </c>
      <c r="H651" s="137" t="s">
        <v>72</v>
      </c>
      <c r="I651" s="250"/>
      <c r="L651" s="1"/>
      <c r="Q651" s="250"/>
      <c r="R651" s="250"/>
      <c r="S651" s="250"/>
      <c r="T651" s="250"/>
      <c r="U651" s="250"/>
      <c r="V651" s="250"/>
      <c r="W651" s="250"/>
      <c r="X651" s="250"/>
      <c r="Y651" s="250"/>
      <c r="Z651" s="250"/>
    </row>
    <row r="652" ht="14.25" customHeight="1">
      <c r="A652" s="106" t="s">
        <v>363</v>
      </c>
      <c r="B652" s="135"/>
      <c r="C652" s="96">
        <v>2.0</v>
      </c>
      <c r="D652" s="96">
        <v>95.0</v>
      </c>
      <c r="E652" s="136" t="s">
        <v>51</v>
      </c>
      <c r="F652" s="117">
        <v>46083.0</v>
      </c>
      <c r="G652" s="333">
        <f t="shared" si="18"/>
        <v>190</v>
      </c>
      <c r="H652" s="137" t="s">
        <v>72</v>
      </c>
      <c r="I652" s="250"/>
      <c r="L652" s="1"/>
      <c r="Q652" s="250"/>
      <c r="R652" s="250"/>
      <c r="S652" s="250"/>
      <c r="T652" s="250"/>
      <c r="U652" s="250"/>
      <c r="V652" s="250"/>
      <c r="W652" s="250"/>
      <c r="X652" s="250"/>
      <c r="Y652" s="250"/>
      <c r="Z652" s="250"/>
    </row>
    <row r="653" ht="14.25" customHeight="1">
      <c r="A653" s="106" t="s">
        <v>1285</v>
      </c>
      <c r="B653" s="135"/>
      <c r="C653" s="96">
        <v>4.0</v>
      </c>
      <c r="D653" s="96">
        <v>65.0</v>
      </c>
      <c r="E653" s="136" t="s">
        <v>51</v>
      </c>
      <c r="F653" s="117">
        <v>46083.0</v>
      </c>
      <c r="G653" s="333">
        <f t="shared" si="18"/>
        <v>260</v>
      </c>
      <c r="H653" s="137" t="s">
        <v>72</v>
      </c>
      <c r="I653" s="250"/>
      <c r="L653" s="1"/>
      <c r="Q653" s="250"/>
      <c r="R653" s="250"/>
      <c r="S653" s="250"/>
      <c r="T653" s="250"/>
      <c r="U653" s="250"/>
      <c r="V653" s="250"/>
      <c r="W653" s="250"/>
      <c r="X653" s="250"/>
      <c r="Y653" s="250"/>
      <c r="Z653" s="250"/>
    </row>
    <row r="654" ht="14.25" customHeight="1">
      <c r="A654" s="106" t="s">
        <v>1288</v>
      </c>
      <c r="B654" s="135"/>
      <c r="C654" s="96">
        <v>2.0</v>
      </c>
      <c r="D654" s="96">
        <v>65.0</v>
      </c>
      <c r="E654" s="136" t="s">
        <v>51</v>
      </c>
      <c r="F654" s="117">
        <v>46083.0</v>
      </c>
      <c r="G654" s="333">
        <f t="shared" si="18"/>
        <v>130</v>
      </c>
      <c r="H654" s="137" t="s">
        <v>72</v>
      </c>
      <c r="I654" s="250"/>
      <c r="L654" s="1"/>
      <c r="Q654" s="250"/>
      <c r="R654" s="250"/>
      <c r="S654" s="250"/>
      <c r="T654" s="250"/>
      <c r="U654" s="250"/>
      <c r="V654" s="250"/>
      <c r="W654" s="250"/>
      <c r="X654" s="250"/>
      <c r="Y654" s="250"/>
      <c r="Z654" s="250"/>
    </row>
    <row r="655" ht="14.25" customHeight="1">
      <c r="A655" s="106" t="s">
        <v>1290</v>
      </c>
      <c r="B655" s="135"/>
      <c r="C655" s="96">
        <v>2.0</v>
      </c>
      <c r="D655" s="96">
        <v>65.0</v>
      </c>
      <c r="E655" s="136" t="s">
        <v>51</v>
      </c>
      <c r="F655" s="117">
        <v>46083.0</v>
      </c>
      <c r="G655" s="333">
        <f t="shared" si="18"/>
        <v>130</v>
      </c>
      <c r="H655" s="137" t="s">
        <v>72</v>
      </c>
      <c r="I655" s="250"/>
      <c r="L655" s="1"/>
      <c r="Q655" s="250"/>
      <c r="R655" s="250"/>
      <c r="S655" s="250"/>
      <c r="T655" s="250"/>
      <c r="U655" s="250"/>
      <c r="V655" s="250"/>
      <c r="W655" s="250"/>
      <c r="X655" s="250"/>
      <c r="Y655" s="250"/>
      <c r="Z655" s="250"/>
    </row>
    <row r="656" ht="14.25" customHeight="1">
      <c r="A656" s="106" t="s">
        <v>769</v>
      </c>
      <c r="B656" s="135"/>
      <c r="C656" s="96">
        <v>2.0</v>
      </c>
      <c r="D656" s="96">
        <v>150.0</v>
      </c>
      <c r="E656" s="136" t="s">
        <v>51</v>
      </c>
      <c r="F656" s="117">
        <v>46083.0</v>
      </c>
      <c r="G656" s="333">
        <f t="shared" si="18"/>
        <v>300</v>
      </c>
      <c r="H656" s="137" t="s">
        <v>72</v>
      </c>
      <c r="I656" s="250"/>
      <c r="L656" s="1"/>
      <c r="Q656" s="250"/>
      <c r="R656" s="250"/>
      <c r="S656" s="250"/>
      <c r="T656" s="250"/>
      <c r="U656" s="250"/>
      <c r="V656" s="250"/>
      <c r="W656" s="250"/>
      <c r="X656" s="250"/>
      <c r="Y656" s="250"/>
      <c r="Z656" s="250"/>
    </row>
    <row r="657" ht="14.25" customHeight="1">
      <c r="A657" s="106" t="s">
        <v>946</v>
      </c>
      <c r="B657" s="135"/>
      <c r="C657" s="96">
        <v>48.0</v>
      </c>
      <c r="D657" s="96">
        <v>75.0</v>
      </c>
      <c r="E657" s="136" t="s">
        <v>51</v>
      </c>
      <c r="F657" s="117">
        <v>46083.0</v>
      </c>
      <c r="G657" s="333">
        <f t="shared" si="18"/>
        <v>3600</v>
      </c>
      <c r="H657" s="137" t="s">
        <v>72</v>
      </c>
      <c r="I657" s="250"/>
      <c r="L657" s="1"/>
      <c r="Q657" s="250"/>
      <c r="R657" s="250"/>
      <c r="S657" s="250"/>
      <c r="T657" s="250"/>
      <c r="U657" s="250"/>
      <c r="V657" s="250"/>
      <c r="W657" s="250"/>
      <c r="X657" s="250"/>
      <c r="Y657" s="250"/>
      <c r="Z657" s="250"/>
    </row>
    <row r="658" ht="14.25" customHeight="1">
      <c r="A658" s="106" t="s">
        <v>593</v>
      </c>
      <c r="B658" s="135"/>
      <c r="C658" s="96">
        <v>12.0</v>
      </c>
      <c r="D658" s="96">
        <v>50.0</v>
      </c>
      <c r="E658" s="136" t="s">
        <v>51</v>
      </c>
      <c r="F658" s="117">
        <v>46083.0</v>
      </c>
      <c r="G658" s="333">
        <f t="shared" si="18"/>
        <v>600</v>
      </c>
      <c r="H658" s="137" t="s">
        <v>72</v>
      </c>
      <c r="I658" s="250"/>
      <c r="L658" s="1"/>
      <c r="Q658" s="250"/>
      <c r="R658" s="250"/>
      <c r="S658" s="250"/>
      <c r="T658" s="250"/>
      <c r="U658" s="250"/>
      <c r="V658" s="250"/>
      <c r="W658" s="250"/>
      <c r="X658" s="250"/>
      <c r="Y658" s="250"/>
      <c r="Z658" s="250"/>
    </row>
    <row r="659" ht="14.25" customHeight="1">
      <c r="A659" s="106" t="s">
        <v>599</v>
      </c>
      <c r="B659" s="135"/>
      <c r="C659" s="96">
        <v>4.0</v>
      </c>
      <c r="D659" s="96">
        <v>125.0</v>
      </c>
      <c r="E659" s="136" t="s">
        <v>51</v>
      </c>
      <c r="F659" s="117">
        <v>46083.0</v>
      </c>
      <c r="G659" s="333">
        <f t="shared" si="18"/>
        <v>500</v>
      </c>
      <c r="H659" s="137" t="s">
        <v>72</v>
      </c>
      <c r="I659" s="250"/>
      <c r="L659" s="1"/>
      <c r="Q659" s="250"/>
      <c r="R659" s="250"/>
      <c r="S659" s="250"/>
      <c r="T659" s="250"/>
      <c r="U659" s="250"/>
      <c r="V659" s="250"/>
      <c r="W659" s="250"/>
      <c r="X659" s="250"/>
      <c r="Y659" s="250"/>
      <c r="Z659" s="250"/>
    </row>
    <row r="660" ht="14.25" customHeight="1">
      <c r="A660" s="106" t="s">
        <v>607</v>
      </c>
      <c r="B660" s="135"/>
      <c r="C660" s="96">
        <v>2.0</v>
      </c>
      <c r="D660" s="96">
        <v>125.0</v>
      </c>
      <c r="E660" s="136" t="s">
        <v>51</v>
      </c>
      <c r="F660" s="117">
        <v>46083.0</v>
      </c>
      <c r="G660" s="333">
        <f t="shared" si="18"/>
        <v>250</v>
      </c>
      <c r="H660" s="137" t="s">
        <v>72</v>
      </c>
      <c r="I660" s="250"/>
      <c r="L660" s="1"/>
      <c r="Q660" s="250"/>
      <c r="R660" s="250"/>
      <c r="S660" s="250"/>
      <c r="T660" s="250"/>
      <c r="U660" s="250"/>
      <c r="V660" s="250"/>
      <c r="W660" s="250"/>
      <c r="X660" s="250"/>
      <c r="Y660" s="250"/>
      <c r="Z660" s="250"/>
    </row>
    <row r="661" ht="14.25" customHeight="1">
      <c r="A661" s="106" t="s">
        <v>571</v>
      </c>
      <c r="B661" s="137" t="s">
        <v>1310</v>
      </c>
      <c r="C661" s="96">
        <v>2.0</v>
      </c>
      <c r="D661" s="96">
        <v>175.0</v>
      </c>
      <c r="E661" s="136" t="s">
        <v>51</v>
      </c>
      <c r="F661" s="117">
        <v>46083.0</v>
      </c>
      <c r="G661" s="333">
        <f t="shared" si="18"/>
        <v>350</v>
      </c>
      <c r="H661" s="137" t="s">
        <v>72</v>
      </c>
      <c r="I661" s="250"/>
      <c r="L661" s="1"/>
      <c r="Q661" s="250"/>
      <c r="R661" s="250"/>
      <c r="S661" s="250"/>
      <c r="T661" s="250"/>
      <c r="U661" s="250"/>
      <c r="V661" s="250"/>
      <c r="W661" s="250"/>
      <c r="X661" s="250"/>
      <c r="Y661" s="250"/>
      <c r="Z661" s="250"/>
    </row>
    <row r="662" ht="14.25" customHeight="1">
      <c r="A662" s="106" t="s">
        <v>419</v>
      </c>
      <c r="B662" s="135"/>
      <c r="C662" s="96">
        <v>2.0</v>
      </c>
      <c r="D662" s="96">
        <v>225.0</v>
      </c>
      <c r="E662" s="136" t="s">
        <v>51</v>
      </c>
      <c r="F662" s="117">
        <v>46083.0</v>
      </c>
      <c r="G662" s="333">
        <f t="shared" si="18"/>
        <v>450</v>
      </c>
      <c r="H662" s="137" t="s">
        <v>72</v>
      </c>
      <c r="I662" s="250"/>
      <c r="L662" s="1"/>
      <c r="Q662" s="250"/>
      <c r="R662" s="250"/>
      <c r="S662" s="250"/>
      <c r="T662" s="250"/>
      <c r="U662" s="250"/>
      <c r="V662" s="250"/>
      <c r="W662" s="250"/>
      <c r="X662" s="250"/>
      <c r="Y662" s="250"/>
      <c r="Z662" s="250"/>
    </row>
    <row r="663" ht="14.25" customHeight="1">
      <c r="A663" s="106" t="s">
        <v>423</v>
      </c>
      <c r="B663" s="135"/>
      <c r="C663" s="96">
        <v>2.0</v>
      </c>
      <c r="D663" s="96">
        <v>225.0</v>
      </c>
      <c r="E663" s="136" t="s">
        <v>51</v>
      </c>
      <c r="F663" s="117">
        <v>46083.0</v>
      </c>
      <c r="G663" s="333">
        <f t="shared" si="18"/>
        <v>450</v>
      </c>
      <c r="H663" s="137" t="s">
        <v>72</v>
      </c>
      <c r="I663" s="250"/>
      <c r="L663" s="1"/>
      <c r="Q663" s="250"/>
      <c r="R663" s="250"/>
      <c r="S663" s="250"/>
      <c r="T663" s="250"/>
      <c r="U663" s="250"/>
      <c r="V663" s="250"/>
      <c r="W663" s="250"/>
      <c r="X663" s="250"/>
      <c r="Y663" s="250"/>
      <c r="Z663" s="250"/>
    </row>
    <row r="664" ht="14.25" customHeight="1">
      <c r="A664" s="250"/>
      <c r="B664" s="250"/>
      <c r="C664" s="250"/>
      <c r="D664" s="254"/>
      <c r="E664" s="250"/>
      <c r="F664" s="250"/>
      <c r="G664" s="250"/>
      <c r="H664" s="250"/>
      <c r="I664" s="250"/>
      <c r="J664" s="250"/>
      <c r="K664" s="250"/>
      <c r="L664" s="1"/>
      <c r="M664" s="331"/>
      <c r="N664" s="331"/>
      <c r="P664" s="1"/>
      <c r="Q664" s="250"/>
      <c r="R664" s="250"/>
      <c r="S664" s="250"/>
      <c r="T664" s="250"/>
      <c r="U664" s="250"/>
      <c r="V664" s="250"/>
      <c r="W664" s="250"/>
      <c r="X664" s="250"/>
      <c r="Y664" s="250"/>
      <c r="Z664" s="250"/>
    </row>
    <row r="665" ht="14.25" customHeight="1">
      <c r="A665" s="250"/>
      <c r="B665" s="250"/>
      <c r="C665" s="250"/>
      <c r="D665" s="254"/>
      <c r="E665" s="250"/>
      <c r="F665" s="250"/>
      <c r="G665" s="250"/>
      <c r="H665" s="250"/>
      <c r="I665" s="250"/>
      <c r="J665" s="250"/>
      <c r="K665" s="250"/>
      <c r="L665" s="250"/>
      <c r="M665" s="250"/>
      <c r="N665" s="250"/>
      <c r="O665" s="250"/>
      <c r="P665" s="250"/>
      <c r="Q665" s="250"/>
      <c r="R665" s="250"/>
      <c r="S665" s="250"/>
      <c r="T665" s="250"/>
      <c r="U665" s="250"/>
      <c r="V665" s="250"/>
      <c r="W665" s="250"/>
      <c r="X665" s="250"/>
      <c r="Y665" s="250"/>
      <c r="Z665" s="250"/>
    </row>
    <row r="666" ht="14.25" customHeight="1">
      <c r="A666" s="280" t="s">
        <v>4369</v>
      </c>
      <c r="B666" s="280" t="s">
        <v>4350</v>
      </c>
      <c r="C666" s="280" t="s">
        <v>4352</v>
      </c>
      <c r="D666" s="281" t="s">
        <v>4370</v>
      </c>
      <c r="E666" s="280" t="s">
        <v>4433</v>
      </c>
      <c r="F666" s="280" t="s">
        <v>4372</v>
      </c>
      <c r="G666" s="280" t="s">
        <v>4353</v>
      </c>
      <c r="H666" s="108" t="s">
        <v>4891</v>
      </c>
      <c r="I666" s="250"/>
      <c r="J666" s="250"/>
      <c r="K666" s="250"/>
      <c r="L666" s="250"/>
      <c r="M666" s="250"/>
      <c r="N666" s="250"/>
      <c r="O666" s="250"/>
      <c r="P666" s="250"/>
      <c r="Q666" s="250"/>
      <c r="R666" s="250"/>
      <c r="S666" s="250"/>
      <c r="T666" s="250"/>
      <c r="U666" s="250"/>
      <c r="V666" s="250"/>
      <c r="W666" s="250"/>
      <c r="X666" s="250"/>
      <c r="Y666" s="250"/>
      <c r="Z666" s="250"/>
    </row>
    <row r="667" ht="14.25" customHeight="1">
      <c r="A667" s="140" t="s">
        <v>166</v>
      </c>
      <c r="B667" s="70" t="s">
        <v>167</v>
      </c>
      <c r="C667" s="93">
        <v>3.0</v>
      </c>
      <c r="D667" s="336">
        <v>400.0</v>
      </c>
      <c r="E667" s="70" t="s">
        <v>154</v>
      </c>
      <c r="F667" s="139">
        <v>46095.0</v>
      </c>
      <c r="G667" s="337">
        <f t="shared" ref="G667:G755" si="20">D667*C667</f>
        <v>1200</v>
      </c>
      <c r="H667" s="93" t="s">
        <v>72</v>
      </c>
      <c r="I667" s="250"/>
      <c r="J667" s="250"/>
      <c r="K667" s="250"/>
      <c r="L667" s="250"/>
      <c r="M667" s="250"/>
      <c r="N667" s="250"/>
      <c r="O667" s="250"/>
      <c r="P667" s="250"/>
      <c r="Q667" s="250"/>
      <c r="R667" s="250"/>
      <c r="S667" s="250"/>
      <c r="T667" s="250"/>
      <c r="U667" s="250"/>
      <c r="V667" s="250"/>
      <c r="W667" s="250"/>
      <c r="X667" s="250"/>
      <c r="Y667" s="250"/>
      <c r="Z667" s="250"/>
    </row>
    <row r="668" ht="14.25" customHeight="1">
      <c r="A668" s="140" t="s">
        <v>275</v>
      </c>
      <c r="B668" s="70" t="s">
        <v>167</v>
      </c>
      <c r="C668" s="93">
        <v>2.0</v>
      </c>
      <c r="D668" s="336">
        <v>300.0</v>
      </c>
      <c r="E668" s="70" t="s">
        <v>154</v>
      </c>
      <c r="F668" s="139">
        <v>46095.0</v>
      </c>
      <c r="G668" s="337">
        <f t="shared" si="20"/>
        <v>600</v>
      </c>
      <c r="H668" s="93" t="s">
        <v>72</v>
      </c>
      <c r="I668" s="250"/>
      <c r="J668" s="250"/>
      <c r="K668" s="250"/>
      <c r="L668" s="250"/>
      <c r="M668" s="250"/>
      <c r="N668" s="250"/>
      <c r="O668" s="250"/>
      <c r="P668" s="250"/>
      <c r="Q668" s="250"/>
      <c r="R668" s="250"/>
      <c r="S668" s="250"/>
      <c r="T668" s="250"/>
      <c r="U668" s="250"/>
      <c r="V668" s="250"/>
      <c r="W668" s="250"/>
      <c r="X668" s="250"/>
      <c r="Y668" s="250"/>
      <c r="Z668" s="250"/>
    </row>
    <row r="669" ht="14.25" customHeight="1">
      <c r="A669" s="140" t="s">
        <v>345</v>
      </c>
      <c r="B669" s="70" t="s">
        <v>167</v>
      </c>
      <c r="C669" s="93">
        <v>2.0</v>
      </c>
      <c r="D669" s="336">
        <v>250.0</v>
      </c>
      <c r="E669" s="70" t="s">
        <v>154</v>
      </c>
      <c r="F669" s="139">
        <v>46095.0</v>
      </c>
      <c r="G669" s="337">
        <f t="shared" si="20"/>
        <v>500</v>
      </c>
      <c r="H669" s="93" t="s">
        <v>72</v>
      </c>
      <c r="I669" s="250"/>
      <c r="J669" s="250"/>
      <c r="K669" s="250"/>
      <c r="L669" s="250"/>
      <c r="M669" s="250"/>
      <c r="N669" s="250"/>
      <c r="O669" s="250"/>
      <c r="P669" s="250"/>
      <c r="Q669" s="250"/>
      <c r="R669" s="250"/>
      <c r="S669" s="250"/>
      <c r="T669" s="250"/>
      <c r="U669" s="250"/>
      <c r="V669" s="250"/>
      <c r="W669" s="250"/>
      <c r="X669" s="250"/>
      <c r="Y669" s="250"/>
      <c r="Z669" s="250"/>
    </row>
    <row r="670" ht="14.25" customHeight="1">
      <c r="A670" s="140" t="s">
        <v>902</v>
      </c>
      <c r="B670" s="70" t="s">
        <v>1036</v>
      </c>
      <c r="C670" s="93">
        <v>6.0</v>
      </c>
      <c r="D670" s="336">
        <v>85.0</v>
      </c>
      <c r="E670" s="70" t="s">
        <v>154</v>
      </c>
      <c r="F670" s="139">
        <v>46095.0</v>
      </c>
      <c r="G670" s="337">
        <f t="shared" si="20"/>
        <v>510</v>
      </c>
      <c r="H670" s="93" t="s">
        <v>72</v>
      </c>
      <c r="I670" s="250"/>
      <c r="J670" s="250"/>
      <c r="K670" s="250"/>
      <c r="L670" s="250"/>
      <c r="M670" s="250"/>
      <c r="N670" s="250"/>
      <c r="O670" s="250"/>
      <c r="P670" s="250"/>
      <c r="Q670" s="250"/>
      <c r="R670" s="250"/>
      <c r="S670" s="250"/>
      <c r="T670" s="250"/>
      <c r="U670" s="250"/>
      <c r="V670" s="250"/>
      <c r="W670" s="250"/>
      <c r="X670" s="250"/>
      <c r="Y670" s="250"/>
      <c r="Z670" s="250"/>
    </row>
    <row r="671" ht="14.25" customHeight="1">
      <c r="A671" s="140" t="s">
        <v>177</v>
      </c>
      <c r="B671" s="70" t="s">
        <v>167</v>
      </c>
      <c r="C671" s="93">
        <v>12.0</v>
      </c>
      <c r="D671" s="336">
        <v>75.0</v>
      </c>
      <c r="E671" s="70" t="s">
        <v>154</v>
      </c>
      <c r="F671" s="139">
        <v>46095.0</v>
      </c>
      <c r="G671" s="337">
        <f t="shared" si="20"/>
        <v>900</v>
      </c>
      <c r="H671" s="93" t="s">
        <v>72</v>
      </c>
      <c r="I671" s="250"/>
      <c r="J671" s="250"/>
      <c r="K671" s="250"/>
      <c r="L671" s="250"/>
      <c r="M671" s="250"/>
      <c r="N671" s="250"/>
      <c r="O671" s="250"/>
      <c r="P671" s="250"/>
      <c r="Q671" s="250"/>
      <c r="R671" s="250"/>
      <c r="S671" s="250"/>
      <c r="T671" s="250"/>
      <c r="U671" s="250"/>
      <c r="V671" s="250"/>
      <c r="W671" s="250"/>
      <c r="X671" s="250"/>
      <c r="Y671" s="250"/>
      <c r="Z671" s="250"/>
    </row>
    <row r="672" ht="14.25" customHeight="1">
      <c r="A672" s="140" t="s">
        <v>1049</v>
      </c>
      <c r="B672" s="70" t="s">
        <v>167</v>
      </c>
      <c r="C672" s="93">
        <v>6.0</v>
      </c>
      <c r="D672" s="336">
        <v>95.0</v>
      </c>
      <c r="E672" s="70" t="s">
        <v>154</v>
      </c>
      <c r="F672" s="139">
        <v>46095.0</v>
      </c>
      <c r="G672" s="337">
        <f t="shared" si="20"/>
        <v>570</v>
      </c>
      <c r="H672" s="93" t="s">
        <v>72</v>
      </c>
      <c r="I672" s="250"/>
      <c r="J672" s="250"/>
      <c r="K672" s="250"/>
      <c r="L672" s="250"/>
      <c r="M672" s="250"/>
      <c r="N672" s="250"/>
      <c r="O672" s="250"/>
      <c r="P672" s="250"/>
      <c r="Q672" s="250"/>
      <c r="R672" s="250"/>
      <c r="S672" s="250"/>
      <c r="T672" s="250"/>
      <c r="U672" s="250"/>
      <c r="V672" s="250"/>
      <c r="W672" s="250"/>
      <c r="X672" s="250"/>
      <c r="Y672" s="250"/>
      <c r="Z672" s="250"/>
    </row>
    <row r="673" ht="14.25" customHeight="1">
      <c r="A673" s="140" t="s">
        <v>268</v>
      </c>
      <c r="B673" s="70" t="s">
        <v>30</v>
      </c>
      <c r="C673" s="93">
        <v>6.0</v>
      </c>
      <c r="D673" s="336">
        <v>180.0</v>
      </c>
      <c r="E673" s="70" t="s">
        <v>154</v>
      </c>
      <c r="F673" s="139">
        <v>46095.0</v>
      </c>
      <c r="G673" s="337">
        <f t="shared" si="20"/>
        <v>1080</v>
      </c>
      <c r="H673" s="93" t="s">
        <v>72</v>
      </c>
      <c r="I673" s="250"/>
      <c r="J673" s="250"/>
      <c r="K673" s="250"/>
      <c r="L673" s="250"/>
      <c r="M673" s="250"/>
      <c r="N673" s="250"/>
      <c r="O673" s="250"/>
      <c r="P673" s="250"/>
      <c r="Q673" s="250"/>
      <c r="R673" s="250"/>
      <c r="S673" s="250"/>
      <c r="T673" s="250"/>
      <c r="U673" s="250"/>
      <c r="V673" s="250"/>
      <c r="W673" s="250"/>
      <c r="X673" s="250"/>
      <c r="Y673" s="250"/>
      <c r="Z673" s="250"/>
    </row>
    <row r="674" ht="14.25" customHeight="1">
      <c r="A674" s="140" t="s">
        <v>871</v>
      </c>
      <c r="B674" s="70" t="s">
        <v>30</v>
      </c>
      <c r="C674" s="93">
        <v>6.0</v>
      </c>
      <c r="D674" s="336">
        <v>95.0</v>
      </c>
      <c r="E674" s="70" t="s">
        <v>154</v>
      </c>
      <c r="F674" s="139">
        <v>46095.0</v>
      </c>
      <c r="G674" s="337">
        <f t="shared" si="20"/>
        <v>570</v>
      </c>
      <c r="H674" s="93" t="s">
        <v>72</v>
      </c>
      <c r="I674" s="250"/>
      <c r="J674" s="250"/>
      <c r="K674" s="250"/>
      <c r="L674" s="250"/>
      <c r="M674" s="250"/>
      <c r="N674" s="250"/>
      <c r="O674" s="250"/>
      <c r="P674" s="250"/>
      <c r="Q674" s="250"/>
      <c r="R674" s="250"/>
      <c r="S674" s="250"/>
      <c r="T674" s="250"/>
      <c r="U674" s="250"/>
      <c r="V674" s="250"/>
      <c r="W674" s="250"/>
      <c r="X674" s="250"/>
      <c r="Y674" s="250"/>
      <c r="Z674" s="250"/>
    </row>
    <row r="675" ht="14.25" customHeight="1">
      <c r="A675" s="140" t="s">
        <v>915</v>
      </c>
      <c r="B675" s="70" t="s">
        <v>30</v>
      </c>
      <c r="C675" s="93">
        <v>4.0</v>
      </c>
      <c r="D675" s="336">
        <v>110.0</v>
      </c>
      <c r="E675" s="70" t="s">
        <v>154</v>
      </c>
      <c r="F675" s="139">
        <v>46095.0</v>
      </c>
      <c r="G675" s="337">
        <f t="shared" si="20"/>
        <v>440</v>
      </c>
      <c r="H675" s="93" t="s">
        <v>72</v>
      </c>
      <c r="I675" s="250"/>
      <c r="J675" s="250"/>
      <c r="K675" s="250"/>
      <c r="L675" s="250"/>
      <c r="M675" s="250"/>
      <c r="N675" s="250"/>
      <c r="O675" s="250"/>
      <c r="P675" s="250"/>
      <c r="Q675" s="250"/>
      <c r="R675" s="250"/>
      <c r="S675" s="250"/>
      <c r="T675" s="250"/>
      <c r="U675" s="250"/>
      <c r="V675" s="250"/>
      <c r="W675" s="250"/>
      <c r="X675" s="250"/>
      <c r="Y675" s="250"/>
      <c r="Z675" s="250"/>
    </row>
    <row r="676" ht="14.25" customHeight="1">
      <c r="A676" s="140" t="s">
        <v>788</v>
      </c>
      <c r="B676" s="70" t="s">
        <v>30</v>
      </c>
      <c r="C676" s="93">
        <v>6.0</v>
      </c>
      <c r="D676" s="336">
        <v>90.0</v>
      </c>
      <c r="E676" s="70" t="s">
        <v>154</v>
      </c>
      <c r="F676" s="139">
        <v>46095.0</v>
      </c>
      <c r="G676" s="337">
        <f t="shared" si="20"/>
        <v>540</v>
      </c>
      <c r="H676" s="93" t="s">
        <v>72</v>
      </c>
      <c r="I676" s="250"/>
      <c r="J676" s="250"/>
      <c r="K676" s="250"/>
      <c r="L676" s="250"/>
      <c r="M676" s="250"/>
      <c r="N676" s="250"/>
      <c r="O676" s="250"/>
      <c r="P676" s="250"/>
      <c r="Q676" s="250"/>
      <c r="R676" s="250"/>
      <c r="S676" s="250"/>
      <c r="T676" s="250"/>
      <c r="U676" s="250"/>
      <c r="V676" s="250"/>
      <c r="W676" s="250"/>
      <c r="X676" s="250"/>
      <c r="Y676" s="250"/>
      <c r="Z676" s="250"/>
    </row>
    <row r="677" ht="14.25" customHeight="1">
      <c r="A677" s="140" t="s">
        <v>236</v>
      </c>
      <c r="B677" s="70" t="s">
        <v>568</v>
      </c>
      <c r="C677" s="93">
        <v>6.0</v>
      </c>
      <c r="D677" s="336">
        <v>175.0</v>
      </c>
      <c r="E677" s="70" t="s">
        <v>154</v>
      </c>
      <c r="F677" s="139">
        <v>46095.0</v>
      </c>
      <c r="G677" s="337">
        <f t="shared" si="20"/>
        <v>1050</v>
      </c>
      <c r="H677" s="93" t="s">
        <v>72</v>
      </c>
      <c r="I677" s="250"/>
      <c r="J677" s="250"/>
      <c r="K677" s="250"/>
      <c r="L677" s="250"/>
      <c r="M677" s="250"/>
      <c r="N677" s="250"/>
      <c r="O677" s="250"/>
      <c r="P677" s="250"/>
      <c r="Q677" s="250"/>
      <c r="R677" s="250"/>
      <c r="S677" s="250"/>
      <c r="T677" s="250"/>
      <c r="U677" s="250"/>
      <c r="V677" s="250"/>
      <c r="W677" s="250"/>
      <c r="X677" s="250"/>
      <c r="Y677" s="250"/>
      <c r="Z677" s="250"/>
    </row>
    <row r="678" ht="14.25" customHeight="1">
      <c r="A678" s="140" t="s">
        <v>248</v>
      </c>
      <c r="B678" s="70" t="s">
        <v>238</v>
      </c>
      <c r="C678" s="93">
        <v>6.0</v>
      </c>
      <c r="D678" s="336">
        <v>100.0</v>
      </c>
      <c r="E678" s="70" t="s">
        <v>154</v>
      </c>
      <c r="F678" s="139">
        <v>46095.0</v>
      </c>
      <c r="G678" s="337">
        <f t="shared" si="20"/>
        <v>600</v>
      </c>
      <c r="H678" s="93" t="s">
        <v>72</v>
      </c>
      <c r="I678" s="250"/>
      <c r="J678" s="250"/>
      <c r="K678" s="250"/>
      <c r="L678" s="250"/>
      <c r="M678" s="250"/>
      <c r="N678" s="250"/>
      <c r="O678" s="250"/>
      <c r="P678" s="250"/>
      <c r="Q678" s="250"/>
      <c r="R678" s="250"/>
      <c r="S678" s="250"/>
      <c r="T678" s="250"/>
      <c r="U678" s="250"/>
      <c r="V678" s="250"/>
      <c r="W678" s="250"/>
      <c r="X678" s="250"/>
      <c r="Y678" s="250"/>
      <c r="Z678" s="250"/>
    </row>
    <row r="679" ht="14.25" customHeight="1">
      <c r="A679" s="140" t="s">
        <v>852</v>
      </c>
      <c r="B679" s="70" t="s">
        <v>238</v>
      </c>
      <c r="C679" s="93">
        <v>48.0</v>
      </c>
      <c r="D679" s="338">
        <f>150/12</f>
        <v>12.5</v>
      </c>
      <c r="E679" s="70" t="s">
        <v>154</v>
      </c>
      <c r="F679" s="139">
        <v>46095.0</v>
      </c>
      <c r="G679" s="337">
        <f t="shared" si="20"/>
        <v>600</v>
      </c>
      <c r="H679" s="93" t="s">
        <v>72</v>
      </c>
      <c r="I679" s="250"/>
      <c r="J679" s="250"/>
      <c r="K679" s="250"/>
      <c r="L679" s="250"/>
      <c r="M679" s="250"/>
      <c r="N679" s="250"/>
      <c r="O679" s="250"/>
      <c r="P679" s="250"/>
      <c r="Q679" s="250"/>
      <c r="R679" s="250"/>
      <c r="S679" s="250"/>
      <c r="T679" s="250"/>
      <c r="U679" s="250"/>
      <c r="V679" s="250"/>
      <c r="W679" s="250"/>
      <c r="X679" s="250"/>
      <c r="Y679" s="250"/>
      <c r="Z679" s="250"/>
    </row>
    <row r="680" ht="14.25" customHeight="1">
      <c r="A680" s="140" t="s">
        <v>159</v>
      </c>
      <c r="B680" s="70" t="s">
        <v>50</v>
      </c>
      <c r="C680" s="93">
        <v>2.0</v>
      </c>
      <c r="D680" s="336">
        <v>250.0</v>
      </c>
      <c r="E680" s="70" t="s">
        <v>154</v>
      </c>
      <c r="F680" s="139">
        <v>46095.0</v>
      </c>
      <c r="G680" s="337">
        <f t="shared" si="20"/>
        <v>500</v>
      </c>
      <c r="H680" s="93" t="s">
        <v>72</v>
      </c>
      <c r="I680" s="250"/>
      <c r="J680" s="250"/>
      <c r="K680" s="250"/>
      <c r="L680" s="250"/>
      <c r="M680" s="250"/>
      <c r="N680" s="250"/>
      <c r="O680" s="250"/>
      <c r="P680" s="250"/>
      <c r="Q680" s="250"/>
      <c r="R680" s="250"/>
      <c r="S680" s="250"/>
      <c r="T680" s="250"/>
      <c r="U680" s="250"/>
      <c r="V680" s="250"/>
      <c r="W680" s="250"/>
      <c r="X680" s="250"/>
      <c r="Y680" s="250"/>
      <c r="Z680" s="250"/>
    </row>
    <row r="681" ht="14.25" customHeight="1">
      <c r="A681" s="140" t="s">
        <v>100</v>
      </c>
      <c r="B681" s="70" t="s">
        <v>50</v>
      </c>
      <c r="C681" s="93">
        <v>4.0</v>
      </c>
      <c r="D681" s="336">
        <v>400.0</v>
      </c>
      <c r="E681" s="70" t="s">
        <v>154</v>
      </c>
      <c r="F681" s="139">
        <v>46095.0</v>
      </c>
      <c r="G681" s="337">
        <f t="shared" si="20"/>
        <v>1600</v>
      </c>
      <c r="H681" s="93" t="s">
        <v>72</v>
      </c>
      <c r="I681" s="250"/>
      <c r="J681" s="250"/>
      <c r="K681" s="250"/>
      <c r="L681" s="250"/>
      <c r="M681" s="250"/>
      <c r="N681" s="250"/>
      <c r="O681" s="250"/>
      <c r="P681" s="250"/>
      <c r="Q681" s="250"/>
      <c r="R681" s="250"/>
      <c r="S681" s="250"/>
      <c r="T681" s="250"/>
      <c r="U681" s="250"/>
      <c r="V681" s="250"/>
      <c r="W681" s="250"/>
      <c r="X681" s="250"/>
      <c r="Y681" s="250"/>
      <c r="Z681" s="250"/>
    </row>
    <row r="682" ht="14.25" customHeight="1">
      <c r="A682" s="140" t="s">
        <v>918</v>
      </c>
      <c r="B682" s="70" t="s">
        <v>472</v>
      </c>
      <c r="C682" s="93">
        <v>18.0</v>
      </c>
      <c r="D682" s="336">
        <v>150.0</v>
      </c>
      <c r="E682" s="70" t="s">
        <v>154</v>
      </c>
      <c r="F682" s="139">
        <v>46095.0</v>
      </c>
      <c r="G682" s="337">
        <f t="shared" si="20"/>
        <v>2700</v>
      </c>
      <c r="H682" s="93" t="s">
        <v>72</v>
      </c>
      <c r="I682" s="250"/>
      <c r="J682" s="250"/>
      <c r="K682" s="250"/>
      <c r="L682" s="250"/>
      <c r="M682" s="250"/>
      <c r="N682" s="250"/>
      <c r="O682" s="250"/>
      <c r="P682" s="250"/>
      <c r="Q682" s="250"/>
      <c r="R682" s="250"/>
      <c r="S682" s="250"/>
      <c r="T682" s="250"/>
      <c r="U682" s="250"/>
      <c r="V682" s="250"/>
      <c r="W682" s="250"/>
      <c r="X682" s="250"/>
      <c r="Y682" s="250"/>
      <c r="Z682" s="250"/>
    </row>
    <row r="683" ht="14.25" customHeight="1">
      <c r="A683" s="140" t="s">
        <v>812</v>
      </c>
      <c r="B683" s="70" t="s">
        <v>753</v>
      </c>
      <c r="C683" s="93">
        <v>50.0</v>
      </c>
      <c r="D683" s="336">
        <v>15.0</v>
      </c>
      <c r="E683" s="70" t="s">
        <v>154</v>
      </c>
      <c r="F683" s="139">
        <v>46095.0</v>
      </c>
      <c r="G683" s="337">
        <f t="shared" si="20"/>
        <v>750</v>
      </c>
      <c r="H683" s="93" t="s">
        <v>72</v>
      </c>
      <c r="I683" s="250"/>
      <c r="J683" s="250"/>
      <c r="K683" s="250"/>
      <c r="L683" s="250"/>
      <c r="M683" s="250"/>
      <c r="N683" s="250"/>
      <c r="O683" s="250"/>
      <c r="P683" s="250"/>
      <c r="Q683" s="250"/>
      <c r="R683" s="250"/>
      <c r="S683" s="250"/>
      <c r="T683" s="250"/>
      <c r="U683" s="250"/>
      <c r="V683" s="250"/>
      <c r="W683" s="250"/>
      <c r="X683" s="250"/>
      <c r="Y683" s="250"/>
      <c r="Z683" s="250"/>
    </row>
    <row r="684" ht="14.25" customHeight="1">
      <c r="A684" s="140" t="s">
        <v>1166</v>
      </c>
      <c r="B684" s="70" t="s">
        <v>472</v>
      </c>
      <c r="C684" s="93">
        <v>12.0</v>
      </c>
      <c r="D684" s="336">
        <v>65.0</v>
      </c>
      <c r="E684" s="70" t="s">
        <v>154</v>
      </c>
      <c r="F684" s="139">
        <v>46095.0</v>
      </c>
      <c r="G684" s="337">
        <f t="shared" si="20"/>
        <v>780</v>
      </c>
      <c r="H684" s="93" t="s">
        <v>72</v>
      </c>
      <c r="I684" s="250"/>
      <c r="J684" s="250"/>
      <c r="K684" s="250"/>
      <c r="L684" s="250"/>
      <c r="M684" s="250"/>
      <c r="N684" s="250"/>
      <c r="O684" s="250"/>
      <c r="P684" s="250"/>
      <c r="Q684" s="250"/>
      <c r="R684" s="250"/>
      <c r="S684" s="250"/>
      <c r="T684" s="250"/>
      <c r="U684" s="250"/>
      <c r="V684" s="250"/>
      <c r="W684" s="250"/>
      <c r="X684" s="250"/>
      <c r="Y684" s="250"/>
      <c r="Z684" s="250"/>
    </row>
    <row r="685" ht="14.25" customHeight="1">
      <c r="A685" s="140" t="s">
        <v>1021</v>
      </c>
      <c r="B685" s="70" t="s">
        <v>1023</v>
      </c>
      <c r="C685" s="93">
        <v>10.0</v>
      </c>
      <c r="D685" s="336">
        <v>115.0</v>
      </c>
      <c r="E685" s="70" t="s">
        <v>125</v>
      </c>
      <c r="F685" s="139">
        <v>46095.0</v>
      </c>
      <c r="G685" s="337">
        <f t="shared" si="20"/>
        <v>1150</v>
      </c>
      <c r="H685" s="93" t="s">
        <v>72</v>
      </c>
      <c r="I685" s="250"/>
      <c r="J685" s="250"/>
      <c r="K685" s="250"/>
      <c r="L685" s="250"/>
      <c r="M685" s="250"/>
      <c r="N685" s="250"/>
      <c r="O685" s="250"/>
      <c r="P685" s="250"/>
      <c r="Q685" s="250"/>
      <c r="R685" s="250"/>
      <c r="S685" s="250"/>
      <c r="T685" s="250"/>
      <c r="U685" s="250"/>
      <c r="V685" s="250"/>
      <c r="W685" s="250"/>
      <c r="X685" s="250"/>
      <c r="Y685" s="250"/>
      <c r="Z685" s="250"/>
    </row>
    <row r="686" ht="14.25" customHeight="1">
      <c r="A686" s="140" t="s">
        <v>593</v>
      </c>
      <c r="B686" s="70" t="s">
        <v>48</v>
      </c>
      <c r="C686" s="93">
        <v>12.0</v>
      </c>
      <c r="D686" s="336">
        <v>55.0</v>
      </c>
      <c r="E686" s="19" t="s">
        <v>51</v>
      </c>
      <c r="F686" s="139">
        <v>46095.0</v>
      </c>
      <c r="G686" s="337">
        <f t="shared" si="20"/>
        <v>660</v>
      </c>
      <c r="H686" s="93" t="s">
        <v>72</v>
      </c>
      <c r="I686" s="250"/>
      <c r="J686" s="250"/>
      <c r="K686" s="250"/>
      <c r="L686" s="250"/>
      <c r="M686" s="250"/>
      <c r="N686" s="250"/>
      <c r="O686" s="250"/>
      <c r="P686" s="250"/>
      <c r="Q686" s="250"/>
      <c r="R686" s="250"/>
      <c r="S686" s="250"/>
      <c r="T686" s="250"/>
      <c r="U686" s="250"/>
      <c r="V686" s="250"/>
      <c r="W686" s="250"/>
      <c r="X686" s="250"/>
      <c r="Y686" s="250"/>
      <c r="Z686" s="250"/>
    </row>
    <row r="687" ht="14.25" customHeight="1">
      <c r="A687" s="140" t="s">
        <v>220</v>
      </c>
      <c r="B687" s="70" t="s">
        <v>472</v>
      </c>
      <c r="C687" s="93">
        <v>12.0</v>
      </c>
      <c r="D687" s="336">
        <v>85.0</v>
      </c>
      <c r="E687" s="19" t="s">
        <v>51</v>
      </c>
      <c r="F687" s="139">
        <v>46095.0</v>
      </c>
      <c r="G687" s="337">
        <f t="shared" si="20"/>
        <v>1020</v>
      </c>
      <c r="H687" s="93" t="s">
        <v>72</v>
      </c>
      <c r="I687" s="250"/>
      <c r="J687" s="250"/>
      <c r="K687" s="250"/>
      <c r="L687" s="250"/>
      <c r="M687" s="250"/>
      <c r="N687" s="250"/>
      <c r="O687" s="250"/>
      <c r="P687" s="250"/>
      <c r="Q687" s="250"/>
      <c r="R687" s="250"/>
      <c r="S687" s="250"/>
      <c r="T687" s="250"/>
      <c r="U687" s="250"/>
      <c r="V687" s="250"/>
      <c r="W687" s="250"/>
      <c r="X687" s="250"/>
      <c r="Y687" s="250"/>
      <c r="Z687" s="250"/>
    </row>
    <row r="688" ht="14.25" customHeight="1">
      <c r="A688" s="140" t="s">
        <v>876</v>
      </c>
      <c r="B688" s="70" t="s">
        <v>1104</v>
      </c>
      <c r="C688" s="93">
        <v>6.0</v>
      </c>
      <c r="D688" s="336">
        <v>100.0</v>
      </c>
      <c r="E688" s="70" t="s">
        <v>51</v>
      </c>
      <c r="F688" s="139">
        <v>46095.0</v>
      </c>
      <c r="G688" s="337">
        <f t="shared" si="20"/>
        <v>600</v>
      </c>
      <c r="H688" s="93" t="s">
        <v>72</v>
      </c>
      <c r="I688" s="250"/>
      <c r="J688" s="250"/>
      <c r="K688" s="250"/>
      <c r="L688" s="250"/>
      <c r="M688" s="250"/>
      <c r="N688" s="250"/>
      <c r="O688" s="250"/>
      <c r="P688" s="250"/>
      <c r="Q688" s="250"/>
      <c r="R688" s="250"/>
      <c r="S688" s="250"/>
      <c r="T688" s="250"/>
      <c r="U688" s="250"/>
      <c r="V688" s="250"/>
      <c r="W688" s="250"/>
      <c r="X688" s="250"/>
      <c r="Y688" s="250"/>
      <c r="Z688" s="250"/>
    </row>
    <row r="689" ht="14.25" customHeight="1">
      <c r="A689" s="140" t="s">
        <v>285</v>
      </c>
      <c r="B689" s="70" t="s">
        <v>286</v>
      </c>
      <c r="C689" s="93">
        <v>2.0</v>
      </c>
      <c r="D689" s="336">
        <v>300.0</v>
      </c>
      <c r="E689" s="70" t="s">
        <v>51</v>
      </c>
      <c r="F689" s="139">
        <v>46095.0</v>
      </c>
      <c r="G689" s="337">
        <f t="shared" si="20"/>
        <v>600</v>
      </c>
      <c r="H689" s="93" t="s">
        <v>72</v>
      </c>
      <c r="I689" s="250"/>
      <c r="J689" s="250"/>
      <c r="K689" s="250"/>
      <c r="L689" s="250"/>
      <c r="M689" s="250"/>
      <c r="N689" s="250"/>
      <c r="O689" s="250"/>
      <c r="P689" s="250"/>
      <c r="Q689" s="250"/>
      <c r="R689" s="250"/>
      <c r="S689" s="250"/>
      <c r="T689" s="250"/>
      <c r="U689" s="250"/>
      <c r="V689" s="250"/>
      <c r="W689" s="250"/>
      <c r="X689" s="250"/>
      <c r="Y689" s="250"/>
      <c r="Z689" s="250"/>
    </row>
    <row r="690" ht="14.25" customHeight="1">
      <c r="A690" s="140" t="s">
        <v>1320</v>
      </c>
      <c r="B690" s="70" t="s">
        <v>286</v>
      </c>
      <c r="C690" s="93">
        <v>6.0</v>
      </c>
      <c r="D690" s="336">
        <v>40.0</v>
      </c>
      <c r="E690" s="70" t="s">
        <v>51</v>
      </c>
      <c r="F690" s="139">
        <v>46095.0</v>
      </c>
      <c r="G690" s="337">
        <f t="shared" si="20"/>
        <v>240</v>
      </c>
      <c r="H690" s="77"/>
      <c r="I690" s="250"/>
      <c r="J690" s="250"/>
      <c r="K690" s="250"/>
      <c r="L690" s="250"/>
      <c r="M690" s="250"/>
      <c r="N690" s="250"/>
      <c r="O690" s="250"/>
      <c r="P690" s="250"/>
      <c r="Q690" s="250"/>
      <c r="R690" s="250"/>
      <c r="S690" s="250"/>
      <c r="T690" s="250"/>
      <c r="U690" s="250"/>
      <c r="V690" s="250"/>
      <c r="W690" s="250"/>
      <c r="X690" s="250"/>
      <c r="Y690" s="250"/>
      <c r="Z690" s="250"/>
    </row>
    <row r="691" ht="14.25" customHeight="1">
      <c r="A691" s="140" t="s">
        <v>1043</v>
      </c>
      <c r="B691" s="70" t="s">
        <v>1171</v>
      </c>
      <c r="C691" s="93">
        <v>12.0</v>
      </c>
      <c r="D691" s="336">
        <v>85.0</v>
      </c>
      <c r="E691" s="70" t="s">
        <v>51</v>
      </c>
      <c r="F691" s="139">
        <v>46095.0</v>
      </c>
      <c r="G691" s="337">
        <f t="shared" si="20"/>
        <v>1020</v>
      </c>
      <c r="H691" s="77"/>
      <c r="I691" s="250"/>
      <c r="J691" s="250"/>
      <c r="K691" s="250"/>
      <c r="L691" s="250"/>
      <c r="M691" s="250"/>
      <c r="N691" s="250"/>
      <c r="O691" s="250"/>
      <c r="P691" s="250"/>
      <c r="Q691" s="250"/>
      <c r="R691" s="250"/>
      <c r="S691" s="250"/>
      <c r="T691" s="250"/>
      <c r="U691" s="250"/>
      <c r="V691" s="250"/>
      <c r="W691" s="250"/>
      <c r="X691" s="250"/>
      <c r="Y691" s="250"/>
      <c r="Z691" s="250"/>
    </row>
    <row r="692" ht="14.25" customHeight="1">
      <c r="A692" s="140" t="s">
        <v>1345</v>
      </c>
      <c r="B692" s="70" t="s">
        <v>286</v>
      </c>
      <c r="C692" s="93">
        <v>2.0</v>
      </c>
      <c r="D692" s="336">
        <v>175.0</v>
      </c>
      <c r="E692" s="70" t="s">
        <v>51</v>
      </c>
      <c r="F692" s="139">
        <v>46095.0</v>
      </c>
      <c r="G692" s="337">
        <f t="shared" si="20"/>
        <v>350</v>
      </c>
      <c r="H692" s="77"/>
      <c r="I692" s="250"/>
      <c r="J692" s="250"/>
      <c r="K692" s="250"/>
      <c r="L692" s="250"/>
      <c r="M692" s="250"/>
      <c r="N692" s="250"/>
      <c r="O692" s="250"/>
      <c r="P692" s="250"/>
      <c r="Q692" s="250"/>
      <c r="R692" s="250"/>
      <c r="S692" s="250"/>
      <c r="T692" s="250"/>
      <c r="U692" s="250"/>
      <c r="V692" s="250"/>
      <c r="W692" s="250"/>
      <c r="X692" s="250"/>
      <c r="Y692" s="250"/>
      <c r="Z692" s="250"/>
    </row>
    <row r="693" ht="14.25" customHeight="1">
      <c r="A693" s="140" t="s">
        <v>1347</v>
      </c>
      <c r="B693" s="70" t="s">
        <v>472</v>
      </c>
      <c r="C693" s="93">
        <v>12.0</v>
      </c>
      <c r="D693" s="338">
        <f>150/12</f>
        <v>12.5</v>
      </c>
      <c r="E693" s="70" t="s">
        <v>51</v>
      </c>
      <c r="F693" s="139">
        <v>46095.0</v>
      </c>
      <c r="G693" s="337">
        <f t="shared" si="20"/>
        <v>150</v>
      </c>
      <c r="H693" s="77"/>
      <c r="I693" s="250"/>
      <c r="J693" s="250"/>
      <c r="K693" s="250"/>
      <c r="L693" s="250"/>
      <c r="M693" s="250"/>
      <c r="N693" s="250"/>
      <c r="O693" s="250"/>
      <c r="P693" s="250"/>
      <c r="Q693" s="250"/>
      <c r="R693" s="250"/>
      <c r="S693" s="250"/>
      <c r="T693" s="250"/>
      <c r="U693" s="250"/>
      <c r="V693" s="250"/>
      <c r="W693" s="250"/>
      <c r="X693" s="250"/>
      <c r="Y693" s="250"/>
      <c r="Z693" s="250"/>
    </row>
    <row r="694" ht="14.25" customHeight="1">
      <c r="A694" s="140" t="s">
        <v>363</v>
      </c>
      <c r="B694" s="70" t="s">
        <v>472</v>
      </c>
      <c r="C694" s="93">
        <v>2.0</v>
      </c>
      <c r="D694" s="336">
        <v>110.0</v>
      </c>
      <c r="E694" s="70" t="s">
        <v>51</v>
      </c>
      <c r="F694" s="139">
        <v>46095.0</v>
      </c>
      <c r="G694" s="337">
        <f t="shared" si="20"/>
        <v>220</v>
      </c>
      <c r="H694" s="77"/>
      <c r="I694" s="250"/>
      <c r="J694" s="250"/>
      <c r="K694" s="250"/>
      <c r="L694" s="250"/>
      <c r="M694" s="250"/>
      <c r="N694" s="250"/>
      <c r="O694" s="250"/>
      <c r="P694" s="250"/>
      <c r="Q694" s="250"/>
      <c r="R694" s="250"/>
      <c r="S694" s="250"/>
      <c r="T694" s="250"/>
      <c r="U694" s="250"/>
      <c r="V694" s="250"/>
      <c r="W694" s="250"/>
      <c r="X694" s="250"/>
      <c r="Y694" s="250"/>
      <c r="Z694" s="250"/>
    </row>
    <row r="695" ht="14.25" customHeight="1">
      <c r="A695" s="140" t="s">
        <v>772</v>
      </c>
      <c r="B695" s="70" t="s">
        <v>472</v>
      </c>
      <c r="C695" s="93">
        <v>3.0</v>
      </c>
      <c r="D695" s="336">
        <v>150.0</v>
      </c>
      <c r="E695" s="70" t="s">
        <v>51</v>
      </c>
      <c r="F695" s="139">
        <v>46095.0</v>
      </c>
      <c r="G695" s="337">
        <f t="shared" si="20"/>
        <v>450</v>
      </c>
      <c r="H695" s="77"/>
      <c r="I695" s="250"/>
      <c r="J695" s="250"/>
      <c r="K695" s="250"/>
      <c r="L695" s="250"/>
      <c r="M695" s="250"/>
      <c r="N695" s="250"/>
      <c r="O695" s="250"/>
      <c r="P695" s="250"/>
      <c r="Q695" s="250"/>
      <c r="R695" s="250"/>
      <c r="S695" s="250"/>
      <c r="T695" s="250"/>
      <c r="U695" s="250"/>
      <c r="V695" s="250"/>
      <c r="W695" s="250"/>
      <c r="X695" s="250"/>
      <c r="Y695" s="250"/>
      <c r="Z695" s="250"/>
    </row>
    <row r="696" ht="14.25" customHeight="1">
      <c r="A696" s="140" t="s">
        <v>1129</v>
      </c>
      <c r="B696" s="70" t="s">
        <v>1352</v>
      </c>
      <c r="C696" s="93">
        <v>5.0</v>
      </c>
      <c r="D696" s="336">
        <v>8.0</v>
      </c>
      <c r="E696" s="70" t="s">
        <v>125</v>
      </c>
      <c r="F696" s="139">
        <v>46095.0</v>
      </c>
      <c r="G696" s="337">
        <f t="shared" si="20"/>
        <v>40</v>
      </c>
      <c r="H696" s="77"/>
      <c r="I696" s="250"/>
      <c r="J696" s="250"/>
      <c r="K696" s="250"/>
      <c r="L696" s="250"/>
      <c r="M696" s="250"/>
      <c r="N696" s="250"/>
      <c r="O696" s="250"/>
      <c r="P696" s="250"/>
      <c r="Q696" s="250"/>
      <c r="R696" s="250"/>
      <c r="S696" s="250"/>
      <c r="T696" s="250"/>
      <c r="U696" s="250"/>
      <c r="V696" s="250"/>
      <c r="W696" s="250"/>
      <c r="X696" s="250"/>
      <c r="Y696" s="250"/>
      <c r="Z696" s="250"/>
    </row>
    <row r="697" ht="14.25" customHeight="1">
      <c r="A697" s="140" t="s">
        <v>923</v>
      </c>
      <c r="B697" s="70" t="s">
        <v>30</v>
      </c>
      <c r="C697" s="93">
        <v>2.0</v>
      </c>
      <c r="D697" s="339">
        <v>129.0</v>
      </c>
      <c r="E697" s="70" t="s">
        <v>125</v>
      </c>
      <c r="F697" s="139">
        <v>46095.0</v>
      </c>
      <c r="G697" s="337">
        <f t="shared" si="20"/>
        <v>258</v>
      </c>
      <c r="H697" s="77"/>
      <c r="I697" s="250"/>
      <c r="J697" s="250"/>
      <c r="K697" s="292"/>
      <c r="L697" s="292"/>
      <c r="M697" s="292"/>
      <c r="N697" s="292"/>
      <c r="O697" s="292"/>
      <c r="P697" s="250"/>
      <c r="Q697" s="250"/>
      <c r="R697" s="250"/>
      <c r="S697" s="250"/>
      <c r="T697" s="250"/>
      <c r="U697" s="250"/>
      <c r="V697" s="250"/>
      <c r="W697" s="250"/>
      <c r="X697" s="250"/>
      <c r="Y697" s="250"/>
      <c r="Z697" s="250"/>
    </row>
    <row r="698" ht="14.25" customHeight="1">
      <c r="A698" s="133" t="s">
        <v>1174</v>
      </c>
      <c r="B698" s="70" t="s">
        <v>118</v>
      </c>
      <c r="C698" s="93">
        <v>1.0</v>
      </c>
      <c r="D698" s="339">
        <v>88.0</v>
      </c>
      <c r="E698" s="70" t="s">
        <v>125</v>
      </c>
      <c r="F698" s="139">
        <v>46095.0</v>
      </c>
      <c r="G698" s="337">
        <f t="shared" si="20"/>
        <v>88</v>
      </c>
      <c r="H698" s="77"/>
      <c r="I698" s="250"/>
      <c r="J698" s="250"/>
      <c r="O698" s="1"/>
      <c r="P698" s="250"/>
      <c r="Q698" s="250"/>
      <c r="R698" s="250"/>
      <c r="S698" s="250"/>
      <c r="T698" s="250"/>
      <c r="U698" s="250"/>
      <c r="V698" s="250"/>
      <c r="W698" s="250"/>
      <c r="X698" s="250"/>
      <c r="Y698" s="250"/>
      <c r="Z698" s="250"/>
    </row>
    <row r="699" ht="14.25" customHeight="1">
      <c r="A699" s="133" t="s">
        <v>1114</v>
      </c>
      <c r="B699" s="70" t="s">
        <v>118</v>
      </c>
      <c r="C699" s="93">
        <v>3.0</v>
      </c>
      <c r="D699" s="339">
        <v>88.0</v>
      </c>
      <c r="E699" s="70" t="s">
        <v>125</v>
      </c>
      <c r="F699" s="139">
        <v>46095.0</v>
      </c>
      <c r="G699" s="337">
        <f t="shared" si="20"/>
        <v>264</v>
      </c>
      <c r="H699" s="77"/>
      <c r="I699" s="250"/>
      <c r="J699" s="250"/>
      <c r="O699" s="1"/>
      <c r="P699" s="250"/>
      <c r="Q699" s="250"/>
      <c r="R699" s="250"/>
      <c r="S699" s="250"/>
      <c r="T699" s="250"/>
      <c r="U699" s="250"/>
      <c r="V699" s="250"/>
      <c r="W699" s="250"/>
      <c r="X699" s="250"/>
      <c r="Y699" s="250"/>
      <c r="Z699" s="250"/>
    </row>
    <row r="700" ht="14.25" customHeight="1">
      <c r="A700" s="133" t="s">
        <v>1121</v>
      </c>
      <c r="B700" s="70" t="s">
        <v>118</v>
      </c>
      <c r="C700" s="93">
        <v>1.0</v>
      </c>
      <c r="D700" s="339">
        <v>90.0</v>
      </c>
      <c r="E700" s="70" t="s">
        <v>125</v>
      </c>
      <c r="F700" s="139">
        <v>46095.0</v>
      </c>
      <c r="G700" s="337">
        <f t="shared" si="20"/>
        <v>90</v>
      </c>
      <c r="H700" s="77"/>
      <c r="I700" s="250"/>
      <c r="J700" s="250"/>
      <c r="O700" s="1"/>
      <c r="P700" s="250"/>
      <c r="Q700" s="250"/>
      <c r="R700" s="250"/>
      <c r="S700" s="250"/>
      <c r="T700" s="250"/>
      <c r="U700" s="250"/>
      <c r="V700" s="250"/>
      <c r="W700" s="250"/>
      <c r="X700" s="250"/>
      <c r="Y700" s="250"/>
      <c r="Z700" s="250"/>
    </row>
    <row r="701" ht="14.25" customHeight="1">
      <c r="A701" s="133" t="s">
        <v>775</v>
      </c>
      <c r="B701" s="70" t="s">
        <v>118</v>
      </c>
      <c r="C701" s="93">
        <v>3.0</v>
      </c>
      <c r="D701" s="339">
        <v>94.0</v>
      </c>
      <c r="E701" s="70" t="s">
        <v>125</v>
      </c>
      <c r="F701" s="139">
        <v>46095.0</v>
      </c>
      <c r="G701" s="337">
        <f t="shared" si="20"/>
        <v>282</v>
      </c>
      <c r="H701" s="77"/>
      <c r="I701" s="250"/>
      <c r="J701" s="250"/>
      <c r="O701" s="1"/>
      <c r="P701" s="250"/>
      <c r="Q701" s="250"/>
      <c r="R701" s="250"/>
      <c r="S701" s="250"/>
      <c r="T701" s="250"/>
      <c r="U701" s="250"/>
      <c r="V701" s="250"/>
      <c r="W701" s="250"/>
      <c r="X701" s="250"/>
      <c r="Y701" s="250"/>
      <c r="Z701" s="250"/>
    </row>
    <row r="702" ht="14.25" customHeight="1">
      <c r="A702" s="133" t="s">
        <v>805</v>
      </c>
      <c r="B702" s="70" t="s">
        <v>30</v>
      </c>
      <c r="C702" s="93">
        <v>3.0</v>
      </c>
      <c r="D702" s="339">
        <v>49.0</v>
      </c>
      <c r="E702" s="70" t="s">
        <v>125</v>
      </c>
      <c r="F702" s="139">
        <v>46095.0</v>
      </c>
      <c r="G702" s="337">
        <f t="shared" si="20"/>
        <v>147</v>
      </c>
      <c r="H702" s="77"/>
      <c r="I702" s="250"/>
      <c r="J702" s="250"/>
      <c r="O702" s="1"/>
      <c r="P702" s="250"/>
      <c r="Q702" s="250"/>
      <c r="R702" s="250"/>
      <c r="S702" s="250"/>
      <c r="T702" s="250"/>
      <c r="U702" s="250"/>
      <c r="V702" s="250"/>
      <c r="W702" s="250"/>
      <c r="X702" s="250"/>
      <c r="Y702" s="250"/>
      <c r="Z702" s="250"/>
    </row>
    <row r="703" ht="14.25" customHeight="1">
      <c r="A703" s="133" t="s">
        <v>1167</v>
      </c>
      <c r="B703" s="70" t="s">
        <v>30</v>
      </c>
      <c r="C703" s="93">
        <v>1.0</v>
      </c>
      <c r="D703" s="339">
        <v>49.0</v>
      </c>
      <c r="E703" s="70" t="s">
        <v>125</v>
      </c>
      <c r="F703" s="139">
        <v>46095.0</v>
      </c>
      <c r="G703" s="337">
        <f t="shared" si="20"/>
        <v>49</v>
      </c>
      <c r="H703" s="77"/>
      <c r="I703" s="250"/>
      <c r="J703" s="250"/>
      <c r="O703" s="1"/>
      <c r="P703" s="250"/>
      <c r="Q703" s="250"/>
      <c r="R703" s="250"/>
      <c r="S703" s="250"/>
      <c r="T703" s="250"/>
      <c r="U703" s="250"/>
      <c r="V703" s="250"/>
      <c r="W703" s="250"/>
      <c r="X703" s="250"/>
      <c r="Y703" s="250"/>
      <c r="Z703" s="250"/>
    </row>
    <row r="704" ht="14.25" customHeight="1">
      <c r="A704" s="133" t="s">
        <v>649</v>
      </c>
      <c r="B704" s="70" t="s">
        <v>483</v>
      </c>
      <c r="C704" s="93">
        <v>2.0</v>
      </c>
      <c r="D704" s="339">
        <v>166.0</v>
      </c>
      <c r="E704" s="70" t="s">
        <v>125</v>
      </c>
      <c r="F704" s="139">
        <v>46095.0</v>
      </c>
      <c r="G704" s="337">
        <f t="shared" si="20"/>
        <v>332</v>
      </c>
      <c r="H704" s="77"/>
      <c r="I704" s="250"/>
      <c r="J704" s="250"/>
      <c r="O704" s="1"/>
      <c r="P704" s="250"/>
      <c r="Q704" s="250"/>
      <c r="R704" s="250"/>
      <c r="S704" s="250"/>
      <c r="T704" s="250"/>
      <c r="U704" s="250"/>
      <c r="V704" s="250"/>
      <c r="W704" s="250"/>
      <c r="X704" s="250"/>
      <c r="Y704" s="250"/>
      <c r="Z704" s="250"/>
    </row>
    <row r="705" ht="14.25" customHeight="1">
      <c r="A705" s="133" t="s">
        <v>451</v>
      </c>
      <c r="B705" s="70" t="s">
        <v>483</v>
      </c>
      <c r="C705" s="93">
        <v>2.0</v>
      </c>
      <c r="D705" s="339">
        <v>75.0</v>
      </c>
      <c r="E705" s="70" t="s">
        <v>125</v>
      </c>
      <c r="F705" s="139">
        <v>46095.0</v>
      </c>
      <c r="G705" s="337">
        <f t="shared" si="20"/>
        <v>150</v>
      </c>
      <c r="H705" s="77"/>
      <c r="I705" s="250"/>
      <c r="J705" s="250"/>
      <c r="O705" s="1"/>
      <c r="P705" s="250"/>
      <c r="Q705" s="250"/>
      <c r="R705" s="250"/>
      <c r="S705" s="250"/>
      <c r="T705" s="250"/>
      <c r="U705" s="250"/>
      <c r="V705" s="250"/>
      <c r="W705" s="250"/>
      <c r="X705" s="250"/>
      <c r="Y705" s="250"/>
      <c r="Z705" s="250"/>
    </row>
    <row r="706" ht="14.25" customHeight="1">
      <c r="A706" s="133" t="s">
        <v>445</v>
      </c>
      <c r="B706" s="70" t="s">
        <v>483</v>
      </c>
      <c r="C706" s="93">
        <v>2.0</v>
      </c>
      <c r="D706" s="339">
        <v>58.0</v>
      </c>
      <c r="E706" s="70" t="s">
        <v>125</v>
      </c>
      <c r="F706" s="139">
        <v>46095.0</v>
      </c>
      <c r="G706" s="337">
        <f t="shared" si="20"/>
        <v>116</v>
      </c>
      <c r="H706" s="77"/>
      <c r="I706" s="250"/>
      <c r="J706" s="250"/>
      <c r="O706" s="1"/>
      <c r="P706" s="250"/>
      <c r="Q706" s="250"/>
      <c r="R706" s="250"/>
      <c r="S706" s="250"/>
      <c r="T706" s="250"/>
      <c r="U706" s="250"/>
      <c r="V706" s="250"/>
      <c r="W706" s="250"/>
      <c r="X706" s="250"/>
      <c r="Y706" s="250"/>
      <c r="Z706" s="250"/>
    </row>
    <row r="707" ht="14.25" customHeight="1">
      <c r="A707" s="133" t="s">
        <v>1242</v>
      </c>
      <c r="B707" s="70" t="s">
        <v>483</v>
      </c>
      <c r="C707" s="93">
        <v>2.0</v>
      </c>
      <c r="D707" s="339">
        <v>52.0</v>
      </c>
      <c r="E707" s="70" t="s">
        <v>125</v>
      </c>
      <c r="F707" s="139">
        <v>46095.0</v>
      </c>
      <c r="G707" s="337">
        <f t="shared" si="20"/>
        <v>104</v>
      </c>
      <c r="H707" s="77"/>
      <c r="I707" s="250"/>
      <c r="J707" s="250"/>
      <c r="O707" s="1"/>
      <c r="P707" s="250"/>
      <c r="Q707" s="250"/>
      <c r="R707" s="250"/>
      <c r="S707" s="250"/>
      <c r="T707" s="250"/>
      <c r="U707" s="250"/>
      <c r="V707" s="250"/>
      <c r="W707" s="250"/>
      <c r="X707" s="250"/>
      <c r="Y707" s="250"/>
      <c r="Z707" s="250"/>
    </row>
    <row r="708" ht="14.25" customHeight="1">
      <c r="A708" s="133" t="s">
        <v>1209</v>
      </c>
      <c r="B708" s="70" t="s">
        <v>30</v>
      </c>
      <c r="C708" s="93">
        <v>2.0</v>
      </c>
      <c r="D708" s="339">
        <v>52.0</v>
      </c>
      <c r="E708" s="70" t="s">
        <v>125</v>
      </c>
      <c r="F708" s="139">
        <v>46095.0</v>
      </c>
      <c r="G708" s="337">
        <f t="shared" si="20"/>
        <v>104</v>
      </c>
      <c r="H708" s="77"/>
      <c r="I708" s="250"/>
      <c r="J708" s="250"/>
      <c r="O708" s="1"/>
      <c r="P708" s="250"/>
      <c r="Q708" s="250"/>
      <c r="R708" s="250"/>
      <c r="S708" s="250"/>
      <c r="T708" s="250"/>
      <c r="U708" s="250"/>
      <c r="V708" s="250"/>
      <c r="W708" s="250"/>
      <c r="X708" s="250"/>
      <c r="Y708" s="250"/>
      <c r="Z708" s="250"/>
    </row>
    <row r="709" ht="14.25" customHeight="1">
      <c r="A709" s="133" t="s">
        <v>1209</v>
      </c>
      <c r="B709" s="70" t="s">
        <v>30</v>
      </c>
      <c r="C709" s="93">
        <v>1.0</v>
      </c>
      <c r="D709" s="339">
        <v>141.0</v>
      </c>
      <c r="E709" s="70" t="s">
        <v>125</v>
      </c>
      <c r="F709" s="139">
        <v>46095.0</v>
      </c>
      <c r="G709" s="337">
        <f t="shared" si="20"/>
        <v>141</v>
      </c>
      <c r="H709" s="77"/>
      <c r="I709" s="250"/>
      <c r="J709" s="250"/>
      <c r="O709" s="1"/>
      <c r="P709" s="250"/>
      <c r="Q709" s="250"/>
      <c r="R709" s="250"/>
      <c r="S709" s="250"/>
      <c r="T709" s="250"/>
      <c r="U709" s="250"/>
      <c r="V709" s="250"/>
      <c r="W709" s="250"/>
      <c r="X709" s="250"/>
      <c r="Y709" s="250"/>
      <c r="Z709" s="250"/>
    </row>
    <row r="710" ht="14.25" customHeight="1">
      <c r="A710" s="133" t="s">
        <v>1368</v>
      </c>
      <c r="B710" s="70" t="s">
        <v>354</v>
      </c>
      <c r="C710" s="96">
        <v>45.0</v>
      </c>
      <c r="D710" s="339">
        <f>2.25</f>
        <v>2.25</v>
      </c>
      <c r="E710" s="70" t="s">
        <v>125</v>
      </c>
      <c r="F710" s="139">
        <v>46095.0</v>
      </c>
      <c r="G710" s="337">
        <f t="shared" si="20"/>
        <v>101.25</v>
      </c>
      <c r="H710" s="77"/>
      <c r="I710" s="250"/>
      <c r="J710" s="292"/>
      <c r="K710" s="292"/>
      <c r="L710" s="292"/>
      <c r="M710" s="292"/>
      <c r="N710" s="292"/>
      <c r="O710" s="292"/>
      <c r="P710" s="250"/>
      <c r="Q710" s="250"/>
      <c r="R710" s="250"/>
      <c r="S710" s="250"/>
      <c r="T710" s="250"/>
      <c r="U710" s="250"/>
      <c r="V710" s="250"/>
      <c r="W710" s="250"/>
      <c r="X710" s="250"/>
      <c r="Y710" s="250"/>
      <c r="Z710" s="250"/>
    </row>
    <row r="711" ht="14.25" customHeight="1">
      <c r="A711" s="133" t="s">
        <v>1370</v>
      </c>
      <c r="B711" s="70" t="s">
        <v>354</v>
      </c>
      <c r="C711" s="96">
        <v>7.0</v>
      </c>
      <c r="D711" s="96">
        <f>3.75</f>
        <v>3.75</v>
      </c>
      <c r="E711" s="70" t="s">
        <v>125</v>
      </c>
      <c r="F711" s="139">
        <v>46095.0</v>
      </c>
      <c r="G711" s="77">
        <f t="shared" si="20"/>
        <v>26.25</v>
      </c>
      <c r="H711" s="77"/>
      <c r="I711" s="250"/>
      <c r="L711" s="332"/>
      <c r="N711" s="1"/>
      <c r="P711" s="250"/>
      <c r="Q711" s="250"/>
      <c r="R711" s="250"/>
      <c r="S711" s="250"/>
      <c r="T711" s="250"/>
      <c r="U711" s="250"/>
      <c r="V711" s="250"/>
      <c r="W711" s="250"/>
      <c r="X711" s="250"/>
      <c r="Y711" s="250"/>
      <c r="Z711" s="250"/>
    </row>
    <row r="712" ht="14.25" customHeight="1">
      <c r="A712" s="133" t="s">
        <v>1146</v>
      </c>
      <c r="B712" s="70" t="s">
        <v>354</v>
      </c>
      <c r="C712" s="96">
        <v>12.0</v>
      </c>
      <c r="D712" s="339">
        <f>210/12</f>
        <v>17.5</v>
      </c>
      <c r="E712" s="70" t="s">
        <v>125</v>
      </c>
      <c r="F712" s="139">
        <v>46095.0</v>
      </c>
      <c r="G712" s="337">
        <f t="shared" si="20"/>
        <v>210</v>
      </c>
      <c r="H712" s="77"/>
      <c r="I712" s="250"/>
      <c r="N712" s="1"/>
      <c r="O712" s="341"/>
      <c r="P712" s="250"/>
      <c r="Q712" s="250"/>
      <c r="R712" s="250"/>
      <c r="S712" s="250"/>
      <c r="T712" s="250"/>
      <c r="U712" s="250"/>
      <c r="V712" s="250"/>
      <c r="W712" s="250"/>
      <c r="X712" s="250"/>
      <c r="Y712" s="250"/>
      <c r="Z712" s="250"/>
    </row>
    <row r="713" ht="14.25" customHeight="1">
      <c r="A713" s="133" t="s">
        <v>1373</v>
      </c>
      <c r="B713" s="70" t="s">
        <v>354</v>
      </c>
      <c r="C713" s="96">
        <v>5.0</v>
      </c>
      <c r="D713" s="96">
        <f>27.5</f>
        <v>27.5</v>
      </c>
      <c r="E713" s="70" t="s">
        <v>125</v>
      </c>
      <c r="F713" s="139">
        <v>46095.0</v>
      </c>
      <c r="G713" s="77">
        <f t="shared" si="20"/>
        <v>137.5</v>
      </c>
      <c r="H713" s="77"/>
      <c r="I713" s="250"/>
      <c r="N713" s="1"/>
      <c r="P713" s="250"/>
      <c r="Q713" s="250"/>
      <c r="R713" s="250"/>
      <c r="S713" s="250"/>
      <c r="T713" s="250"/>
      <c r="U713" s="250"/>
      <c r="V713" s="250"/>
      <c r="W713" s="250"/>
      <c r="X713" s="250"/>
      <c r="Y713" s="250"/>
      <c r="Z713" s="250"/>
    </row>
    <row r="714" ht="14.25" customHeight="1">
      <c r="A714" s="133" t="s">
        <v>577</v>
      </c>
      <c r="B714" s="70" t="s">
        <v>579</v>
      </c>
      <c r="C714" s="96">
        <v>3.0</v>
      </c>
      <c r="D714" s="339">
        <v>175.0</v>
      </c>
      <c r="E714" s="70" t="s">
        <v>125</v>
      </c>
      <c r="F714" s="139">
        <v>46095.0</v>
      </c>
      <c r="G714" s="337">
        <f t="shared" si="20"/>
        <v>525</v>
      </c>
      <c r="H714" s="77"/>
      <c r="I714" s="250"/>
      <c r="N714" s="1"/>
      <c r="O714" s="341"/>
      <c r="P714" s="250"/>
      <c r="Q714" s="250"/>
      <c r="R714" s="250"/>
      <c r="S714" s="250"/>
      <c r="T714" s="250"/>
      <c r="U714" s="250"/>
      <c r="V714" s="250"/>
      <c r="W714" s="250"/>
      <c r="X714" s="250"/>
      <c r="Y714" s="250"/>
      <c r="Z714" s="250"/>
    </row>
    <row r="715" ht="14.25" customHeight="1">
      <c r="A715" s="133" t="s">
        <v>1378</v>
      </c>
      <c r="B715" s="70" t="s">
        <v>354</v>
      </c>
      <c r="C715" s="96">
        <v>150.0</v>
      </c>
      <c r="D715" s="339">
        <f>70/50</f>
        <v>1.4</v>
      </c>
      <c r="E715" s="70" t="s">
        <v>125</v>
      </c>
      <c r="F715" s="139">
        <v>46095.0</v>
      </c>
      <c r="G715" s="337">
        <f t="shared" si="20"/>
        <v>210</v>
      </c>
      <c r="H715" s="77"/>
      <c r="I715" s="250"/>
      <c r="N715" s="1"/>
      <c r="P715" s="250"/>
      <c r="Q715" s="250"/>
      <c r="R715" s="250"/>
      <c r="S715" s="250"/>
      <c r="T715" s="250"/>
      <c r="U715" s="250"/>
      <c r="V715" s="250"/>
      <c r="W715" s="250"/>
      <c r="X715" s="250"/>
      <c r="Y715" s="250"/>
      <c r="Z715" s="250"/>
    </row>
    <row r="716" ht="14.25" customHeight="1">
      <c r="A716" s="133" t="s">
        <v>1381</v>
      </c>
      <c r="B716" s="70" t="s">
        <v>354</v>
      </c>
      <c r="C716" s="96">
        <v>12.0</v>
      </c>
      <c r="D716" s="339">
        <f>80/12</f>
        <v>6.666666667</v>
      </c>
      <c r="E716" s="70" t="s">
        <v>125</v>
      </c>
      <c r="F716" s="139">
        <v>46095.0</v>
      </c>
      <c r="G716" s="337">
        <f t="shared" si="20"/>
        <v>80</v>
      </c>
      <c r="H716" s="77"/>
      <c r="I716" s="250"/>
      <c r="N716" s="1"/>
      <c r="P716" s="250"/>
      <c r="Q716" s="250"/>
      <c r="R716" s="250"/>
      <c r="S716" s="250"/>
      <c r="T716" s="250"/>
      <c r="U716" s="250"/>
      <c r="V716" s="250"/>
      <c r="W716" s="250"/>
      <c r="X716" s="250"/>
      <c r="Y716" s="250"/>
      <c r="Z716" s="250"/>
    </row>
    <row r="717" ht="14.25" customHeight="1">
      <c r="A717" s="133" t="s">
        <v>1383</v>
      </c>
      <c r="B717" s="70" t="s">
        <v>354</v>
      </c>
      <c r="C717" s="96">
        <v>12.0</v>
      </c>
      <c r="D717" s="339">
        <f>60/12</f>
        <v>5</v>
      </c>
      <c r="E717" s="70" t="s">
        <v>125</v>
      </c>
      <c r="F717" s="139">
        <v>46095.0</v>
      </c>
      <c r="G717" s="337">
        <f t="shared" si="20"/>
        <v>60</v>
      </c>
      <c r="H717" s="77"/>
      <c r="I717" s="250"/>
      <c r="N717" s="1"/>
      <c r="P717" s="250"/>
      <c r="Q717" s="250"/>
      <c r="R717" s="250"/>
      <c r="S717" s="250"/>
      <c r="T717" s="250"/>
      <c r="U717" s="250"/>
      <c r="V717" s="250"/>
      <c r="W717" s="250"/>
      <c r="X717" s="250"/>
      <c r="Y717" s="250"/>
      <c r="Z717" s="250"/>
    </row>
    <row r="718" ht="14.25" customHeight="1">
      <c r="A718" s="133" t="s">
        <v>1385</v>
      </c>
      <c r="B718" s="70" t="s">
        <v>354</v>
      </c>
      <c r="C718" s="96">
        <f>7*12</f>
        <v>84</v>
      </c>
      <c r="D718" s="339">
        <f>15/12</f>
        <v>1.25</v>
      </c>
      <c r="E718" s="70" t="s">
        <v>125</v>
      </c>
      <c r="F718" s="139">
        <v>46095.0</v>
      </c>
      <c r="G718" s="337">
        <f t="shared" si="20"/>
        <v>105</v>
      </c>
      <c r="H718" s="77"/>
      <c r="I718" s="250"/>
      <c r="N718" s="1"/>
      <c r="O718" s="341"/>
      <c r="P718" s="250"/>
      <c r="Q718" s="250"/>
      <c r="R718" s="250"/>
      <c r="S718" s="250"/>
      <c r="T718" s="250"/>
      <c r="U718" s="250"/>
      <c r="V718" s="250"/>
      <c r="W718" s="250"/>
      <c r="X718" s="250"/>
      <c r="Y718" s="250"/>
      <c r="Z718" s="250"/>
    </row>
    <row r="719" ht="14.25" customHeight="1">
      <c r="A719" s="133" t="s">
        <v>1389</v>
      </c>
      <c r="B719" s="70" t="s">
        <v>354</v>
      </c>
      <c r="C719" s="96">
        <f>11*12</f>
        <v>132</v>
      </c>
      <c r="D719" s="339">
        <f>10.5/12</f>
        <v>0.875</v>
      </c>
      <c r="E719" s="70" t="s">
        <v>125</v>
      </c>
      <c r="F719" s="139">
        <v>46095.0</v>
      </c>
      <c r="G719" s="337">
        <f t="shared" si="20"/>
        <v>115.5</v>
      </c>
      <c r="H719" s="77"/>
      <c r="I719" s="250"/>
      <c r="N719" s="1"/>
      <c r="P719" s="250"/>
      <c r="Q719" s="250"/>
      <c r="R719" s="250"/>
      <c r="S719" s="250"/>
      <c r="T719" s="250"/>
      <c r="U719" s="250"/>
      <c r="V719" s="250"/>
      <c r="W719" s="250"/>
      <c r="X719" s="250"/>
      <c r="Y719" s="250"/>
      <c r="Z719" s="250"/>
    </row>
    <row r="720" ht="14.25" customHeight="1">
      <c r="A720" s="133" t="s">
        <v>1392</v>
      </c>
      <c r="B720" s="70" t="s">
        <v>354</v>
      </c>
      <c r="C720" s="96">
        <f>7*12</f>
        <v>84</v>
      </c>
      <c r="D720" s="339">
        <f>13.5/12</f>
        <v>1.125</v>
      </c>
      <c r="E720" s="70" t="s">
        <v>125</v>
      </c>
      <c r="F720" s="139">
        <v>46095.0</v>
      </c>
      <c r="G720" s="337">
        <f t="shared" si="20"/>
        <v>94.5</v>
      </c>
      <c r="H720" s="77"/>
      <c r="I720" s="250"/>
      <c r="L720" s="332"/>
      <c r="N720" s="1"/>
      <c r="P720" s="250"/>
      <c r="Q720" s="250"/>
      <c r="R720" s="250"/>
      <c r="S720" s="250"/>
      <c r="T720" s="250"/>
      <c r="U720" s="250"/>
      <c r="V720" s="250"/>
      <c r="W720" s="250"/>
      <c r="X720" s="250"/>
      <c r="Y720" s="250"/>
      <c r="Z720" s="250"/>
    </row>
    <row r="721" ht="14.25" customHeight="1">
      <c r="A721" s="133" t="s">
        <v>1395</v>
      </c>
      <c r="B721" s="70" t="s">
        <v>354</v>
      </c>
      <c r="C721" s="96">
        <v>24.0</v>
      </c>
      <c r="D721" s="339">
        <v>18.0</v>
      </c>
      <c r="E721" s="70" t="s">
        <v>125</v>
      </c>
      <c r="F721" s="139">
        <v>46095.0</v>
      </c>
      <c r="G721" s="337">
        <f t="shared" si="20"/>
        <v>432</v>
      </c>
      <c r="H721" s="77"/>
      <c r="I721" s="250"/>
      <c r="L721" s="332"/>
      <c r="N721" s="1"/>
      <c r="P721" s="250"/>
      <c r="Q721" s="250"/>
      <c r="R721" s="250"/>
      <c r="S721" s="250"/>
      <c r="T721" s="250"/>
      <c r="U721" s="250"/>
      <c r="V721" s="250"/>
      <c r="W721" s="250"/>
      <c r="X721" s="250"/>
      <c r="Y721" s="250"/>
      <c r="Z721" s="250"/>
    </row>
    <row r="722" ht="14.25" customHeight="1">
      <c r="A722" s="133" t="s">
        <v>1397</v>
      </c>
      <c r="B722" s="70" t="s">
        <v>354</v>
      </c>
      <c r="C722" s="96">
        <f>7*12</f>
        <v>84</v>
      </c>
      <c r="D722" s="339">
        <f>23/12</f>
        <v>1.916666667</v>
      </c>
      <c r="E722" s="70" t="s">
        <v>125</v>
      </c>
      <c r="F722" s="139">
        <v>46095.0</v>
      </c>
      <c r="G722" s="337">
        <f t="shared" si="20"/>
        <v>161</v>
      </c>
      <c r="H722" s="77"/>
      <c r="I722" s="250"/>
      <c r="N722" s="1"/>
      <c r="P722" s="250"/>
      <c r="Q722" s="250"/>
      <c r="R722" s="250"/>
      <c r="S722" s="250"/>
      <c r="T722" s="250"/>
      <c r="U722" s="250"/>
      <c r="V722" s="250"/>
      <c r="W722" s="250"/>
      <c r="X722" s="250"/>
      <c r="Y722" s="250"/>
      <c r="Z722" s="250"/>
    </row>
    <row r="723" ht="14.25" customHeight="1">
      <c r="A723" s="133" t="s">
        <v>1330</v>
      </c>
      <c r="B723" s="70" t="s">
        <v>974</v>
      </c>
      <c r="C723" s="96">
        <v>5.0</v>
      </c>
      <c r="D723" s="339">
        <v>55.0</v>
      </c>
      <c r="E723" s="70" t="s">
        <v>125</v>
      </c>
      <c r="F723" s="139">
        <v>46095.0</v>
      </c>
      <c r="G723" s="337">
        <f t="shared" si="20"/>
        <v>275</v>
      </c>
      <c r="H723" s="77"/>
      <c r="I723" s="250"/>
      <c r="N723" s="1"/>
      <c r="P723" s="250"/>
      <c r="Q723" s="250"/>
      <c r="R723" s="250"/>
      <c r="S723" s="250"/>
      <c r="T723" s="250"/>
      <c r="U723" s="250"/>
      <c r="V723" s="250"/>
      <c r="W723" s="250"/>
      <c r="X723" s="250"/>
      <c r="Y723" s="250"/>
      <c r="Z723" s="250"/>
    </row>
    <row r="724" ht="14.25" customHeight="1">
      <c r="A724" s="133" t="s">
        <v>973</v>
      </c>
      <c r="B724" s="70" t="s">
        <v>974</v>
      </c>
      <c r="C724" s="93">
        <v>2.0</v>
      </c>
      <c r="D724" s="336">
        <v>125.0</v>
      </c>
      <c r="E724" s="70" t="s">
        <v>125</v>
      </c>
      <c r="F724" s="139">
        <v>46095.0</v>
      </c>
      <c r="G724" s="337">
        <f t="shared" si="20"/>
        <v>250</v>
      </c>
      <c r="H724" s="77"/>
      <c r="I724" s="250"/>
      <c r="N724" s="1"/>
      <c r="O724" s="341"/>
      <c r="P724" s="250"/>
      <c r="Q724" s="250"/>
      <c r="R724" s="250"/>
      <c r="S724" s="250"/>
      <c r="T724" s="250"/>
      <c r="U724" s="250"/>
      <c r="V724" s="250"/>
      <c r="W724" s="250"/>
      <c r="X724" s="250"/>
      <c r="Y724" s="250"/>
      <c r="Z724" s="250"/>
    </row>
    <row r="725" ht="14.25" customHeight="1">
      <c r="A725" s="133" t="s">
        <v>1314</v>
      </c>
      <c r="B725" s="70" t="s">
        <v>974</v>
      </c>
      <c r="C725" s="93">
        <v>2.0</v>
      </c>
      <c r="D725" s="336">
        <v>60.0</v>
      </c>
      <c r="E725" s="70" t="s">
        <v>125</v>
      </c>
      <c r="F725" s="139">
        <v>46095.0</v>
      </c>
      <c r="G725" s="337">
        <f t="shared" si="20"/>
        <v>120</v>
      </c>
      <c r="H725" s="77"/>
      <c r="I725" s="250"/>
      <c r="J725" s="250"/>
      <c r="K725" s="2"/>
      <c r="L725" s="2"/>
      <c r="M725" s="2"/>
      <c r="N725" s="2"/>
      <c r="O725" s="1"/>
      <c r="P725" s="250"/>
      <c r="Q725" s="250"/>
      <c r="R725" s="250"/>
      <c r="S725" s="250"/>
      <c r="T725" s="250"/>
      <c r="U725" s="250"/>
      <c r="V725" s="250"/>
      <c r="W725" s="250"/>
      <c r="X725" s="250"/>
      <c r="Y725" s="250"/>
      <c r="Z725" s="250"/>
    </row>
    <row r="726" ht="14.25" customHeight="1">
      <c r="A726" s="133" t="s">
        <v>977</v>
      </c>
      <c r="B726" s="70" t="s">
        <v>974</v>
      </c>
      <c r="C726" s="93">
        <v>2.0</v>
      </c>
      <c r="D726" s="336">
        <v>125.0</v>
      </c>
      <c r="E726" s="70" t="s">
        <v>125</v>
      </c>
      <c r="F726" s="139">
        <v>46095.0</v>
      </c>
      <c r="G726" s="337">
        <f t="shared" si="20"/>
        <v>250</v>
      </c>
      <c r="H726" s="77"/>
      <c r="I726" s="250"/>
      <c r="J726" s="250"/>
      <c r="K726" s="2"/>
      <c r="L726" s="2"/>
      <c r="M726" s="2"/>
      <c r="N726" s="2"/>
      <c r="O726" s="1"/>
      <c r="P726" s="250"/>
      <c r="Q726" s="250"/>
      <c r="R726" s="250"/>
      <c r="S726" s="250"/>
      <c r="T726" s="250"/>
      <c r="U726" s="250"/>
      <c r="V726" s="250"/>
      <c r="W726" s="250"/>
      <c r="X726" s="250"/>
      <c r="Y726" s="250"/>
      <c r="Z726" s="250"/>
    </row>
    <row r="727" ht="14.25" customHeight="1">
      <c r="A727" s="133" t="s">
        <v>978</v>
      </c>
      <c r="B727" s="70" t="s">
        <v>974</v>
      </c>
      <c r="C727" s="93">
        <v>2.0</v>
      </c>
      <c r="D727" s="336">
        <v>125.0</v>
      </c>
      <c r="E727" s="70" t="s">
        <v>125</v>
      </c>
      <c r="F727" s="139">
        <v>46095.0</v>
      </c>
      <c r="G727" s="337">
        <f t="shared" si="20"/>
        <v>250</v>
      </c>
      <c r="H727" s="77"/>
      <c r="I727" s="250"/>
      <c r="J727" s="250"/>
      <c r="K727" s="2"/>
      <c r="L727" s="2"/>
      <c r="M727" s="2"/>
      <c r="N727" s="2"/>
      <c r="O727" s="1"/>
      <c r="P727" s="250"/>
      <c r="Q727" s="250"/>
      <c r="R727" s="250"/>
      <c r="S727" s="250"/>
      <c r="T727" s="250"/>
      <c r="U727" s="250"/>
      <c r="V727" s="250"/>
      <c r="W727" s="250"/>
      <c r="X727" s="250"/>
      <c r="Y727" s="250"/>
      <c r="Z727" s="250"/>
    </row>
    <row r="728" ht="14.25" customHeight="1">
      <c r="A728" s="133" t="s">
        <v>1025</v>
      </c>
      <c r="B728" s="70" t="s">
        <v>974</v>
      </c>
      <c r="C728" s="93">
        <v>2.0</v>
      </c>
      <c r="D728" s="336">
        <v>115.0</v>
      </c>
      <c r="E728" s="70" t="s">
        <v>125</v>
      </c>
      <c r="F728" s="139">
        <v>46095.0</v>
      </c>
      <c r="G728" s="337">
        <f t="shared" si="20"/>
        <v>230</v>
      </c>
      <c r="H728" s="77"/>
      <c r="I728" s="250"/>
      <c r="J728" s="250"/>
      <c r="K728" s="2"/>
      <c r="L728" s="2"/>
      <c r="M728" s="2"/>
      <c r="N728" s="2"/>
      <c r="O728" s="1"/>
      <c r="P728" s="250"/>
      <c r="Q728" s="250"/>
      <c r="R728" s="250"/>
      <c r="S728" s="250"/>
      <c r="T728" s="250"/>
      <c r="U728" s="250"/>
      <c r="V728" s="250"/>
      <c r="W728" s="250"/>
      <c r="X728" s="250"/>
      <c r="Y728" s="250"/>
      <c r="Z728" s="250"/>
    </row>
    <row r="729" ht="14.25" customHeight="1">
      <c r="A729" s="133" t="s">
        <v>980</v>
      </c>
      <c r="B729" s="70" t="s">
        <v>974</v>
      </c>
      <c r="C729" s="93">
        <v>2.0</v>
      </c>
      <c r="D729" s="336">
        <v>125.0</v>
      </c>
      <c r="E729" s="70" t="s">
        <v>125</v>
      </c>
      <c r="F729" s="139">
        <v>46095.0</v>
      </c>
      <c r="G729" s="337">
        <f t="shared" si="20"/>
        <v>250</v>
      </c>
      <c r="H729" s="77"/>
      <c r="I729" s="250"/>
      <c r="J729" s="250"/>
      <c r="K729" s="2"/>
      <c r="L729" s="2"/>
      <c r="M729" s="2"/>
      <c r="N729" s="2"/>
      <c r="O729" s="1"/>
      <c r="P729" s="250"/>
      <c r="Q729" s="250"/>
      <c r="R729" s="250"/>
      <c r="S729" s="250"/>
      <c r="T729" s="250"/>
      <c r="U729" s="250"/>
      <c r="V729" s="250"/>
      <c r="W729" s="250"/>
      <c r="X729" s="250"/>
      <c r="Y729" s="250"/>
      <c r="Z729" s="250"/>
    </row>
    <row r="730" ht="14.25" customHeight="1">
      <c r="A730" s="133" t="s">
        <v>395</v>
      </c>
      <c r="B730" s="70" t="s">
        <v>472</v>
      </c>
      <c r="C730" s="93">
        <v>12.0</v>
      </c>
      <c r="D730" s="336">
        <v>50.0</v>
      </c>
      <c r="E730" s="70" t="s">
        <v>154</v>
      </c>
      <c r="F730" s="139">
        <v>46098.0</v>
      </c>
      <c r="G730" s="337">
        <f t="shared" si="20"/>
        <v>600</v>
      </c>
      <c r="H730" s="77"/>
      <c r="I730" s="250"/>
      <c r="J730" s="250"/>
      <c r="K730" s="2"/>
      <c r="L730" s="2"/>
      <c r="M730" s="2"/>
      <c r="N730" s="2"/>
      <c r="O730" s="1"/>
      <c r="P730" s="250"/>
      <c r="Q730" s="250"/>
      <c r="R730" s="250"/>
      <c r="S730" s="250"/>
      <c r="T730" s="250"/>
      <c r="U730" s="250"/>
      <c r="V730" s="250"/>
      <c r="W730" s="250"/>
      <c r="X730" s="250"/>
      <c r="Y730" s="250"/>
      <c r="Z730" s="250"/>
    </row>
    <row r="731" ht="14.25" customHeight="1">
      <c r="A731" s="133" t="s">
        <v>190</v>
      </c>
      <c r="B731" s="70" t="s">
        <v>30</v>
      </c>
      <c r="C731" s="93">
        <v>2.0</v>
      </c>
      <c r="D731" s="336">
        <v>350.0</v>
      </c>
      <c r="E731" s="70" t="s">
        <v>51</v>
      </c>
      <c r="F731" s="139">
        <v>46098.0</v>
      </c>
      <c r="G731" s="337">
        <f t="shared" si="20"/>
        <v>700</v>
      </c>
      <c r="H731" s="77"/>
      <c r="I731" s="250"/>
      <c r="J731" s="250"/>
      <c r="K731" s="2"/>
      <c r="L731" s="2"/>
      <c r="M731" s="2"/>
      <c r="N731" s="2"/>
      <c r="O731" s="1"/>
      <c r="P731" s="250"/>
      <c r="Q731" s="250"/>
      <c r="R731" s="250"/>
      <c r="S731" s="250"/>
      <c r="T731" s="250"/>
      <c r="U731" s="250"/>
      <c r="V731" s="250"/>
      <c r="W731" s="250"/>
      <c r="X731" s="250"/>
      <c r="Y731" s="250"/>
      <c r="Z731" s="250"/>
    </row>
    <row r="732" ht="14.25" customHeight="1">
      <c r="A732" s="133" t="s">
        <v>363</v>
      </c>
      <c r="B732" s="70" t="s">
        <v>1409</v>
      </c>
      <c r="C732" s="93">
        <v>6.0</v>
      </c>
      <c r="D732" s="336">
        <v>110.0</v>
      </c>
      <c r="E732" s="70" t="s">
        <v>51</v>
      </c>
      <c r="F732" s="139">
        <v>46098.0</v>
      </c>
      <c r="G732" s="337">
        <f t="shared" si="20"/>
        <v>660</v>
      </c>
      <c r="H732" s="77"/>
      <c r="I732" s="250"/>
      <c r="J732" s="250"/>
      <c r="K732" s="2"/>
      <c r="L732" s="2"/>
      <c r="M732" s="2"/>
      <c r="N732" s="2"/>
      <c r="O732" s="1"/>
      <c r="P732" s="250"/>
      <c r="Q732" s="250"/>
      <c r="R732" s="250"/>
      <c r="S732" s="250"/>
      <c r="T732" s="250"/>
      <c r="U732" s="250"/>
      <c r="V732" s="250"/>
      <c r="W732" s="250"/>
      <c r="X732" s="250"/>
      <c r="Y732" s="250"/>
      <c r="Z732" s="250"/>
    </row>
    <row r="733" ht="14.25" customHeight="1">
      <c r="A733" s="133" t="s">
        <v>353</v>
      </c>
      <c r="B733" s="70" t="s">
        <v>354</v>
      </c>
      <c r="C733" s="93">
        <v>3.0</v>
      </c>
      <c r="D733" s="336">
        <v>250.0</v>
      </c>
      <c r="E733" s="70" t="s">
        <v>125</v>
      </c>
      <c r="F733" s="139">
        <v>46099.0</v>
      </c>
      <c r="G733" s="337">
        <f t="shared" si="20"/>
        <v>750</v>
      </c>
      <c r="H733" s="77"/>
      <c r="I733" s="250"/>
      <c r="J733" s="250"/>
      <c r="K733" s="2"/>
      <c r="L733" s="2"/>
      <c r="M733" s="2"/>
      <c r="N733" s="2"/>
      <c r="O733" s="1"/>
      <c r="P733" s="250"/>
      <c r="Q733" s="250"/>
      <c r="R733" s="250"/>
      <c r="S733" s="250"/>
      <c r="T733" s="250"/>
      <c r="U733" s="250"/>
      <c r="V733" s="250"/>
      <c r="W733" s="250"/>
      <c r="X733" s="250"/>
      <c r="Y733" s="250"/>
      <c r="Z733" s="250"/>
    </row>
    <row r="734" ht="14.25" customHeight="1">
      <c r="A734" s="133" t="s">
        <v>1412</v>
      </c>
      <c r="B734" s="70" t="s">
        <v>124</v>
      </c>
      <c r="C734" s="93">
        <v>1.0</v>
      </c>
      <c r="D734" s="336">
        <v>338.0</v>
      </c>
      <c r="E734" s="70" t="s">
        <v>125</v>
      </c>
      <c r="F734" s="139">
        <v>46099.0</v>
      </c>
      <c r="G734" s="337">
        <f t="shared" si="20"/>
        <v>338</v>
      </c>
      <c r="H734" s="77"/>
      <c r="I734" s="250"/>
      <c r="J734" s="250"/>
      <c r="O734" s="1"/>
      <c r="P734" s="250"/>
      <c r="Q734" s="250"/>
      <c r="R734" s="250"/>
      <c r="S734" s="250"/>
      <c r="T734" s="250"/>
      <c r="U734" s="250"/>
      <c r="V734" s="250"/>
      <c r="W734" s="250"/>
      <c r="X734" s="250"/>
      <c r="Y734" s="250"/>
      <c r="Z734" s="250"/>
    </row>
    <row r="735" ht="14.25" customHeight="1">
      <c r="A735" s="133" t="s">
        <v>215</v>
      </c>
      <c r="B735" s="70" t="s">
        <v>124</v>
      </c>
      <c r="C735" s="93">
        <v>1.0</v>
      </c>
      <c r="D735" s="336">
        <v>338.0</v>
      </c>
      <c r="E735" s="70" t="s">
        <v>125</v>
      </c>
      <c r="F735" s="139">
        <v>46099.0</v>
      </c>
      <c r="G735" s="337">
        <f t="shared" si="20"/>
        <v>338</v>
      </c>
      <c r="H735" s="77"/>
      <c r="I735" s="250"/>
      <c r="J735" s="250"/>
      <c r="K735" s="250"/>
      <c r="L735" s="250"/>
      <c r="M735" s="250"/>
      <c r="N735" s="250"/>
      <c r="O735" s="250"/>
      <c r="P735" s="250"/>
      <c r="Q735" s="250"/>
      <c r="R735" s="250"/>
      <c r="S735" s="250"/>
      <c r="T735" s="250"/>
      <c r="U735" s="250"/>
      <c r="V735" s="250"/>
      <c r="W735" s="250"/>
      <c r="X735" s="250"/>
      <c r="Y735" s="250"/>
      <c r="Z735" s="250"/>
    </row>
    <row r="736" ht="14.25" customHeight="1">
      <c r="A736" s="133" t="s">
        <v>123</v>
      </c>
      <c r="B736" s="70" t="s">
        <v>124</v>
      </c>
      <c r="C736" s="93">
        <v>2.0</v>
      </c>
      <c r="D736" s="336">
        <v>490.0</v>
      </c>
      <c r="E736" s="70" t="s">
        <v>125</v>
      </c>
      <c r="F736" s="139">
        <v>46099.0</v>
      </c>
      <c r="G736" s="337">
        <f t="shared" si="20"/>
        <v>980</v>
      </c>
      <c r="H736" s="77"/>
      <c r="I736" s="250"/>
      <c r="J736" s="250"/>
      <c r="K736" s="250"/>
      <c r="L736" s="250"/>
      <c r="M736" s="250"/>
      <c r="N736" s="250"/>
      <c r="O736" s="250"/>
      <c r="P736" s="250"/>
      <c r="Q736" s="250"/>
      <c r="R736" s="250"/>
      <c r="S736" s="250"/>
      <c r="T736" s="250"/>
      <c r="U736" s="250"/>
      <c r="V736" s="250"/>
      <c r="W736" s="250"/>
      <c r="X736" s="250"/>
      <c r="Y736" s="250"/>
      <c r="Z736" s="250"/>
    </row>
    <row r="737" ht="14.25" customHeight="1">
      <c r="A737" s="143" t="s">
        <v>1084</v>
      </c>
      <c r="B737" s="70" t="s">
        <v>1085</v>
      </c>
      <c r="C737" s="93">
        <v>2.0</v>
      </c>
      <c r="D737" s="336">
        <v>105.0</v>
      </c>
      <c r="E737" s="70" t="s">
        <v>125</v>
      </c>
      <c r="F737" s="139">
        <v>46099.0</v>
      </c>
      <c r="G737" s="337">
        <f t="shared" si="20"/>
        <v>210</v>
      </c>
      <c r="H737" s="77"/>
      <c r="I737" s="250"/>
      <c r="J737" s="250"/>
      <c r="K737" s="250"/>
      <c r="L737" s="250"/>
      <c r="M737" s="250"/>
      <c r="N737" s="250"/>
      <c r="O737" s="250"/>
      <c r="P737" s="250"/>
      <c r="Q737" s="250"/>
      <c r="R737" s="250"/>
      <c r="S737" s="250"/>
      <c r="T737" s="250"/>
      <c r="U737" s="250"/>
      <c r="V737" s="250"/>
      <c r="W737" s="250"/>
      <c r="X737" s="250"/>
      <c r="Y737" s="250"/>
      <c r="Z737" s="250"/>
    </row>
    <row r="738" ht="14.25" customHeight="1">
      <c r="A738" s="143" t="s">
        <v>658</v>
      </c>
      <c r="B738" s="70" t="s">
        <v>124</v>
      </c>
      <c r="C738" s="93">
        <v>2.0</v>
      </c>
      <c r="D738" s="336">
        <v>110.0</v>
      </c>
      <c r="E738" s="70" t="s">
        <v>125</v>
      </c>
      <c r="F738" s="139">
        <v>46099.0</v>
      </c>
      <c r="G738" s="337">
        <f t="shared" si="20"/>
        <v>220</v>
      </c>
      <c r="H738" s="77"/>
      <c r="I738" s="250"/>
      <c r="J738" s="250"/>
      <c r="K738" s="250"/>
      <c r="L738" s="250"/>
      <c r="M738" s="250"/>
      <c r="N738" s="250"/>
      <c r="O738" s="250"/>
      <c r="P738" s="250"/>
      <c r="Q738" s="250"/>
      <c r="R738" s="250"/>
      <c r="S738" s="250"/>
      <c r="T738" s="250"/>
      <c r="U738" s="250"/>
      <c r="V738" s="250"/>
      <c r="W738" s="250"/>
      <c r="X738" s="250"/>
      <c r="Y738" s="250"/>
      <c r="Z738" s="250"/>
    </row>
    <row r="739" ht="14.25" customHeight="1">
      <c r="A739" s="143" t="s">
        <v>1106</v>
      </c>
      <c r="B739" s="70" t="s">
        <v>1085</v>
      </c>
      <c r="C739" s="93">
        <v>1.0</v>
      </c>
      <c r="D739" s="336">
        <v>100.0</v>
      </c>
      <c r="E739" s="70" t="s">
        <v>125</v>
      </c>
      <c r="F739" s="139">
        <v>46099.0</v>
      </c>
      <c r="G739" s="337">
        <f t="shared" si="20"/>
        <v>100</v>
      </c>
      <c r="H739" s="77"/>
      <c r="I739" s="250"/>
      <c r="J739" s="250"/>
      <c r="K739" s="250"/>
      <c r="L739" s="250"/>
      <c r="M739" s="250"/>
      <c r="N739" s="250"/>
      <c r="O739" s="250"/>
      <c r="P739" s="250"/>
      <c r="Q739" s="250"/>
      <c r="R739" s="250"/>
      <c r="S739" s="250"/>
      <c r="T739" s="250"/>
      <c r="U739" s="250"/>
      <c r="V739" s="250"/>
      <c r="W739" s="250"/>
      <c r="X739" s="250"/>
      <c r="Y739" s="250"/>
      <c r="Z739" s="250"/>
    </row>
    <row r="740" ht="14.25" customHeight="1">
      <c r="A740" s="143" t="s">
        <v>1109</v>
      </c>
      <c r="B740" s="70" t="s">
        <v>124</v>
      </c>
      <c r="C740" s="93">
        <v>1.0</v>
      </c>
      <c r="D740" s="336">
        <v>100.0</v>
      </c>
      <c r="E740" s="70" t="s">
        <v>125</v>
      </c>
      <c r="F740" s="139">
        <v>46099.0</v>
      </c>
      <c r="G740" s="337">
        <f t="shared" si="20"/>
        <v>100</v>
      </c>
      <c r="H740" s="77"/>
      <c r="I740" s="250"/>
      <c r="J740" s="250"/>
      <c r="K740" s="250"/>
      <c r="L740" s="250"/>
      <c r="M740" s="250"/>
      <c r="N740" s="250"/>
      <c r="O740" s="250"/>
      <c r="P740" s="250"/>
      <c r="Q740" s="250"/>
      <c r="R740" s="250"/>
      <c r="S740" s="250"/>
      <c r="T740" s="250"/>
      <c r="U740" s="250"/>
      <c r="V740" s="250"/>
      <c r="W740" s="250"/>
      <c r="X740" s="250"/>
      <c r="Y740" s="250"/>
      <c r="Z740" s="250"/>
    </row>
    <row r="741" ht="14.25" customHeight="1">
      <c r="A741" s="143" t="s">
        <v>1055</v>
      </c>
      <c r="B741" s="70" t="s">
        <v>1201</v>
      </c>
      <c r="C741" s="93">
        <v>20.0</v>
      </c>
      <c r="D741" s="336">
        <f>250/20</f>
        <v>12.5</v>
      </c>
      <c r="E741" s="70" t="s">
        <v>125</v>
      </c>
      <c r="F741" s="139">
        <v>46099.0</v>
      </c>
      <c r="G741" s="337">
        <f t="shared" si="20"/>
        <v>250</v>
      </c>
      <c r="H741" s="77"/>
      <c r="I741" s="250"/>
      <c r="J741" s="250"/>
      <c r="K741" s="250"/>
      <c r="L741" s="250"/>
      <c r="M741" s="250"/>
      <c r="N741" s="250"/>
      <c r="O741" s="250"/>
      <c r="P741" s="250"/>
      <c r="Q741" s="250"/>
      <c r="R741" s="250"/>
      <c r="S741" s="250"/>
      <c r="T741" s="250"/>
      <c r="U741" s="250"/>
      <c r="V741" s="250"/>
      <c r="W741" s="250"/>
      <c r="X741" s="250"/>
      <c r="Y741" s="250"/>
      <c r="Z741" s="250"/>
    </row>
    <row r="742" ht="14.25" customHeight="1">
      <c r="A742" s="143" t="s">
        <v>982</v>
      </c>
      <c r="B742" s="70" t="s">
        <v>354</v>
      </c>
      <c r="C742" s="93">
        <v>15.0</v>
      </c>
      <c r="D742" s="336">
        <v>125.0</v>
      </c>
      <c r="E742" s="70" t="s">
        <v>125</v>
      </c>
      <c r="F742" s="139">
        <v>46099.0</v>
      </c>
      <c r="G742" s="337">
        <f t="shared" si="20"/>
        <v>1875</v>
      </c>
      <c r="H742" s="77"/>
      <c r="I742" s="250"/>
      <c r="J742" s="250"/>
      <c r="K742" s="250"/>
      <c r="L742" s="250"/>
      <c r="M742" s="250"/>
      <c r="N742" s="250"/>
      <c r="O742" s="250"/>
      <c r="P742" s="250"/>
      <c r="Q742" s="250"/>
      <c r="R742" s="250"/>
      <c r="S742" s="250"/>
      <c r="T742" s="250"/>
      <c r="U742" s="250"/>
      <c r="V742" s="250"/>
      <c r="W742" s="250"/>
      <c r="X742" s="250"/>
      <c r="Y742" s="250"/>
      <c r="Z742" s="250"/>
    </row>
    <row r="743" ht="14.25" customHeight="1">
      <c r="A743" s="143" t="s">
        <v>622</v>
      </c>
      <c r="B743" s="70" t="s">
        <v>1422</v>
      </c>
      <c r="C743" s="93">
        <v>12.0</v>
      </c>
      <c r="D743" s="336">
        <v>100.0</v>
      </c>
      <c r="E743" s="70" t="s">
        <v>1423</v>
      </c>
      <c r="F743" s="139">
        <v>46099.0</v>
      </c>
      <c r="G743" s="337">
        <f t="shared" si="20"/>
        <v>1200</v>
      </c>
      <c r="H743" s="77"/>
      <c r="I743" s="250"/>
      <c r="J743" s="250"/>
      <c r="K743" s="250"/>
      <c r="L743" s="250"/>
      <c r="M743" s="250"/>
      <c r="N743" s="250"/>
      <c r="O743" s="250"/>
      <c r="P743" s="250"/>
      <c r="Q743" s="250"/>
      <c r="R743" s="250"/>
      <c r="S743" s="250"/>
      <c r="T743" s="250"/>
      <c r="U743" s="250"/>
      <c r="V743" s="250"/>
      <c r="W743" s="250"/>
      <c r="X743" s="250"/>
      <c r="Y743" s="250"/>
      <c r="Z743" s="250"/>
    </row>
    <row r="744" ht="14.25" customHeight="1">
      <c r="A744" s="143" t="s">
        <v>655</v>
      </c>
      <c r="B744" s="70" t="s">
        <v>30</v>
      </c>
      <c r="C744" s="93">
        <v>6.0</v>
      </c>
      <c r="D744" s="336">
        <v>150.0</v>
      </c>
      <c r="E744" s="70" t="s">
        <v>1423</v>
      </c>
      <c r="F744" s="139">
        <v>46099.0</v>
      </c>
      <c r="G744" s="337">
        <f t="shared" si="20"/>
        <v>900</v>
      </c>
      <c r="H744" s="77"/>
      <c r="I744" s="250"/>
      <c r="J744" s="250"/>
      <c r="K744" s="250"/>
      <c r="L744" s="250"/>
      <c r="M744" s="250"/>
      <c r="N744" s="250"/>
      <c r="O744" s="250"/>
      <c r="P744" s="250"/>
      <c r="Q744" s="250"/>
      <c r="R744" s="250"/>
      <c r="S744" s="250"/>
      <c r="T744" s="250"/>
      <c r="U744" s="250"/>
      <c r="V744" s="250"/>
      <c r="W744" s="250"/>
      <c r="X744" s="250"/>
      <c r="Y744" s="250"/>
      <c r="Z744" s="250"/>
    </row>
    <row r="745" ht="14.25" customHeight="1">
      <c r="A745" s="143" t="s">
        <v>648</v>
      </c>
      <c r="B745" s="70" t="s">
        <v>30</v>
      </c>
      <c r="C745" s="93">
        <v>6.0</v>
      </c>
      <c r="D745" s="336">
        <v>150.0</v>
      </c>
      <c r="E745" s="70" t="s">
        <v>1423</v>
      </c>
      <c r="F745" s="139">
        <v>46099.0</v>
      </c>
      <c r="G745" s="337">
        <f t="shared" si="20"/>
        <v>900</v>
      </c>
      <c r="H745" s="77"/>
      <c r="I745" s="250"/>
      <c r="J745" s="250"/>
      <c r="K745" s="250"/>
      <c r="L745" s="250"/>
      <c r="M745" s="250"/>
      <c r="N745" s="250"/>
      <c r="O745" s="250"/>
      <c r="P745" s="250"/>
      <c r="Q745" s="250"/>
      <c r="R745" s="250"/>
      <c r="S745" s="250"/>
      <c r="T745" s="250"/>
      <c r="U745" s="250"/>
      <c r="V745" s="250"/>
      <c r="W745" s="250"/>
      <c r="X745" s="250"/>
      <c r="Y745" s="250"/>
      <c r="Z745" s="250"/>
    </row>
    <row r="746" ht="14.25" customHeight="1">
      <c r="A746" s="143" t="s">
        <v>1079</v>
      </c>
      <c r="B746" s="70" t="s">
        <v>30</v>
      </c>
      <c r="C746" s="93">
        <v>6.0</v>
      </c>
      <c r="D746" s="336">
        <v>90.0</v>
      </c>
      <c r="E746" s="70" t="s">
        <v>1423</v>
      </c>
      <c r="F746" s="139">
        <v>46099.0</v>
      </c>
      <c r="G746" s="337">
        <f t="shared" si="20"/>
        <v>540</v>
      </c>
      <c r="H746" s="77"/>
      <c r="I746" s="250"/>
      <c r="J746" s="250"/>
      <c r="K746" s="250"/>
      <c r="L746" s="250"/>
      <c r="M746" s="250"/>
      <c r="N746" s="250"/>
      <c r="O746" s="250"/>
      <c r="P746" s="250"/>
      <c r="Q746" s="250"/>
      <c r="R746" s="250"/>
      <c r="S746" s="250"/>
      <c r="T746" s="250"/>
      <c r="U746" s="250"/>
      <c r="V746" s="250"/>
      <c r="W746" s="250"/>
      <c r="X746" s="250"/>
      <c r="Y746" s="250"/>
      <c r="Z746" s="250"/>
    </row>
    <row r="747" ht="14.25" customHeight="1">
      <c r="A747" s="143" t="s">
        <v>898</v>
      </c>
      <c r="B747" s="70" t="s">
        <v>185</v>
      </c>
      <c r="C747" s="93">
        <v>20.0</v>
      </c>
      <c r="D747" s="336">
        <v>15.0</v>
      </c>
      <c r="E747" s="70" t="s">
        <v>1423</v>
      </c>
      <c r="F747" s="139">
        <v>46099.0</v>
      </c>
      <c r="G747" s="337">
        <f t="shared" si="20"/>
        <v>300</v>
      </c>
      <c r="H747" s="77"/>
      <c r="I747" s="250"/>
      <c r="J747" s="250"/>
      <c r="K747" s="250"/>
      <c r="L747" s="250"/>
      <c r="M747" s="250"/>
      <c r="N747" s="250"/>
      <c r="O747" s="250"/>
      <c r="P747" s="250"/>
      <c r="Q747" s="250"/>
      <c r="R747" s="250"/>
      <c r="S747" s="250"/>
      <c r="T747" s="250"/>
      <c r="U747" s="250"/>
      <c r="V747" s="250"/>
      <c r="W747" s="250"/>
      <c r="X747" s="250"/>
      <c r="Y747" s="250"/>
      <c r="Z747" s="250"/>
    </row>
    <row r="748" ht="14.25" customHeight="1">
      <c r="A748" s="143" t="s">
        <v>111</v>
      </c>
      <c r="B748" s="70" t="s">
        <v>50</v>
      </c>
      <c r="C748" s="93">
        <v>4.0</v>
      </c>
      <c r="D748" s="336">
        <v>200.0</v>
      </c>
      <c r="E748" s="70" t="s">
        <v>1423</v>
      </c>
      <c r="F748" s="139">
        <v>46099.0</v>
      </c>
      <c r="G748" s="337">
        <f t="shared" si="20"/>
        <v>800</v>
      </c>
      <c r="H748" s="77"/>
      <c r="I748" s="250"/>
      <c r="J748" s="250"/>
      <c r="K748" s="250"/>
      <c r="L748" s="250"/>
      <c r="M748" s="250"/>
      <c r="N748" s="250"/>
      <c r="O748" s="250"/>
      <c r="P748" s="250"/>
      <c r="Q748" s="250"/>
      <c r="R748" s="250"/>
      <c r="S748" s="250"/>
      <c r="T748" s="250"/>
      <c r="U748" s="250"/>
      <c r="V748" s="250"/>
      <c r="W748" s="250"/>
      <c r="X748" s="250"/>
      <c r="Y748" s="250"/>
      <c r="Z748" s="250"/>
    </row>
    <row r="749" ht="14.25" customHeight="1">
      <c r="A749" s="143" t="s">
        <v>1436</v>
      </c>
      <c r="B749" s="70" t="s">
        <v>50</v>
      </c>
      <c r="C749" s="93">
        <v>6.0</v>
      </c>
      <c r="D749" s="336">
        <v>85.0</v>
      </c>
      <c r="E749" s="70" t="s">
        <v>1423</v>
      </c>
      <c r="F749" s="139">
        <v>46099.0</v>
      </c>
      <c r="G749" s="337">
        <f t="shared" si="20"/>
        <v>510</v>
      </c>
      <c r="H749" s="77"/>
      <c r="I749" s="250"/>
      <c r="J749" s="250"/>
      <c r="K749" s="250"/>
      <c r="L749" s="250"/>
      <c r="M749" s="250"/>
      <c r="N749" s="250"/>
      <c r="O749" s="250"/>
      <c r="P749" s="250"/>
      <c r="Q749" s="250"/>
      <c r="R749" s="250"/>
      <c r="S749" s="250"/>
      <c r="T749" s="250"/>
      <c r="U749" s="250"/>
      <c r="V749" s="250"/>
      <c r="W749" s="250"/>
      <c r="X749" s="250"/>
      <c r="Y749" s="250"/>
      <c r="Z749" s="250"/>
    </row>
    <row r="750" ht="14.25" customHeight="1">
      <c r="A750" s="143" t="s">
        <v>1099</v>
      </c>
      <c r="B750" s="70" t="s">
        <v>50</v>
      </c>
      <c r="C750" s="93">
        <v>1.0</v>
      </c>
      <c r="D750" s="336">
        <v>100.0</v>
      </c>
      <c r="E750" s="70" t="s">
        <v>1423</v>
      </c>
      <c r="F750" s="139">
        <v>46099.0</v>
      </c>
      <c r="G750" s="337">
        <f t="shared" si="20"/>
        <v>100</v>
      </c>
      <c r="H750" s="77"/>
      <c r="I750" s="250"/>
      <c r="J750" s="250"/>
      <c r="K750" s="250"/>
      <c r="L750" s="250"/>
      <c r="M750" s="250"/>
      <c r="N750" s="250"/>
      <c r="O750" s="250"/>
      <c r="P750" s="250"/>
      <c r="Q750" s="250"/>
      <c r="R750" s="250"/>
      <c r="S750" s="250"/>
      <c r="T750" s="250"/>
      <c r="U750" s="250"/>
      <c r="V750" s="250"/>
      <c r="W750" s="250"/>
      <c r="X750" s="250"/>
      <c r="Y750" s="250"/>
      <c r="Z750" s="250"/>
    </row>
    <row r="751" ht="14.25" customHeight="1">
      <c r="A751" s="143" t="s">
        <v>508</v>
      </c>
      <c r="B751" s="70" t="s">
        <v>50</v>
      </c>
      <c r="C751" s="93">
        <v>1.0</v>
      </c>
      <c r="D751" s="336">
        <v>185.0</v>
      </c>
      <c r="E751" s="70" t="s">
        <v>1423</v>
      </c>
      <c r="F751" s="139">
        <v>46099.0</v>
      </c>
      <c r="G751" s="337">
        <f t="shared" si="20"/>
        <v>185</v>
      </c>
      <c r="H751" s="77"/>
      <c r="I751" s="250"/>
      <c r="J751" s="250"/>
      <c r="K751" s="250"/>
      <c r="L751" s="250"/>
      <c r="M751" s="250"/>
      <c r="N751" s="250"/>
      <c r="O751" s="250"/>
      <c r="P751" s="250"/>
      <c r="Q751" s="250"/>
      <c r="R751" s="250"/>
      <c r="S751" s="250"/>
      <c r="T751" s="250"/>
      <c r="U751" s="250"/>
      <c r="V751" s="250"/>
      <c r="W751" s="250"/>
      <c r="X751" s="250"/>
      <c r="Y751" s="250"/>
      <c r="Z751" s="250"/>
    </row>
    <row r="752" ht="14.25" customHeight="1">
      <c r="A752" s="143" t="s">
        <v>479</v>
      </c>
      <c r="B752" s="70" t="s">
        <v>50</v>
      </c>
      <c r="C752" s="93">
        <v>1.0</v>
      </c>
      <c r="D752" s="336">
        <v>200.0</v>
      </c>
      <c r="E752" s="70" t="s">
        <v>1423</v>
      </c>
      <c r="F752" s="139">
        <v>46099.0</v>
      </c>
      <c r="G752" s="337">
        <f t="shared" si="20"/>
        <v>200</v>
      </c>
      <c r="H752" s="77"/>
      <c r="I752" s="250"/>
      <c r="J752" s="250"/>
      <c r="K752" s="250"/>
      <c r="L752" s="250"/>
      <c r="M752" s="250"/>
      <c r="N752" s="250"/>
      <c r="O752" s="250"/>
      <c r="P752" s="250"/>
      <c r="Q752" s="250"/>
      <c r="R752" s="250"/>
      <c r="S752" s="250"/>
      <c r="T752" s="250"/>
      <c r="U752" s="250"/>
      <c r="V752" s="250"/>
      <c r="W752" s="250"/>
      <c r="X752" s="250"/>
      <c r="Y752" s="250"/>
      <c r="Z752" s="250"/>
    </row>
    <row r="753" ht="14.25" customHeight="1">
      <c r="A753" s="143" t="s">
        <v>996</v>
      </c>
      <c r="B753" s="70" t="s">
        <v>1171</v>
      </c>
      <c r="C753" s="93">
        <v>9.0</v>
      </c>
      <c r="D753" s="336">
        <v>75.0</v>
      </c>
      <c r="E753" s="70" t="s">
        <v>51</v>
      </c>
      <c r="F753" s="139">
        <v>46099.0</v>
      </c>
      <c r="G753" s="337">
        <f t="shared" si="20"/>
        <v>675</v>
      </c>
      <c r="H753" s="77"/>
      <c r="I753" s="250"/>
      <c r="J753" s="250"/>
      <c r="K753" s="250"/>
      <c r="L753" s="250"/>
      <c r="M753" s="250"/>
      <c r="N753" s="250"/>
      <c r="O753" s="250"/>
      <c r="P753" s="250"/>
      <c r="Q753" s="250"/>
      <c r="R753" s="250"/>
      <c r="S753" s="250"/>
      <c r="T753" s="250"/>
      <c r="U753" s="250"/>
      <c r="V753" s="250"/>
      <c r="W753" s="250"/>
      <c r="X753" s="250"/>
      <c r="Y753" s="250"/>
      <c r="Z753" s="250"/>
    </row>
    <row r="754" ht="14.25" customHeight="1">
      <c r="A754" s="143" t="s">
        <v>988</v>
      </c>
      <c r="B754" s="70" t="s">
        <v>1171</v>
      </c>
      <c r="C754" s="93">
        <v>4.0</v>
      </c>
      <c r="D754" s="336">
        <v>75.0</v>
      </c>
      <c r="E754" s="70" t="s">
        <v>51</v>
      </c>
      <c r="F754" s="139">
        <v>46099.0</v>
      </c>
      <c r="G754" s="337">
        <f t="shared" si="20"/>
        <v>300</v>
      </c>
      <c r="H754" s="77"/>
      <c r="I754" s="250"/>
      <c r="J754" s="250"/>
      <c r="K754" s="250"/>
      <c r="L754" s="250"/>
      <c r="M754" s="250"/>
      <c r="N754" s="250"/>
      <c r="O754" s="250"/>
      <c r="P754" s="250"/>
      <c r="Q754" s="250"/>
      <c r="R754" s="250"/>
      <c r="S754" s="250"/>
      <c r="T754" s="250"/>
      <c r="U754" s="250"/>
      <c r="V754" s="250"/>
      <c r="W754" s="250"/>
      <c r="X754" s="250"/>
      <c r="Y754" s="250"/>
      <c r="Z754" s="250"/>
    </row>
    <row r="755" ht="14.25" customHeight="1">
      <c r="A755" s="143" t="s">
        <v>991</v>
      </c>
      <c r="B755" s="70" t="s">
        <v>1171</v>
      </c>
      <c r="C755" s="93">
        <v>12.0</v>
      </c>
      <c r="D755" s="336">
        <v>50.0</v>
      </c>
      <c r="E755" s="70" t="s">
        <v>51</v>
      </c>
      <c r="F755" s="139">
        <v>46099.0</v>
      </c>
      <c r="G755" s="337">
        <f t="shared" si="20"/>
        <v>600</v>
      </c>
      <c r="H755" s="77"/>
      <c r="I755" s="250"/>
      <c r="J755" s="250"/>
      <c r="K755" s="250"/>
      <c r="L755" s="250"/>
      <c r="M755" s="250"/>
      <c r="N755" s="250"/>
      <c r="O755" s="250"/>
      <c r="P755" s="250"/>
      <c r="Q755" s="250"/>
      <c r="R755" s="250"/>
      <c r="S755" s="250"/>
      <c r="T755" s="250"/>
      <c r="U755" s="250"/>
      <c r="V755" s="250"/>
      <c r="W755" s="250"/>
      <c r="X755" s="250"/>
      <c r="Y755" s="250"/>
      <c r="Z755" s="250"/>
    </row>
    <row r="756" ht="14.25" customHeight="1">
      <c r="A756" s="250"/>
      <c r="B756" s="250"/>
      <c r="C756" s="250"/>
      <c r="D756" s="254"/>
      <c r="E756" s="250"/>
      <c r="F756" s="250"/>
      <c r="G756" s="250"/>
      <c r="H756" s="250"/>
      <c r="I756" s="250"/>
      <c r="J756" s="250"/>
      <c r="K756" s="250"/>
      <c r="L756" s="250"/>
      <c r="M756" s="250"/>
      <c r="N756" s="250"/>
      <c r="O756" s="250"/>
      <c r="P756" s="250"/>
      <c r="Q756" s="250"/>
      <c r="R756" s="250"/>
      <c r="S756" s="250"/>
      <c r="T756" s="250"/>
      <c r="U756" s="250"/>
      <c r="V756" s="250"/>
      <c r="W756" s="250"/>
      <c r="X756" s="250"/>
      <c r="Y756" s="250"/>
      <c r="Z756" s="250"/>
    </row>
    <row r="757" ht="14.25" customHeight="1">
      <c r="A757" s="250"/>
      <c r="B757" s="250"/>
      <c r="C757" s="250"/>
      <c r="D757" s="254"/>
      <c r="E757" s="250"/>
      <c r="F757" s="250"/>
      <c r="G757" s="250"/>
      <c r="H757" s="250"/>
      <c r="I757" s="250"/>
      <c r="J757" s="250"/>
      <c r="K757" s="250"/>
      <c r="L757" s="250"/>
      <c r="M757" s="250"/>
      <c r="N757" s="250"/>
      <c r="O757" s="250"/>
      <c r="P757" s="250"/>
      <c r="Q757" s="250"/>
      <c r="R757" s="250"/>
      <c r="S757" s="250"/>
      <c r="T757" s="250"/>
      <c r="U757" s="250"/>
      <c r="V757" s="250"/>
      <c r="W757" s="250"/>
      <c r="X757" s="250"/>
      <c r="Y757" s="250"/>
      <c r="Z757" s="250"/>
    </row>
    <row r="758" ht="14.25" customHeight="1">
      <c r="A758" s="250"/>
      <c r="B758" s="250"/>
      <c r="C758" s="250"/>
      <c r="D758" s="254"/>
      <c r="E758" s="250"/>
      <c r="F758" s="250"/>
      <c r="G758" s="250"/>
      <c r="H758" s="250"/>
      <c r="I758" s="250"/>
      <c r="J758" s="250"/>
      <c r="K758" s="250"/>
      <c r="L758" s="250"/>
      <c r="M758" s="250"/>
      <c r="N758" s="250"/>
      <c r="O758" s="250"/>
      <c r="P758" s="250"/>
      <c r="Q758" s="250"/>
      <c r="R758" s="250"/>
      <c r="S758" s="250"/>
      <c r="T758" s="250"/>
      <c r="U758" s="250"/>
      <c r="V758" s="250"/>
      <c r="W758" s="250"/>
      <c r="X758" s="250"/>
      <c r="Y758" s="250"/>
      <c r="Z758" s="250"/>
    </row>
    <row r="759" ht="14.25" customHeight="1">
      <c r="A759" s="280" t="s">
        <v>4369</v>
      </c>
      <c r="B759" s="280" t="s">
        <v>4350</v>
      </c>
      <c r="C759" s="280" t="s">
        <v>4352</v>
      </c>
      <c r="D759" s="281" t="s">
        <v>4370</v>
      </c>
      <c r="E759" s="280" t="s">
        <v>4433</v>
      </c>
      <c r="F759" s="280" t="s">
        <v>4372</v>
      </c>
      <c r="G759" s="280" t="s">
        <v>4353</v>
      </c>
      <c r="H759" s="298" t="s">
        <v>4891</v>
      </c>
      <c r="I759" s="250"/>
      <c r="J759" s="250"/>
      <c r="K759" s="250"/>
      <c r="L759" s="250"/>
      <c r="M759" s="250"/>
      <c r="N759" s="250"/>
      <c r="O759" s="250"/>
      <c r="P759" s="250"/>
      <c r="Q759" s="250"/>
      <c r="R759" s="250"/>
      <c r="S759" s="250"/>
      <c r="T759" s="250"/>
      <c r="U759" s="250"/>
      <c r="V759" s="250"/>
      <c r="W759" s="250"/>
      <c r="X759" s="250"/>
      <c r="Y759" s="250"/>
      <c r="Z759" s="250"/>
    </row>
    <row r="760" ht="14.25" customHeight="1">
      <c r="A760" s="144" t="s">
        <v>1157</v>
      </c>
      <c r="B760" s="145" t="s">
        <v>1023</v>
      </c>
      <c r="C760" s="96">
        <v>4.0</v>
      </c>
      <c r="D760" s="339">
        <v>85.0</v>
      </c>
      <c r="E760" s="146" t="s">
        <v>119</v>
      </c>
      <c r="F760" s="147">
        <v>46116.0</v>
      </c>
      <c r="G760" s="342">
        <f t="shared" ref="G760:G805" si="21">C760*D760</f>
        <v>340</v>
      </c>
      <c r="H760" s="343"/>
      <c r="I760" s="250"/>
      <c r="J760" s="250"/>
      <c r="K760" s="250"/>
      <c r="L760" s="250"/>
      <c r="M760" s="250"/>
      <c r="N760" s="250"/>
      <c r="O760" s="250"/>
      <c r="P760" s="250"/>
      <c r="Q760" s="250"/>
      <c r="R760" s="250"/>
      <c r="S760" s="250"/>
      <c r="T760" s="250"/>
      <c r="U760" s="250"/>
      <c r="V760" s="250"/>
      <c r="W760" s="250"/>
      <c r="X760" s="250"/>
      <c r="Y760" s="250"/>
      <c r="Z760" s="250"/>
    </row>
    <row r="761" ht="14.25" customHeight="1">
      <c r="A761" s="133" t="s">
        <v>1073</v>
      </c>
      <c r="B761" s="145" t="s">
        <v>1023</v>
      </c>
      <c r="C761" s="96">
        <v>3.0</v>
      </c>
      <c r="D761" s="339">
        <v>106.0</v>
      </c>
      <c r="E761" s="149" t="s">
        <v>119</v>
      </c>
      <c r="F761" s="147">
        <v>46116.0</v>
      </c>
      <c r="G761" s="342">
        <f t="shared" si="21"/>
        <v>318</v>
      </c>
      <c r="H761" s="135"/>
      <c r="I761" s="250"/>
      <c r="J761" s="292"/>
      <c r="K761" s="292"/>
      <c r="L761" s="292"/>
      <c r="M761" s="292"/>
      <c r="N761" s="250"/>
      <c r="O761" s="250"/>
      <c r="P761" s="250"/>
      <c r="Q761" s="250"/>
      <c r="R761" s="250"/>
      <c r="S761" s="250"/>
      <c r="T761" s="250"/>
      <c r="U761" s="250"/>
      <c r="V761" s="250"/>
      <c r="W761" s="250"/>
      <c r="X761" s="250"/>
      <c r="Y761" s="250"/>
      <c r="Z761" s="250"/>
    </row>
    <row r="762" ht="14.25" customHeight="1">
      <c r="A762" s="133" t="s">
        <v>377</v>
      </c>
      <c r="B762" s="150" t="s">
        <v>840</v>
      </c>
      <c r="C762" s="96">
        <v>2.0</v>
      </c>
      <c r="D762" s="339">
        <v>139.0</v>
      </c>
      <c r="E762" s="149" t="s">
        <v>119</v>
      </c>
      <c r="F762" s="147">
        <v>46116.0</v>
      </c>
      <c r="G762" s="344">
        <f t="shared" si="21"/>
        <v>278</v>
      </c>
      <c r="H762" s="135"/>
      <c r="I762" s="250"/>
      <c r="J762" s="1"/>
      <c r="N762" s="250"/>
      <c r="O762" s="250"/>
      <c r="P762" s="250"/>
      <c r="Q762" s="250"/>
      <c r="R762" s="250"/>
      <c r="S762" s="250"/>
      <c r="T762" s="250"/>
      <c r="U762" s="250"/>
      <c r="V762" s="250"/>
      <c r="W762" s="250"/>
      <c r="X762" s="250"/>
      <c r="Y762" s="250"/>
      <c r="Z762" s="250"/>
    </row>
    <row r="763" ht="14.25" customHeight="1">
      <c r="A763" s="133" t="s">
        <v>298</v>
      </c>
      <c r="B763" s="150" t="s">
        <v>30</v>
      </c>
      <c r="C763" s="96">
        <v>2.0</v>
      </c>
      <c r="D763" s="339">
        <v>290.0</v>
      </c>
      <c r="E763" s="149" t="s">
        <v>119</v>
      </c>
      <c r="F763" s="147">
        <v>46116.0</v>
      </c>
      <c r="G763" s="344">
        <f t="shared" si="21"/>
        <v>580</v>
      </c>
      <c r="H763" s="135"/>
      <c r="I763" s="250"/>
      <c r="J763" s="1"/>
      <c r="N763" s="250"/>
      <c r="O763" s="250"/>
      <c r="P763" s="250"/>
      <c r="Q763" s="250"/>
      <c r="R763" s="250"/>
      <c r="S763" s="250"/>
      <c r="T763" s="250"/>
      <c r="U763" s="250"/>
      <c r="V763" s="250"/>
      <c r="W763" s="250"/>
      <c r="X763" s="250"/>
      <c r="Y763" s="250"/>
      <c r="Z763" s="250"/>
    </row>
    <row r="764" ht="14.25" customHeight="1">
      <c r="A764" s="133" t="s">
        <v>715</v>
      </c>
      <c r="B764" s="150" t="s">
        <v>118</v>
      </c>
      <c r="C764" s="96">
        <v>1.0</v>
      </c>
      <c r="D764" s="339">
        <v>155.0</v>
      </c>
      <c r="E764" s="149" t="s">
        <v>119</v>
      </c>
      <c r="F764" s="147">
        <v>46116.0</v>
      </c>
      <c r="G764" s="344">
        <f t="shared" si="21"/>
        <v>155</v>
      </c>
      <c r="H764" s="135"/>
      <c r="I764" s="250"/>
      <c r="J764" s="1"/>
      <c r="L764" s="1"/>
      <c r="N764" s="250"/>
      <c r="O764" s="250"/>
      <c r="P764" s="250"/>
      <c r="Q764" s="250"/>
      <c r="R764" s="250"/>
      <c r="S764" s="250"/>
      <c r="T764" s="250"/>
      <c r="U764" s="250"/>
      <c r="V764" s="250"/>
      <c r="W764" s="250"/>
      <c r="X764" s="250"/>
      <c r="Y764" s="250"/>
      <c r="Z764" s="250"/>
    </row>
    <row r="765" ht="14.25" customHeight="1">
      <c r="A765" s="143" t="s">
        <v>129</v>
      </c>
      <c r="B765" s="150" t="s">
        <v>118</v>
      </c>
      <c r="C765" s="75">
        <v>1.0</v>
      </c>
      <c r="D765" s="345">
        <v>490.0</v>
      </c>
      <c r="E765" s="149" t="s">
        <v>119</v>
      </c>
      <c r="F765" s="147">
        <v>46116.0</v>
      </c>
      <c r="G765" s="344">
        <f t="shared" si="21"/>
        <v>490</v>
      </c>
      <c r="H765" s="135"/>
      <c r="I765" s="250"/>
      <c r="J765" s="250"/>
      <c r="K765" s="250"/>
      <c r="M765" s="250"/>
      <c r="N765" s="250"/>
      <c r="O765" s="250"/>
      <c r="P765" s="250"/>
      <c r="Q765" s="250"/>
      <c r="R765" s="250"/>
      <c r="S765" s="250"/>
      <c r="T765" s="250"/>
      <c r="U765" s="250"/>
      <c r="V765" s="250"/>
      <c r="W765" s="250"/>
      <c r="X765" s="250"/>
      <c r="Y765" s="250"/>
      <c r="Z765" s="250"/>
    </row>
    <row r="766" ht="14.25" customHeight="1">
      <c r="A766" s="152" t="s">
        <v>117</v>
      </c>
      <c r="B766" s="150" t="s">
        <v>118</v>
      </c>
      <c r="C766" s="75">
        <v>1.0</v>
      </c>
      <c r="D766" s="345">
        <v>499.0</v>
      </c>
      <c r="E766" s="149" t="s">
        <v>119</v>
      </c>
      <c r="F766" s="147">
        <v>46116.0</v>
      </c>
      <c r="G766" s="344">
        <f t="shared" si="21"/>
        <v>499</v>
      </c>
      <c r="H766" s="135"/>
      <c r="I766" s="250"/>
      <c r="J766" s="250"/>
      <c r="K766" s="250"/>
      <c r="L766" s="1"/>
      <c r="M766" s="250"/>
      <c r="N766" s="250"/>
      <c r="O766" s="250"/>
      <c r="P766" s="250"/>
      <c r="Q766" s="250"/>
      <c r="R766" s="250"/>
      <c r="S766" s="250"/>
      <c r="T766" s="250"/>
      <c r="U766" s="250"/>
      <c r="V766" s="250"/>
      <c r="W766" s="250"/>
      <c r="X766" s="250"/>
      <c r="Y766" s="250"/>
      <c r="Z766" s="250"/>
    </row>
    <row r="767" ht="14.25" customHeight="1">
      <c r="A767" s="133" t="s">
        <v>634</v>
      </c>
      <c r="B767" s="150" t="s">
        <v>30</v>
      </c>
      <c r="C767" s="75">
        <v>4.0</v>
      </c>
      <c r="D767" s="345">
        <v>167.0</v>
      </c>
      <c r="E767" s="149" t="s">
        <v>119</v>
      </c>
      <c r="F767" s="147">
        <v>46116.0</v>
      </c>
      <c r="G767" s="344">
        <f t="shared" si="21"/>
        <v>668</v>
      </c>
      <c r="H767" s="135"/>
      <c r="I767" s="250"/>
      <c r="J767" s="250"/>
      <c r="K767" s="250"/>
      <c r="M767" s="250"/>
      <c r="N767" s="250"/>
      <c r="O767" s="250"/>
      <c r="P767" s="250"/>
      <c r="Q767" s="250"/>
      <c r="R767" s="250"/>
      <c r="S767" s="250"/>
      <c r="T767" s="250"/>
      <c r="U767" s="250"/>
      <c r="V767" s="250"/>
      <c r="W767" s="250"/>
      <c r="X767" s="250"/>
      <c r="Y767" s="250"/>
      <c r="Z767" s="250"/>
    </row>
    <row r="768" ht="14.25" customHeight="1">
      <c r="A768" s="152" t="s">
        <v>776</v>
      </c>
      <c r="B768" s="150" t="s">
        <v>30</v>
      </c>
      <c r="C768" s="75">
        <v>2.0</v>
      </c>
      <c r="D768" s="345">
        <v>150.0</v>
      </c>
      <c r="E768" s="149" t="s">
        <v>119</v>
      </c>
      <c r="F768" s="147">
        <v>46116.0</v>
      </c>
      <c r="G768" s="344">
        <f t="shared" si="21"/>
        <v>300</v>
      </c>
      <c r="H768" s="135"/>
      <c r="I768" s="250"/>
      <c r="J768" s="250"/>
      <c r="K768" s="250"/>
      <c r="L768" s="1"/>
      <c r="M768" s="250"/>
      <c r="N768" s="250"/>
      <c r="O768" s="250"/>
      <c r="P768" s="250"/>
      <c r="Q768" s="250"/>
      <c r="R768" s="250"/>
      <c r="S768" s="250"/>
      <c r="T768" s="250"/>
      <c r="U768" s="250"/>
      <c r="V768" s="250"/>
      <c r="W768" s="250"/>
      <c r="X768" s="250"/>
      <c r="Y768" s="250"/>
      <c r="Z768" s="250"/>
    </row>
    <row r="769" ht="14.25" customHeight="1">
      <c r="A769" s="143" t="s">
        <v>763</v>
      </c>
      <c r="B769" s="150" t="s">
        <v>30</v>
      </c>
      <c r="C769" s="75">
        <v>2.0</v>
      </c>
      <c r="D769" s="345">
        <v>150.0</v>
      </c>
      <c r="E769" s="149" t="s">
        <v>119</v>
      </c>
      <c r="F769" s="147">
        <v>46116.0</v>
      </c>
      <c r="G769" s="344">
        <f t="shared" si="21"/>
        <v>300</v>
      </c>
      <c r="H769" s="135"/>
      <c r="I769" s="250"/>
      <c r="J769" s="250"/>
      <c r="K769" s="250"/>
      <c r="L769" s="1"/>
      <c r="M769" s="250"/>
      <c r="N769" s="250"/>
      <c r="O769" s="250"/>
      <c r="P769" s="250"/>
      <c r="Q769" s="250"/>
      <c r="R769" s="250"/>
      <c r="S769" s="250"/>
      <c r="T769" s="250"/>
      <c r="U769" s="250"/>
      <c r="V769" s="250"/>
      <c r="W769" s="250"/>
      <c r="X769" s="250"/>
      <c r="Y769" s="250"/>
      <c r="Z769" s="250"/>
    </row>
    <row r="770" ht="14.25" customHeight="1">
      <c r="A770" s="143" t="s">
        <v>856</v>
      </c>
      <c r="B770" s="150" t="s">
        <v>579</v>
      </c>
      <c r="C770" s="75">
        <v>24.0</v>
      </c>
      <c r="D770" s="346">
        <f>110/24</f>
        <v>4.583333333</v>
      </c>
      <c r="E770" s="149" t="s">
        <v>119</v>
      </c>
      <c r="F770" s="147">
        <v>46116.0</v>
      </c>
      <c r="G770" s="344">
        <f t="shared" si="21"/>
        <v>110</v>
      </c>
      <c r="H770" s="135"/>
      <c r="I770" s="250"/>
      <c r="J770" s="250"/>
      <c r="K770" s="250"/>
      <c r="L770" s="1"/>
      <c r="M770" s="250"/>
      <c r="N770" s="250"/>
      <c r="O770" s="250"/>
      <c r="P770" s="250"/>
      <c r="Q770" s="250"/>
      <c r="R770" s="250"/>
      <c r="S770" s="250"/>
      <c r="T770" s="250"/>
      <c r="U770" s="250"/>
      <c r="V770" s="250"/>
      <c r="W770" s="250"/>
      <c r="X770" s="250"/>
      <c r="Y770" s="250"/>
      <c r="Z770" s="250"/>
    </row>
    <row r="771" ht="14.25" customHeight="1">
      <c r="A771" s="143" t="s">
        <v>640</v>
      </c>
      <c r="B771" s="150" t="s">
        <v>30</v>
      </c>
      <c r="C771" s="75">
        <v>4.0</v>
      </c>
      <c r="D771" s="345">
        <v>167.0</v>
      </c>
      <c r="E771" s="149" t="s">
        <v>119</v>
      </c>
      <c r="F771" s="147">
        <v>46116.0</v>
      </c>
      <c r="G771" s="344">
        <f t="shared" si="21"/>
        <v>668</v>
      </c>
      <c r="H771" s="137" t="s">
        <v>72</v>
      </c>
      <c r="I771" s="250"/>
      <c r="J771" s="250"/>
      <c r="K771" s="250"/>
      <c r="L771" s="1"/>
      <c r="M771" s="250"/>
      <c r="N771" s="250"/>
      <c r="O771" s="250"/>
      <c r="P771" s="250"/>
      <c r="Q771" s="250"/>
      <c r="R771" s="250"/>
      <c r="S771" s="250"/>
      <c r="T771" s="250"/>
      <c r="U771" s="250"/>
      <c r="V771" s="250"/>
      <c r="W771" s="250"/>
      <c r="X771" s="250"/>
      <c r="Y771" s="250"/>
      <c r="Z771" s="250"/>
    </row>
    <row r="772" ht="14.25" customHeight="1">
      <c r="A772" s="143" t="s">
        <v>637</v>
      </c>
      <c r="B772" s="150" t="s">
        <v>30</v>
      </c>
      <c r="C772" s="75">
        <v>4.0</v>
      </c>
      <c r="D772" s="345">
        <v>167.0</v>
      </c>
      <c r="E772" s="149" t="s">
        <v>119</v>
      </c>
      <c r="F772" s="147">
        <v>46116.0</v>
      </c>
      <c r="G772" s="344">
        <f t="shared" si="21"/>
        <v>668</v>
      </c>
      <c r="H772" s="137" t="s">
        <v>72</v>
      </c>
      <c r="I772" s="250"/>
      <c r="J772" s="250"/>
      <c r="K772" s="250"/>
      <c r="L772" s="1"/>
      <c r="M772" s="250"/>
      <c r="N772" s="250"/>
      <c r="O772" s="250"/>
      <c r="P772" s="250"/>
      <c r="Q772" s="250"/>
      <c r="R772" s="250"/>
      <c r="S772" s="250"/>
      <c r="T772" s="250"/>
      <c r="U772" s="250"/>
      <c r="V772" s="250"/>
      <c r="W772" s="250"/>
      <c r="X772" s="250"/>
      <c r="Y772" s="250"/>
      <c r="Z772" s="250"/>
    </row>
    <row r="773" ht="14.25" customHeight="1">
      <c r="A773" s="143" t="s">
        <v>779</v>
      </c>
      <c r="B773" s="150" t="s">
        <v>30</v>
      </c>
      <c r="C773" s="75">
        <v>2.0</v>
      </c>
      <c r="D773" s="345">
        <v>150.0</v>
      </c>
      <c r="E773" s="149" t="s">
        <v>119</v>
      </c>
      <c r="F773" s="147">
        <v>46116.0</v>
      </c>
      <c r="G773" s="344">
        <f t="shared" si="21"/>
        <v>300</v>
      </c>
      <c r="H773" s="137" t="s">
        <v>72</v>
      </c>
      <c r="I773" s="250"/>
      <c r="J773" s="250"/>
      <c r="K773" s="250"/>
      <c r="L773" s="1"/>
      <c r="M773" s="250"/>
      <c r="N773" s="250"/>
      <c r="O773" s="250"/>
      <c r="P773" s="250"/>
      <c r="Q773" s="250"/>
      <c r="R773" s="250"/>
      <c r="S773" s="250"/>
      <c r="T773" s="250"/>
      <c r="U773" s="250"/>
      <c r="V773" s="250"/>
      <c r="W773" s="250"/>
      <c r="X773" s="250"/>
      <c r="Y773" s="250"/>
      <c r="Z773" s="250"/>
    </row>
    <row r="774" ht="14.25" customHeight="1">
      <c r="A774" s="143" t="s">
        <v>496</v>
      </c>
      <c r="B774" s="150" t="s">
        <v>579</v>
      </c>
      <c r="C774" s="71">
        <f>4*10</f>
        <v>40</v>
      </c>
      <c r="D774" s="346">
        <f>44.25/10</f>
        <v>4.425</v>
      </c>
      <c r="E774" s="149" t="s">
        <v>119</v>
      </c>
      <c r="F774" s="147">
        <v>46116.0</v>
      </c>
      <c r="G774" s="344">
        <f t="shared" si="21"/>
        <v>177</v>
      </c>
      <c r="H774" s="137" t="s">
        <v>6</v>
      </c>
      <c r="I774" s="250"/>
      <c r="J774" s="250"/>
      <c r="K774" s="292" t="s">
        <v>5018</v>
      </c>
      <c r="L774" s="292" t="s">
        <v>4352</v>
      </c>
      <c r="M774" s="292" t="s">
        <v>4351</v>
      </c>
      <c r="N774" s="292" t="s">
        <v>4621</v>
      </c>
      <c r="O774" s="250"/>
      <c r="P774" s="250"/>
      <c r="Q774" s="250"/>
      <c r="R774" s="250"/>
      <c r="S774" s="250"/>
      <c r="T774" s="250"/>
      <c r="U774" s="250"/>
      <c r="V774" s="250"/>
      <c r="W774" s="250"/>
      <c r="X774" s="250"/>
      <c r="Y774" s="250"/>
      <c r="Z774" s="250"/>
    </row>
    <row r="775" ht="14.25" customHeight="1">
      <c r="A775" s="133" t="s">
        <v>583</v>
      </c>
      <c r="B775" s="133" t="s">
        <v>327</v>
      </c>
      <c r="C775" s="75">
        <v>4.0</v>
      </c>
      <c r="D775" s="339">
        <v>175.0</v>
      </c>
      <c r="E775" s="149" t="s">
        <v>51</v>
      </c>
      <c r="F775" s="147">
        <v>46116.0</v>
      </c>
      <c r="G775" s="344">
        <f t="shared" si="21"/>
        <v>700</v>
      </c>
      <c r="H775" s="135"/>
      <c r="I775" s="250"/>
      <c r="J775" s="250"/>
      <c r="K775" s="1" t="s">
        <v>583</v>
      </c>
      <c r="L775" s="2">
        <v>4.0</v>
      </c>
      <c r="M775" s="2">
        <v>175.0</v>
      </c>
      <c r="N775" s="2">
        <v>700.0</v>
      </c>
      <c r="O775" s="250"/>
      <c r="P775" s="250"/>
      <c r="Q775" s="250"/>
      <c r="R775" s="250"/>
      <c r="S775" s="250"/>
      <c r="T775" s="250"/>
      <c r="U775" s="250"/>
      <c r="V775" s="250"/>
      <c r="W775" s="250"/>
      <c r="X775" s="250"/>
      <c r="Y775" s="250"/>
      <c r="Z775" s="250"/>
    </row>
    <row r="776" ht="14.25" customHeight="1">
      <c r="A776" s="133" t="s">
        <v>208</v>
      </c>
      <c r="B776" s="133" t="s">
        <v>472</v>
      </c>
      <c r="C776" s="75">
        <v>4.0</v>
      </c>
      <c r="D776" s="339">
        <v>175.0</v>
      </c>
      <c r="E776" s="149" t="s">
        <v>51</v>
      </c>
      <c r="F776" s="147">
        <v>46116.0</v>
      </c>
      <c r="G776" s="344">
        <f t="shared" si="21"/>
        <v>700</v>
      </c>
      <c r="H776" s="135"/>
      <c r="I776" s="250"/>
      <c r="J776" s="250"/>
      <c r="K776" s="1" t="s">
        <v>208</v>
      </c>
      <c r="L776" s="2">
        <v>4.0</v>
      </c>
      <c r="M776" s="2">
        <v>175.0</v>
      </c>
      <c r="N776" s="2">
        <v>700.0</v>
      </c>
      <c r="O776" s="250"/>
      <c r="P776" s="250"/>
      <c r="Q776" s="250"/>
      <c r="R776" s="250"/>
      <c r="S776" s="250"/>
      <c r="T776" s="250"/>
      <c r="U776" s="250"/>
      <c r="V776" s="250"/>
      <c r="W776" s="250"/>
      <c r="X776" s="250"/>
      <c r="Y776" s="250"/>
      <c r="Z776" s="250"/>
    </row>
    <row r="777" ht="14.25" customHeight="1">
      <c r="A777" s="133" t="s">
        <v>1161</v>
      </c>
      <c r="B777" s="133" t="s">
        <v>472</v>
      </c>
      <c r="C777" s="75">
        <f>6+38</f>
        <v>44</v>
      </c>
      <c r="D777" s="339">
        <v>90.0</v>
      </c>
      <c r="E777" s="149" t="s">
        <v>51</v>
      </c>
      <c r="F777" s="147">
        <v>46116.0</v>
      </c>
      <c r="G777" s="344">
        <f t="shared" si="21"/>
        <v>3960</v>
      </c>
      <c r="H777" s="135"/>
      <c r="I777" s="250"/>
      <c r="J777" s="250"/>
      <c r="K777" s="1" t="s">
        <v>1161</v>
      </c>
      <c r="L777" s="2">
        <v>30.0</v>
      </c>
      <c r="M777" s="2">
        <v>90.0</v>
      </c>
      <c r="N777" s="2">
        <v>2700.0</v>
      </c>
      <c r="O777" s="250"/>
      <c r="P777" s="250"/>
      <c r="Q777" s="250"/>
      <c r="R777" s="250"/>
      <c r="S777" s="250"/>
      <c r="T777" s="250"/>
      <c r="U777" s="250"/>
      <c r="V777" s="250"/>
      <c r="W777" s="250"/>
      <c r="X777" s="250"/>
      <c r="Y777" s="250"/>
      <c r="Z777" s="250"/>
    </row>
    <row r="778" ht="14.25" customHeight="1">
      <c r="A778" s="143" t="s">
        <v>674</v>
      </c>
      <c r="B778" s="150" t="s">
        <v>472</v>
      </c>
      <c r="C778" s="96">
        <v>1.0</v>
      </c>
      <c r="D778" s="345">
        <v>50.0</v>
      </c>
      <c r="E778" s="149" t="s">
        <v>51</v>
      </c>
      <c r="F778" s="147">
        <v>46116.0</v>
      </c>
      <c r="G778" s="344">
        <f t="shared" si="21"/>
        <v>50</v>
      </c>
      <c r="H778" s="135"/>
      <c r="I778" s="250"/>
      <c r="J778" s="250"/>
      <c r="K778" s="250"/>
      <c r="L778" s="250"/>
      <c r="M778" s="250"/>
      <c r="N778" s="250"/>
      <c r="O778" s="250"/>
      <c r="P778" s="250"/>
      <c r="Q778" s="250"/>
      <c r="R778" s="250"/>
      <c r="S778" s="250"/>
      <c r="T778" s="250"/>
      <c r="U778" s="250"/>
      <c r="V778" s="250"/>
      <c r="W778" s="250"/>
      <c r="X778" s="250"/>
      <c r="Y778" s="250"/>
      <c r="Z778" s="250"/>
    </row>
    <row r="779" ht="14.25" customHeight="1">
      <c r="A779" s="143" t="s">
        <v>1000</v>
      </c>
      <c r="B779" s="150" t="s">
        <v>238</v>
      </c>
      <c r="C779" s="96">
        <v>19.0</v>
      </c>
      <c r="D779" s="345">
        <v>11.0</v>
      </c>
      <c r="E779" s="149" t="s">
        <v>154</v>
      </c>
      <c r="F779" s="147">
        <v>46116.0</v>
      </c>
      <c r="G779" s="344">
        <f t="shared" si="21"/>
        <v>209</v>
      </c>
      <c r="H779" s="135"/>
      <c r="I779" s="250"/>
      <c r="J779" s="250"/>
      <c r="K779" s="250"/>
      <c r="L779" s="250"/>
      <c r="M779" s="250"/>
      <c r="N779" s="250"/>
      <c r="O779" s="250"/>
      <c r="P779" s="250"/>
      <c r="Q779" s="250"/>
      <c r="R779" s="250"/>
      <c r="S779" s="250"/>
      <c r="T779" s="250"/>
      <c r="U779" s="250"/>
      <c r="V779" s="250"/>
      <c r="W779" s="250"/>
      <c r="X779" s="250"/>
      <c r="Y779" s="250"/>
      <c r="Z779" s="250"/>
    </row>
    <row r="780" ht="14.25" customHeight="1">
      <c r="A780" s="143" t="s">
        <v>906</v>
      </c>
      <c r="B780" s="150" t="s">
        <v>1486</v>
      </c>
      <c r="C780" s="96">
        <v>240.0</v>
      </c>
      <c r="D780" s="347">
        <f>3.5</f>
        <v>3.5</v>
      </c>
      <c r="E780" s="149" t="s">
        <v>154</v>
      </c>
      <c r="F780" s="147">
        <v>46116.0</v>
      </c>
      <c r="G780" s="344">
        <f t="shared" si="21"/>
        <v>840</v>
      </c>
      <c r="H780" s="135"/>
      <c r="I780" s="250"/>
      <c r="J780" s="250"/>
      <c r="K780" s="250"/>
      <c r="L780" s="250"/>
      <c r="M780" s="250"/>
      <c r="N780" s="250"/>
      <c r="O780" s="250"/>
      <c r="P780" s="250"/>
      <c r="Q780" s="250"/>
      <c r="R780" s="250"/>
      <c r="S780" s="250"/>
      <c r="T780" s="250"/>
      <c r="U780" s="250"/>
      <c r="V780" s="250"/>
      <c r="W780" s="250"/>
      <c r="X780" s="250"/>
      <c r="Y780" s="250"/>
      <c r="Z780" s="250"/>
    </row>
    <row r="781" ht="14.25" customHeight="1">
      <c r="A781" s="143" t="s">
        <v>781</v>
      </c>
      <c r="B781" s="150" t="s">
        <v>169</v>
      </c>
      <c r="C781" s="75">
        <v>6.0</v>
      </c>
      <c r="D781" s="345">
        <v>150.0</v>
      </c>
      <c r="E781" s="149" t="s">
        <v>154</v>
      </c>
      <c r="F781" s="147">
        <v>46116.0</v>
      </c>
      <c r="G781" s="344">
        <f t="shared" si="21"/>
        <v>900</v>
      </c>
      <c r="H781" s="135"/>
      <c r="I781" s="250"/>
      <c r="J781" s="250"/>
      <c r="K781" s="250"/>
      <c r="L781" s="250"/>
      <c r="M781" s="250"/>
      <c r="N781" s="250"/>
      <c r="O781" s="250"/>
      <c r="P781" s="250"/>
      <c r="Q781" s="250"/>
      <c r="R781" s="250"/>
      <c r="S781" s="250"/>
      <c r="T781" s="250"/>
      <c r="U781" s="250"/>
      <c r="V781" s="250"/>
      <c r="W781" s="250"/>
      <c r="X781" s="250"/>
      <c r="Y781" s="250"/>
      <c r="Z781" s="250"/>
    </row>
    <row r="782" ht="14.25" customHeight="1">
      <c r="A782" s="143" t="s">
        <v>1159</v>
      </c>
      <c r="B782" s="150" t="s">
        <v>169</v>
      </c>
      <c r="C782" s="75">
        <v>6.0</v>
      </c>
      <c r="D782" s="345">
        <v>120.0</v>
      </c>
      <c r="E782" s="149" t="s">
        <v>154</v>
      </c>
      <c r="F782" s="147">
        <v>46116.0</v>
      </c>
      <c r="G782" s="344">
        <f t="shared" si="21"/>
        <v>720</v>
      </c>
      <c r="H782" s="135"/>
      <c r="I782" s="250"/>
      <c r="J782" s="250"/>
      <c r="K782" s="250"/>
      <c r="L782" s="250"/>
      <c r="M782" s="250"/>
      <c r="N782" s="250"/>
      <c r="O782" s="250"/>
      <c r="P782" s="250"/>
      <c r="Q782" s="250"/>
      <c r="R782" s="250"/>
      <c r="S782" s="250"/>
      <c r="T782" s="250"/>
      <c r="U782" s="250"/>
      <c r="V782" s="250"/>
      <c r="W782" s="250"/>
      <c r="X782" s="250"/>
      <c r="Y782" s="250"/>
      <c r="Z782" s="250"/>
    </row>
    <row r="783" ht="14.25" customHeight="1">
      <c r="A783" s="143" t="s">
        <v>1155</v>
      </c>
      <c r="B783" s="150" t="s">
        <v>169</v>
      </c>
      <c r="C783" s="75">
        <v>40.0</v>
      </c>
      <c r="D783" s="346">
        <f>12.5</f>
        <v>12.5</v>
      </c>
      <c r="E783" s="149" t="s">
        <v>154</v>
      </c>
      <c r="F783" s="147">
        <v>46116.0</v>
      </c>
      <c r="G783" s="344">
        <f t="shared" si="21"/>
        <v>500</v>
      </c>
      <c r="H783" s="135"/>
      <c r="I783" s="250"/>
      <c r="J783" s="250"/>
      <c r="K783" s="250"/>
      <c r="L783" s="250"/>
      <c r="M783" s="250"/>
      <c r="N783" s="250"/>
      <c r="O783" s="250"/>
      <c r="P783" s="250"/>
      <c r="Q783" s="250"/>
      <c r="R783" s="250"/>
      <c r="S783" s="250"/>
      <c r="T783" s="250"/>
      <c r="U783" s="250"/>
      <c r="V783" s="250"/>
      <c r="W783" s="250"/>
      <c r="X783" s="250"/>
      <c r="Y783" s="250"/>
      <c r="Z783" s="250"/>
    </row>
    <row r="784" ht="14.25" customHeight="1">
      <c r="A784" s="143" t="s">
        <v>1248</v>
      </c>
      <c r="B784" s="150" t="s">
        <v>169</v>
      </c>
      <c r="C784" s="75">
        <v>30.0</v>
      </c>
      <c r="D784" s="345">
        <v>15.0</v>
      </c>
      <c r="E784" s="149" t="s">
        <v>154</v>
      </c>
      <c r="F784" s="147">
        <v>46116.0</v>
      </c>
      <c r="G784" s="344">
        <f t="shared" si="21"/>
        <v>450</v>
      </c>
      <c r="H784" s="135"/>
      <c r="I784" s="250"/>
      <c r="J784" s="250"/>
      <c r="K784" s="250"/>
      <c r="L784" s="250"/>
      <c r="M784" s="250"/>
      <c r="N784" s="250"/>
      <c r="O784" s="250"/>
      <c r="P784" s="250"/>
      <c r="Q784" s="250"/>
      <c r="R784" s="250"/>
      <c r="S784" s="250"/>
      <c r="T784" s="250"/>
      <c r="U784" s="250"/>
      <c r="V784" s="250"/>
      <c r="W784" s="250"/>
      <c r="X784" s="250"/>
      <c r="Y784" s="250"/>
      <c r="Z784" s="250"/>
    </row>
    <row r="785" ht="14.25" customHeight="1">
      <c r="A785" s="143" t="s">
        <v>898</v>
      </c>
      <c r="B785" s="150" t="s">
        <v>753</v>
      </c>
      <c r="C785" s="75">
        <v>60.0</v>
      </c>
      <c r="D785" s="345">
        <v>15.0</v>
      </c>
      <c r="E785" s="149" t="s">
        <v>154</v>
      </c>
      <c r="F785" s="147">
        <v>46116.0</v>
      </c>
      <c r="G785" s="344">
        <f t="shared" si="21"/>
        <v>900</v>
      </c>
      <c r="H785" s="135"/>
      <c r="I785" s="250"/>
      <c r="J785" s="250"/>
      <c r="K785" s="250"/>
      <c r="L785" s="250"/>
      <c r="M785" s="250"/>
      <c r="N785" s="250"/>
      <c r="O785" s="250"/>
      <c r="P785" s="250"/>
      <c r="Q785" s="250"/>
      <c r="R785" s="250"/>
      <c r="S785" s="250"/>
      <c r="T785" s="250"/>
      <c r="U785" s="250"/>
      <c r="V785" s="250"/>
      <c r="W785" s="250"/>
      <c r="X785" s="250"/>
      <c r="Y785" s="250"/>
      <c r="Z785" s="250"/>
    </row>
    <row r="786" ht="14.25" customHeight="1">
      <c r="A786" s="143" t="s">
        <v>756</v>
      </c>
      <c r="B786" s="150" t="s">
        <v>472</v>
      </c>
      <c r="C786" s="75">
        <v>24.0</v>
      </c>
      <c r="D786" s="346">
        <f>360/12</f>
        <v>30</v>
      </c>
      <c r="E786" s="149" t="s">
        <v>154</v>
      </c>
      <c r="F786" s="147">
        <v>46116.0</v>
      </c>
      <c r="G786" s="344">
        <f t="shared" si="21"/>
        <v>720</v>
      </c>
      <c r="H786" s="135"/>
      <c r="I786" s="250"/>
      <c r="J786" s="250"/>
      <c r="K786" s="250"/>
      <c r="L786" s="250"/>
      <c r="M786" s="250"/>
      <c r="N786" s="250"/>
      <c r="O786" s="250"/>
      <c r="P786" s="250"/>
      <c r="Q786" s="250"/>
      <c r="R786" s="250"/>
      <c r="S786" s="250"/>
      <c r="T786" s="250"/>
      <c r="U786" s="250"/>
      <c r="V786" s="250"/>
      <c r="W786" s="250"/>
      <c r="X786" s="250"/>
      <c r="Y786" s="250"/>
      <c r="Z786" s="250"/>
    </row>
    <row r="787" ht="14.25" customHeight="1">
      <c r="A787" s="143" t="s">
        <v>194</v>
      </c>
      <c r="B787" s="150" t="s">
        <v>238</v>
      </c>
      <c r="C787" s="75">
        <v>21.0</v>
      </c>
      <c r="D787" s="345">
        <v>100.0</v>
      </c>
      <c r="E787" s="149" t="s">
        <v>154</v>
      </c>
      <c r="F787" s="147">
        <v>46116.0</v>
      </c>
      <c r="G787" s="344">
        <f t="shared" si="21"/>
        <v>2100</v>
      </c>
      <c r="H787" s="135"/>
      <c r="I787" s="250"/>
      <c r="J787" s="250"/>
      <c r="K787" s="250"/>
      <c r="L787" s="250"/>
      <c r="M787" s="250"/>
      <c r="N787" s="250"/>
      <c r="O787" s="250"/>
      <c r="P787" s="250"/>
      <c r="Q787" s="250"/>
      <c r="R787" s="250"/>
      <c r="S787" s="250"/>
      <c r="T787" s="250"/>
      <c r="U787" s="250"/>
      <c r="V787" s="250"/>
      <c r="W787" s="250"/>
      <c r="X787" s="250"/>
      <c r="Y787" s="250"/>
      <c r="Z787" s="250"/>
    </row>
    <row r="788" ht="14.25" customHeight="1">
      <c r="A788" s="143" t="s">
        <v>100</v>
      </c>
      <c r="B788" s="150" t="s">
        <v>50</v>
      </c>
      <c r="C788" s="75">
        <v>4.0</v>
      </c>
      <c r="D788" s="346">
        <f>425</f>
        <v>425</v>
      </c>
      <c r="E788" s="149" t="s">
        <v>154</v>
      </c>
      <c r="F788" s="147">
        <v>46116.0</v>
      </c>
      <c r="G788" s="344">
        <f t="shared" si="21"/>
        <v>1700</v>
      </c>
      <c r="H788" s="135"/>
      <c r="I788" s="250"/>
      <c r="J788" s="250"/>
      <c r="K788" s="250"/>
      <c r="L788" s="250"/>
      <c r="M788" s="250"/>
      <c r="N788" s="250"/>
      <c r="O788" s="250"/>
      <c r="P788" s="250"/>
      <c r="Q788" s="250"/>
      <c r="R788" s="250"/>
      <c r="S788" s="250"/>
      <c r="T788" s="250"/>
      <c r="U788" s="250"/>
      <c r="V788" s="250"/>
      <c r="W788" s="250"/>
      <c r="X788" s="250"/>
      <c r="Y788" s="250"/>
      <c r="Z788" s="250"/>
    </row>
    <row r="789" ht="14.25" customHeight="1">
      <c r="A789" s="143" t="s">
        <v>177</v>
      </c>
      <c r="B789" s="150" t="s">
        <v>316</v>
      </c>
      <c r="C789" s="75">
        <v>12.0</v>
      </c>
      <c r="D789" s="345">
        <v>85.0</v>
      </c>
      <c r="E789" s="149" t="s">
        <v>154</v>
      </c>
      <c r="F789" s="147">
        <v>46116.0</v>
      </c>
      <c r="G789" s="344">
        <f t="shared" si="21"/>
        <v>1020</v>
      </c>
      <c r="H789" s="135"/>
      <c r="I789" s="250"/>
      <c r="J789" s="250"/>
      <c r="K789" s="250"/>
      <c r="L789" s="250"/>
      <c r="M789" s="250"/>
      <c r="N789" s="250"/>
      <c r="O789" s="250"/>
      <c r="P789" s="250"/>
      <c r="Q789" s="250"/>
      <c r="R789" s="250"/>
      <c r="S789" s="250"/>
      <c r="T789" s="250"/>
      <c r="U789" s="250"/>
      <c r="V789" s="250"/>
      <c r="W789" s="250"/>
      <c r="X789" s="250"/>
      <c r="Y789" s="250"/>
      <c r="Z789" s="250"/>
    </row>
    <row r="790" ht="14.25" customHeight="1">
      <c r="A790" s="143" t="s">
        <v>929</v>
      </c>
      <c r="B790" s="150" t="s">
        <v>927</v>
      </c>
      <c r="C790" s="75">
        <v>30.0</v>
      </c>
      <c r="D790" s="345">
        <v>25.0</v>
      </c>
      <c r="E790" s="149" t="s">
        <v>436</v>
      </c>
      <c r="F790" s="147">
        <v>46116.0</v>
      </c>
      <c r="G790" s="344">
        <f t="shared" si="21"/>
        <v>750</v>
      </c>
      <c r="H790" s="135"/>
      <c r="I790" s="250"/>
      <c r="J790" s="250"/>
      <c r="K790" s="250"/>
      <c r="L790" s="250"/>
      <c r="M790" s="250"/>
      <c r="N790" s="250"/>
      <c r="O790" s="250"/>
      <c r="P790" s="250"/>
      <c r="Q790" s="250"/>
      <c r="R790" s="250"/>
      <c r="S790" s="250"/>
      <c r="T790" s="250"/>
      <c r="U790" s="250"/>
      <c r="V790" s="250"/>
      <c r="W790" s="250"/>
      <c r="X790" s="250"/>
      <c r="Y790" s="250"/>
      <c r="Z790" s="250"/>
    </row>
    <row r="791" ht="14.25" customHeight="1">
      <c r="A791" s="143" t="s">
        <v>926</v>
      </c>
      <c r="B791" s="150" t="s">
        <v>927</v>
      </c>
      <c r="C791" s="75">
        <v>30.0</v>
      </c>
      <c r="D791" s="345">
        <v>20.0</v>
      </c>
      <c r="E791" s="149" t="s">
        <v>436</v>
      </c>
      <c r="F791" s="147">
        <v>46116.0</v>
      </c>
      <c r="G791" s="344">
        <f t="shared" si="21"/>
        <v>600</v>
      </c>
      <c r="H791" s="135"/>
      <c r="I791" s="250"/>
      <c r="J791" s="250"/>
      <c r="K791" s="250"/>
      <c r="L791" s="250"/>
      <c r="M791" s="250"/>
      <c r="N791" s="250"/>
      <c r="O791" s="250"/>
      <c r="P791" s="250"/>
      <c r="Q791" s="250"/>
      <c r="R791" s="250"/>
      <c r="S791" s="250"/>
      <c r="T791" s="250"/>
      <c r="U791" s="250"/>
      <c r="V791" s="250"/>
      <c r="W791" s="250"/>
      <c r="X791" s="250"/>
      <c r="Y791" s="250"/>
      <c r="Z791" s="250"/>
    </row>
    <row r="792" ht="14.25" customHeight="1">
      <c r="A792" s="143" t="s">
        <v>91</v>
      </c>
      <c r="B792" s="150" t="s">
        <v>238</v>
      </c>
      <c r="C792" s="75">
        <v>80.0</v>
      </c>
      <c r="D792" s="345">
        <v>35.0</v>
      </c>
      <c r="E792" s="149" t="s">
        <v>436</v>
      </c>
      <c r="F792" s="147">
        <v>46116.0</v>
      </c>
      <c r="G792" s="344">
        <f t="shared" si="21"/>
        <v>2800</v>
      </c>
      <c r="H792" s="135"/>
      <c r="I792" s="250"/>
      <c r="J792" s="250"/>
      <c r="K792" s="250"/>
      <c r="L792" s="250"/>
      <c r="M792" s="250"/>
      <c r="N792" s="250"/>
      <c r="O792" s="250"/>
      <c r="P792" s="250"/>
      <c r="Q792" s="250"/>
      <c r="R792" s="250"/>
      <c r="S792" s="250"/>
      <c r="T792" s="250"/>
      <c r="U792" s="250"/>
      <c r="V792" s="250"/>
      <c r="W792" s="250"/>
      <c r="X792" s="250"/>
      <c r="Y792" s="250"/>
      <c r="Z792" s="250"/>
    </row>
    <row r="793" ht="14.25" customHeight="1">
      <c r="A793" s="143" t="s">
        <v>120</v>
      </c>
      <c r="B793" s="150" t="s">
        <v>238</v>
      </c>
      <c r="C793" s="75">
        <v>10.0</v>
      </c>
      <c r="D793" s="345">
        <v>175.0</v>
      </c>
      <c r="E793" s="149" t="s">
        <v>436</v>
      </c>
      <c r="F793" s="147">
        <v>46116.0</v>
      </c>
      <c r="G793" s="344">
        <f t="shared" si="21"/>
        <v>1750</v>
      </c>
      <c r="H793" s="135"/>
      <c r="I793" s="250"/>
      <c r="J793" s="250"/>
      <c r="K793" s="250"/>
      <c r="L793" s="250"/>
      <c r="M793" s="250"/>
      <c r="N793" s="250"/>
      <c r="O793" s="250"/>
      <c r="P793" s="250"/>
      <c r="Q793" s="250"/>
      <c r="R793" s="250"/>
      <c r="S793" s="250"/>
      <c r="T793" s="250"/>
      <c r="U793" s="250"/>
      <c r="V793" s="250"/>
      <c r="W793" s="250"/>
      <c r="X793" s="250"/>
      <c r="Y793" s="250"/>
      <c r="Z793" s="250"/>
    </row>
    <row r="794" ht="14.25" customHeight="1">
      <c r="A794" s="143" t="s">
        <v>200</v>
      </c>
      <c r="B794" s="150" t="s">
        <v>50</v>
      </c>
      <c r="C794" s="75">
        <v>8.0</v>
      </c>
      <c r="D794" s="345">
        <v>120.0</v>
      </c>
      <c r="E794" s="149" t="s">
        <v>436</v>
      </c>
      <c r="F794" s="147">
        <v>46116.0</v>
      </c>
      <c r="G794" s="344">
        <f t="shared" si="21"/>
        <v>960</v>
      </c>
      <c r="H794" s="135"/>
      <c r="I794" s="250"/>
      <c r="J794" s="250"/>
      <c r="K794" s="250"/>
      <c r="L794" s="250"/>
      <c r="M794" s="250"/>
      <c r="N794" s="250"/>
      <c r="O794" s="250"/>
      <c r="P794" s="250"/>
      <c r="Q794" s="250"/>
      <c r="R794" s="250"/>
      <c r="S794" s="250"/>
      <c r="T794" s="250"/>
      <c r="U794" s="250"/>
      <c r="V794" s="250"/>
      <c r="W794" s="250"/>
      <c r="X794" s="250"/>
      <c r="Y794" s="250"/>
      <c r="Z794" s="250"/>
    </row>
    <row r="795" ht="14.25" customHeight="1">
      <c r="A795" s="143" t="s">
        <v>1252</v>
      </c>
      <c r="B795" s="150" t="s">
        <v>927</v>
      </c>
      <c r="C795" s="75">
        <v>5.0</v>
      </c>
      <c r="D795" s="345">
        <v>70.0</v>
      </c>
      <c r="E795" s="149" t="s">
        <v>436</v>
      </c>
      <c r="F795" s="147">
        <v>46116.0</v>
      </c>
      <c r="G795" s="344">
        <f t="shared" si="21"/>
        <v>350</v>
      </c>
      <c r="H795" s="135"/>
      <c r="I795" s="250"/>
      <c r="J795" s="250"/>
      <c r="K795" s="250"/>
      <c r="L795" s="250"/>
      <c r="M795" s="250"/>
      <c r="N795" s="250"/>
      <c r="O795" s="250"/>
      <c r="P795" s="250"/>
      <c r="Q795" s="250"/>
      <c r="R795" s="250"/>
      <c r="S795" s="250"/>
      <c r="T795" s="250"/>
      <c r="U795" s="250"/>
      <c r="V795" s="250"/>
      <c r="W795" s="250"/>
      <c r="X795" s="250"/>
      <c r="Y795" s="250"/>
      <c r="Z795" s="250"/>
    </row>
    <row r="796" ht="14.25" customHeight="1">
      <c r="A796" s="143" t="s">
        <v>1160</v>
      </c>
      <c r="B796" s="150" t="s">
        <v>927</v>
      </c>
      <c r="C796" s="75">
        <v>5.0</v>
      </c>
      <c r="D796" s="345">
        <v>55.0</v>
      </c>
      <c r="E796" s="149" t="s">
        <v>436</v>
      </c>
      <c r="F796" s="147">
        <v>46116.0</v>
      </c>
      <c r="G796" s="344">
        <f t="shared" si="21"/>
        <v>275</v>
      </c>
      <c r="H796" s="135"/>
      <c r="I796" s="250"/>
      <c r="J796" s="250"/>
      <c r="K796" s="250"/>
      <c r="L796" s="250"/>
      <c r="M796" s="250"/>
      <c r="N796" s="250"/>
      <c r="O796" s="250"/>
      <c r="P796" s="250"/>
      <c r="Q796" s="250"/>
      <c r="R796" s="250"/>
      <c r="S796" s="250"/>
      <c r="T796" s="250"/>
      <c r="U796" s="250"/>
      <c r="V796" s="250"/>
      <c r="W796" s="250"/>
      <c r="X796" s="250"/>
      <c r="Y796" s="250"/>
      <c r="Z796" s="250"/>
    </row>
    <row r="797" ht="14.25" customHeight="1">
      <c r="A797" s="143" t="s">
        <v>151</v>
      </c>
      <c r="B797" s="150" t="s">
        <v>238</v>
      </c>
      <c r="C797" s="75">
        <v>14.0</v>
      </c>
      <c r="D797" s="345">
        <v>65.0</v>
      </c>
      <c r="E797" s="149" t="s">
        <v>436</v>
      </c>
      <c r="F797" s="147">
        <v>46116.0</v>
      </c>
      <c r="G797" s="344">
        <f t="shared" si="21"/>
        <v>910</v>
      </c>
      <c r="H797" s="135"/>
      <c r="I797" s="250"/>
      <c r="J797" s="250"/>
      <c r="K797" s="250"/>
      <c r="L797" s="250"/>
      <c r="M797" s="250"/>
      <c r="N797" s="250"/>
      <c r="O797" s="250"/>
      <c r="P797" s="250"/>
      <c r="Q797" s="250"/>
      <c r="R797" s="250"/>
      <c r="S797" s="250"/>
      <c r="T797" s="250"/>
      <c r="U797" s="250"/>
      <c r="V797" s="250"/>
      <c r="W797" s="250"/>
      <c r="X797" s="250"/>
      <c r="Y797" s="250"/>
      <c r="Z797" s="250"/>
    </row>
    <row r="798" ht="14.25" customHeight="1">
      <c r="A798" s="143" t="s">
        <v>1010</v>
      </c>
      <c r="B798" s="171"/>
      <c r="C798" s="75">
        <v>3.0</v>
      </c>
      <c r="D798" s="345">
        <v>120.0</v>
      </c>
      <c r="E798" s="172"/>
      <c r="F798" s="147">
        <v>46116.0</v>
      </c>
      <c r="G798" s="344">
        <f t="shared" si="21"/>
        <v>360</v>
      </c>
      <c r="H798" s="135"/>
      <c r="I798" s="250"/>
      <c r="J798" s="250"/>
      <c r="K798" s="250"/>
      <c r="L798" s="250"/>
      <c r="M798" s="250"/>
      <c r="N798" s="250"/>
      <c r="O798" s="250"/>
      <c r="P798" s="250"/>
      <c r="Q798" s="250"/>
      <c r="R798" s="250"/>
      <c r="S798" s="250"/>
      <c r="T798" s="250"/>
      <c r="U798" s="250"/>
      <c r="V798" s="250"/>
      <c r="W798" s="250"/>
      <c r="X798" s="250"/>
      <c r="Y798" s="250"/>
      <c r="Z798" s="250"/>
    </row>
    <row r="799" ht="14.25" customHeight="1">
      <c r="A799" s="348"/>
      <c r="B799" s="171"/>
      <c r="C799" s="71"/>
      <c r="D799" s="346"/>
      <c r="E799" s="172"/>
      <c r="F799" s="147">
        <v>46116.0</v>
      </c>
      <c r="G799" s="344">
        <f t="shared" si="21"/>
        <v>0</v>
      </c>
      <c r="H799" s="135"/>
      <c r="I799" s="250"/>
      <c r="J799" s="250"/>
      <c r="K799" s="250"/>
      <c r="L799" s="250"/>
      <c r="M799" s="250"/>
      <c r="N799" s="250"/>
      <c r="O799" s="250"/>
      <c r="P799" s="250"/>
      <c r="Q799" s="250"/>
      <c r="R799" s="250"/>
      <c r="S799" s="250"/>
      <c r="T799" s="250"/>
      <c r="U799" s="250"/>
      <c r="V799" s="250"/>
      <c r="W799" s="250"/>
      <c r="X799" s="250"/>
      <c r="Y799" s="250"/>
      <c r="Z799" s="250"/>
    </row>
    <row r="800" ht="14.25" customHeight="1">
      <c r="A800" s="348"/>
      <c r="B800" s="171"/>
      <c r="C800" s="71"/>
      <c r="D800" s="346"/>
      <c r="E800" s="172"/>
      <c r="F800" s="147">
        <v>46116.0</v>
      </c>
      <c r="G800" s="344">
        <f t="shared" si="21"/>
        <v>0</v>
      </c>
      <c r="H800" s="135"/>
      <c r="I800" s="250"/>
      <c r="J800" s="250"/>
      <c r="K800" s="250"/>
      <c r="L800" s="250"/>
      <c r="M800" s="250"/>
      <c r="N800" s="250"/>
      <c r="O800" s="250"/>
      <c r="P800" s="250"/>
      <c r="Q800" s="250"/>
      <c r="R800" s="250"/>
      <c r="S800" s="250"/>
      <c r="T800" s="250"/>
      <c r="U800" s="250"/>
      <c r="V800" s="250"/>
      <c r="W800" s="250"/>
      <c r="X800" s="250"/>
      <c r="Y800" s="250"/>
      <c r="Z800" s="250"/>
    </row>
    <row r="801" ht="14.25" customHeight="1">
      <c r="A801" s="348"/>
      <c r="B801" s="171"/>
      <c r="C801" s="71"/>
      <c r="D801" s="346"/>
      <c r="E801" s="172"/>
      <c r="F801" s="147">
        <v>46116.0</v>
      </c>
      <c r="G801" s="344">
        <f t="shared" si="21"/>
        <v>0</v>
      </c>
      <c r="H801" s="135"/>
      <c r="I801" s="250"/>
      <c r="J801" s="250"/>
      <c r="K801" s="250"/>
      <c r="L801" s="250"/>
      <c r="M801" s="250"/>
      <c r="N801" s="250"/>
      <c r="O801" s="250"/>
      <c r="P801" s="250"/>
      <c r="Q801" s="250"/>
      <c r="R801" s="250"/>
      <c r="S801" s="250"/>
      <c r="T801" s="250"/>
      <c r="U801" s="250"/>
      <c r="V801" s="250"/>
      <c r="W801" s="250"/>
      <c r="X801" s="250"/>
      <c r="Y801" s="250"/>
      <c r="Z801" s="250"/>
    </row>
    <row r="802" ht="14.25" customHeight="1">
      <c r="A802" s="348"/>
      <c r="B802" s="171"/>
      <c r="C802" s="71"/>
      <c r="D802" s="346"/>
      <c r="E802" s="172"/>
      <c r="F802" s="147">
        <v>46116.0</v>
      </c>
      <c r="G802" s="344">
        <f t="shared" si="21"/>
        <v>0</v>
      </c>
      <c r="H802" s="135"/>
      <c r="I802" s="250"/>
      <c r="J802" s="250"/>
      <c r="K802" s="250"/>
      <c r="L802" s="250"/>
      <c r="M802" s="250"/>
      <c r="N802" s="250"/>
      <c r="O802" s="250"/>
      <c r="P802" s="250"/>
      <c r="Q802" s="250"/>
      <c r="R802" s="250"/>
      <c r="S802" s="250"/>
      <c r="T802" s="250"/>
      <c r="U802" s="250"/>
      <c r="V802" s="250"/>
      <c r="W802" s="250"/>
      <c r="X802" s="250"/>
      <c r="Y802" s="250"/>
      <c r="Z802" s="250"/>
    </row>
    <row r="803" ht="14.25" customHeight="1">
      <c r="A803" s="348"/>
      <c r="B803" s="171"/>
      <c r="C803" s="71"/>
      <c r="D803" s="346"/>
      <c r="E803" s="172"/>
      <c r="F803" s="147">
        <v>46116.0</v>
      </c>
      <c r="G803" s="344">
        <f t="shared" si="21"/>
        <v>0</v>
      </c>
      <c r="H803" s="135"/>
      <c r="I803" s="250"/>
      <c r="J803" s="250"/>
      <c r="K803" s="250"/>
      <c r="L803" s="250"/>
      <c r="M803" s="250"/>
      <c r="N803" s="250"/>
      <c r="O803" s="250"/>
      <c r="P803" s="250"/>
      <c r="Q803" s="250"/>
      <c r="R803" s="250"/>
      <c r="S803" s="250"/>
      <c r="T803" s="250"/>
      <c r="U803" s="250"/>
      <c r="V803" s="250"/>
      <c r="W803" s="250"/>
      <c r="X803" s="250"/>
      <c r="Y803" s="250"/>
      <c r="Z803" s="250"/>
    </row>
    <row r="804" ht="14.25" customHeight="1">
      <c r="A804" s="348"/>
      <c r="B804" s="171"/>
      <c r="C804" s="71"/>
      <c r="D804" s="346"/>
      <c r="E804" s="172"/>
      <c r="F804" s="147">
        <v>46116.0</v>
      </c>
      <c r="G804" s="344">
        <f t="shared" si="21"/>
        <v>0</v>
      </c>
      <c r="H804" s="135"/>
      <c r="I804" s="250"/>
      <c r="J804" s="250"/>
      <c r="K804" s="250"/>
      <c r="L804" s="250"/>
      <c r="M804" s="250"/>
      <c r="N804" s="250"/>
      <c r="O804" s="250"/>
      <c r="P804" s="250"/>
      <c r="Q804" s="250"/>
      <c r="R804" s="250"/>
      <c r="S804" s="250"/>
      <c r="T804" s="250"/>
      <c r="U804" s="250"/>
      <c r="V804" s="250"/>
      <c r="W804" s="250"/>
      <c r="X804" s="250"/>
      <c r="Y804" s="250"/>
      <c r="Z804" s="250"/>
    </row>
    <row r="805" ht="14.25" customHeight="1">
      <c r="A805" s="348"/>
      <c r="B805" s="171"/>
      <c r="C805" s="71"/>
      <c r="D805" s="346"/>
      <c r="E805" s="172"/>
      <c r="F805" s="147">
        <v>46116.0</v>
      </c>
      <c r="G805" s="344">
        <f t="shared" si="21"/>
        <v>0</v>
      </c>
      <c r="H805" s="135"/>
      <c r="I805" s="250"/>
      <c r="J805" s="250"/>
      <c r="K805" s="250"/>
      <c r="L805" s="250"/>
      <c r="M805" s="250"/>
      <c r="N805" s="250"/>
      <c r="O805" s="250"/>
      <c r="P805" s="250"/>
      <c r="Q805" s="250"/>
      <c r="R805" s="250"/>
      <c r="S805" s="250"/>
      <c r="T805" s="250"/>
      <c r="U805" s="250"/>
      <c r="V805" s="250"/>
      <c r="W805" s="250"/>
      <c r="X805" s="250"/>
      <c r="Y805" s="250"/>
      <c r="Z805" s="250"/>
    </row>
    <row r="806" ht="14.25" customHeight="1">
      <c r="A806" s="250"/>
      <c r="B806" s="250"/>
      <c r="C806" s="250"/>
      <c r="D806" s="254"/>
      <c r="E806" s="250"/>
      <c r="F806" s="250"/>
      <c r="G806" s="250"/>
      <c r="H806" s="250"/>
      <c r="I806" s="250"/>
      <c r="J806" s="250"/>
      <c r="K806" s="250"/>
      <c r="L806" s="250"/>
      <c r="M806" s="250"/>
      <c r="N806" s="250"/>
      <c r="O806" s="250"/>
      <c r="P806" s="250"/>
      <c r="Q806" s="250"/>
      <c r="R806" s="250"/>
      <c r="S806" s="250"/>
      <c r="T806" s="250"/>
      <c r="U806" s="250"/>
      <c r="V806" s="250"/>
      <c r="W806" s="250"/>
      <c r="X806" s="250"/>
      <c r="Y806" s="250"/>
      <c r="Z806" s="250"/>
    </row>
    <row r="807" ht="14.25" customHeight="1">
      <c r="A807" s="250"/>
      <c r="B807" s="250"/>
      <c r="C807" s="250"/>
      <c r="D807" s="254"/>
      <c r="E807" s="250"/>
      <c r="F807" s="250"/>
      <c r="G807" s="250"/>
      <c r="H807" s="250"/>
      <c r="I807" s="250"/>
      <c r="J807" s="250"/>
      <c r="K807" s="250"/>
      <c r="L807" s="250"/>
      <c r="M807" s="250"/>
      <c r="N807" s="250"/>
      <c r="O807" s="250"/>
      <c r="P807" s="250"/>
      <c r="Q807" s="250"/>
      <c r="R807" s="250"/>
      <c r="S807" s="250"/>
      <c r="T807" s="250"/>
      <c r="U807" s="250"/>
      <c r="V807" s="250"/>
      <c r="W807" s="250"/>
      <c r="X807" s="250"/>
      <c r="Y807" s="250"/>
      <c r="Z807" s="250"/>
    </row>
    <row r="808" ht="14.25" customHeight="1">
      <c r="A808" s="250"/>
      <c r="B808" s="250"/>
      <c r="C808" s="250"/>
      <c r="D808" s="254"/>
      <c r="E808" s="250"/>
      <c r="F808" s="250"/>
      <c r="G808" s="250"/>
      <c r="H808" s="250"/>
      <c r="I808" s="250"/>
      <c r="J808" s="250"/>
      <c r="K808" s="250"/>
      <c r="L808" s="250"/>
      <c r="M808" s="250"/>
      <c r="N808" s="250"/>
      <c r="O808" s="250"/>
      <c r="P808" s="250"/>
      <c r="Q808" s="250"/>
      <c r="R808" s="250"/>
      <c r="S808" s="250"/>
      <c r="T808" s="250"/>
      <c r="U808" s="250"/>
      <c r="V808" s="250"/>
      <c r="W808" s="250"/>
      <c r="X808" s="250"/>
      <c r="Y808" s="250"/>
      <c r="Z808" s="250"/>
    </row>
    <row r="809" ht="14.25" customHeight="1">
      <c r="A809" s="349" t="s">
        <v>4369</v>
      </c>
      <c r="B809" s="349" t="s">
        <v>4350</v>
      </c>
      <c r="C809" s="349" t="s">
        <v>4352</v>
      </c>
      <c r="D809" s="350" t="s">
        <v>4370</v>
      </c>
      <c r="E809" s="349" t="s">
        <v>4433</v>
      </c>
      <c r="F809" s="349" t="s">
        <v>4372</v>
      </c>
      <c r="G809" s="349" t="s">
        <v>4353</v>
      </c>
      <c r="H809" s="349" t="s">
        <v>4891</v>
      </c>
      <c r="I809" s="250"/>
      <c r="J809" s="250"/>
      <c r="K809" s="250"/>
      <c r="L809" s="250"/>
      <c r="M809" s="250"/>
      <c r="N809" s="250"/>
      <c r="O809" s="250"/>
      <c r="P809" s="250"/>
      <c r="Q809" s="250"/>
      <c r="R809" s="250"/>
      <c r="S809" s="250"/>
      <c r="T809" s="250"/>
      <c r="U809" s="250"/>
      <c r="V809" s="250"/>
      <c r="W809" s="250"/>
      <c r="X809" s="250"/>
      <c r="Y809" s="250"/>
      <c r="Z809" s="250"/>
    </row>
    <row r="810" ht="14.25" customHeight="1">
      <c r="A810" s="86" t="s">
        <v>898</v>
      </c>
      <c r="B810" s="86" t="s">
        <v>753</v>
      </c>
      <c r="C810" s="75">
        <v>50.0</v>
      </c>
      <c r="D810" s="351">
        <v>15.0</v>
      </c>
      <c r="E810" s="173" t="s">
        <v>154</v>
      </c>
      <c r="F810" s="174">
        <v>46154.0</v>
      </c>
      <c r="G810" s="352">
        <f t="shared" ref="G810:G861" si="22">C810*D810</f>
        <v>750</v>
      </c>
      <c r="H810" s="353"/>
      <c r="I810" s="250"/>
      <c r="J810" s="250"/>
      <c r="K810" s="250"/>
      <c r="L810" s="250"/>
      <c r="M810" s="250"/>
      <c r="N810" s="250"/>
      <c r="O810" s="250"/>
      <c r="P810" s="250"/>
      <c r="Q810" s="250"/>
      <c r="R810" s="250"/>
      <c r="S810" s="250"/>
      <c r="T810" s="250"/>
      <c r="U810" s="250"/>
      <c r="V810" s="250"/>
      <c r="W810" s="250"/>
      <c r="X810" s="250"/>
      <c r="Y810" s="250"/>
      <c r="Z810" s="250"/>
    </row>
    <row r="811" ht="14.25" customHeight="1">
      <c r="A811" s="85" t="s">
        <v>985</v>
      </c>
      <c r="B811" s="85" t="s">
        <v>472</v>
      </c>
      <c r="C811" s="93">
        <v>8.0</v>
      </c>
      <c r="D811" s="354">
        <v>125.0</v>
      </c>
      <c r="E811" s="355"/>
      <c r="F811" s="174">
        <v>46154.0</v>
      </c>
      <c r="G811" s="352">
        <f t="shared" si="22"/>
        <v>1000</v>
      </c>
      <c r="H811" s="353"/>
      <c r="I811" s="250"/>
      <c r="J811" s="250"/>
      <c r="K811" s="250"/>
      <c r="L811" s="250"/>
      <c r="M811" s="250"/>
      <c r="N811" s="250"/>
      <c r="O811" s="250"/>
      <c r="P811" s="250"/>
      <c r="Q811" s="250"/>
      <c r="R811" s="250"/>
      <c r="S811" s="250"/>
      <c r="T811" s="250"/>
      <c r="U811" s="250"/>
      <c r="V811" s="250"/>
      <c r="W811" s="250"/>
      <c r="X811" s="250"/>
      <c r="Y811" s="250"/>
      <c r="Z811" s="250"/>
    </row>
    <row r="812" ht="14.25" customHeight="1">
      <c r="A812" s="85" t="s">
        <v>989</v>
      </c>
      <c r="B812" s="85" t="s">
        <v>472</v>
      </c>
      <c r="C812" s="93">
        <v>12.0</v>
      </c>
      <c r="D812" s="354">
        <v>125.0</v>
      </c>
      <c r="E812" s="355"/>
      <c r="F812" s="174">
        <v>46154.0</v>
      </c>
      <c r="G812" s="352">
        <f t="shared" si="22"/>
        <v>1500</v>
      </c>
      <c r="H812" s="353"/>
      <c r="I812" s="250"/>
      <c r="J812" s="250"/>
      <c r="K812" s="250"/>
      <c r="L812" s="250"/>
      <c r="M812" s="250"/>
      <c r="N812" s="250"/>
      <c r="O812" s="250"/>
      <c r="P812" s="250"/>
      <c r="Q812" s="250"/>
      <c r="R812" s="250"/>
      <c r="S812" s="250"/>
      <c r="T812" s="250"/>
      <c r="U812" s="250"/>
      <c r="V812" s="250"/>
      <c r="W812" s="250"/>
      <c r="X812" s="250"/>
      <c r="Y812" s="250"/>
      <c r="Z812" s="250"/>
    </row>
    <row r="813" ht="14.25" customHeight="1">
      <c r="A813" s="85" t="s">
        <v>1294</v>
      </c>
      <c r="B813" s="356"/>
      <c r="C813" s="93">
        <v>12.0</v>
      </c>
      <c r="D813" s="354">
        <v>65.0</v>
      </c>
      <c r="E813" s="173"/>
      <c r="F813" s="174">
        <v>46154.0</v>
      </c>
      <c r="G813" s="352">
        <f t="shared" si="22"/>
        <v>780</v>
      </c>
      <c r="H813" s="353"/>
      <c r="I813" s="250"/>
      <c r="J813" s="250"/>
      <c r="K813" s="250"/>
      <c r="L813" s="250"/>
      <c r="M813" s="250"/>
      <c r="N813" s="250"/>
      <c r="O813" s="250"/>
      <c r="P813" s="250"/>
      <c r="Q813" s="250"/>
      <c r="R813" s="250"/>
      <c r="S813" s="250"/>
      <c r="T813" s="250"/>
      <c r="U813" s="250"/>
      <c r="V813" s="250"/>
      <c r="W813" s="250"/>
      <c r="X813" s="250"/>
      <c r="Y813" s="250"/>
      <c r="Z813" s="250"/>
    </row>
    <row r="814" ht="14.25" customHeight="1">
      <c r="A814" s="85" t="s">
        <v>566</v>
      </c>
      <c r="B814" s="356"/>
      <c r="C814" s="93">
        <v>2.0</v>
      </c>
      <c r="D814" s="354">
        <v>150.0</v>
      </c>
      <c r="E814" s="355"/>
      <c r="F814" s="174">
        <v>46154.0</v>
      </c>
      <c r="G814" s="352">
        <f t="shared" si="22"/>
        <v>300</v>
      </c>
      <c r="H814" s="353"/>
      <c r="I814" s="250"/>
      <c r="J814" s="250"/>
      <c r="K814" s="250"/>
      <c r="L814" s="250"/>
      <c r="M814" s="250"/>
      <c r="N814" s="250"/>
      <c r="O814" s="250"/>
      <c r="P814" s="250"/>
      <c r="Q814" s="250"/>
      <c r="R814" s="250"/>
      <c r="S814" s="250"/>
      <c r="T814" s="250"/>
      <c r="U814" s="250"/>
      <c r="V814" s="250"/>
      <c r="W814" s="250"/>
      <c r="X814" s="250"/>
      <c r="Y814" s="250"/>
      <c r="Z814" s="250"/>
    </row>
    <row r="815" ht="14.25" customHeight="1">
      <c r="A815" s="85" t="s">
        <v>290</v>
      </c>
      <c r="B815" s="356"/>
      <c r="C815" s="93">
        <v>1.0</v>
      </c>
      <c r="D815" s="354">
        <v>300.0</v>
      </c>
      <c r="E815" s="355"/>
      <c r="F815" s="174">
        <v>46154.0</v>
      </c>
      <c r="G815" s="352">
        <f t="shared" si="22"/>
        <v>300</v>
      </c>
      <c r="H815" s="353"/>
      <c r="I815" s="250"/>
      <c r="J815" s="250"/>
      <c r="K815" s="250"/>
      <c r="L815" s="250"/>
      <c r="M815" s="250"/>
      <c r="N815" s="250"/>
      <c r="O815" s="250"/>
      <c r="P815" s="250"/>
      <c r="Q815" s="250"/>
      <c r="R815" s="250"/>
      <c r="S815" s="250"/>
      <c r="T815" s="250"/>
      <c r="U815" s="250"/>
      <c r="V815" s="250"/>
      <c r="W815" s="250"/>
      <c r="X815" s="250"/>
      <c r="Y815" s="250"/>
      <c r="Z815" s="250"/>
    </row>
    <row r="816" ht="14.25" customHeight="1">
      <c r="A816" s="85" t="s">
        <v>1525</v>
      </c>
      <c r="B816" s="356"/>
      <c r="C816" s="93">
        <v>6.0</v>
      </c>
      <c r="D816" s="354">
        <v>75.0</v>
      </c>
      <c r="E816" s="355"/>
      <c r="F816" s="174">
        <v>46154.0</v>
      </c>
      <c r="G816" s="352">
        <f t="shared" si="22"/>
        <v>450</v>
      </c>
      <c r="H816" s="353"/>
      <c r="I816" s="250"/>
      <c r="J816" s="250"/>
      <c r="K816" s="250"/>
      <c r="L816" s="250"/>
      <c r="M816" s="250"/>
      <c r="N816" s="250"/>
      <c r="O816" s="250"/>
      <c r="P816" s="250"/>
      <c r="Q816" s="250"/>
      <c r="R816" s="250"/>
      <c r="S816" s="250"/>
      <c r="T816" s="250"/>
      <c r="U816" s="250"/>
      <c r="V816" s="250"/>
      <c r="W816" s="250"/>
      <c r="X816" s="250"/>
      <c r="Y816" s="250"/>
      <c r="Z816" s="250"/>
    </row>
    <row r="817" ht="14.25" customHeight="1">
      <c r="A817" s="85" t="s">
        <v>358</v>
      </c>
      <c r="B817" s="356"/>
      <c r="C817" s="93">
        <v>2.0</v>
      </c>
      <c r="D817" s="354">
        <v>250.0</v>
      </c>
      <c r="E817" s="355"/>
      <c r="F817" s="174">
        <v>46154.0</v>
      </c>
      <c r="G817" s="352">
        <f t="shared" si="22"/>
        <v>500</v>
      </c>
      <c r="H817" s="353"/>
      <c r="I817" s="250"/>
      <c r="J817" s="250"/>
      <c r="K817" s="250"/>
      <c r="L817" s="250"/>
      <c r="M817" s="250"/>
      <c r="N817" s="250"/>
      <c r="O817" s="250"/>
      <c r="P817" s="250"/>
      <c r="Q817" s="250"/>
      <c r="R817" s="250"/>
      <c r="S817" s="250"/>
      <c r="T817" s="250"/>
      <c r="U817" s="250"/>
      <c r="V817" s="250"/>
      <c r="W817" s="250"/>
      <c r="X817" s="250"/>
      <c r="Y817" s="250"/>
      <c r="Z817" s="250"/>
    </row>
    <row r="818" ht="14.25" customHeight="1">
      <c r="A818" s="178" t="s">
        <v>756</v>
      </c>
      <c r="B818" s="179"/>
      <c r="C818" s="180">
        <v>2.0</v>
      </c>
      <c r="D818" s="357">
        <v>360.0</v>
      </c>
      <c r="E818" s="179"/>
      <c r="F818" s="182">
        <v>46154.0</v>
      </c>
      <c r="G818" s="358">
        <f t="shared" si="22"/>
        <v>720</v>
      </c>
      <c r="H818" s="359"/>
      <c r="I818" s="250"/>
      <c r="J818" s="250"/>
      <c r="K818" s="250"/>
      <c r="L818" s="250"/>
      <c r="M818" s="250"/>
      <c r="N818" s="250"/>
      <c r="O818" s="250"/>
      <c r="P818" s="250"/>
      <c r="Q818" s="250"/>
      <c r="R818" s="250"/>
      <c r="S818" s="250"/>
      <c r="T818" s="250"/>
      <c r="U818" s="250"/>
      <c r="V818" s="250"/>
      <c r="W818" s="250"/>
      <c r="X818" s="250"/>
      <c r="Y818" s="250"/>
      <c r="Z818" s="250"/>
    </row>
    <row r="819" ht="14.25" customHeight="1">
      <c r="A819" s="86" t="s">
        <v>1168</v>
      </c>
      <c r="B819" s="86" t="s">
        <v>1374</v>
      </c>
      <c r="C819" s="75">
        <v>3.0</v>
      </c>
      <c r="D819" s="351">
        <v>40.0</v>
      </c>
      <c r="E819" s="86" t="s">
        <v>119</v>
      </c>
      <c r="F819" s="174">
        <v>46154.0</v>
      </c>
      <c r="G819" s="352">
        <f t="shared" si="22"/>
        <v>120</v>
      </c>
      <c r="H819" s="353"/>
      <c r="I819" s="250"/>
      <c r="J819" s="250"/>
      <c r="K819" s="360"/>
      <c r="L819" s="250"/>
      <c r="M819" s="250"/>
      <c r="N819" s="250"/>
      <c r="O819" s="250"/>
      <c r="P819" s="250"/>
      <c r="Q819" s="250"/>
      <c r="R819" s="250"/>
      <c r="S819" s="250"/>
      <c r="T819" s="250"/>
      <c r="U819" s="250"/>
      <c r="V819" s="250"/>
      <c r="W819" s="250"/>
      <c r="X819" s="250"/>
      <c r="Y819" s="250"/>
      <c r="Z819" s="250"/>
    </row>
    <row r="820" ht="14.25" customHeight="1">
      <c r="A820" s="86" t="s">
        <v>1228</v>
      </c>
      <c r="B820" s="86" t="s">
        <v>1229</v>
      </c>
      <c r="C820" s="75">
        <v>1.0</v>
      </c>
      <c r="D820" s="351">
        <v>76.0</v>
      </c>
      <c r="E820" s="86" t="s">
        <v>119</v>
      </c>
      <c r="F820" s="174">
        <v>46154.0</v>
      </c>
      <c r="G820" s="352">
        <f t="shared" si="22"/>
        <v>76</v>
      </c>
      <c r="H820" s="353"/>
      <c r="I820" s="250"/>
      <c r="J820" s="250"/>
      <c r="K820" s="361"/>
      <c r="L820" s="250"/>
      <c r="M820" s="250"/>
      <c r="N820" s="250"/>
      <c r="O820" s="250"/>
      <c r="P820" s="250"/>
      <c r="Q820" s="250"/>
      <c r="R820" s="250"/>
      <c r="S820" s="250"/>
      <c r="T820" s="250"/>
      <c r="U820" s="250"/>
      <c r="V820" s="250"/>
      <c r="W820" s="250"/>
      <c r="X820" s="250"/>
      <c r="Y820" s="250"/>
      <c r="Z820" s="250"/>
    </row>
    <row r="821" ht="14.25" customHeight="1">
      <c r="A821" s="86" t="s">
        <v>1133</v>
      </c>
      <c r="B821" s="86" t="s">
        <v>1469</v>
      </c>
      <c r="C821" s="75">
        <v>3.0</v>
      </c>
      <c r="D821" s="351">
        <v>20.0</v>
      </c>
      <c r="E821" s="86" t="s">
        <v>119</v>
      </c>
      <c r="F821" s="174">
        <v>46154.0</v>
      </c>
      <c r="G821" s="352">
        <f t="shared" si="22"/>
        <v>60</v>
      </c>
      <c r="H821" s="353"/>
      <c r="I821" s="250"/>
      <c r="J821" s="250"/>
      <c r="K821" s="362"/>
      <c r="L821" s="250"/>
      <c r="M821" s="250"/>
      <c r="N821" s="250"/>
      <c r="O821" s="250"/>
      <c r="P821" s="250"/>
      <c r="Q821" s="250"/>
      <c r="R821" s="250"/>
      <c r="S821" s="250"/>
      <c r="T821" s="250"/>
      <c r="U821" s="250"/>
      <c r="V821" s="250"/>
      <c r="W821" s="250"/>
      <c r="X821" s="250"/>
      <c r="Y821" s="250"/>
      <c r="Z821" s="250"/>
    </row>
    <row r="822" ht="14.25" customHeight="1">
      <c r="A822" s="86" t="s">
        <v>1256</v>
      </c>
      <c r="B822" s="86" t="s">
        <v>1257</v>
      </c>
      <c r="C822" s="75">
        <v>2.0</v>
      </c>
      <c r="D822" s="351">
        <v>75.0</v>
      </c>
      <c r="E822" s="86" t="s">
        <v>119</v>
      </c>
      <c r="F822" s="174">
        <v>46154.0</v>
      </c>
      <c r="G822" s="352">
        <f t="shared" si="22"/>
        <v>150</v>
      </c>
      <c r="H822" s="353"/>
      <c r="I822" s="250"/>
      <c r="J822" s="250"/>
      <c r="K822" s="361"/>
      <c r="L822" s="250"/>
      <c r="M822" s="250"/>
      <c r="N822" s="250"/>
      <c r="O822" s="250"/>
      <c r="P822" s="250"/>
      <c r="Q822" s="250"/>
      <c r="R822" s="250"/>
      <c r="S822" s="250"/>
      <c r="T822" s="250"/>
      <c r="U822" s="250"/>
      <c r="V822" s="250"/>
      <c r="W822" s="250"/>
      <c r="X822" s="250"/>
      <c r="Y822" s="250"/>
      <c r="Z822" s="250"/>
    </row>
    <row r="823" ht="14.25" customHeight="1">
      <c r="A823" s="86" t="s">
        <v>1260</v>
      </c>
      <c r="B823" s="86" t="s">
        <v>1229</v>
      </c>
      <c r="C823" s="75">
        <v>2.0</v>
      </c>
      <c r="D823" s="351">
        <v>73.0</v>
      </c>
      <c r="E823" s="86" t="s">
        <v>119</v>
      </c>
      <c r="F823" s="174">
        <v>46154.0</v>
      </c>
      <c r="G823" s="352">
        <f t="shared" si="22"/>
        <v>146</v>
      </c>
      <c r="H823" s="353"/>
      <c r="I823" s="250"/>
      <c r="J823" s="250"/>
      <c r="K823" s="362"/>
      <c r="L823" s="250"/>
      <c r="M823" s="250"/>
      <c r="N823" s="250"/>
      <c r="O823" s="250"/>
      <c r="P823" s="250"/>
      <c r="Q823" s="250"/>
      <c r="R823" s="250"/>
      <c r="S823" s="250"/>
      <c r="T823" s="250"/>
      <c r="U823" s="250"/>
      <c r="V823" s="250"/>
      <c r="W823" s="250"/>
      <c r="X823" s="250"/>
      <c r="Y823" s="250"/>
      <c r="Z823" s="250"/>
    </row>
    <row r="824" ht="14.25" customHeight="1">
      <c r="A824" s="86" t="s">
        <v>1273</v>
      </c>
      <c r="B824" s="86" t="s">
        <v>1274</v>
      </c>
      <c r="C824" s="75">
        <v>1.0</v>
      </c>
      <c r="D824" s="351">
        <v>68.0</v>
      </c>
      <c r="E824" s="86" t="s">
        <v>119</v>
      </c>
      <c r="F824" s="174">
        <v>46154.0</v>
      </c>
      <c r="G824" s="352">
        <f t="shared" si="22"/>
        <v>68</v>
      </c>
      <c r="H824" s="353"/>
      <c r="I824" s="250"/>
      <c r="J824" s="250"/>
      <c r="K824" s="361"/>
      <c r="L824" s="250"/>
      <c r="M824" s="250"/>
      <c r="N824" s="250"/>
      <c r="O824" s="250"/>
      <c r="P824" s="250"/>
      <c r="Q824" s="250"/>
      <c r="R824" s="250"/>
      <c r="S824" s="250"/>
      <c r="T824" s="250"/>
      <c r="U824" s="250"/>
      <c r="V824" s="250"/>
      <c r="W824" s="250"/>
      <c r="X824" s="250"/>
      <c r="Y824" s="250"/>
      <c r="Z824" s="250"/>
    </row>
    <row r="825" ht="14.25" customHeight="1">
      <c r="A825" s="86" t="s">
        <v>1176</v>
      </c>
      <c r="B825" s="86" t="s">
        <v>1302</v>
      </c>
      <c r="C825" s="75">
        <v>5.0</v>
      </c>
      <c r="D825" s="351">
        <v>65.0</v>
      </c>
      <c r="E825" s="86" t="s">
        <v>119</v>
      </c>
      <c r="F825" s="174">
        <v>46154.0</v>
      </c>
      <c r="G825" s="352">
        <f t="shared" si="22"/>
        <v>325</v>
      </c>
      <c r="H825" s="353"/>
      <c r="I825" s="250"/>
      <c r="J825" s="250"/>
      <c r="K825" s="363"/>
      <c r="L825" s="363"/>
      <c r="M825" s="364"/>
      <c r="N825" s="364"/>
      <c r="O825" s="363"/>
      <c r="P825" s="363"/>
      <c r="Q825" s="250"/>
      <c r="R825" s="250"/>
      <c r="S825" s="250"/>
      <c r="T825" s="250"/>
      <c r="U825" s="250"/>
      <c r="V825" s="250"/>
      <c r="W825" s="250"/>
      <c r="X825" s="250"/>
      <c r="Y825" s="250"/>
      <c r="Z825" s="250"/>
    </row>
    <row r="826" ht="14.25" customHeight="1">
      <c r="A826" s="86" t="s">
        <v>1137</v>
      </c>
      <c r="B826" s="86" t="s">
        <v>1469</v>
      </c>
      <c r="C826" s="75">
        <v>1.0</v>
      </c>
      <c r="D826" s="351">
        <v>20.0</v>
      </c>
      <c r="E826" s="86" t="s">
        <v>119</v>
      </c>
      <c r="F826" s="174">
        <v>46154.0</v>
      </c>
      <c r="G826" s="352">
        <f t="shared" si="22"/>
        <v>20</v>
      </c>
      <c r="H826" s="353"/>
      <c r="I826" s="250"/>
      <c r="J826" s="250"/>
      <c r="K826" s="361"/>
      <c r="L826" s="361"/>
      <c r="M826" s="365"/>
      <c r="N826" s="365"/>
      <c r="O826" s="361"/>
      <c r="P826" s="366"/>
      <c r="Q826" s="250"/>
      <c r="R826" s="250"/>
      <c r="S826" s="250"/>
      <c r="T826" s="250"/>
      <c r="U826" s="250"/>
      <c r="V826" s="250"/>
      <c r="W826" s="250"/>
      <c r="X826" s="250"/>
      <c r="Y826" s="250"/>
      <c r="Z826" s="250"/>
    </row>
    <row r="827" ht="14.25" customHeight="1">
      <c r="A827" s="86" t="s">
        <v>1212</v>
      </c>
      <c r="B827" s="86" t="s">
        <v>1213</v>
      </c>
      <c r="C827" s="75">
        <v>1.0</v>
      </c>
      <c r="D827" s="351">
        <v>81.0</v>
      </c>
      <c r="E827" s="86" t="s">
        <v>119</v>
      </c>
      <c r="F827" s="174">
        <v>46154.0</v>
      </c>
      <c r="G827" s="352">
        <f t="shared" si="22"/>
        <v>81</v>
      </c>
      <c r="H827" s="353"/>
      <c r="I827" s="250"/>
      <c r="J827" s="250"/>
      <c r="K827" s="361"/>
      <c r="L827" s="361"/>
      <c r="M827" s="365"/>
      <c r="N827" s="365"/>
      <c r="O827" s="361"/>
      <c r="P827" s="366"/>
      <c r="Q827" s="250"/>
      <c r="R827" s="250"/>
      <c r="S827" s="250"/>
      <c r="T827" s="250"/>
      <c r="U827" s="250"/>
      <c r="V827" s="250"/>
      <c r="W827" s="250"/>
      <c r="X827" s="250"/>
      <c r="Y827" s="250"/>
      <c r="Z827" s="250"/>
    </row>
    <row r="828" ht="14.25" customHeight="1">
      <c r="A828" s="86" t="s">
        <v>1547</v>
      </c>
      <c r="B828" s="86" t="s">
        <v>1548</v>
      </c>
      <c r="C828" s="75">
        <v>40.0</v>
      </c>
      <c r="D828" s="351">
        <f>70/20</f>
        <v>3.5</v>
      </c>
      <c r="E828" s="86" t="s">
        <v>119</v>
      </c>
      <c r="F828" s="174">
        <v>46154.0</v>
      </c>
      <c r="G828" s="352">
        <f t="shared" si="22"/>
        <v>140</v>
      </c>
      <c r="H828" s="353"/>
      <c r="I828" s="250"/>
      <c r="J828" s="250"/>
      <c r="K828" s="361"/>
      <c r="L828" s="361"/>
      <c r="M828" s="365"/>
      <c r="N828" s="365"/>
      <c r="O828" s="361"/>
      <c r="P828" s="366"/>
      <c r="Q828" s="250"/>
      <c r="R828" s="250"/>
      <c r="S828" s="250"/>
      <c r="T828" s="250"/>
      <c r="U828" s="250"/>
      <c r="V828" s="250"/>
      <c r="W828" s="250"/>
      <c r="X828" s="250"/>
      <c r="Y828" s="250"/>
      <c r="Z828" s="250"/>
    </row>
    <row r="829" ht="14.25" customHeight="1">
      <c r="A829" s="86" t="s">
        <v>1550</v>
      </c>
      <c r="B829" s="86" t="s">
        <v>1548</v>
      </c>
      <c r="C829" s="75">
        <v>100.0</v>
      </c>
      <c r="D829" s="351">
        <f>97/100</f>
        <v>0.97</v>
      </c>
      <c r="E829" s="86" t="s">
        <v>119</v>
      </c>
      <c r="F829" s="174">
        <v>46154.0</v>
      </c>
      <c r="G829" s="352">
        <f t="shared" si="22"/>
        <v>97</v>
      </c>
      <c r="H829" s="353"/>
      <c r="I829" s="250"/>
      <c r="J829" s="250"/>
      <c r="K829" s="361"/>
      <c r="L829" s="361"/>
      <c r="M829" s="365"/>
      <c r="N829" s="365"/>
      <c r="O829" s="361"/>
      <c r="P829" s="366"/>
      <c r="Q829" s="250"/>
      <c r="R829" s="250"/>
      <c r="S829" s="250"/>
      <c r="T829" s="250"/>
      <c r="U829" s="250"/>
      <c r="V829" s="250"/>
      <c r="W829" s="250"/>
      <c r="X829" s="250"/>
      <c r="Y829" s="250"/>
      <c r="Z829" s="250"/>
    </row>
    <row r="830" ht="14.25" customHeight="1">
      <c r="A830" s="86" t="s">
        <v>1047</v>
      </c>
      <c r="B830" s="86" t="s">
        <v>579</v>
      </c>
      <c r="C830" s="75">
        <v>24.0</v>
      </c>
      <c r="D830" s="351">
        <f>110/24</f>
        <v>4.583333333</v>
      </c>
      <c r="E830" s="86" t="s">
        <v>119</v>
      </c>
      <c r="F830" s="174">
        <v>46154.0</v>
      </c>
      <c r="G830" s="352">
        <f t="shared" si="22"/>
        <v>110</v>
      </c>
      <c r="H830" s="353"/>
      <c r="I830" s="250"/>
      <c r="J830" s="250"/>
      <c r="K830" s="361"/>
      <c r="L830" s="361"/>
      <c r="M830" s="365"/>
      <c r="N830" s="365"/>
      <c r="O830" s="361"/>
      <c r="P830" s="366"/>
      <c r="Q830" s="250"/>
      <c r="R830" s="250"/>
      <c r="S830" s="250"/>
      <c r="T830" s="250"/>
      <c r="U830" s="250"/>
      <c r="V830" s="250"/>
      <c r="W830" s="250"/>
      <c r="X830" s="250"/>
      <c r="Y830" s="250"/>
      <c r="Z830" s="250"/>
    </row>
    <row r="831" ht="14.25" customHeight="1">
      <c r="A831" s="86" t="s">
        <v>750</v>
      </c>
      <c r="B831" s="86" t="s">
        <v>579</v>
      </c>
      <c r="C831" s="75">
        <v>24.0</v>
      </c>
      <c r="D831" s="351">
        <f>10.5</f>
        <v>10.5</v>
      </c>
      <c r="E831" s="86" t="s">
        <v>119</v>
      </c>
      <c r="F831" s="174">
        <v>46154.0</v>
      </c>
      <c r="G831" s="352">
        <f t="shared" si="22"/>
        <v>252</v>
      </c>
      <c r="H831" s="353"/>
      <c r="I831" s="250"/>
      <c r="J831" s="250"/>
      <c r="K831" s="361"/>
      <c r="L831" s="361"/>
      <c r="M831" s="365"/>
      <c r="N831" s="365"/>
      <c r="O831" s="361"/>
      <c r="P831" s="366"/>
      <c r="Q831" s="250"/>
      <c r="R831" s="250"/>
      <c r="S831" s="250"/>
      <c r="T831" s="250"/>
      <c r="U831" s="250"/>
      <c r="V831" s="250"/>
      <c r="W831" s="250"/>
      <c r="X831" s="250"/>
      <c r="Y831" s="250"/>
      <c r="Z831" s="250"/>
    </row>
    <row r="832" ht="14.25" customHeight="1">
      <c r="A832" s="86" t="s">
        <v>803</v>
      </c>
      <c r="B832" s="86" t="s">
        <v>719</v>
      </c>
      <c r="C832" s="75">
        <v>4.0</v>
      </c>
      <c r="D832" s="351">
        <v>145.0</v>
      </c>
      <c r="E832" s="86" t="s">
        <v>119</v>
      </c>
      <c r="F832" s="174">
        <v>46154.0</v>
      </c>
      <c r="G832" s="352">
        <f t="shared" si="22"/>
        <v>580</v>
      </c>
      <c r="H832" s="353"/>
      <c r="I832" s="250"/>
      <c r="J832" s="250"/>
      <c r="K832" s="361"/>
      <c r="L832" s="361"/>
      <c r="M832" s="365"/>
      <c r="N832" s="365"/>
      <c r="O832" s="361"/>
      <c r="P832" s="366"/>
      <c r="Q832" s="250"/>
      <c r="R832" s="250"/>
      <c r="S832" s="250"/>
      <c r="T832" s="250"/>
      <c r="U832" s="250"/>
      <c r="V832" s="250"/>
      <c r="W832" s="250"/>
      <c r="X832" s="250"/>
      <c r="Y832" s="250"/>
      <c r="Z832" s="250"/>
    </row>
    <row r="833" ht="14.25" customHeight="1">
      <c r="A833" s="86" t="s">
        <v>1557</v>
      </c>
      <c r="B833" s="86" t="s">
        <v>1089</v>
      </c>
      <c r="C833" s="75">
        <v>2.0</v>
      </c>
      <c r="D833" s="351">
        <v>115.0</v>
      </c>
      <c r="E833" s="86" t="s">
        <v>119</v>
      </c>
      <c r="F833" s="174">
        <v>46154.0</v>
      </c>
      <c r="G833" s="352">
        <f t="shared" si="22"/>
        <v>230</v>
      </c>
      <c r="H833" s="353"/>
      <c r="I833" s="250"/>
      <c r="J833" s="250"/>
      <c r="K833" s="361"/>
      <c r="L833" s="361"/>
      <c r="M833" s="365"/>
      <c r="N833" s="365"/>
      <c r="O833" s="361"/>
      <c r="P833" s="366"/>
      <c r="Q833" s="250"/>
      <c r="R833" s="250"/>
      <c r="S833" s="250"/>
      <c r="T833" s="250"/>
      <c r="U833" s="250"/>
      <c r="V833" s="250"/>
      <c r="W833" s="250"/>
      <c r="X833" s="250"/>
      <c r="Y833" s="250"/>
      <c r="Z833" s="250"/>
    </row>
    <row r="834" ht="14.25" customHeight="1">
      <c r="A834" s="86" t="s">
        <v>1560</v>
      </c>
      <c r="B834" s="86" t="s">
        <v>1089</v>
      </c>
      <c r="C834" s="75">
        <v>2.0</v>
      </c>
      <c r="D834" s="351">
        <v>115.0</v>
      </c>
      <c r="E834" s="86" t="s">
        <v>119</v>
      </c>
      <c r="F834" s="174">
        <v>46154.0</v>
      </c>
      <c r="G834" s="352">
        <f t="shared" si="22"/>
        <v>230</v>
      </c>
      <c r="H834" s="353"/>
      <c r="I834" s="250"/>
      <c r="J834" s="250"/>
      <c r="K834" s="361"/>
      <c r="M834" s="250"/>
      <c r="N834" s="250"/>
      <c r="O834" s="250"/>
      <c r="P834" s="250"/>
      <c r="Q834" s="250"/>
      <c r="R834" s="250"/>
      <c r="S834" s="250"/>
      <c r="T834" s="250"/>
      <c r="U834" s="250"/>
      <c r="V834" s="250"/>
      <c r="W834" s="250"/>
      <c r="X834" s="250"/>
      <c r="Y834" s="250"/>
      <c r="Z834" s="250"/>
    </row>
    <row r="835" ht="14.25" customHeight="1">
      <c r="A835" s="86" t="s">
        <v>1564</v>
      </c>
      <c r="B835" s="86" t="s">
        <v>1089</v>
      </c>
      <c r="C835" s="75">
        <v>2.0</v>
      </c>
      <c r="D835" s="351">
        <v>95.0</v>
      </c>
      <c r="E835" s="86" t="s">
        <v>119</v>
      </c>
      <c r="F835" s="174">
        <v>46154.0</v>
      </c>
      <c r="G835" s="352">
        <f t="shared" si="22"/>
        <v>190</v>
      </c>
      <c r="H835" s="353"/>
      <c r="I835" s="250"/>
      <c r="J835" s="250"/>
      <c r="K835" s="362"/>
      <c r="M835" s="250"/>
      <c r="N835" s="250"/>
      <c r="O835" s="250"/>
      <c r="P835" s="250"/>
      <c r="Q835" s="250"/>
      <c r="R835" s="250"/>
      <c r="S835" s="250"/>
      <c r="T835" s="250"/>
      <c r="U835" s="250"/>
      <c r="V835" s="250"/>
      <c r="W835" s="250"/>
      <c r="X835" s="250"/>
      <c r="Y835" s="250"/>
      <c r="Z835" s="250"/>
    </row>
    <row r="836" ht="14.25" customHeight="1">
      <c r="A836" s="86" t="s">
        <v>1567</v>
      </c>
      <c r="B836" s="86" t="s">
        <v>1089</v>
      </c>
      <c r="C836" s="75">
        <v>2.0</v>
      </c>
      <c r="D836" s="351">
        <v>90.0</v>
      </c>
      <c r="E836" s="86" t="s">
        <v>119</v>
      </c>
      <c r="F836" s="174">
        <v>46154.0</v>
      </c>
      <c r="G836" s="352">
        <f t="shared" si="22"/>
        <v>180</v>
      </c>
      <c r="H836" s="353"/>
      <c r="I836" s="250"/>
      <c r="J836" s="250"/>
      <c r="K836" s="361"/>
      <c r="M836" s="250"/>
      <c r="N836" s="250"/>
      <c r="O836" s="250"/>
      <c r="P836" s="250"/>
      <c r="Q836" s="250"/>
      <c r="R836" s="250"/>
      <c r="S836" s="250"/>
      <c r="T836" s="250"/>
      <c r="U836" s="250"/>
      <c r="V836" s="250"/>
      <c r="W836" s="250"/>
      <c r="X836" s="250"/>
      <c r="Y836" s="250"/>
      <c r="Z836" s="250"/>
    </row>
    <row r="837" ht="14.25" customHeight="1">
      <c r="A837" s="86" t="s">
        <v>1569</v>
      </c>
      <c r="B837" s="86" t="s">
        <v>1089</v>
      </c>
      <c r="C837" s="75">
        <v>2.0</v>
      </c>
      <c r="D837" s="351">
        <v>120.0</v>
      </c>
      <c r="E837" s="86" t="s">
        <v>119</v>
      </c>
      <c r="F837" s="174">
        <v>46154.0</v>
      </c>
      <c r="G837" s="352">
        <f t="shared" si="22"/>
        <v>240</v>
      </c>
      <c r="H837" s="353"/>
      <c r="I837" s="250"/>
      <c r="J837" s="250"/>
      <c r="K837" s="362"/>
      <c r="L837" s="250"/>
      <c r="M837" s="250"/>
      <c r="N837" s="250"/>
      <c r="O837" s="250"/>
      <c r="P837" s="250"/>
      <c r="Q837" s="250"/>
      <c r="R837" s="250"/>
      <c r="S837" s="250"/>
      <c r="T837" s="250"/>
      <c r="U837" s="250"/>
      <c r="V837" s="250"/>
      <c r="W837" s="250"/>
      <c r="X837" s="250"/>
      <c r="Y837" s="250"/>
      <c r="Z837" s="250"/>
    </row>
    <row r="838" ht="14.25" customHeight="1">
      <c r="A838" s="86" t="s">
        <v>1573</v>
      </c>
      <c r="B838" s="86" t="s">
        <v>1089</v>
      </c>
      <c r="C838" s="75">
        <v>2.0</v>
      </c>
      <c r="D838" s="351">
        <v>105.0</v>
      </c>
      <c r="E838" s="86" t="s">
        <v>119</v>
      </c>
      <c r="F838" s="174">
        <v>46154.0</v>
      </c>
      <c r="G838" s="352">
        <f t="shared" si="22"/>
        <v>210</v>
      </c>
      <c r="H838" s="353"/>
      <c r="I838" s="250"/>
      <c r="J838" s="250"/>
      <c r="K838" s="361"/>
      <c r="L838" s="250"/>
      <c r="M838" s="250"/>
      <c r="N838" s="250"/>
      <c r="O838" s="250"/>
      <c r="P838" s="250"/>
      <c r="Q838" s="250"/>
      <c r="R838" s="250"/>
      <c r="S838" s="250"/>
      <c r="T838" s="250"/>
      <c r="U838" s="250"/>
      <c r="V838" s="250"/>
      <c r="W838" s="250"/>
      <c r="X838" s="250"/>
      <c r="Y838" s="250"/>
      <c r="Z838" s="250"/>
    </row>
    <row r="839" ht="14.25" customHeight="1">
      <c r="A839" s="86" t="s">
        <v>1575</v>
      </c>
      <c r="B839" s="86" t="s">
        <v>1089</v>
      </c>
      <c r="C839" s="75">
        <v>2.0</v>
      </c>
      <c r="D839" s="351">
        <v>100.0</v>
      </c>
      <c r="E839" s="177"/>
      <c r="F839" s="174">
        <v>46154.0</v>
      </c>
      <c r="G839" s="352">
        <f t="shared" si="22"/>
        <v>200</v>
      </c>
      <c r="H839" s="353"/>
      <c r="I839" s="250"/>
      <c r="J839" s="250"/>
      <c r="K839" s="363"/>
      <c r="L839" s="363"/>
      <c r="M839" s="364"/>
      <c r="N839" s="364"/>
      <c r="O839" s="363"/>
      <c r="P839" s="363"/>
      <c r="Q839" s="250"/>
      <c r="R839" s="250"/>
      <c r="S839" s="250"/>
      <c r="T839" s="250"/>
      <c r="U839" s="250"/>
      <c r="V839" s="250"/>
      <c r="W839" s="250"/>
      <c r="X839" s="250"/>
      <c r="Y839" s="250"/>
      <c r="Z839" s="250"/>
    </row>
    <row r="840" ht="14.25" customHeight="1">
      <c r="A840" s="86" t="s">
        <v>718</v>
      </c>
      <c r="B840" s="86" t="s">
        <v>719</v>
      </c>
      <c r="C840" s="75">
        <v>2.0</v>
      </c>
      <c r="D840" s="351">
        <v>155.0</v>
      </c>
      <c r="E840" s="86" t="s">
        <v>119</v>
      </c>
      <c r="F840" s="174">
        <v>46154.0</v>
      </c>
      <c r="G840" s="352">
        <f t="shared" si="22"/>
        <v>310</v>
      </c>
      <c r="H840" s="353"/>
      <c r="I840" s="250"/>
      <c r="J840" s="250"/>
      <c r="Q840" s="250"/>
      <c r="R840" s="250"/>
      <c r="S840" s="250"/>
      <c r="T840" s="250"/>
      <c r="U840" s="250"/>
      <c r="V840" s="250"/>
      <c r="W840" s="250"/>
      <c r="X840" s="250"/>
      <c r="Y840" s="250"/>
      <c r="Z840" s="250"/>
    </row>
    <row r="841" ht="14.25" customHeight="1">
      <c r="A841" s="86" t="s">
        <v>387</v>
      </c>
      <c r="B841" s="86" t="s">
        <v>388</v>
      </c>
      <c r="C841" s="75">
        <v>1.0</v>
      </c>
      <c r="D841" s="351">
        <v>227.0</v>
      </c>
      <c r="E841" s="86" t="s">
        <v>119</v>
      </c>
      <c r="F841" s="174">
        <v>46154.0</v>
      </c>
      <c r="G841" s="352">
        <f t="shared" si="22"/>
        <v>227</v>
      </c>
      <c r="H841" s="353"/>
      <c r="I841" s="250"/>
      <c r="J841" s="250"/>
      <c r="Q841" s="250"/>
      <c r="R841" s="250"/>
      <c r="S841" s="250"/>
      <c r="T841" s="250"/>
      <c r="U841" s="250"/>
      <c r="V841" s="250"/>
      <c r="W841" s="250"/>
      <c r="X841" s="250"/>
      <c r="Y841" s="250"/>
      <c r="Z841" s="250"/>
    </row>
    <row r="842" ht="14.25" customHeight="1">
      <c r="A842" s="86" t="s">
        <v>1582</v>
      </c>
      <c r="B842" s="86" t="s">
        <v>1089</v>
      </c>
      <c r="C842" s="75">
        <v>4.0</v>
      </c>
      <c r="D842" s="351">
        <v>90.0</v>
      </c>
      <c r="E842" s="86" t="s">
        <v>119</v>
      </c>
      <c r="F842" s="174">
        <v>46154.0</v>
      </c>
      <c r="G842" s="352">
        <f t="shared" si="22"/>
        <v>360</v>
      </c>
      <c r="H842" s="353"/>
      <c r="I842" s="250"/>
      <c r="J842" s="250"/>
      <c r="Q842" s="250"/>
      <c r="R842" s="250"/>
      <c r="S842" s="250"/>
      <c r="T842" s="250"/>
      <c r="U842" s="250"/>
      <c r="V842" s="250"/>
      <c r="W842" s="250"/>
      <c r="X842" s="250"/>
      <c r="Y842" s="250"/>
      <c r="Z842" s="250"/>
    </row>
    <row r="843" ht="14.25" customHeight="1">
      <c r="A843" s="86" t="s">
        <v>1585</v>
      </c>
      <c r="B843" s="86" t="s">
        <v>1089</v>
      </c>
      <c r="C843" s="75">
        <v>2.0</v>
      </c>
      <c r="D843" s="351">
        <v>105.0</v>
      </c>
      <c r="E843" s="86" t="s">
        <v>119</v>
      </c>
      <c r="F843" s="174">
        <v>46154.0</v>
      </c>
      <c r="G843" s="352">
        <f t="shared" si="22"/>
        <v>210</v>
      </c>
      <c r="H843" s="353"/>
      <c r="I843" s="250"/>
      <c r="J843" s="250"/>
      <c r="Q843" s="250"/>
      <c r="R843" s="250"/>
      <c r="S843" s="250"/>
      <c r="T843" s="250"/>
      <c r="U843" s="250"/>
      <c r="V843" s="250"/>
      <c r="W843" s="250"/>
      <c r="X843" s="250"/>
      <c r="Y843" s="250"/>
      <c r="Z843" s="250"/>
    </row>
    <row r="844" ht="14.25" customHeight="1">
      <c r="A844" s="86" t="s">
        <v>1587</v>
      </c>
      <c r="B844" s="86" t="s">
        <v>1089</v>
      </c>
      <c r="C844" s="75">
        <v>2.0</v>
      </c>
      <c r="D844" s="351">
        <v>86.0</v>
      </c>
      <c r="E844" s="86" t="s">
        <v>119</v>
      </c>
      <c r="F844" s="174">
        <v>46154.0</v>
      </c>
      <c r="G844" s="352">
        <f t="shared" si="22"/>
        <v>172</v>
      </c>
      <c r="H844" s="353"/>
      <c r="I844" s="250"/>
      <c r="J844" s="250"/>
      <c r="Q844" s="250"/>
      <c r="R844" s="250"/>
      <c r="S844" s="250"/>
      <c r="T844" s="250"/>
      <c r="U844" s="250"/>
      <c r="V844" s="250"/>
      <c r="W844" s="250"/>
      <c r="X844" s="250"/>
      <c r="Y844" s="250"/>
      <c r="Z844" s="250"/>
    </row>
    <row r="845" ht="14.25" customHeight="1">
      <c r="A845" s="86" t="s">
        <v>1590</v>
      </c>
      <c r="B845" s="86" t="s">
        <v>1089</v>
      </c>
      <c r="C845" s="75">
        <v>2.0</v>
      </c>
      <c r="D845" s="351">
        <v>135.0</v>
      </c>
      <c r="E845" s="86" t="s">
        <v>119</v>
      </c>
      <c r="F845" s="174">
        <v>46154.0</v>
      </c>
      <c r="G845" s="352">
        <f t="shared" si="22"/>
        <v>270</v>
      </c>
      <c r="H845" s="353"/>
      <c r="I845" s="250"/>
      <c r="J845" s="250"/>
      <c r="Q845" s="250"/>
      <c r="R845" s="250"/>
      <c r="S845" s="250"/>
      <c r="T845" s="250"/>
      <c r="U845" s="250"/>
      <c r="V845" s="250"/>
      <c r="W845" s="250"/>
      <c r="X845" s="250"/>
      <c r="Y845" s="250"/>
      <c r="Z845" s="250"/>
    </row>
    <row r="846" ht="14.25" customHeight="1">
      <c r="A846" s="86" t="s">
        <v>1592</v>
      </c>
      <c r="B846" s="86" t="s">
        <v>1089</v>
      </c>
      <c r="C846" s="75">
        <v>2.0</v>
      </c>
      <c r="D846" s="351">
        <v>95.0</v>
      </c>
      <c r="E846" s="86" t="s">
        <v>119</v>
      </c>
      <c r="F846" s="174">
        <v>46154.0</v>
      </c>
      <c r="G846" s="352">
        <f t="shared" si="22"/>
        <v>190</v>
      </c>
      <c r="H846" s="353"/>
      <c r="I846" s="250"/>
      <c r="J846" s="250"/>
      <c r="Q846" s="250"/>
      <c r="R846" s="250"/>
      <c r="S846" s="250"/>
      <c r="T846" s="250"/>
      <c r="U846" s="250"/>
      <c r="V846" s="250"/>
      <c r="W846" s="250"/>
      <c r="X846" s="250"/>
      <c r="Y846" s="250"/>
      <c r="Z846" s="250"/>
    </row>
    <row r="847" ht="14.25" customHeight="1">
      <c r="A847" s="86" t="s">
        <v>1594</v>
      </c>
      <c r="B847" s="86" t="s">
        <v>1089</v>
      </c>
      <c r="C847" s="75">
        <v>2.0</v>
      </c>
      <c r="D847" s="351">
        <v>100.0</v>
      </c>
      <c r="E847" s="86" t="s">
        <v>119</v>
      </c>
      <c r="F847" s="174">
        <v>46154.0</v>
      </c>
      <c r="G847" s="352">
        <f t="shared" si="22"/>
        <v>200</v>
      </c>
      <c r="H847" s="353"/>
      <c r="I847" s="250"/>
      <c r="J847" s="250"/>
      <c r="Q847" s="250"/>
      <c r="R847" s="250"/>
      <c r="S847" s="250"/>
      <c r="T847" s="250"/>
      <c r="U847" s="250"/>
      <c r="V847" s="250"/>
      <c r="W847" s="250"/>
      <c r="X847" s="250"/>
      <c r="Y847" s="250"/>
      <c r="Z847" s="250"/>
    </row>
    <row r="848" ht="14.25" customHeight="1">
      <c r="A848" s="86" t="s">
        <v>1597</v>
      </c>
      <c r="B848" s="86" t="s">
        <v>1089</v>
      </c>
      <c r="C848" s="75">
        <v>2.0</v>
      </c>
      <c r="D848" s="351">
        <v>92.0</v>
      </c>
      <c r="E848" s="86" t="s">
        <v>119</v>
      </c>
      <c r="F848" s="174">
        <v>46154.0</v>
      </c>
      <c r="G848" s="352">
        <f t="shared" si="22"/>
        <v>184</v>
      </c>
      <c r="H848" s="353"/>
      <c r="I848" s="250"/>
      <c r="J848" s="250"/>
      <c r="Q848" s="250"/>
      <c r="R848" s="250"/>
      <c r="S848" s="250"/>
      <c r="T848" s="250"/>
      <c r="U848" s="250"/>
      <c r="V848" s="250"/>
      <c r="W848" s="250"/>
      <c r="X848" s="250"/>
      <c r="Y848" s="250"/>
      <c r="Z848" s="250"/>
    </row>
    <row r="849" ht="14.25" customHeight="1">
      <c r="A849" s="86" t="s">
        <v>1600</v>
      </c>
      <c r="B849" s="86" t="s">
        <v>1089</v>
      </c>
      <c r="C849" s="75">
        <v>2.0</v>
      </c>
      <c r="D849" s="351">
        <v>105.0</v>
      </c>
      <c r="E849" s="86" t="s">
        <v>119</v>
      </c>
      <c r="F849" s="174">
        <v>46154.0</v>
      </c>
      <c r="G849" s="352">
        <f t="shared" si="22"/>
        <v>210</v>
      </c>
      <c r="H849" s="353"/>
      <c r="I849" s="250"/>
      <c r="J849" s="250"/>
      <c r="Q849" s="250"/>
      <c r="R849" s="250"/>
      <c r="S849" s="250"/>
      <c r="T849" s="250"/>
      <c r="U849" s="250"/>
      <c r="V849" s="250"/>
      <c r="W849" s="250"/>
      <c r="X849" s="250"/>
      <c r="Y849" s="250"/>
      <c r="Z849" s="250"/>
    </row>
    <row r="850" ht="14.25" customHeight="1">
      <c r="A850" s="86" t="s">
        <v>1602</v>
      </c>
      <c r="B850" s="86" t="s">
        <v>1089</v>
      </c>
      <c r="C850" s="75">
        <v>2.0</v>
      </c>
      <c r="D850" s="351">
        <v>100.0</v>
      </c>
      <c r="E850" s="86" t="s">
        <v>119</v>
      </c>
      <c r="F850" s="174">
        <v>46154.0</v>
      </c>
      <c r="G850" s="352">
        <f t="shared" si="22"/>
        <v>200</v>
      </c>
      <c r="H850" s="353"/>
      <c r="I850" s="250"/>
      <c r="J850" s="250"/>
      <c r="Q850" s="250"/>
      <c r="R850" s="250"/>
      <c r="S850" s="250"/>
      <c r="T850" s="250"/>
      <c r="U850" s="250"/>
      <c r="V850" s="250"/>
      <c r="W850" s="250"/>
      <c r="X850" s="250"/>
      <c r="Y850" s="250"/>
      <c r="Z850" s="250"/>
    </row>
    <row r="851" ht="14.25" customHeight="1">
      <c r="A851" s="86" t="s">
        <v>1606</v>
      </c>
      <c r="B851" s="86" t="s">
        <v>1089</v>
      </c>
      <c r="C851" s="75">
        <v>2.0</v>
      </c>
      <c r="D851" s="351">
        <v>105.0</v>
      </c>
      <c r="E851" s="86" t="s">
        <v>119</v>
      </c>
      <c r="F851" s="174">
        <v>46154.0</v>
      </c>
      <c r="G851" s="352">
        <f t="shared" si="22"/>
        <v>210</v>
      </c>
      <c r="H851" s="353"/>
      <c r="I851" s="250"/>
      <c r="J851" s="250"/>
      <c r="Q851" s="250"/>
      <c r="R851" s="250"/>
      <c r="S851" s="250"/>
      <c r="T851" s="250"/>
      <c r="U851" s="250"/>
      <c r="V851" s="250"/>
      <c r="W851" s="250"/>
      <c r="X851" s="250"/>
      <c r="Y851" s="250"/>
      <c r="Z851" s="250"/>
    </row>
    <row r="852" ht="14.25" customHeight="1">
      <c r="A852" s="86" t="s">
        <v>1609</v>
      </c>
      <c r="B852" s="86" t="s">
        <v>1089</v>
      </c>
      <c r="C852" s="75">
        <v>2.0</v>
      </c>
      <c r="D852" s="351">
        <v>110.0</v>
      </c>
      <c r="E852" s="86" t="s">
        <v>119</v>
      </c>
      <c r="F852" s="174">
        <v>46154.0</v>
      </c>
      <c r="G852" s="352">
        <f t="shared" si="22"/>
        <v>220</v>
      </c>
      <c r="H852" s="353"/>
      <c r="I852" s="250"/>
      <c r="J852" s="250"/>
      <c r="Q852" s="250"/>
      <c r="R852" s="250"/>
      <c r="S852" s="250"/>
      <c r="T852" s="250"/>
      <c r="U852" s="250"/>
      <c r="V852" s="250"/>
      <c r="W852" s="250"/>
      <c r="X852" s="250"/>
      <c r="Y852" s="250"/>
      <c r="Z852" s="250"/>
    </row>
    <row r="853" ht="14.25" customHeight="1">
      <c r="A853" s="86" t="s">
        <v>722</v>
      </c>
      <c r="B853" s="86" t="s">
        <v>719</v>
      </c>
      <c r="C853" s="75">
        <v>2.0</v>
      </c>
      <c r="D853" s="351">
        <v>155.0</v>
      </c>
      <c r="E853" s="86" t="s">
        <v>119</v>
      </c>
      <c r="F853" s="174">
        <v>46154.0</v>
      </c>
      <c r="G853" s="352">
        <f t="shared" si="22"/>
        <v>310</v>
      </c>
      <c r="H853" s="353"/>
      <c r="I853" s="250"/>
      <c r="J853" s="250"/>
      <c r="Q853" s="250"/>
      <c r="R853" s="250"/>
      <c r="S853" s="250"/>
      <c r="T853" s="250"/>
      <c r="U853" s="250"/>
      <c r="V853" s="250"/>
      <c r="W853" s="250"/>
      <c r="X853" s="250"/>
      <c r="Y853" s="250"/>
      <c r="Z853" s="250"/>
    </row>
    <row r="854" ht="14.25" customHeight="1">
      <c r="A854" s="86" t="s">
        <v>446</v>
      </c>
      <c r="B854" s="86" t="s">
        <v>388</v>
      </c>
      <c r="C854" s="75">
        <v>1.0</v>
      </c>
      <c r="D854" s="75">
        <f>212.5</f>
        <v>212.5</v>
      </c>
      <c r="E854" s="86" t="s">
        <v>119</v>
      </c>
      <c r="F854" s="174">
        <v>46154.0</v>
      </c>
      <c r="G854" s="352">
        <f t="shared" si="22"/>
        <v>212.5</v>
      </c>
      <c r="H854" s="353"/>
      <c r="I854" s="250"/>
      <c r="J854" s="250"/>
      <c r="Q854" s="250"/>
      <c r="R854" s="250"/>
      <c r="S854" s="250"/>
      <c r="T854" s="250"/>
      <c r="U854" s="250"/>
      <c r="V854" s="250"/>
      <c r="W854" s="250"/>
      <c r="X854" s="250"/>
      <c r="Y854" s="250"/>
      <c r="Z854" s="250"/>
    </row>
    <row r="855" ht="14.25" customHeight="1">
      <c r="A855" s="85" t="s">
        <v>745</v>
      </c>
      <c r="B855" s="85" t="s">
        <v>579</v>
      </c>
      <c r="C855" s="93">
        <v>12.0</v>
      </c>
      <c r="D855" s="93">
        <f>22.5</f>
        <v>22.5</v>
      </c>
      <c r="E855" s="85"/>
      <c r="F855" s="174">
        <v>46154.0</v>
      </c>
      <c r="G855" s="352">
        <f t="shared" si="22"/>
        <v>270</v>
      </c>
      <c r="H855" s="353"/>
      <c r="I855" s="250"/>
      <c r="J855" s="250"/>
      <c r="Q855" s="250"/>
      <c r="R855" s="250"/>
      <c r="S855" s="250"/>
      <c r="T855" s="250"/>
      <c r="U855" s="250"/>
      <c r="V855" s="250"/>
      <c r="W855" s="250"/>
      <c r="X855" s="250"/>
      <c r="Y855" s="250"/>
      <c r="Z855" s="250"/>
    </row>
    <row r="856" ht="14.25" customHeight="1">
      <c r="A856" s="86" t="s">
        <v>1170</v>
      </c>
      <c r="B856" s="85" t="s">
        <v>1171</v>
      </c>
      <c r="C856" s="75">
        <v>24.0</v>
      </c>
      <c r="D856" s="351">
        <v>90.0</v>
      </c>
      <c r="E856" s="86" t="s">
        <v>1059</v>
      </c>
      <c r="F856" s="174">
        <v>46154.0</v>
      </c>
      <c r="G856" s="352">
        <f t="shared" si="22"/>
        <v>2160</v>
      </c>
      <c r="H856" s="353"/>
      <c r="I856" s="250"/>
      <c r="J856" s="250"/>
      <c r="Q856" s="250"/>
      <c r="R856" s="250"/>
      <c r="S856" s="250"/>
      <c r="T856" s="250"/>
      <c r="U856" s="250"/>
      <c r="V856" s="250"/>
      <c r="W856" s="250"/>
      <c r="X856" s="250"/>
      <c r="Y856" s="250"/>
      <c r="Z856" s="250"/>
    </row>
    <row r="857" ht="14.25" customHeight="1">
      <c r="A857" s="86" t="s">
        <v>1161</v>
      </c>
      <c r="B857" s="85" t="s">
        <v>472</v>
      </c>
      <c r="C857" s="75">
        <v>6.0</v>
      </c>
      <c r="D857" s="351">
        <v>90.0</v>
      </c>
      <c r="E857" s="86" t="s">
        <v>1059</v>
      </c>
      <c r="F857" s="174">
        <v>46154.0</v>
      </c>
      <c r="G857" s="352">
        <f t="shared" si="22"/>
        <v>540</v>
      </c>
      <c r="H857" s="353"/>
      <c r="I857" s="250"/>
      <c r="J857" s="250"/>
      <c r="Q857" s="250"/>
      <c r="R857" s="250"/>
      <c r="S857" s="250"/>
      <c r="T857" s="250"/>
      <c r="U857" s="250"/>
      <c r="V857" s="250"/>
      <c r="W857" s="250"/>
      <c r="X857" s="250"/>
      <c r="Y857" s="250"/>
      <c r="Z857" s="250"/>
    </row>
    <row r="858" ht="14.25" customHeight="1">
      <c r="A858" s="86" t="s">
        <v>1173</v>
      </c>
      <c r="B858" s="85" t="s">
        <v>472</v>
      </c>
      <c r="C858" s="75">
        <v>12.0</v>
      </c>
      <c r="D858" s="351">
        <v>55.0</v>
      </c>
      <c r="E858" s="86" t="s">
        <v>1059</v>
      </c>
      <c r="F858" s="174">
        <v>46154.0</v>
      </c>
      <c r="G858" s="352">
        <f t="shared" si="22"/>
        <v>660</v>
      </c>
      <c r="H858" s="353"/>
      <c r="I858" s="250"/>
      <c r="J858" s="250"/>
      <c r="Q858" s="250"/>
      <c r="R858" s="250"/>
      <c r="S858" s="250"/>
      <c r="T858" s="250"/>
      <c r="U858" s="250"/>
      <c r="V858" s="250"/>
      <c r="W858" s="250"/>
      <c r="X858" s="250"/>
      <c r="Y858" s="250"/>
      <c r="Z858" s="250"/>
    </row>
    <row r="859" ht="14.25" customHeight="1">
      <c r="A859" s="86" t="s">
        <v>1058</v>
      </c>
      <c r="B859" s="85" t="s">
        <v>472</v>
      </c>
      <c r="C859" s="75">
        <v>18.0</v>
      </c>
      <c r="D859" s="351">
        <v>110.0</v>
      </c>
      <c r="E859" s="86" t="s">
        <v>1059</v>
      </c>
      <c r="F859" s="174">
        <v>46154.0</v>
      </c>
      <c r="G859" s="352">
        <f t="shared" si="22"/>
        <v>1980</v>
      </c>
      <c r="H859" s="353"/>
      <c r="I859" s="250"/>
      <c r="J859" s="250"/>
      <c r="Q859" s="250"/>
      <c r="R859" s="250"/>
      <c r="S859" s="250"/>
      <c r="T859" s="250"/>
      <c r="U859" s="250"/>
      <c r="V859" s="250"/>
      <c r="W859" s="250"/>
      <c r="X859" s="250"/>
      <c r="Y859" s="250"/>
      <c r="Z859" s="250"/>
    </row>
    <row r="860" ht="14.25" customHeight="1">
      <c r="A860" s="85" t="s">
        <v>935</v>
      </c>
      <c r="B860" s="85" t="s">
        <v>1570</v>
      </c>
      <c r="C860" s="93">
        <v>50.0</v>
      </c>
      <c r="D860" s="354">
        <v>7.0</v>
      </c>
      <c r="E860" s="85" t="s">
        <v>1052</v>
      </c>
      <c r="F860" s="174">
        <v>46154.0</v>
      </c>
      <c r="G860" s="352">
        <f t="shared" si="22"/>
        <v>350</v>
      </c>
      <c r="H860" s="353"/>
      <c r="I860" s="250"/>
      <c r="J860" s="250"/>
      <c r="Q860" s="250"/>
      <c r="R860" s="250"/>
      <c r="S860" s="250"/>
      <c r="T860" s="250"/>
      <c r="U860" s="250"/>
      <c r="V860" s="250"/>
      <c r="W860" s="250"/>
      <c r="X860" s="250"/>
      <c r="Y860" s="250"/>
      <c r="Z860" s="250"/>
    </row>
    <row r="861" ht="14.25" customHeight="1">
      <c r="A861" s="85" t="s">
        <v>933</v>
      </c>
      <c r="B861" s="85" t="s">
        <v>1570</v>
      </c>
      <c r="C861" s="93">
        <v>50.0</v>
      </c>
      <c r="D861" s="354">
        <v>10.0</v>
      </c>
      <c r="E861" s="85" t="s">
        <v>1052</v>
      </c>
      <c r="F861" s="174">
        <v>46154.0</v>
      </c>
      <c r="G861" s="352">
        <f t="shared" si="22"/>
        <v>500</v>
      </c>
      <c r="H861" s="353"/>
      <c r="I861" s="250"/>
      <c r="J861" s="250"/>
      <c r="Q861" s="250"/>
      <c r="R861" s="250"/>
      <c r="S861" s="250"/>
      <c r="T861" s="250"/>
      <c r="U861" s="250"/>
      <c r="V861" s="250"/>
      <c r="W861" s="250"/>
      <c r="X861" s="250"/>
      <c r="Y861" s="250"/>
      <c r="Z861" s="250"/>
    </row>
    <row r="862" ht="14.25" customHeight="1">
      <c r="A862" s="367">
        <v>0.0</v>
      </c>
      <c r="B862" s="85"/>
      <c r="C862" s="93"/>
      <c r="D862" s="354"/>
      <c r="E862" s="85"/>
      <c r="F862" s="139"/>
      <c r="G862" s="352">
        <f>SUM(G810:G861)</f>
        <v>19950.5</v>
      </c>
      <c r="H862" s="353"/>
      <c r="I862" s="250"/>
      <c r="J862" s="250"/>
      <c r="Q862" s="250"/>
      <c r="R862" s="250"/>
      <c r="S862" s="250"/>
      <c r="T862" s="250"/>
      <c r="U862" s="250"/>
      <c r="V862" s="250"/>
      <c r="W862" s="250"/>
      <c r="X862" s="250"/>
      <c r="Y862" s="250"/>
      <c r="Z862" s="250"/>
    </row>
    <row r="863" ht="14.25" customHeight="1">
      <c r="A863" s="250"/>
      <c r="B863" s="250"/>
      <c r="C863" s="250"/>
      <c r="D863" s="254"/>
      <c r="E863" s="250"/>
      <c r="F863" s="250"/>
      <c r="G863" s="250"/>
      <c r="H863" s="250"/>
      <c r="I863" s="250"/>
      <c r="J863" s="250"/>
      <c r="Q863" s="250"/>
      <c r="R863" s="250"/>
      <c r="S863" s="250"/>
      <c r="T863" s="250"/>
      <c r="U863" s="250"/>
      <c r="V863" s="250"/>
      <c r="W863" s="250"/>
      <c r="X863" s="250"/>
      <c r="Y863" s="250"/>
      <c r="Z863" s="250"/>
    </row>
    <row r="864" ht="14.25" customHeight="1">
      <c r="A864" s="349" t="s">
        <v>4369</v>
      </c>
      <c r="B864" s="349" t="s">
        <v>4350</v>
      </c>
      <c r="C864" s="349" t="s">
        <v>4352</v>
      </c>
      <c r="D864" s="350" t="s">
        <v>4370</v>
      </c>
      <c r="E864" s="349" t="s">
        <v>4433</v>
      </c>
      <c r="F864" s="349" t="s">
        <v>4372</v>
      </c>
      <c r="G864" s="349" t="s">
        <v>4353</v>
      </c>
      <c r="H864" s="349" t="s">
        <v>4891</v>
      </c>
      <c r="I864" s="250"/>
      <c r="J864" s="250"/>
      <c r="K864" s="361"/>
      <c r="L864" s="250"/>
      <c r="M864" s="250"/>
      <c r="N864" s="250"/>
      <c r="O864" s="250"/>
      <c r="P864" s="250"/>
      <c r="Q864" s="250"/>
      <c r="R864" s="250"/>
      <c r="S864" s="250"/>
      <c r="T864" s="250"/>
      <c r="U864" s="250"/>
      <c r="V864" s="250"/>
      <c r="W864" s="250"/>
      <c r="X864" s="250"/>
      <c r="Y864" s="250"/>
      <c r="Z864" s="250"/>
    </row>
    <row r="865" ht="14.25" customHeight="1">
      <c r="A865" s="85"/>
      <c r="B865" s="85"/>
      <c r="C865" s="93"/>
      <c r="D865" s="354"/>
      <c r="E865" s="85"/>
      <c r="F865" s="139"/>
      <c r="G865" s="352"/>
      <c r="H865" s="77"/>
      <c r="I865" s="250"/>
      <c r="J865" s="250"/>
      <c r="K865" s="362"/>
      <c r="L865" s="250"/>
      <c r="M865" s="250"/>
      <c r="N865" s="250"/>
      <c r="O865" s="250"/>
      <c r="P865" s="250"/>
      <c r="Q865" s="250"/>
      <c r="R865" s="250"/>
      <c r="S865" s="250"/>
      <c r="T865" s="250"/>
      <c r="U865" s="250"/>
      <c r="V865" s="250"/>
      <c r="W865" s="250"/>
      <c r="X865" s="250"/>
      <c r="Y865" s="250"/>
      <c r="Z865" s="250"/>
    </row>
    <row r="866" ht="14.25" customHeight="1">
      <c r="A866" s="368"/>
      <c r="B866" s="368"/>
      <c r="C866" s="93"/>
      <c r="D866" s="336"/>
      <c r="E866" s="368"/>
      <c r="F866" s="282"/>
      <c r="G866" s="352">
        <f>C866*D866</f>
        <v>0</v>
      </c>
      <c r="H866" s="77"/>
      <c r="I866" s="250"/>
      <c r="J866" s="250"/>
      <c r="K866" s="361"/>
      <c r="L866" s="250"/>
      <c r="M866" s="250"/>
      <c r="N866" s="250"/>
      <c r="O866" s="250"/>
      <c r="P866" s="250"/>
      <c r="Q866" s="250"/>
      <c r="R866" s="250"/>
      <c r="S866" s="250"/>
      <c r="T866" s="250"/>
      <c r="U866" s="250"/>
      <c r="V866" s="250"/>
      <c r="W866" s="250"/>
      <c r="X866" s="250"/>
      <c r="Y866" s="250"/>
      <c r="Z866" s="250"/>
    </row>
    <row r="867" ht="14.25" customHeight="1">
      <c r="A867" s="250"/>
      <c r="B867" s="250"/>
      <c r="C867" s="250"/>
      <c r="D867" s="254"/>
      <c r="E867" s="250"/>
      <c r="F867" s="250"/>
      <c r="G867" s="250"/>
      <c r="H867" s="250"/>
      <c r="I867" s="250"/>
      <c r="J867" s="250"/>
      <c r="K867" s="362"/>
      <c r="L867" s="250"/>
      <c r="M867" s="250"/>
      <c r="N867" s="250"/>
      <c r="O867" s="250"/>
      <c r="P867" s="250"/>
      <c r="Q867" s="250"/>
      <c r="R867" s="250"/>
      <c r="S867" s="250"/>
      <c r="T867" s="250"/>
      <c r="U867" s="250"/>
      <c r="V867" s="250"/>
      <c r="W867" s="250"/>
      <c r="X867" s="250"/>
      <c r="Y867" s="250"/>
      <c r="Z867" s="250"/>
    </row>
    <row r="868" ht="14.25" customHeight="1">
      <c r="A868" s="250"/>
      <c r="B868" s="250"/>
      <c r="C868" s="250"/>
      <c r="D868" s="254"/>
      <c r="E868" s="250"/>
      <c r="F868" s="250"/>
      <c r="G868" s="250"/>
      <c r="H868" s="250"/>
      <c r="I868" s="250"/>
      <c r="J868" s="250"/>
      <c r="K868" s="361"/>
      <c r="L868" s="250"/>
      <c r="M868" s="250"/>
      <c r="N868" s="250"/>
      <c r="O868" s="250"/>
      <c r="P868" s="250"/>
      <c r="Q868" s="250"/>
      <c r="R868" s="250"/>
      <c r="S868" s="250"/>
      <c r="T868" s="250"/>
      <c r="U868" s="250"/>
      <c r="V868" s="250"/>
      <c r="W868" s="250"/>
      <c r="X868" s="250"/>
      <c r="Y868" s="250"/>
      <c r="Z868" s="250"/>
    </row>
    <row r="869" ht="14.25" customHeight="1">
      <c r="A869" s="250"/>
      <c r="B869" s="250"/>
      <c r="C869" s="250"/>
      <c r="D869" s="254"/>
      <c r="E869" s="250"/>
      <c r="F869" s="250"/>
      <c r="G869" s="250"/>
      <c r="H869" s="250"/>
      <c r="I869" s="250"/>
      <c r="J869" s="250"/>
      <c r="K869" s="363"/>
      <c r="L869" s="363"/>
      <c r="M869" s="364"/>
      <c r="N869" s="364"/>
      <c r="O869" s="363"/>
      <c r="P869" s="363"/>
      <c r="Q869" s="250"/>
      <c r="R869" s="250"/>
      <c r="S869" s="250"/>
      <c r="T869" s="250"/>
      <c r="U869" s="250"/>
      <c r="V869" s="250"/>
      <c r="W869" s="250"/>
      <c r="X869" s="250"/>
      <c r="Y869" s="250"/>
      <c r="Z869" s="250"/>
    </row>
    <row r="870" ht="14.25" customHeight="1">
      <c r="A870" s="250"/>
      <c r="B870" s="250"/>
      <c r="C870" s="250"/>
      <c r="D870" s="254"/>
      <c r="E870" s="250"/>
      <c r="F870" s="250"/>
      <c r="G870" s="250"/>
      <c r="H870" s="250"/>
      <c r="I870" s="250"/>
      <c r="J870" s="250"/>
      <c r="L870" s="361"/>
      <c r="Q870" s="250"/>
      <c r="R870" s="250"/>
      <c r="S870" s="250"/>
      <c r="T870" s="250"/>
      <c r="U870" s="250"/>
      <c r="V870" s="250"/>
      <c r="W870" s="250"/>
      <c r="X870" s="250"/>
      <c r="Y870" s="250"/>
      <c r="Z870" s="250"/>
    </row>
    <row r="871" ht="14.25" customHeight="1">
      <c r="A871" s="250"/>
      <c r="B871" s="250"/>
      <c r="C871" s="250"/>
      <c r="D871" s="254"/>
      <c r="E871" s="250"/>
      <c r="F871" s="250"/>
      <c r="G871" s="250"/>
      <c r="H871" s="250"/>
      <c r="I871" s="250"/>
      <c r="J871" s="250"/>
      <c r="L871" s="361"/>
      <c r="Q871" s="250"/>
      <c r="R871" s="250"/>
      <c r="S871" s="250"/>
      <c r="T871" s="250"/>
      <c r="U871" s="250"/>
      <c r="V871" s="250"/>
      <c r="W871" s="250"/>
      <c r="X871" s="250"/>
      <c r="Y871" s="250"/>
      <c r="Z871" s="250"/>
    </row>
    <row r="872" ht="14.25" customHeight="1">
      <c r="A872" s="349" t="s">
        <v>4369</v>
      </c>
      <c r="B872" s="349" t="s">
        <v>4350</v>
      </c>
      <c r="C872" s="349" t="s">
        <v>4352</v>
      </c>
      <c r="D872" s="350" t="s">
        <v>4370</v>
      </c>
      <c r="E872" s="349" t="s">
        <v>4433</v>
      </c>
      <c r="F872" s="349" t="s">
        <v>4372</v>
      </c>
      <c r="G872" s="349" t="s">
        <v>4353</v>
      </c>
      <c r="H872" s="349" t="s">
        <v>4891</v>
      </c>
      <c r="I872" s="250"/>
      <c r="J872" s="250"/>
      <c r="L872" s="361"/>
      <c r="Q872" s="250"/>
      <c r="R872" s="250"/>
      <c r="S872" s="250"/>
      <c r="T872" s="250"/>
      <c r="U872" s="250"/>
      <c r="V872" s="250"/>
      <c r="W872" s="250"/>
      <c r="X872" s="250"/>
      <c r="Y872" s="250"/>
      <c r="Z872" s="250"/>
    </row>
    <row r="873" ht="14.25" customHeight="1">
      <c r="A873" s="85" t="s">
        <v>792</v>
      </c>
      <c r="B873" s="85" t="s">
        <v>494</v>
      </c>
      <c r="C873" s="93">
        <v>4.0</v>
      </c>
      <c r="D873" s="354">
        <v>45.0</v>
      </c>
      <c r="E873" s="85" t="s">
        <v>154</v>
      </c>
      <c r="F873" s="139">
        <v>46165.0</v>
      </c>
      <c r="G873" s="352">
        <f t="shared" ref="G873:G902" si="23">C873*D873</f>
        <v>180</v>
      </c>
      <c r="H873" s="77"/>
      <c r="I873" s="250"/>
      <c r="J873" s="250"/>
      <c r="L873" s="361"/>
      <c r="Q873" s="250"/>
      <c r="R873" s="250"/>
      <c r="S873" s="250"/>
      <c r="T873" s="250"/>
      <c r="U873" s="250"/>
      <c r="V873" s="250"/>
      <c r="W873" s="250"/>
      <c r="X873" s="250"/>
      <c r="Y873" s="250"/>
      <c r="Z873" s="250"/>
    </row>
    <row r="874" ht="14.25" customHeight="1">
      <c r="A874" s="85" t="s">
        <v>902</v>
      </c>
      <c r="B874" s="85" t="s">
        <v>1036</v>
      </c>
      <c r="C874" s="93">
        <v>8.0</v>
      </c>
      <c r="D874" s="354">
        <v>100.0</v>
      </c>
      <c r="E874" s="85" t="s">
        <v>154</v>
      </c>
      <c r="F874" s="139">
        <v>46165.0</v>
      </c>
      <c r="G874" s="352">
        <f t="shared" si="23"/>
        <v>800</v>
      </c>
      <c r="H874" s="77"/>
      <c r="I874" s="250"/>
      <c r="J874" s="250"/>
      <c r="K874" s="250"/>
      <c r="L874" s="250"/>
      <c r="M874" s="250"/>
      <c r="N874" s="250"/>
      <c r="O874" s="250"/>
      <c r="P874" s="250"/>
      <c r="Q874" s="250"/>
      <c r="R874" s="250"/>
      <c r="S874" s="250"/>
      <c r="T874" s="250"/>
      <c r="U874" s="250"/>
      <c r="V874" s="250"/>
      <c r="W874" s="250"/>
      <c r="X874" s="250"/>
      <c r="Y874" s="250"/>
      <c r="Z874" s="250"/>
    </row>
    <row r="875" ht="14.25" customHeight="1">
      <c r="A875" s="85" t="s">
        <v>309</v>
      </c>
      <c r="B875" s="85" t="s">
        <v>238</v>
      </c>
      <c r="C875" s="93">
        <v>30.0</v>
      </c>
      <c r="D875" s="354">
        <v>20.0</v>
      </c>
      <c r="E875" s="85" t="s">
        <v>154</v>
      </c>
      <c r="F875" s="139">
        <v>46165.0</v>
      </c>
      <c r="G875" s="352">
        <f t="shared" si="23"/>
        <v>600</v>
      </c>
      <c r="H875" s="77"/>
      <c r="I875" s="250"/>
      <c r="J875" s="250"/>
      <c r="K875" s="250"/>
      <c r="L875" s="250"/>
      <c r="M875" s="250"/>
      <c r="N875" s="250"/>
      <c r="O875" s="250"/>
      <c r="P875" s="250"/>
      <c r="Q875" s="250"/>
      <c r="R875" s="250"/>
      <c r="S875" s="250"/>
      <c r="T875" s="250"/>
      <c r="U875" s="250"/>
      <c r="V875" s="250"/>
      <c r="W875" s="250"/>
      <c r="X875" s="250"/>
      <c r="Y875" s="250"/>
      <c r="Z875" s="250"/>
    </row>
    <row r="876" ht="14.25" customHeight="1">
      <c r="A876" s="85" t="s">
        <v>670</v>
      </c>
      <c r="B876" s="85" t="s">
        <v>238</v>
      </c>
      <c r="C876" s="93">
        <v>50.0</v>
      </c>
      <c r="D876" s="354">
        <f>12.5</f>
        <v>12.5</v>
      </c>
      <c r="E876" s="85" t="s">
        <v>154</v>
      </c>
      <c r="F876" s="139">
        <v>46165.0</v>
      </c>
      <c r="G876" s="352">
        <f t="shared" si="23"/>
        <v>625</v>
      </c>
      <c r="H876" s="77"/>
      <c r="I876" s="250"/>
      <c r="J876" s="250"/>
      <c r="K876" s="250"/>
      <c r="L876" s="250"/>
      <c r="M876" s="250"/>
      <c r="N876" s="250"/>
      <c r="O876" s="250"/>
      <c r="P876" s="250"/>
      <c r="Q876" s="250"/>
      <c r="R876" s="250"/>
      <c r="S876" s="250"/>
      <c r="T876" s="250"/>
      <c r="U876" s="250"/>
      <c r="V876" s="250"/>
      <c r="W876" s="250"/>
      <c r="X876" s="250"/>
      <c r="Y876" s="250"/>
      <c r="Z876" s="250"/>
    </row>
    <row r="877" ht="14.25" customHeight="1">
      <c r="A877" s="85" t="s">
        <v>589</v>
      </c>
      <c r="B877" s="85" t="s">
        <v>472</v>
      </c>
      <c r="C877" s="93">
        <v>1.0</v>
      </c>
      <c r="D877" s="369">
        <v>175.0</v>
      </c>
      <c r="E877" s="85" t="s">
        <v>154</v>
      </c>
      <c r="F877" s="139">
        <v>46165.0</v>
      </c>
      <c r="G877" s="352">
        <f t="shared" si="23"/>
        <v>175</v>
      </c>
      <c r="H877" s="77"/>
      <c r="I877" s="250"/>
      <c r="J877" s="250"/>
      <c r="K877" s="250"/>
      <c r="L877" s="250"/>
      <c r="M877" s="250"/>
      <c r="N877" s="250"/>
      <c r="O877" s="250"/>
      <c r="P877" s="250"/>
      <c r="Q877" s="250"/>
      <c r="R877" s="250"/>
      <c r="S877" s="250"/>
      <c r="T877" s="250"/>
      <c r="U877" s="250"/>
      <c r="V877" s="250"/>
      <c r="W877" s="250"/>
      <c r="X877" s="250"/>
      <c r="Y877" s="250"/>
      <c r="Z877" s="250"/>
    </row>
    <row r="878" ht="14.25" customHeight="1">
      <c r="A878" s="85" t="s">
        <v>153</v>
      </c>
      <c r="B878" s="85" t="s">
        <v>388</v>
      </c>
      <c r="C878" s="93">
        <v>2.0</v>
      </c>
      <c r="D878" s="354">
        <v>150.0</v>
      </c>
      <c r="E878" s="85" t="s">
        <v>484</v>
      </c>
      <c r="F878" s="139">
        <v>46165.0</v>
      </c>
      <c r="G878" s="352">
        <f t="shared" si="23"/>
        <v>300</v>
      </c>
      <c r="H878" s="77"/>
      <c r="I878" s="250"/>
      <c r="J878" s="250"/>
      <c r="K878" s="250"/>
      <c r="L878" s="250"/>
      <c r="M878" s="250"/>
      <c r="N878" s="250"/>
      <c r="O878" s="250"/>
      <c r="P878" s="250"/>
      <c r="Q878" s="250"/>
      <c r="R878" s="250"/>
      <c r="S878" s="250"/>
      <c r="T878" s="250"/>
      <c r="U878" s="250"/>
      <c r="V878" s="250"/>
      <c r="W878" s="250"/>
      <c r="X878" s="250"/>
      <c r="Y878" s="250"/>
      <c r="Z878" s="250"/>
    </row>
    <row r="879" ht="14.25" customHeight="1">
      <c r="A879" s="85" t="s">
        <v>1638</v>
      </c>
      <c r="B879" s="85" t="s">
        <v>388</v>
      </c>
      <c r="C879" s="93">
        <v>2.0</v>
      </c>
      <c r="D879" s="354">
        <v>140.0</v>
      </c>
      <c r="E879" s="85" t="s">
        <v>484</v>
      </c>
      <c r="F879" s="139">
        <v>46165.0</v>
      </c>
      <c r="G879" s="352">
        <f t="shared" si="23"/>
        <v>280</v>
      </c>
      <c r="H879" s="77"/>
      <c r="I879" s="250"/>
      <c r="J879" s="250"/>
      <c r="K879" s="250"/>
      <c r="L879" s="250"/>
      <c r="M879" s="250"/>
      <c r="N879" s="250"/>
      <c r="O879" s="250"/>
      <c r="P879" s="250"/>
      <c r="Q879" s="250"/>
      <c r="R879" s="250"/>
      <c r="S879" s="250"/>
      <c r="T879" s="250"/>
      <c r="U879" s="250"/>
      <c r="V879" s="250"/>
      <c r="W879" s="250"/>
      <c r="X879" s="250"/>
      <c r="Y879" s="250"/>
      <c r="Z879" s="250"/>
    </row>
    <row r="880" ht="14.25" customHeight="1">
      <c r="A880" s="85" t="s">
        <v>807</v>
      </c>
      <c r="B880" s="85" t="s">
        <v>118</v>
      </c>
      <c r="C880" s="93">
        <v>2.0</v>
      </c>
      <c r="D880" s="354">
        <v>145.0</v>
      </c>
      <c r="E880" s="85" t="s">
        <v>484</v>
      </c>
      <c r="F880" s="139">
        <v>46165.0</v>
      </c>
      <c r="G880" s="352">
        <f t="shared" si="23"/>
        <v>290</v>
      </c>
      <c r="H880" s="77"/>
      <c r="I880" s="250"/>
      <c r="J880" s="250"/>
      <c r="K880" s="250"/>
      <c r="L880" s="250"/>
      <c r="M880" s="250"/>
      <c r="N880" s="250"/>
      <c r="O880" s="250"/>
      <c r="P880" s="250"/>
      <c r="Q880" s="250"/>
      <c r="R880" s="250"/>
      <c r="S880" s="250"/>
      <c r="T880" s="250"/>
      <c r="U880" s="250"/>
      <c r="V880" s="250"/>
      <c r="W880" s="250"/>
      <c r="X880" s="250"/>
      <c r="Y880" s="250"/>
      <c r="Z880" s="250"/>
    </row>
    <row r="881" ht="14.25" customHeight="1">
      <c r="A881" s="85" t="s">
        <v>920</v>
      </c>
      <c r="B881" s="85" t="s">
        <v>118</v>
      </c>
      <c r="C881" s="93">
        <v>8.0</v>
      </c>
      <c r="D881" s="354">
        <v>130.0</v>
      </c>
      <c r="E881" s="85" t="s">
        <v>484</v>
      </c>
      <c r="F881" s="139">
        <v>46165.0</v>
      </c>
      <c r="G881" s="352">
        <f t="shared" si="23"/>
        <v>1040</v>
      </c>
      <c r="H881" s="77"/>
      <c r="I881" s="250"/>
      <c r="J881" s="250"/>
      <c r="K881" s="250"/>
      <c r="L881" s="250"/>
      <c r="M881" s="250"/>
      <c r="N881" s="250"/>
      <c r="O881" s="250"/>
      <c r="P881" s="250"/>
      <c r="Q881" s="250"/>
      <c r="R881" s="250"/>
      <c r="S881" s="250"/>
      <c r="T881" s="250"/>
      <c r="U881" s="250"/>
      <c r="V881" s="250"/>
      <c r="W881" s="250"/>
      <c r="X881" s="250"/>
      <c r="Y881" s="250"/>
      <c r="Z881" s="250"/>
    </row>
    <row r="882" ht="14.25" customHeight="1">
      <c r="A882" s="85" t="s">
        <v>697</v>
      </c>
      <c r="B882" s="85" t="s">
        <v>118</v>
      </c>
      <c r="C882" s="93">
        <v>2.0</v>
      </c>
      <c r="D882" s="354">
        <v>125.0</v>
      </c>
      <c r="E882" s="85" t="s">
        <v>484</v>
      </c>
      <c r="F882" s="139">
        <v>46165.0</v>
      </c>
      <c r="G882" s="352">
        <f t="shared" si="23"/>
        <v>250</v>
      </c>
      <c r="H882" s="77"/>
      <c r="I882" s="250"/>
      <c r="J882" s="250"/>
      <c r="K882" s="250"/>
      <c r="L882" s="250"/>
      <c r="M882" s="250"/>
      <c r="N882" s="250"/>
      <c r="O882" s="250"/>
      <c r="P882" s="250"/>
      <c r="Q882" s="250"/>
      <c r="R882" s="250"/>
      <c r="S882" s="250"/>
      <c r="T882" s="250"/>
      <c r="U882" s="250"/>
      <c r="V882" s="250"/>
      <c r="W882" s="250"/>
      <c r="X882" s="250"/>
      <c r="Y882" s="250"/>
      <c r="Z882" s="250"/>
    </row>
    <row r="883" ht="14.25" customHeight="1">
      <c r="A883" s="85" t="s">
        <v>303</v>
      </c>
      <c r="B883" s="85" t="s">
        <v>472</v>
      </c>
      <c r="C883" s="93">
        <v>12.0</v>
      </c>
      <c r="D883" s="354">
        <v>70.0</v>
      </c>
      <c r="E883" s="85" t="s">
        <v>484</v>
      </c>
      <c r="F883" s="139">
        <v>46165.0</v>
      </c>
      <c r="G883" s="352">
        <f t="shared" si="23"/>
        <v>840</v>
      </c>
      <c r="H883" s="77"/>
      <c r="I883" s="250"/>
      <c r="J883" s="250"/>
      <c r="K883" s="250"/>
      <c r="L883" s="250"/>
      <c r="M883" s="250"/>
      <c r="N883" s="250"/>
      <c r="O883" s="250"/>
      <c r="P883" s="250"/>
      <c r="Q883" s="250"/>
      <c r="R883" s="250"/>
      <c r="S883" s="250"/>
      <c r="T883" s="250"/>
      <c r="U883" s="250"/>
      <c r="V883" s="250"/>
      <c r="W883" s="250"/>
      <c r="X883" s="250"/>
      <c r="Y883" s="250"/>
      <c r="Z883" s="250"/>
    </row>
    <row r="884" ht="14.25" customHeight="1">
      <c r="A884" s="85" t="s">
        <v>1280</v>
      </c>
      <c r="B884" s="85" t="s">
        <v>339</v>
      </c>
      <c r="C884" s="93">
        <v>20.0</v>
      </c>
      <c r="D884" s="354">
        <v>75.0</v>
      </c>
      <c r="E884" s="85" t="s">
        <v>484</v>
      </c>
      <c r="F884" s="139">
        <v>46165.0</v>
      </c>
      <c r="G884" s="352">
        <f t="shared" si="23"/>
        <v>1500</v>
      </c>
      <c r="H884" s="77"/>
      <c r="I884" s="250"/>
      <c r="J884" s="250"/>
      <c r="K884" s="250"/>
      <c r="L884" s="250"/>
      <c r="M884" s="250"/>
      <c r="N884" s="250"/>
      <c r="O884" s="250"/>
      <c r="P884" s="250"/>
      <c r="Q884" s="250"/>
      <c r="R884" s="250"/>
      <c r="S884" s="250"/>
      <c r="T884" s="250"/>
      <c r="U884" s="250"/>
      <c r="V884" s="250"/>
      <c r="W884" s="250"/>
      <c r="X884" s="250"/>
      <c r="Y884" s="250"/>
      <c r="Z884" s="250"/>
    </row>
    <row r="885" ht="14.25" customHeight="1">
      <c r="A885" s="85" t="s">
        <v>696</v>
      </c>
      <c r="B885" s="85" t="s">
        <v>472</v>
      </c>
      <c r="C885" s="93">
        <v>6.0</v>
      </c>
      <c r="D885" s="354">
        <v>160.0</v>
      </c>
      <c r="E885" s="85" t="s">
        <v>484</v>
      </c>
      <c r="F885" s="139">
        <v>46165.0</v>
      </c>
      <c r="G885" s="352">
        <f t="shared" si="23"/>
        <v>960</v>
      </c>
      <c r="H885" s="77"/>
      <c r="I885" s="250"/>
      <c r="J885" s="250"/>
      <c r="K885" s="250"/>
      <c r="L885" s="250"/>
      <c r="M885" s="250"/>
      <c r="N885" s="250"/>
      <c r="O885" s="250"/>
      <c r="P885" s="250"/>
      <c r="Q885" s="250"/>
      <c r="R885" s="250"/>
      <c r="S885" s="250"/>
      <c r="T885" s="250"/>
      <c r="U885" s="250"/>
      <c r="V885" s="250"/>
      <c r="W885" s="250"/>
      <c r="X885" s="250"/>
      <c r="Y885" s="250"/>
      <c r="Z885" s="250"/>
    </row>
    <row r="886" ht="14.25" customHeight="1">
      <c r="A886" s="85" t="s">
        <v>1061</v>
      </c>
      <c r="B886" s="85" t="s">
        <v>568</v>
      </c>
      <c r="C886" s="93">
        <v>12.0</v>
      </c>
      <c r="D886" s="354">
        <v>110.0</v>
      </c>
      <c r="E886" s="85" t="s">
        <v>484</v>
      </c>
      <c r="F886" s="139">
        <v>46165.0</v>
      </c>
      <c r="G886" s="352">
        <f t="shared" si="23"/>
        <v>1320</v>
      </c>
      <c r="H886" s="77"/>
      <c r="I886" s="250"/>
      <c r="J886" s="250"/>
      <c r="K886" s="250"/>
      <c r="L886" s="250"/>
      <c r="M886" s="250"/>
      <c r="N886" s="250"/>
      <c r="O886" s="250"/>
      <c r="P886" s="250"/>
      <c r="Q886" s="250"/>
      <c r="R886" s="250"/>
      <c r="S886" s="250"/>
      <c r="T886" s="250"/>
      <c r="U886" s="250"/>
      <c r="V886" s="250"/>
      <c r="W886" s="250"/>
      <c r="X886" s="250"/>
      <c r="Y886" s="250"/>
      <c r="Z886" s="250"/>
    </row>
    <row r="887" ht="14.25" customHeight="1">
      <c r="A887" s="85" t="s">
        <v>482</v>
      </c>
      <c r="B887" s="85" t="s">
        <v>483</v>
      </c>
      <c r="C887" s="93">
        <v>3.0</v>
      </c>
      <c r="D887" s="354">
        <v>200.0</v>
      </c>
      <c r="E887" s="85" t="s">
        <v>484</v>
      </c>
      <c r="F887" s="139">
        <v>46165.0</v>
      </c>
      <c r="G887" s="352">
        <f t="shared" si="23"/>
        <v>600</v>
      </c>
      <c r="H887" s="77"/>
      <c r="I887" s="250"/>
      <c r="J887" s="250"/>
      <c r="K887" s="250"/>
      <c r="L887" s="250"/>
      <c r="M887" s="250"/>
      <c r="N887" s="250"/>
      <c r="O887" s="250"/>
      <c r="P887" s="250"/>
      <c r="Q887" s="250"/>
      <c r="R887" s="250"/>
      <c r="S887" s="250"/>
      <c r="T887" s="250"/>
      <c r="U887" s="250"/>
      <c r="V887" s="250"/>
      <c r="W887" s="250"/>
      <c r="X887" s="250"/>
      <c r="Y887" s="250"/>
      <c r="Z887" s="250"/>
    </row>
    <row r="888" ht="14.25" customHeight="1">
      <c r="A888" s="85" t="s">
        <v>871</v>
      </c>
      <c r="B888" s="85" t="s">
        <v>483</v>
      </c>
      <c r="C888" s="93">
        <v>3.0</v>
      </c>
      <c r="D888" s="354">
        <v>90.0</v>
      </c>
      <c r="E888" s="85" t="s">
        <v>484</v>
      </c>
      <c r="F888" s="139">
        <v>46165.0</v>
      </c>
      <c r="G888" s="352">
        <f t="shared" si="23"/>
        <v>270</v>
      </c>
      <c r="H888" s="77"/>
      <c r="I888" s="250"/>
      <c r="J888" s="250"/>
      <c r="K888" s="250"/>
      <c r="L888" s="250"/>
      <c r="M888" s="250"/>
      <c r="N888" s="250"/>
      <c r="O888" s="250"/>
      <c r="P888" s="250"/>
      <c r="Q888" s="250"/>
      <c r="R888" s="250"/>
      <c r="S888" s="250"/>
      <c r="T888" s="250"/>
      <c r="U888" s="250"/>
      <c r="V888" s="250"/>
      <c r="W888" s="250"/>
      <c r="X888" s="250"/>
      <c r="Y888" s="250"/>
      <c r="Z888" s="250"/>
    </row>
    <row r="889" ht="14.25" customHeight="1">
      <c r="A889" s="85" t="s">
        <v>1203</v>
      </c>
      <c r="B889" s="85" t="s">
        <v>472</v>
      </c>
      <c r="C889" s="93">
        <v>3.0</v>
      </c>
      <c r="D889" s="354">
        <v>85.0</v>
      </c>
      <c r="E889" s="85" t="s">
        <v>484</v>
      </c>
      <c r="F889" s="139">
        <v>46165.0</v>
      </c>
      <c r="G889" s="352">
        <f t="shared" si="23"/>
        <v>255</v>
      </c>
      <c r="H889" s="77"/>
      <c r="I889" s="250"/>
      <c r="J889" s="250"/>
      <c r="K889" s="250"/>
      <c r="Q889" s="371">
        <v>46165.0</v>
      </c>
      <c r="R889" s="250"/>
      <c r="S889" s="250"/>
      <c r="T889" s="250"/>
      <c r="U889" s="250"/>
      <c r="V889" s="250"/>
      <c r="W889" s="250"/>
      <c r="X889" s="250"/>
      <c r="Y889" s="250"/>
      <c r="Z889" s="250"/>
    </row>
    <row r="890" ht="14.25" customHeight="1">
      <c r="A890" s="185" t="s">
        <v>205</v>
      </c>
      <c r="B890" s="185" t="s">
        <v>207</v>
      </c>
      <c r="C890" s="186">
        <v>1.0</v>
      </c>
      <c r="D890" s="369">
        <f>338</f>
        <v>338</v>
      </c>
      <c r="E890" s="185" t="s">
        <v>119</v>
      </c>
      <c r="F890" s="139">
        <v>46165.0</v>
      </c>
      <c r="G890" s="352">
        <f t="shared" si="23"/>
        <v>338</v>
      </c>
      <c r="H890" s="77"/>
      <c r="I890" s="250"/>
      <c r="J890" s="250"/>
      <c r="K890" s="250"/>
      <c r="Q890" s="371">
        <v>46165.0</v>
      </c>
      <c r="R890" s="250"/>
      <c r="S890" s="250"/>
      <c r="T890" s="250"/>
      <c r="U890" s="250"/>
      <c r="V890" s="250"/>
      <c r="W890" s="250"/>
      <c r="X890" s="250"/>
      <c r="Y890" s="250"/>
      <c r="Z890" s="250"/>
    </row>
    <row r="891" ht="14.25" customHeight="1">
      <c r="A891" s="185" t="s">
        <v>211</v>
      </c>
      <c r="B891" s="185" t="s">
        <v>207</v>
      </c>
      <c r="C891" s="186">
        <v>1.0</v>
      </c>
      <c r="D891" s="369">
        <v>338.0</v>
      </c>
      <c r="E891" s="185" t="s">
        <v>119</v>
      </c>
      <c r="F891" s="139">
        <v>46165.0</v>
      </c>
      <c r="G891" s="352">
        <f t="shared" si="23"/>
        <v>338</v>
      </c>
      <c r="H891" s="77"/>
      <c r="I891" s="250"/>
      <c r="J891" s="250"/>
      <c r="K891" s="250"/>
      <c r="Q891" s="371">
        <v>46165.0</v>
      </c>
      <c r="R891" s="250"/>
      <c r="S891" s="250"/>
      <c r="T891" s="250"/>
      <c r="U891" s="250"/>
      <c r="V891" s="250"/>
      <c r="W891" s="250"/>
      <c r="X891" s="250"/>
      <c r="Y891" s="250"/>
      <c r="Z891" s="250"/>
    </row>
    <row r="892" ht="14.25" customHeight="1">
      <c r="A892" s="185" t="s">
        <v>215</v>
      </c>
      <c r="B892" s="185" t="s">
        <v>207</v>
      </c>
      <c r="C892" s="186">
        <v>1.0</v>
      </c>
      <c r="D892" s="369">
        <v>338.0</v>
      </c>
      <c r="E892" s="185" t="s">
        <v>119</v>
      </c>
      <c r="F892" s="139">
        <v>46165.0</v>
      </c>
      <c r="G892" s="352">
        <f t="shared" si="23"/>
        <v>338</v>
      </c>
      <c r="H892" s="77"/>
      <c r="I892" s="250"/>
      <c r="J892" s="250"/>
      <c r="K892" s="250"/>
      <c r="Q892" s="371">
        <v>46165.0</v>
      </c>
      <c r="R892" s="250"/>
      <c r="S892" s="250"/>
      <c r="T892" s="250"/>
      <c r="U892" s="250"/>
      <c r="V892" s="250"/>
      <c r="W892" s="250"/>
      <c r="X892" s="250"/>
      <c r="Y892" s="250"/>
      <c r="Z892" s="250"/>
    </row>
    <row r="893" ht="14.25" customHeight="1">
      <c r="A893" s="185" t="s">
        <v>218</v>
      </c>
      <c r="B893" s="185" t="s">
        <v>207</v>
      </c>
      <c r="C893" s="186">
        <v>1.0</v>
      </c>
      <c r="D893" s="369">
        <v>338.0</v>
      </c>
      <c r="E893" s="185" t="s">
        <v>119</v>
      </c>
      <c r="F893" s="139">
        <v>46165.0</v>
      </c>
      <c r="G893" s="352">
        <f t="shared" si="23"/>
        <v>338</v>
      </c>
      <c r="H893" s="77"/>
      <c r="I893" s="250"/>
      <c r="J893" s="250"/>
      <c r="K893" s="250"/>
      <c r="Q893" s="371">
        <v>46165.0</v>
      </c>
      <c r="R893" s="250"/>
      <c r="S893" s="250"/>
      <c r="T893" s="250"/>
      <c r="U893" s="250"/>
      <c r="V893" s="250"/>
      <c r="W893" s="250"/>
      <c r="X893" s="250"/>
      <c r="Y893" s="250"/>
      <c r="Z893" s="250"/>
    </row>
    <row r="894" ht="14.25" customHeight="1">
      <c r="A894" s="185" t="s">
        <v>222</v>
      </c>
      <c r="B894" s="185" t="s">
        <v>207</v>
      </c>
      <c r="C894" s="186">
        <v>1.0</v>
      </c>
      <c r="D894" s="369">
        <v>338.0</v>
      </c>
      <c r="E894" s="185" t="s">
        <v>119</v>
      </c>
      <c r="F894" s="139">
        <v>46165.0</v>
      </c>
      <c r="G894" s="352">
        <f t="shared" si="23"/>
        <v>338</v>
      </c>
      <c r="H894" s="77"/>
      <c r="I894" s="250"/>
      <c r="J894" s="250"/>
      <c r="K894" s="250"/>
      <c r="Q894" s="371">
        <v>46165.0</v>
      </c>
      <c r="R894" s="250"/>
      <c r="S894" s="250"/>
      <c r="T894" s="250"/>
      <c r="U894" s="250"/>
      <c r="V894" s="250"/>
      <c r="W894" s="250"/>
      <c r="X894" s="250"/>
      <c r="Y894" s="250"/>
      <c r="Z894" s="250"/>
    </row>
    <row r="895" ht="14.25" customHeight="1">
      <c r="A895" s="185" t="s">
        <v>1080</v>
      </c>
      <c r="B895" s="185" t="s">
        <v>1376</v>
      </c>
      <c r="C895" s="186">
        <v>2.0</v>
      </c>
      <c r="D895" s="369">
        <v>40.0</v>
      </c>
      <c r="E895" s="185" t="s">
        <v>119</v>
      </c>
      <c r="F895" s="139">
        <v>46165.0</v>
      </c>
      <c r="G895" s="352">
        <f t="shared" si="23"/>
        <v>80</v>
      </c>
      <c r="H895" s="77"/>
      <c r="I895" s="250"/>
      <c r="J895" s="250"/>
      <c r="K895" s="250"/>
      <c r="L895" s="250"/>
      <c r="M895" s="250"/>
      <c r="N895" s="250"/>
      <c r="O895" s="250"/>
      <c r="P895" s="250"/>
      <c r="Q895" s="250"/>
      <c r="R895" s="250"/>
      <c r="S895" s="250"/>
      <c r="T895" s="250"/>
      <c r="U895" s="250"/>
      <c r="V895" s="250"/>
      <c r="W895" s="250"/>
      <c r="X895" s="250"/>
      <c r="Y895" s="250"/>
      <c r="Z895" s="250"/>
    </row>
    <row r="896" ht="14.25" customHeight="1">
      <c r="A896" s="185" t="s">
        <v>971</v>
      </c>
      <c r="B896" s="185" t="s">
        <v>595</v>
      </c>
      <c r="C896" s="186">
        <v>2.0</v>
      </c>
      <c r="D896" s="369">
        <v>120.0</v>
      </c>
      <c r="E896" s="185" t="s">
        <v>119</v>
      </c>
      <c r="F896" s="139">
        <v>46165.0</v>
      </c>
      <c r="G896" s="352">
        <f t="shared" si="23"/>
        <v>240</v>
      </c>
      <c r="H896" s="77"/>
      <c r="I896" s="250"/>
      <c r="O896" s="371">
        <v>46165.0</v>
      </c>
      <c r="P896" s="250"/>
      <c r="Q896" s="250"/>
      <c r="R896" s="250"/>
      <c r="S896" s="250"/>
      <c r="T896" s="250"/>
      <c r="U896" s="250"/>
      <c r="V896" s="250"/>
      <c r="W896" s="250"/>
      <c r="X896" s="250"/>
      <c r="Y896" s="250"/>
      <c r="Z896" s="250"/>
    </row>
    <row r="897" ht="14.25" customHeight="1">
      <c r="A897" s="185" t="s">
        <v>594</v>
      </c>
      <c r="B897" s="185" t="s">
        <v>595</v>
      </c>
      <c r="C897" s="186">
        <v>1.0</v>
      </c>
      <c r="D897" s="369">
        <v>175.0</v>
      </c>
      <c r="E897" s="185" t="s">
        <v>119</v>
      </c>
      <c r="F897" s="139">
        <v>46165.0</v>
      </c>
      <c r="G897" s="352">
        <f t="shared" si="23"/>
        <v>175</v>
      </c>
      <c r="H897" s="77"/>
      <c r="I897" s="250"/>
      <c r="O897" s="371">
        <v>46165.0</v>
      </c>
      <c r="P897" s="250"/>
      <c r="Q897" s="250"/>
      <c r="R897" s="250"/>
      <c r="S897" s="250"/>
      <c r="T897" s="250"/>
      <c r="U897" s="250"/>
      <c r="V897" s="250"/>
      <c r="W897" s="250"/>
      <c r="X897" s="250"/>
      <c r="Y897" s="250"/>
      <c r="Z897" s="250"/>
    </row>
    <row r="898" ht="14.25" customHeight="1">
      <c r="A898" s="185" t="s">
        <v>616</v>
      </c>
      <c r="B898" s="185" t="s">
        <v>595</v>
      </c>
      <c r="C898" s="186">
        <v>3.0</v>
      </c>
      <c r="D898" s="369">
        <v>170.0</v>
      </c>
      <c r="E898" s="185" t="s">
        <v>119</v>
      </c>
      <c r="F898" s="139">
        <v>46165.0</v>
      </c>
      <c r="G898" s="352">
        <f t="shared" si="23"/>
        <v>510</v>
      </c>
      <c r="H898" s="77"/>
      <c r="I898" s="250"/>
      <c r="O898" s="371">
        <v>46165.0</v>
      </c>
      <c r="P898" s="250"/>
      <c r="Q898" s="250"/>
      <c r="R898" s="250"/>
      <c r="S898" s="250"/>
      <c r="T898" s="250"/>
      <c r="U898" s="250"/>
      <c r="V898" s="250"/>
      <c r="W898" s="250"/>
      <c r="X898" s="250"/>
      <c r="Y898" s="250"/>
      <c r="Z898" s="250"/>
    </row>
    <row r="899" ht="14.25" customHeight="1">
      <c r="A899" s="185" t="s">
        <v>1263</v>
      </c>
      <c r="B899" s="185" t="s">
        <v>1380</v>
      </c>
      <c r="C899" s="186">
        <v>3.0</v>
      </c>
      <c r="D899" s="369">
        <v>39.0</v>
      </c>
      <c r="E899" s="185" t="s">
        <v>119</v>
      </c>
      <c r="F899" s="139">
        <v>46165.0</v>
      </c>
      <c r="G899" s="352">
        <f t="shared" si="23"/>
        <v>117</v>
      </c>
      <c r="H899" s="77"/>
      <c r="I899" s="250"/>
      <c r="O899" s="371">
        <v>46165.0</v>
      </c>
      <c r="P899" s="250"/>
      <c r="Q899" s="250"/>
      <c r="R899" s="250"/>
      <c r="S899" s="250"/>
      <c r="T899" s="250"/>
      <c r="U899" s="250"/>
      <c r="V899" s="250"/>
      <c r="W899" s="250"/>
      <c r="X899" s="250"/>
      <c r="Y899" s="250"/>
      <c r="Z899" s="250"/>
    </row>
    <row r="900" ht="14.25" customHeight="1">
      <c r="A900" s="185" t="s">
        <v>1063</v>
      </c>
      <c r="B900" s="185" t="s">
        <v>1027</v>
      </c>
      <c r="C900" s="186">
        <v>3.0</v>
      </c>
      <c r="D900" s="369">
        <v>108.0</v>
      </c>
      <c r="E900" s="185" t="s">
        <v>119</v>
      </c>
      <c r="F900" s="139">
        <v>46165.0</v>
      </c>
      <c r="G900" s="352">
        <f t="shared" si="23"/>
        <v>324</v>
      </c>
      <c r="H900" s="77"/>
      <c r="I900" s="250"/>
      <c r="O900" s="371">
        <v>46165.0</v>
      </c>
      <c r="P900" s="250"/>
      <c r="Q900" s="250"/>
      <c r="R900" s="250"/>
      <c r="S900" s="250"/>
      <c r="T900" s="250"/>
      <c r="U900" s="250"/>
      <c r="V900" s="250"/>
      <c r="W900" s="250"/>
      <c r="X900" s="250"/>
      <c r="Y900" s="250"/>
      <c r="Z900" s="250"/>
    </row>
    <row r="901" ht="14.25" customHeight="1">
      <c r="A901" s="185" t="s">
        <v>903</v>
      </c>
      <c r="B901" s="185" t="s">
        <v>1027</v>
      </c>
      <c r="C901" s="186">
        <v>3.0</v>
      </c>
      <c r="D901" s="369">
        <v>115.0</v>
      </c>
      <c r="E901" s="185" t="s">
        <v>119</v>
      </c>
      <c r="F901" s="139">
        <v>46165.0</v>
      </c>
      <c r="G901" s="352">
        <f t="shared" si="23"/>
        <v>345</v>
      </c>
      <c r="H901" s="77"/>
      <c r="I901" s="250"/>
      <c r="O901" s="371">
        <v>46165.0</v>
      </c>
      <c r="P901" s="250"/>
      <c r="Q901" s="250"/>
      <c r="R901" s="250"/>
      <c r="S901" s="250"/>
      <c r="T901" s="250"/>
      <c r="U901" s="250"/>
      <c r="V901" s="250"/>
      <c r="W901" s="250"/>
      <c r="X901" s="250"/>
      <c r="Y901" s="250"/>
      <c r="Z901" s="250"/>
    </row>
    <row r="902" ht="14.25" customHeight="1">
      <c r="A902" s="185" t="s">
        <v>795</v>
      </c>
      <c r="B902" s="185" t="s">
        <v>1068</v>
      </c>
      <c r="C902" s="186">
        <v>4.0</v>
      </c>
      <c r="D902" s="369">
        <v>108.0</v>
      </c>
      <c r="E902" s="185" t="s">
        <v>119</v>
      </c>
      <c r="F902" s="139">
        <v>46165.0</v>
      </c>
      <c r="G902" s="352">
        <f t="shared" si="23"/>
        <v>432</v>
      </c>
      <c r="H902" s="77"/>
      <c r="I902" s="250"/>
      <c r="O902" s="371">
        <v>46165.0</v>
      </c>
      <c r="P902" s="250"/>
      <c r="Q902" s="250"/>
      <c r="R902" s="250"/>
      <c r="S902" s="250"/>
      <c r="T902" s="250"/>
      <c r="U902" s="250"/>
      <c r="V902" s="250"/>
      <c r="W902" s="250"/>
      <c r="X902" s="250"/>
      <c r="Y902" s="250"/>
      <c r="Z902" s="250"/>
    </row>
    <row r="903" ht="14.25" customHeight="1">
      <c r="A903" s="250"/>
      <c r="B903" s="250"/>
      <c r="C903" s="250"/>
      <c r="D903" s="254"/>
      <c r="E903" s="250"/>
      <c r="F903" s="250"/>
      <c r="G903" s="250"/>
      <c r="H903" s="250"/>
      <c r="I903" s="250"/>
      <c r="J903" s="250"/>
      <c r="K903" s="250"/>
      <c r="L903" s="250"/>
      <c r="M903" s="250"/>
      <c r="N903" s="250"/>
      <c r="O903" s="250"/>
      <c r="P903" s="250"/>
      <c r="Q903" s="250"/>
      <c r="R903" s="250"/>
      <c r="S903" s="250"/>
      <c r="T903" s="250"/>
      <c r="U903" s="250"/>
      <c r="V903" s="250"/>
      <c r="W903" s="250"/>
      <c r="X903" s="250"/>
      <c r="Y903" s="250"/>
      <c r="Z903" s="250"/>
    </row>
    <row r="904" ht="14.25" customHeight="1">
      <c r="A904" s="250"/>
      <c r="B904" s="250"/>
      <c r="C904" s="250"/>
      <c r="D904" s="254"/>
      <c r="E904" s="250"/>
      <c r="F904" s="250"/>
      <c r="G904" s="250"/>
      <c r="H904" s="250"/>
      <c r="I904" s="250"/>
      <c r="J904" s="250"/>
      <c r="K904" s="250"/>
      <c r="L904" s="250"/>
      <c r="M904" s="250"/>
      <c r="N904" s="250"/>
      <c r="O904" s="250"/>
      <c r="P904" s="250"/>
      <c r="Q904" s="250"/>
      <c r="R904" s="250"/>
      <c r="S904" s="250"/>
      <c r="T904" s="250"/>
      <c r="U904" s="250"/>
      <c r="V904" s="250"/>
      <c r="W904" s="250"/>
      <c r="X904" s="250"/>
      <c r="Y904" s="250"/>
      <c r="Z904" s="250"/>
    </row>
    <row r="905" ht="14.25" customHeight="1">
      <c r="A905" s="250"/>
      <c r="B905" s="250"/>
      <c r="C905" s="250"/>
      <c r="D905" s="254"/>
      <c r="E905" s="250"/>
      <c r="F905" s="250"/>
      <c r="G905" s="250"/>
      <c r="H905" s="250"/>
      <c r="I905" s="250"/>
      <c r="J905" s="250"/>
      <c r="K905" s="250"/>
      <c r="L905" s="250"/>
      <c r="M905" s="250"/>
      <c r="N905" s="250"/>
      <c r="O905" s="250"/>
      <c r="P905" s="250"/>
      <c r="Q905" s="250"/>
      <c r="R905" s="250"/>
      <c r="S905" s="250"/>
      <c r="T905" s="250"/>
      <c r="U905" s="250"/>
      <c r="V905" s="250"/>
      <c r="W905" s="250"/>
      <c r="X905" s="250"/>
      <c r="Y905" s="250"/>
      <c r="Z905" s="250"/>
    </row>
    <row r="906" ht="14.25" customHeight="1">
      <c r="A906" s="250"/>
      <c r="B906" s="250"/>
      <c r="C906" s="250"/>
      <c r="D906" s="254"/>
      <c r="E906" s="250"/>
      <c r="F906" s="250"/>
      <c r="G906" s="250"/>
      <c r="H906" s="250"/>
      <c r="I906" s="250"/>
      <c r="J906" s="250"/>
      <c r="K906" s="250"/>
      <c r="L906" s="250"/>
      <c r="M906" s="250"/>
      <c r="N906" s="250"/>
      <c r="O906" s="250"/>
      <c r="P906" s="250"/>
      <c r="Q906" s="250"/>
      <c r="R906" s="250"/>
      <c r="S906" s="250"/>
      <c r="T906" s="250"/>
      <c r="U906" s="250"/>
      <c r="V906" s="250"/>
      <c r="W906" s="250"/>
      <c r="X906" s="250"/>
      <c r="Y906" s="250"/>
      <c r="Z906" s="250"/>
    </row>
    <row r="907" ht="14.25" customHeight="1">
      <c r="A907" s="250"/>
      <c r="B907" s="250"/>
      <c r="C907" s="250"/>
      <c r="D907" s="254"/>
      <c r="E907" s="250"/>
      <c r="F907" s="250"/>
      <c r="G907" s="250"/>
      <c r="H907" s="250"/>
      <c r="I907" s="250"/>
      <c r="J907" s="250"/>
      <c r="K907" s="250"/>
      <c r="L907" s="250"/>
      <c r="M907" s="250"/>
      <c r="N907" s="250"/>
      <c r="O907" s="250"/>
      <c r="P907" s="250"/>
      <c r="Q907" s="250"/>
      <c r="R907" s="250"/>
      <c r="S907" s="250"/>
      <c r="T907" s="250"/>
      <c r="U907" s="250"/>
      <c r="V907" s="250"/>
      <c r="W907" s="250"/>
      <c r="X907" s="250"/>
      <c r="Y907" s="250"/>
      <c r="Z907" s="250"/>
    </row>
    <row r="908" ht="14.25" customHeight="1">
      <c r="A908" s="250"/>
      <c r="B908" s="250"/>
      <c r="C908" s="250"/>
      <c r="D908" s="254"/>
      <c r="E908" s="250"/>
      <c r="F908" s="250"/>
      <c r="G908" s="250"/>
      <c r="H908" s="250"/>
      <c r="I908" s="250"/>
      <c r="J908" s="250"/>
      <c r="K908" s="250"/>
      <c r="L908" s="250"/>
      <c r="M908" s="250"/>
      <c r="N908" s="250"/>
      <c r="O908" s="250"/>
      <c r="P908" s="250"/>
      <c r="Q908" s="250"/>
      <c r="R908" s="250"/>
      <c r="S908" s="250"/>
      <c r="T908" s="250"/>
      <c r="U908" s="250"/>
      <c r="V908" s="250"/>
      <c r="W908" s="250"/>
      <c r="X908" s="250"/>
      <c r="Y908" s="250"/>
      <c r="Z908" s="250"/>
    </row>
    <row r="909" ht="14.25" customHeight="1">
      <c r="A909" s="250"/>
      <c r="B909" s="250"/>
      <c r="C909" s="250"/>
      <c r="D909" s="254"/>
      <c r="E909" s="250"/>
      <c r="F909" s="250"/>
      <c r="G909" s="250"/>
      <c r="H909" s="250"/>
      <c r="I909" s="250"/>
      <c r="J909" s="250"/>
      <c r="K909" s="250"/>
      <c r="L909" s="250"/>
      <c r="M909" s="250"/>
      <c r="N909" s="250"/>
      <c r="O909" s="250"/>
      <c r="P909" s="250"/>
      <c r="Q909" s="250"/>
      <c r="R909" s="250"/>
      <c r="S909" s="250"/>
      <c r="T909" s="250"/>
      <c r="U909" s="250"/>
      <c r="V909" s="250"/>
      <c r="W909" s="250"/>
      <c r="X909" s="250"/>
      <c r="Y909" s="250"/>
      <c r="Z909" s="250"/>
    </row>
    <row r="910" ht="14.25" customHeight="1">
      <c r="A910" s="250"/>
      <c r="B910" s="250"/>
      <c r="C910" s="250"/>
      <c r="D910" s="254"/>
      <c r="E910" s="250"/>
      <c r="F910" s="250"/>
      <c r="G910" s="250"/>
      <c r="H910" s="250"/>
      <c r="I910" s="250"/>
      <c r="J910" s="250"/>
      <c r="K910" s="250"/>
      <c r="L910" s="250"/>
      <c r="M910" s="250"/>
      <c r="N910" s="250"/>
      <c r="O910" s="250"/>
      <c r="P910" s="250"/>
      <c r="Q910" s="250"/>
      <c r="R910" s="250"/>
      <c r="S910" s="250"/>
      <c r="T910" s="250"/>
      <c r="U910" s="250"/>
      <c r="V910" s="250"/>
      <c r="W910" s="250"/>
      <c r="X910" s="250"/>
      <c r="Y910" s="250"/>
      <c r="Z910" s="250"/>
    </row>
    <row r="911" ht="14.25" customHeight="1">
      <c r="A911" s="250"/>
      <c r="B911" s="250"/>
      <c r="C911" s="250"/>
      <c r="D911" s="254"/>
      <c r="E911" s="250"/>
      <c r="F911" s="250"/>
      <c r="G911" s="250"/>
      <c r="H911" s="250"/>
      <c r="I911" s="250"/>
      <c r="J911" s="250"/>
      <c r="K911" s="250"/>
      <c r="L911" s="250"/>
      <c r="M911" s="250"/>
      <c r="N911" s="250"/>
      <c r="O911" s="250"/>
      <c r="P911" s="250"/>
      <c r="Q911" s="250"/>
      <c r="R911" s="250"/>
      <c r="S911" s="250"/>
      <c r="T911" s="250"/>
      <c r="U911" s="250"/>
      <c r="V911" s="250"/>
      <c r="W911" s="250"/>
      <c r="X911" s="250"/>
      <c r="Y911" s="250"/>
      <c r="Z911" s="250"/>
    </row>
    <row r="912" ht="14.25" customHeight="1">
      <c r="A912" s="250"/>
      <c r="B912" s="250"/>
      <c r="C912" s="250"/>
      <c r="D912" s="254"/>
      <c r="E912" s="250"/>
      <c r="F912" s="250"/>
      <c r="G912" s="250"/>
      <c r="H912" s="250"/>
      <c r="I912" s="250"/>
      <c r="J912" s="250"/>
      <c r="K912" s="250"/>
      <c r="L912" s="250"/>
      <c r="M912" s="250"/>
      <c r="N912" s="250"/>
      <c r="O912" s="250"/>
      <c r="P912" s="250"/>
      <c r="Q912" s="250"/>
      <c r="R912" s="250"/>
      <c r="S912" s="250"/>
      <c r="T912" s="250"/>
      <c r="U912" s="250"/>
      <c r="V912" s="250"/>
      <c r="W912" s="250"/>
      <c r="X912" s="250"/>
      <c r="Y912" s="250"/>
      <c r="Z912" s="250"/>
    </row>
    <row r="913" ht="14.25" customHeight="1">
      <c r="A913" s="250"/>
      <c r="B913" s="250"/>
      <c r="C913" s="250"/>
      <c r="D913" s="254"/>
      <c r="E913" s="250"/>
      <c r="F913" s="250"/>
      <c r="G913" s="250"/>
      <c r="H913" s="250"/>
      <c r="I913" s="250"/>
      <c r="J913" s="250"/>
      <c r="K913" s="250"/>
      <c r="L913" s="250"/>
      <c r="M913" s="250"/>
      <c r="N913" s="250"/>
      <c r="O913" s="250"/>
      <c r="P913" s="250"/>
      <c r="Q913" s="250"/>
      <c r="R913" s="250"/>
      <c r="S913" s="250"/>
      <c r="T913" s="250"/>
      <c r="U913" s="250"/>
      <c r="V913" s="250"/>
      <c r="W913" s="250"/>
      <c r="X913" s="250"/>
      <c r="Y913" s="250"/>
      <c r="Z913" s="250"/>
    </row>
    <row r="914" ht="14.25" customHeight="1">
      <c r="A914" s="250"/>
      <c r="B914" s="250"/>
      <c r="C914" s="250"/>
      <c r="D914" s="254"/>
      <c r="E914" s="250"/>
      <c r="F914" s="250"/>
      <c r="G914" s="250"/>
      <c r="H914" s="250"/>
      <c r="I914" s="250"/>
      <c r="J914" s="250"/>
      <c r="K914" s="250"/>
      <c r="L914" s="250"/>
      <c r="M914" s="250"/>
      <c r="N914" s="250"/>
      <c r="O914" s="250"/>
      <c r="P914" s="250"/>
      <c r="Q914" s="250"/>
      <c r="R914" s="250"/>
      <c r="S914" s="250"/>
      <c r="T914" s="250"/>
      <c r="U914" s="250"/>
      <c r="V914" s="250"/>
      <c r="W914" s="250"/>
      <c r="X914" s="250"/>
      <c r="Y914" s="250"/>
      <c r="Z914" s="250"/>
    </row>
    <row r="915" ht="14.25" customHeight="1">
      <c r="A915" s="250"/>
      <c r="B915" s="250"/>
      <c r="C915" s="250"/>
      <c r="D915" s="254"/>
      <c r="E915" s="250"/>
      <c r="F915" s="250"/>
      <c r="G915" s="250"/>
      <c r="H915" s="250"/>
      <c r="I915" s="250"/>
      <c r="J915" s="250"/>
      <c r="K915" s="250"/>
      <c r="L915" s="250"/>
      <c r="M915" s="250"/>
      <c r="N915" s="250"/>
      <c r="O915" s="250"/>
      <c r="P915" s="250"/>
      <c r="Q915" s="250"/>
      <c r="R915" s="250"/>
      <c r="S915" s="250"/>
      <c r="T915" s="250"/>
      <c r="U915" s="250"/>
      <c r="V915" s="250"/>
      <c r="W915" s="250"/>
      <c r="X915" s="250"/>
      <c r="Y915" s="250"/>
      <c r="Z915" s="250"/>
    </row>
    <row r="916" ht="14.25" customHeight="1">
      <c r="A916" s="250"/>
      <c r="B916" s="250"/>
      <c r="C916" s="250"/>
      <c r="D916" s="254"/>
      <c r="E916" s="250"/>
      <c r="F916" s="250"/>
      <c r="G916" s="250"/>
      <c r="H916" s="250"/>
      <c r="I916" s="250"/>
      <c r="J916" s="250"/>
      <c r="K916" s="250"/>
      <c r="L916" s="250"/>
      <c r="M916" s="250"/>
      <c r="N916" s="250"/>
      <c r="O916" s="250"/>
      <c r="P916" s="250"/>
      <c r="Q916" s="250"/>
      <c r="R916" s="250"/>
      <c r="S916" s="250"/>
      <c r="T916" s="250"/>
      <c r="U916" s="250"/>
      <c r="V916" s="250"/>
      <c r="W916" s="250"/>
      <c r="X916" s="250"/>
      <c r="Y916" s="250"/>
      <c r="Z916" s="250"/>
    </row>
    <row r="917" ht="14.25" customHeight="1">
      <c r="A917" s="250"/>
      <c r="B917" s="250"/>
      <c r="C917" s="250"/>
      <c r="D917" s="254"/>
      <c r="E917" s="250"/>
      <c r="F917" s="250"/>
      <c r="G917" s="250"/>
      <c r="H917" s="250"/>
      <c r="I917" s="250"/>
      <c r="J917" s="250"/>
      <c r="K917" s="250"/>
      <c r="L917" s="250"/>
      <c r="M917" s="250"/>
      <c r="N917" s="250"/>
      <c r="O917" s="250"/>
      <c r="P917" s="250"/>
      <c r="Q917" s="250"/>
      <c r="R917" s="250"/>
      <c r="S917" s="250"/>
      <c r="T917" s="250"/>
      <c r="U917" s="250"/>
      <c r="V917" s="250"/>
      <c r="W917" s="250"/>
      <c r="X917" s="250"/>
      <c r="Y917" s="250"/>
      <c r="Z917" s="250"/>
    </row>
    <row r="918" ht="14.25" customHeight="1">
      <c r="A918" s="250"/>
      <c r="B918" s="250"/>
      <c r="C918" s="250"/>
      <c r="D918" s="254"/>
      <c r="E918" s="250"/>
      <c r="F918" s="250"/>
      <c r="G918" s="250"/>
      <c r="H918" s="250"/>
      <c r="I918" s="250"/>
      <c r="J918" s="250"/>
      <c r="K918" s="250"/>
      <c r="L918" s="250"/>
      <c r="M918" s="250"/>
      <c r="N918" s="250"/>
      <c r="O918" s="250"/>
      <c r="P918" s="250"/>
      <c r="Q918" s="250"/>
      <c r="R918" s="250"/>
      <c r="S918" s="250"/>
      <c r="T918" s="250"/>
      <c r="U918" s="250"/>
      <c r="V918" s="250"/>
      <c r="W918" s="250"/>
      <c r="X918" s="250"/>
      <c r="Y918" s="250"/>
      <c r="Z918" s="250"/>
    </row>
    <row r="919" ht="14.25" customHeight="1">
      <c r="A919" s="250"/>
      <c r="B919" s="250"/>
      <c r="C919" s="250"/>
      <c r="D919" s="254"/>
      <c r="E919" s="250"/>
      <c r="F919" s="250"/>
      <c r="G919" s="250"/>
      <c r="H919" s="250"/>
      <c r="I919" s="250"/>
      <c r="J919" s="250"/>
      <c r="K919" s="250"/>
      <c r="L919" s="250"/>
      <c r="M919" s="250"/>
      <c r="N919" s="250"/>
      <c r="O919" s="250"/>
      <c r="P919" s="250"/>
      <c r="Q919" s="250"/>
      <c r="R919" s="250"/>
      <c r="S919" s="250"/>
      <c r="T919" s="250"/>
      <c r="U919" s="250"/>
      <c r="V919" s="250"/>
      <c r="W919" s="250"/>
      <c r="X919" s="250"/>
      <c r="Y919" s="250"/>
      <c r="Z919" s="250"/>
    </row>
    <row r="920" ht="14.25" customHeight="1">
      <c r="A920" s="250"/>
      <c r="B920" s="250"/>
      <c r="C920" s="250"/>
      <c r="D920" s="254"/>
      <c r="E920" s="250"/>
      <c r="F920" s="250"/>
      <c r="G920" s="250"/>
      <c r="H920" s="250"/>
      <c r="I920" s="250"/>
      <c r="J920" s="250"/>
      <c r="K920" s="250"/>
      <c r="L920" s="250"/>
      <c r="M920" s="250"/>
      <c r="N920" s="250"/>
      <c r="O920" s="250"/>
      <c r="P920" s="250"/>
      <c r="Q920" s="250"/>
      <c r="R920" s="250"/>
      <c r="S920" s="250"/>
      <c r="T920" s="250"/>
      <c r="U920" s="250"/>
      <c r="V920" s="250"/>
      <c r="W920" s="250"/>
      <c r="X920" s="250"/>
      <c r="Y920" s="250"/>
      <c r="Z920" s="250"/>
    </row>
  </sheetData>
  <dataValidations>
    <dataValidation type="custom" allowBlank="1" showDropDown="1" sqref="F242:F265 F282:F289 F296:F310 F318:F319 F326:F337 F343:F384 F390:F401 F409:F433 F436:F461 F472:F473 F477:F487 F492:F499 F506:F509 F513:F517 F521:F524 F527:F550 F553:F585 F598:F600 F603:F609 F614:F663 F667:F755 F760:F805 F810:F862 F865:F866 F873:F902">
      <formula1>OR(NOT(ISERROR(DATEVALUE(F242))), AND(ISNUMBER(F242), LEFT(CELL("format", F242))="D"))</formula1>
    </dataValidation>
    <dataValidation type="custom" allowBlank="1" showDropDown="1" sqref="D436:D461 D477:D487 D492:D499 D506:D509 D513:D517 D521:D524 D527:D550 G614:G663 D667:D755 D760:D805 D810:D862 D865:D866 D873:D902">
      <formula1>AND(ISNUMBER(D436),(NOT(OR(NOT(ISERROR(DATEVALUE(D436))), AND(ISNUMBER(D436), LEFT(CELL("format", D436))="D")))))</formula1>
    </dataValidation>
    <dataValidation type="list" allowBlank="1" sqref="A667:A755 A760:A805 A810:A862 A865:A866 A873:A902">
      <formula1>#REF!</formula1>
    </dataValidation>
    <dataValidation type="list" allowBlank="1" sqref="B760:B805 E760:E805 B810:B862 E810:E862 B865:B866 E865:E866 B873:B902 E873:E902">
      <formula1>#REF!</formula1>
    </dataValidation>
    <dataValidation type="list" allowBlank="1" showErrorMessage="1" sqref="A225 A257 A282:A283 A296:A297 A305:A307 A318 A392">
      <formula1>stock!$A:$A</formula1>
    </dataValidation>
  </dataValidations>
  <printOptions/>
  <pageMargins bottom="0.75" footer="0.0" header="0.0" left="0.7" right="0.7" top="0.75"/>
  <pageSetup orientation="landscape"/>
  <drawing ns1:id="rId1"/>
  <tableParts count="36">
    <tablePart ns1:id="rId38"/>
    <tablePart ns1:id="rId39"/>
    <tablePart ns1:id="rId40"/>
    <tablePart ns1:id="rId41"/>
    <tablePart ns1:id="rId42"/>
    <tablePart ns1:id="rId43"/>
    <tablePart ns1:id="rId44"/>
    <tablePart ns1:id="rId45"/>
    <tablePart ns1:id="rId46"/>
    <tablePart ns1:id="rId47"/>
    <tablePart ns1:id="rId48"/>
    <tablePart ns1:id="rId49"/>
    <tablePart ns1:id="rId50"/>
    <tablePart ns1:id="rId51"/>
    <tablePart ns1:id="rId52"/>
    <tablePart ns1:id="rId53"/>
    <tablePart ns1:id="rId54"/>
    <tablePart ns1:id="rId55"/>
    <tablePart ns1:id="rId56"/>
    <tablePart ns1:id="rId57"/>
    <tablePart ns1:id="rId58"/>
    <tablePart ns1:id="rId59"/>
    <tablePart ns1:id="rId60"/>
    <tablePart ns1:id="rId61"/>
    <tablePart ns1:id="rId62"/>
    <tablePart ns1:id="rId63"/>
    <tablePart ns1:id="rId64"/>
    <tablePart ns1:id="rId65"/>
    <tablePart ns1:id="rId66"/>
    <tablePart ns1:id="rId67"/>
    <tablePart ns1:id="rId68"/>
    <tablePart ns1:id="rId69"/>
    <tablePart ns1:id="rId70"/>
    <tablePart ns1:id="rId71"/>
    <tablePart ns1:id="rId72"/>
    <tablePart ns1:id="rId73"/>
  </tableParts>
</worksheet>
</file>

<file path=xl/worksheets/sheet12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88"/>
    <col customWidth="1" min="3" max="3" width="15.0"/>
    <col customWidth="1" min="4" max="4" width="16.13"/>
    <col customWidth="1" min="5" max="5" width="19.5"/>
    <col customWidth="1" min="8" max="8" width="30.0"/>
  </cols>
  <sheetData>
    <row r="1" ht="22.5" customHeight="1">
      <c r="A1" s="324" t="s">
        <v>4847</v>
      </c>
      <c r="B1" s="324" t="s">
        <v>1471</v>
      </c>
      <c r="C1" s="324" t="s">
        <v>4849</v>
      </c>
      <c r="D1" s="324" t="s">
        <v>4850</v>
      </c>
      <c r="E1" s="325" t="s">
        <v>4851</v>
      </c>
      <c r="F1" s="324" t="s">
        <v>61</v>
      </c>
      <c r="G1" s="324" t="s">
        <v>1679</v>
      </c>
      <c r="H1" s="324" t="s">
        <v>64</v>
      </c>
    </row>
    <row r="2" ht="22.5" customHeight="1">
      <c r="A2" s="326" t="s">
        <v>2248</v>
      </c>
      <c r="B2" s="69" t="s">
        <v>1163</v>
      </c>
      <c r="C2" s="10" t="s">
        <v>68</v>
      </c>
      <c r="D2" s="6">
        <v>18.0</v>
      </c>
      <c r="E2" s="6">
        <v>100.0</v>
      </c>
      <c r="F2" s="6" t="s">
        <v>72</v>
      </c>
      <c r="G2" s="327">
        <v>46150.0</v>
      </c>
      <c r="H2" s="6" t="s">
        <v>4854</v>
      </c>
    </row>
    <row r="3" ht="22.5" customHeight="1">
      <c r="A3" s="10"/>
      <c r="B3" s="69"/>
      <c r="C3" s="15"/>
      <c r="D3" s="6"/>
      <c r="E3" s="6"/>
      <c r="F3" s="6"/>
      <c r="G3" s="327"/>
      <c r="H3" s="6"/>
    </row>
    <row r="4" ht="22.5" customHeight="1">
      <c r="A4" s="19"/>
      <c r="B4" s="69"/>
      <c r="C4" s="19"/>
      <c r="D4" s="5"/>
      <c r="E4" s="5"/>
      <c r="F4" s="5"/>
      <c r="G4" s="328"/>
      <c r="H4" s="5"/>
    </row>
    <row r="5" ht="22.5" customHeight="1">
      <c r="A5" s="19"/>
      <c r="B5" s="329"/>
      <c r="C5" s="19"/>
      <c r="D5" s="5"/>
      <c r="E5" s="5"/>
      <c r="F5" s="5"/>
      <c r="G5" s="328"/>
      <c r="H5" s="5"/>
    </row>
    <row r="6">
      <c r="E6" s="330"/>
    </row>
    <row r="7">
      <c r="E7" s="330"/>
    </row>
    <row r="8">
      <c r="E8" s="330"/>
    </row>
    <row r="9">
      <c r="E9" s="330"/>
    </row>
    <row r="10">
      <c r="E10" s="330"/>
    </row>
    <row r="11">
      <c r="E11" s="330"/>
    </row>
    <row r="12">
      <c r="E12" s="330"/>
    </row>
    <row r="13">
      <c r="E13" s="330"/>
    </row>
    <row r="14">
      <c r="E14" s="330"/>
    </row>
    <row r="15">
      <c r="E15" s="330"/>
    </row>
    <row r="16">
      <c r="E16" s="330"/>
    </row>
    <row r="17">
      <c r="E17" s="330"/>
    </row>
    <row r="18">
      <c r="E18" s="330"/>
    </row>
    <row r="19">
      <c r="E19" s="330"/>
    </row>
    <row r="20">
      <c r="E20" s="330"/>
    </row>
    <row r="21">
      <c r="E21" s="330"/>
    </row>
    <row r="22">
      <c r="E22" s="330"/>
    </row>
    <row r="23">
      <c r="E23" s="330"/>
    </row>
    <row r="24">
      <c r="E24" s="330"/>
    </row>
    <row r="25">
      <c r="E25" s="330"/>
    </row>
    <row r="26">
      <c r="E26" s="330"/>
    </row>
    <row r="27">
      <c r="E27" s="330"/>
    </row>
    <row r="28">
      <c r="E28" s="330"/>
    </row>
    <row r="29">
      <c r="E29" s="330"/>
    </row>
    <row r="30">
      <c r="E30" s="330"/>
    </row>
    <row r="31">
      <c r="E31" s="330"/>
    </row>
    <row r="32">
      <c r="E32" s="330"/>
    </row>
    <row r="33">
      <c r="E33" s="330"/>
    </row>
    <row r="34">
      <c r="E34" s="330"/>
    </row>
    <row r="35">
      <c r="E35" s="330"/>
    </row>
    <row r="36">
      <c r="E36" s="330"/>
    </row>
    <row r="37">
      <c r="E37" s="330"/>
    </row>
    <row r="38">
      <c r="E38" s="330"/>
    </row>
    <row r="39">
      <c r="E39" s="330"/>
    </row>
    <row r="40">
      <c r="E40" s="330"/>
    </row>
    <row r="41">
      <c r="E41" s="330"/>
    </row>
    <row r="42">
      <c r="E42" s="330"/>
    </row>
    <row r="43">
      <c r="E43" s="330"/>
    </row>
    <row r="44">
      <c r="E44" s="330"/>
    </row>
    <row r="45">
      <c r="E45" s="330"/>
    </row>
    <row r="46">
      <c r="E46" s="330"/>
    </row>
    <row r="47">
      <c r="E47" s="330"/>
    </row>
    <row r="48">
      <c r="E48" s="330"/>
    </row>
    <row r="49">
      <c r="E49" s="330"/>
    </row>
    <row r="50">
      <c r="E50" s="330"/>
    </row>
  </sheetData>
  <dataValidations>
    <dataValidation type="list" allowBlank="1" sqref="B2:B5">
      <formula1>Stock_New!$A:$A</formula1>
    </dataValidation>
    <dataValidation type="custom" allowBlank="1" showDropDown="1" sqref="G2:G5">
      <formula1>OR(NOT(ISERROR(DATEVALUE(G2))), AND(ISNUMBER(G2), LEFT(CELL("format", G2))="D"))</formula1>
    </dataValidation>
  </dataValidations>
  <drawing ns1:id="rId1"/>
  <tableParts count="1">
    <tablePart ns1:id="rId3"/>
  </tableParts>
</worksheet>
</file>

<file path=xl/worksheets/sheet13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9.38"/>
    <col customWidth="1" min="9" max="9" width="31.88"/>
  </cols>
  <sheetData>
    <row r="1" ht="22.5" customHeight="1">
      <c r="A1" s="324" t="s">
        <v>4847</v>
      </c>
      <c r="B1" s="324" t="s">
        <v>4881</v>
      </c>
      <c r="C1" s="324" t="s">
        <v>4882</v>
      </c>
      <c r="D1" s="324" t="s">
        <v>11</v>
      </c>
      <c r="E1" s="324" t="s">
        <v>4883</v>
      </c>
      <c r="F1" s="334" t="s">
        <v>4884</v>
      </c>
      <c r="G1" s="335" t="s">
        <v>4885</v>
      </c>
      <c r="H1" s="335" t="s">
        <v>4886</v>
      </c>
      <c r="I1" s="7" t="s">
        <v>4888</v>
      </c>
    </row>
    <row r="2" ht="22.5" customHeight="1">
      <c r="A2" s="326" t="s">
        <v>2248</v>
      </c>
      <c r="B2" s="90" t="s">
        <v>363</v>
      </c>
      <c r="C2" s="16" t="str">
        <f>IF(B2="","",IFERROR(VLOOKUP(B2, Stock_New!A:F, 2, FALSE),""))</f>
        <v>ورد لوحدة</v>
      </c>
      <c r="D2" s="16" t="str">
        <f>IF(C2="","",IFERROR(VLOOKUP(B2, Stock_New!A:G, 3, FALSE),""))</f>
        <v>شركة الفرسان</v>
      </c>
      <c r="E2" s="6">
        <f>1/18</f>
        <v>0.05555555556</v>
      </c>
      <c r="F2" s="6">
        <v>1.0</v>
      </c>
      <c r="G2" s="17">
        <f>IF(B2="", "", IFERROR(VLOOKUP(B2, Stock_New!A:G, 4, FALSE), ""))</f>
        <v>110</v>
      </c>
      <c r="H2" s="17">
        <f t="shared" ref="H2:H7" si="1">G2*F2</f>
        <v>110</v>
      </c>
      <c r="I2" s="17">
        <f>IF(B2="","",IFERROR(VLOOKUP(B2, Stock_New!A:F, 5, FALSE),""))</f>
        <v>1.444444444</v>
      </c>
    </row>
    <row r="3" ht="22.5" customHeight="1">
      <c r="A3" s="326" t="s">
        <v>2248</v>
      </c>
      <c r="B3" s="69" t="s">
        <v>1208</v>
      </c>
      <c r="C3" s="16" t="str">
        <f>IF(B3="","",IFERROR(VLOOKUP(B3, Stock_New!A:F, 2, FALSE),""))</f>
        <v>بوت مقزمات</v>
      </c>
      <c r="D3" s="16" t="str">
        <f>IF(C3="","",IFERROR(VLOOKUP(B3, Stock_New!A:G, 3, FALSE),""))</f>
        <v>شركة حسين علي</v>
      </c>
      <c r="E3" s="6">
        <v>1.0</v>
      </c>
      <c r="F3" s="6">
        <v>18.0</v>
      </c>
      <c r="G3" s="17">
        <f>IF(B3="", "", IFERROR(VLOOKUP(B3, Stock_New!A:G, 4, FALSE), ""))</f>
        <v>3.5</v>
      </c>
      <c r="H3" s="17">
        <f t="shared" si="1"/>
        <v>63</v>
      </c>
      <c r="I3" s="17">
        <f>IF(B3="","",IFERROR(VLOOKUP(B3, Stock_New!A:F, 5, FALSE),""))</f>
        <v>142</v>
      </c>
    </row>
    <row r="4" ht="22.5" customHeight="1">
      <c r="A4" s="326"/>
      <c r="B4" s="69"/>
      <c r="C4" s="16" t="str">
        <f>IF(B4="","",IFERROR(VLOOKUP(B4, Stock_New!A:F, 2, FALSE),""))</f>
        <v/>
      </c>
      <c r="D4" s="16" t="str">
        <f>IF(C4="","",IFERROR(VLOOKUP(B4, Stock_New!A:G, 3, FALSE),""))</f>
        <v/>
      </c>
      <c r="E4" s="6"/>
      <c r="F4" s="6"/>
      <c r="G4" s="17" t="str">
        <f>IF(B4="", "", IFERROR(VLOOKUP(B4, Stock_New!A:G, 4, FALSE), ""))</f>
        <v/>
      </c>
      <c r="H4" s="17">
        <f t="shared" si="1"/>
        <v>0</v>
      </c>
      <c r="I4" s="17" t="str">
        <f>IF(B4="","",IFERROR(VLOOKUP(B4, Stock_New!A:F, 5, FALSE),""))</f>
        <v/>
      </c>
    </row>
    <row r="5" ht="22.5" customHeight="1">
      <c r="A5" s="326"/>
      <c r="B5" s="69"/>
      <c r="C5" s="16"/>
      <c r="D5" s="16"/>
      <c r="E5" s="6"/>
      <c r="F5" s="6"/>
      <c r="G5" s="17" t="str">
        <f>IF(B5="", "", IFERROR(VLOOKUP(B5, Stock_New!A:G, 4, FALSE), ""))</f>
        <v/>
      </c>
      <c r="H5" s="17">
        <f t="shared" si="1"/>
        <v>0</v>
      </c>
      <c r="I5" s="17" t="str">
        <f>IF(B5="","",IFERROR(VLOOKUP(B5, Stock_New!A:F, 5, FALSE),""))</f>
        <v/>
      </c>
    </row>
    <row r="6" ht="22.5" customHeight="1">
      <c r="A6" s="10"/>
      <c r="B6" s="69"/>
      <c r="C6" s="16"/>
      <c r="D6" s="16"/>
      <c r="E6" s="6"/>
      <c r="F6" s="8"/>
      <c r="G6" s="17" t="str">
        <f>IF(B6="", "", IFERROR(VLOOKUP(B6, Stock_New!A:G, 4, FALSE), ""))</f>
        <v/>
      </c>
      <c r="H6" s="17">
        <f t="shared" si="1"/>
        <v>0</v>
      </c>
      <c r="I6" s="17" t="str">
        <f>IF(B6="","",IFERROR(VLOOKUP(B6, Stock_New!A:F, 5, FALSE),""))</f>
        <v/>
      </c>
    </row>
    <row r="7" ht="22.5" customHeight="1">
      <c r="A7" s="6"/>
      <c r="B7" s="329"/>
      <c r="C7" s="16" t="str">
        <f>IF(B7="","",IFERROR(VLOOKUP(B7, Stock_New!A:F, 2, FALSE),""))</f>
        <v/>
      </c>
      <c r="D7" s="16" t="str">
        <f>IF(C7="","",IFERROR(VLOOKUP(C7, Stock_New!B:G, 2, FALSE),""))</f>
        <v/>
      </c>
      <c r="E7" s="6"/>
      <c r="F7" s="8"/>
      <c r="G7" s="17" t="str">
        <f>IF(B7="", "", IFERROR(VLOOKUP(B7, Stock_New!A:G, 4, FALSE), ""))</f>
        <v/>
      </c>
      <c r="H7" s="17">
        <f t="shared" si="1"/>
        <v>0</v>
      </c>
      <c r="I7" s="17" t="str">
        <f>IF(B7="","",IFERROR(VLOOKUP(B7, Stock_New!A:F, 5, FALSE),""))</f>
        <v/>
      </c>
    </row>
    <row r="8">
      <c r="F8" s="187"/>
    </row>
    <row r="9">
      <c r="F9" s="187"/>
    </row>
    <row r="10">
      <c r="F10" s="187"/>
    </row>
    <row r="11">
      <c r="C11" s="2" t="s">
        <v>6</v>
      </c>
      <c r="F11" s="187"/>
    </row>
    <row r="12">
      <c r="F12" s="187"/>
    </row>
    <row r="13">
      <c r="F13" s="187"/>
    </row>
    <row r="14">
      <c r="E14" s="2" t="s">
        <v>6</v>
      </c>
      <c r="F14" s="187"/>
    </row>
    <row r="15">
      <c r="F15" s="187"/>
    </row>
    <row r="16">
      <c r="F16" s="187"/>
    </row>
    <row r="17">
      <c r="F17" s="187"/>
    </row>
    <row r="18">
      <c r="F18" s="187"/>
    </row>
    <row r="19">
      <c r="F19" s="187"/>
    </row>
    <row r="20">
      <c r="F20" s="187"/>
    </row>
    <row r="21">
      <c r="F21" s="187"/>
    </row>
    <row r="22">
      <c r="F22" s="187"/>
    </row>
    <row r="23">
      <c r="F23" s="187"/>
    </row>
    <row r="24">
      <c r="F24" s="187"/>
    </row>
    <row r="25">
      <c r="F25" s="187"/>
    </row>
    <row r="26">
      <c r="F26" s="187"/>
    </row>
    <row r="27">
      <c r="F27" s="187"/>
    </row>
    <row r="28">
      <c r="F28" s="187"/>
    </row>
    <row r="29">
      <c r="F29" s="187"/>
    </row>
    <row r="30">
      <c r="F30" s="187"/>
    </row>
    <row r="31">
      <c r="F31" s="187"/>
    </row>
    <row r="32">
      <c r="F32" s="187"/>
    </row>
    <row r="33">
      <c r="F33" s="187"/>
    </row>
    <row r="34">
      <c r="F34" s="187"/>
    </row>
    <row r="35">
      <c r="F35" s="187"/>
    </row>
    <row r="36">
      <c r="F36" s="187"/>
    </row>
    <row r="37">
      <c r="F37" s="187"/>
    </row>
    <row r="38">
      <c r="F38" s="187"/>
    </row>
    <row r="39">
      <c r="F39" s="187"/>
    </row>
    <row r="40">
      <c r="F40" s="187"/>
    </row>
    <row r="41">
      <c r="F41" s="187"/>
    </row>
    <row r="42">
      <c r="F42" s="187"/>
    </row>
    <row r="43">
      <c r="F43" s="187"/>
    </row>
    <row r="44">
      <c r="F44" s="187"/>
    </row>
    <row r="45">
      <c r="F45" s="187"/>
    </row>
    <row r="46">
      <c r="F46" s="187"/>
    </row>
    <row r="47">
      <c r="F47" s="187"/>
    </row>
    <row r="48">
      <c r="F48" s="187"/>
    </row>
    <row r="49">
      <c r="F49" s="187"/>
    </row>
    <row r="50">
      <c r="F50" s="187"/>
    </row>
  </sheetData>
  <dataValidations>
    <dataValidation type="list" allowBlank="1" sqref="B2:B7">
      <formula1>#REF!</formula1>
    </dataValidation>
  </dataValidations>
  <drawing ns1:id="rId1"/>
  <tableParts count="1">
    <tablePart ns1:id="rId3"/>
  </tableParts>
</worksheet>
</file>